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читать" sheetId="1" state="visible" r:id="rId3"/>
    <sheet name="Сводка" sheetId="2" state="visible" r:id="rId4"/>
    <sheet name="Статьи" sheetId="3" state="visible" r:id="rId5"/>
    <sheet name="Ролики" sheetId="4" state="visible" r:id="rId6"/>
    <sheet name="Посты" sheetId="5" state="visible" r:id="rId7"/>
    <sheet name="Видео" sheetId="6" state="visible" r:id="rId8"/>
  </sheets>
  <definedNames>
    <definedName function="false" hidden="true" localSheetId="5" name="_xlnm._FilterDatabase" vbProcedure="false">Видео!$A$4:$U$11</definedName>
    <definedName function="false" hidden="true" localSheetId="4" name="_xlnm._FilterDatabase" vbProcedure="false">Посты!$A$4:$U$373</definedName>
    <definedName function="false" hidden="true" localSheetId="3" name="_xlnm._FilterDatabase" vbProcedure="false">Ролики!$A$4:$U$665</definedName>
    <definedName function="false" hidden="true" localSheetId="2" name="_xlnm._FilterDatabase" vbProcedure="false">Статьи!$A$4:$U$627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<sst xmlns="http://schemas.openxmlformats.org/spreadsheetml/2006/main" count="5001" uniqueCount="1590">
  <si>
    <t xml:space="preserve">Полная статистика публикаций канала «Валентина Хлистун | Этикет»</t>
  </si>
  <si>
    <t xml:space="preserve">Источник данных</t>
  </si>
  <si>
    <t xml:space="preserve">Дзен-студия → Статистика → Публикации → «Отчёт», период «Всё время». Выгружено 25 июля 2026 года.</t>
  </si>
  <si>
    <t xml:space="preserve">Что внутри</t>
  </si>
  <si>
    <t xml:space="preserve">1660 публикаций: 623 статьи, 661 ролик, 369 постов, 7 видео. Даты публикации — с февраля 2023 по 24 июля 2026.</t>
  </si>
  <si>
    <t xml:space="preserve">Показы</t>
  </si>
  <si>
    <t xml:space="preserve">Сколько раз карточка публикации попала людям в ленту. Это решение алгоритма, а не заслуга текста.</t>
  </si>
  <si>
    <t xml:space="preserve">Открытия</t>
  </si>
  <si>
    <t xml:space="preserve">Сколько раз публикацию открыли. В публичной карточке канала это же число показано как «просмотры».</t>
  </si>
  <si>
    <t xml:space="preserve">Дочитывания</t>
  </si>
  <si>
    <t xml:space="preserve">Сколько человек долистали до конца.</t>
  </si>
  <si>
    <t xml:space="preserve">CTR = открытия / показы</t>
  </si>
  <si>
    <t xml:space="preserve">Первая ступень воронки. За неё отвечают обложка, заголовок и тема — то, что видно в ленте.</t>
  </si>
  <si>
    <t xml:space="preserve">Дочитываемость = дочитывания / открытия</t>
  </si>
  <si>
    <t xml:space="preserve">Вторая ступень. За неё отвечает сам текст: первый экран, длина, ритм, структура.</t>
  </si>
  <si>
    <t xml:space="preserve">Лайки, комментарии, подписки на дочитывание</t>
  </si>
  <si>
    <t xml:space="preserve">Третья ступень: реакция тех, кто действительно прочитал.</t>
  </si>
  <si>
    <t xml:space="preserve">Индекс к периоду</t>
  </si>
  <si>
    <t xml:space="preserve">Показатель статьи, делённый на медиану всех публикаций того же типа за ±90 дней. 1,00 — как обычно в те месяцы; 2,00 — вдвое лучше обычного; 0,50 — вдвое хуже. Нужен потому, что канал рос и Дзен менял алгоритм: сравнивать статью 2023 года со статьёй 2026 года напрямую нельзя.</t>
  </si>
  <si>
    <t xml:space="preserve">Как этим НЕ пользоваться</t>
  </si>
  <si>
    <t xml:space="preserve">Абсолютные просмотры и лайки не показывают качество статьи: чем больше алгоритм дал показов, тем больше будет и то и другое. Сравнивать статьи между собой можно только по долям и индексам.</t>
  </si>
  <si>
    <t xml:space="preserve">Разные типы — разные вселенные</t>
  </si>
  <si>
    <t xml:space="preserve">У роликов медианный CTR около 30%, у статей — около 5%. В одну таблицу сравнения их сводить нельзя, поэтому они на разных листах.</t>
  </si>
  <si>
    <t xml:space="preserve">Свежие публикации</t>
  </si>
  <si>
    <t xml:space="preserve">Публикации моложе 30 дней ещё не набрали хвост показов. Их показатели занижены и в сравнения не идут.</t>
  </si>
  <si>
    <t xml:space="preserve">Что дальше</t>
  </si>
  <si>
    <t xml:space="preserve">Тексты статей размечаются по справочнику критериев ОТДЕЛЬНО и ВСЛЕПУЮ — без доступа к этим цифрам. Только потом разметка соединяется со статистикой. Иначе разбор подгонит признаки под уже известный результат.</t>
  </si>
  <si>
    <t xml:space="preserve">Сводка: типичные значения (медианы)</t>
  </si>
  <si>
    <t xml:space="preserve">Медиана, а не среднее: одна вирусная публикация искажает среднее до бессмыслицы.</t>
  </si>
  <si>
    <t xml:space="preserve">Группа</t>
  </si>
  <si>
    <t xml:space="preserve">Публикаций</t>
  </si>
  <si>
    <t xml:space="preserve">CTR</t>
  </si>
  <si>
    <t xml:space="preserve">Дочитываемость</t>
  </si>
  <si>
    <t xml:space="preserve">Мин. на дочитывание</t>
  </si>
  <si>
    <t xml:space="preserve">Лайки/дочит.</t>
  </si>
  <si>
    <t xml:space="preserve">Комм./дочит.</t>
  </si>
  <si>
    <t xml:space="preserve">Подписки/дочит.</t>
  </si>
  <si>
    <t xml:space="preserve">Статьи — все</t>
  </si>
  <si>
    <t xml:space="preserve">Ролики — все</t>
  </si>
  <si>
    <t xml:space="preserve">Посты — все</t>
  </si>
  <si>
    <t xml:space="preserve">Статьи — 2023</t>
  </si>
  <si>
    <t xml:space="preserve">Статьи — 2024</t>
  </si>
  <si>
    <t xml:space="preserve">Статьи — 2025</t>
  </si>
  <si>
    <t xml:space="preserve">Статьи — 2026</t>
  </si>
  <si>
    <t xml:space="preserve">Показатели рассчитаны по формулам от исходных чисел выгрузки — при обновлении данных пересчитаются автоматически.</t>
  </si>
  <si>
    <t xml:space="preserve">Статьи</t>
  </si>
  <si>
    <t xml:space="preserve">Все статьи канала. Индексы считаются внутри этого листа — статья сравнивается только с другими статьями того же периода.</t>
  </si>
  <si>
    <t xml:space="preserve">Дата публикации</t>
  </si>
  <si>
    <t xml:space="preserve">Час</t>
  </si>
  <si>
    <t xml:space="preserve">День недели</t>
  </si>
  <si>
    <t xml:space="preserve">Заголовок</t>
  </si>
  <si>
    <t xml:space="preserve">Ссылка</t>
  </si>
  <si>
    <t xml:space="preserve">Время просмотра, мин</t>
  </si>
  <si>
    <t xml:space="preserve">Лайки</t>
  </si>
  <si>
    <t xml:space="preserve">Комментарии</t>
  </si>
  <si>
    <t xml:space="preserve">Подписки</t>
  </si>
  <si>
    <t xml:space="preserve">CTR (открытия/показы)</t>
  </si>
  <si>
    <t xml:space="preserve">Минут на дочитывание</t>
  </si>
  <si>
    <t xml:space="preserve">Лайки / дочитывания</t>
  </si>
  <si>
    <t xml:space="preserve">Комментарии / дочитывания</t>
  </si>
  <si>
    <t xml:space="preserve">Подписки / дочитывания</t>
  </si>
  <si>
    <t xml:space="preserve">Индекс CTR к периоду</t>
  </si>
  <si>
    <t xml:space="preserve">Индекс дочитываемости к периоду</t>
  </si>
  <si>
    <t xml:space="preserve">Индекс комментариев к периоду</t>
  </si>
  <si>
    <t xml:space="preserve">вт</t>
  </si>
  <si>
    <t xml:space="preserve">Моя удачная борьба со стрессом</t>
  </si>
  <si>
    <t xml:space="preserve">ссылка</t>
  </si>
  <si>
    <t xml:space="preserve">Сервировка стола</t>
  </si>
  <si>
    <t xml:space="preserve">сб</t>
  </si>
  <si>
    <t xml:space="preserve">Этот лайфхак столового этикета всегда в ваших руках</t>
  </si>
  <si>
    <t xml:space="preserve">Формальный и неформальный деловой дресс-код</t>
  </si>
  <si>
    <t xml:space="preserve">ср</t>
  </si>
  <si>
    <t xml:space="preserve">Этикет: ваш личный компас</t>
  </si>
  <si>
    <t xml:space="preserve">чт</t>
  </si>
  <si>
    <t xml:space="preserve">Страх или безответственность?</t>
  </si>
  <si>
    <t xml:space="preserve">Управление стрессом на рабочем месте: практические советы</t>
  </si>
  <si>
    <t xml:space="preserve">Этикет в музее: Путеводитель по уважительному взаимодействию с искусством</t>
  </si>
  <si>
    <t xml:space="preserve">Шпаргалка: Как ответить на вакансию и произвести впечатление</t>
  </si>
  <si>
    <t xml:space="preserve">Эмоциональное равновесие: как справляться с грубостью и сохранять спокойствие</t>
  </si>
  <si>
    <t xml:space="preserve">Как правильно сидеть даме по этикету: 3 лучших варианта</t>
  </si>
  <si>
    <t xml:space="preserve">пн</t>
  </si>
  <si>
    <t xml:space="preserve">Этикет под зонтом</t>
  </si>
  <si>
    <t xml:space="preserve">Интервью с педагогом из города Ростов-на-Дону о школьном этикете</t>
  </si>
  <si>
    <t xml:space="preserve">Как подготовиться к интервью</t>
  </si>
  <si>
    <t xml:space="preserve">пт</t>
  </si>
  <si>
    <t xml:space="preserve">Этикет в начальной школе. Практика и теория. Интервью с учителем из школы Нижнего Новгорода.</t>
  </si>
  <si>
    <t xml:space="preserve">вс</t>
  </si>
  <si>
    <t xml:space="preserve">Вежливое «Нет»: как отказать и не разрушить рабочие отношения</t>
  </si>
  <si>
    <t xml:space="preserve">Чайный этикет</t>
  </si>
  <si>
    <t xml:space="preserve">10 жестов и их значения в разных странах</t>
  </si>
  <si>
    <t xml:space="preserve">Этикет и деловой имидж: уроки для будущего</t>
  </si>
  <si>
    <t xml:space="preserve">Красная помада в деловом макияже</t>
  </si>
  <si>
    <t xml:space="preserve">Тонкости невербального общения: Положение рук</t>
  </si>
  <si>
    <t xml:space="preserve">Этикет переписки в групповых рабочих чатах</t>
  </si>
  <si>
    <t xml:space="preserve">Новая подиумная коллекция российского бренда USHATÁVA</t>
  </si>
  <si>
    <t xml:space="preserve">Бранч-фуршет</t>
  </si>
  <si>
    <t xml:space="preserve">Воссоздание эпохи: моя работа на Красной площади</t>
  </si>
  <si>
    <t xml:space="preserve">Этикет в поезде: комфортное пространство для всех пассажиров</t>
  </si>
  <si>
    <t xml:space="preserve">Новый год: что дарить?</t>
  </si>
  <si>
    <t xml:space="preserve">Лекция "Образ Будущего": Этикет для молодых джентльменов</t>
  </si>
  <si>
    <t xml:space="preserve">Что этикет думает про жевательную резинку?</t>
  </si>
  <si>
    <t xml:space="preserve">Ответы на вопросы: часть 1</t>
  </si>
  <si>
    <t xml:space="preserve">Как разрешить конфликт, которого вы не хотите?</t>
  </si>
  <si>
    <t xml:space="preserve">Этикет на распродаже. Как пережить чёрную пятницу?</t>
  </si>
  <si>
    <t xml:space="preserve">Цифровой этикет: как сохранить репутацию в социальной сети?</t>
  </si>
  <si>
    <t xml:space="preserve">Что делать, если запах коллеги душит?</t>
  </si>
  <si>
    <t xml:space="preserve">Знакомство со скульптурой и кино ХХ века. Последние дни, чтобы посетить выставку "Сопряжение форм"</t>
  </si>
  <si>
    <t xml:space="preserve">Передарить подарок - дурной тон?</t>
  </si>
  <si>
    <t xml:space="preserve">Корпоративные подарки: что уместно дарить на работе?</t>
  </si>
  <si>
    <t xml:space="preserve">Давайте перейдём на «ты». Речевой этикет в общении с незнакомыми людьми.</t>
  </si>
  <si>
    <t xml:space="preserve">Ответы на вопросы: часть 2</t>
  </si>
  <si>
    <t xml:space="preserve">Как вести себя в театре? Правила культуры поведения</t>
  </si>
  <si>
    <t xml:space="preserve">Правила использования тестеров в магазинах косметики</t>
  </si>
  <si>
    <t xml:space="preserve">Как сохранить лицо во время корпоратива?</t>
  </si>
  <si>
    <t xml:space="preserve">Ярмарки в уходящем году: куда стоит сходить в декабре в Санкт-Петербурге?</t>
  </si>
  <si>
    <t xml:space="preserve">Винтажные подарки – штучный товар для ценителей</t>
  </si>
  <si>
    <t xml:space="preserve">Пустая беседа или искусство непринуждённого диалога?</t>
  </si>
  <si>
    <t xml:space="preserve">Новогодняя экскурсия на Ленфильме и мастер-класс по гриму. Про кинематограф с обратной стороны экрана.</t>
  </si>
  <si>
    <t xml:space="preserve">Возродить традиции русского застолья легко, когда есть Багетная мастерская</t>
  </si>
  <si>
    <t xml:space="preserve">События трёхсотлетней давности на совместном экране. Премьера киноленты о царе Петре I</t>
  </si>
  <si>
    <t xml:space="preserve">Файер шоу на вашем балконе. Как не остаться без окон в январе</t>
  </si>
  <si>
    <t xml:space="preserve">Как быть зайцем на алкогольном вечере?</t>
  </si>
  <si>
    <t xml:space="preserve">А вы знали, что до 1699 года Новый год в России отмечали в сентябре? Именно в этом году Пётр I объявил о новом летоисчислении.</t>
  </si>
  <si>
    <t xml:space="preserve">Золушка потеряла туфельку, а я - тиару. Бал на корабле в канун Нового года</t>
  </si>
  <si>
    <t xml:space="preserve">Ходить по лезвию: правила поведения на общественных катках</t>
  </si>
  <si>
    <t xml:space="preserve">Этикет в фотостудии</t>
  </si>
  <si>
    <t xml:space="preserve">«Вот зачем нужен этикет», - подумала я, когда лакей подал зеленый горошек, который с изумлением изучали все гости.</t>
  </si>
  <si>
    <t xml:space="preserve">Как стать лучшим гостем на чужом дне рождения</t>
  </si>
  <si>
    <t xml:space="preserve">Закрой глаза и загадай желание!</t>
  </si>
  <si>
    <t xml:space="preserve">Траурный этикет. О чём сложно говорить, но нужно знать каждому</t>
  </si>
  <si>
    <t xml:space="preserve">Социально-образовательный проект «Образ будущего»</t>
  </si>
  <si>
    <t xml:space="preserve">Сладкая кукуруза, с днём рождения!</t>
  </si>
  <si>
    <t xml:space="preserve">Этикет как волшебная таблетка от эгоизма</t>
  </si>
  <si>
    <t xml:space="preserve">Тональник должен остаться на лице. Этикет в магазине вещей</t>
  </si>
  <si>
    <t xml:space="preserve">Как путешествовать с животными. Правила проезда в поезде</t>
  </si>
  <si>
    <t xml:space="preserve">Этикет мороженого. Что общего у фруктов и снега?</t>
  </si>
  <si>
    <t xml:space="preserve">Современный человек. Какой он? Социальный проект «Образ Будущего»</t>
  </si>
  <si>
    <t xml:space="preserve">8 книг по этикету, которые сделают вас любимым собеседником или желанным партнёром по бизнесу.</t>
  </si>
  <si>
    <t xml:space="preserve">Bonjour! Французская не местная булочка, которая завоевала сердце не только Парижа</t>
  </si>
  <si>
    <t xml:space="preserve">Как быть, если по понедельникам рабочий е-мейл трещит по швам от писем?</t>
  </si>
  <si>
    <t xml:space="preserve">Как красиво ответить, если вам хамят в лицо?</t>
  </si>
  <si>
    <t xml:space="preserve">Если друг отписался вдруг…</t>
  </si>
  <si>
    <t xml:space="preserve">Супермаркет - место для выяснения отношений или приятных покупок?</t>
  </si>
  <si>
    <t xml:space="preserve">Вы пробовали жить без телефона? Через сколько часов вы сорвётесь?</t>
  </si>
  <si>
    <t xml:space="preserve">Оскорблять нельзя идеализировать. А вы правильно ставите запятую, когда делаете комплимент?</t>
  </si>
  <si>
    <t xml:space="preserve">Этикет - панацея от неуверенности в действиях</t>
  </si>
  <si>
    <t xml:space="preserve">Цветы мужчинам: да или нет? Да!</t>
  </si>
  <si>
    <t xml:space="preserve">Вандализм на памятниках. Разрушить может каждый, а заслужить - единицы.</t>
  </si>
  <si>
    <t xml:space="preserve">Неочевидные правила ресторанного этикета</t>
  </si>
  <si>
    <t xml:space="preserve">Английская традиция чайной церемонии. Afternoon tea.</t>
  </si>
  <si>
    <t xml:space="preserve">Несколько дней назад я провела лекцию по этикету в школе в центре Санкт-Петербурга.</t>
  </si>
  <si>
    <t xml:space="preserve">Как путешествовать в любой уголок мира, не выезжая из родного города?</t>
  </si>
  <si>
    <t xml:space="preserve">Фудмаркет - многонациональный язык, доступный каждому.</t>
  </si>
  <si>
    <t xml:space="preserve">Что НЕ подарить на 8 марта?</t>
  </si>
  <si>
    <t xml:space="preserve">Приветствие на разных языках России: как сказать "доброе утро"?</t>
  </si>
  <si>
    <t xml:space="preserve">Электронные открытки — новая волна праздничного спама.</t>
  </si>
  <si>
    <t xml:space="preserve">Как этикет относится к макияжу?</t>
  </si>
  <si>
    <t xml:space="preserve">Искусство общения в общих чатах</t>
  </si>
  <si>
    <t xml:space="preserve">За неделю я приняла участие в пяти разных сюжетах для телеканалов</t>
  </si>
  <si>
    <t xml:space="preserve">Где чай появился первым: в Великобритании или России?</t>
  </si>
  <si>
    <t xml:space="preserve">Проект «Образ будущего» или возрождение культурного кода России.</t>
  </si>
  <si>
    <t xml:space="preserve">Мастерство представления: ключи к элегантному знакомству</t>
  </si>
  <si>
    <t xml:space="preserve">Как вести себя культурно среди книг - правила этикета в библиотеке</t>
  </si>
  <si>
    <t xml:space="preserve">Лекция в столице Китая «От делового до элегантного: один шаг».</t>
  </si>
  <si>
    <t xml:space="preserve">Деловой имидж мужчины и женщины. Из чего он состоит?</t>
  </si>
  <si>
    <t xml:space="preserve">Незнание не освобождает от неловких ситуаций</t>
  </si>
  <si>
    <t xml:space="preserve">Этикет в лифте: правила вежливости в вертикальном пространстве</t>
  </si>
  <si>
    <t xml:space="preserve">Искусство речевых клише: важность вежливых фраз в современном общении</t>
  </si>
  <si>
    <t xml:space="preserve">Этикет подземелья</t>
  </si>
  <si>
    <t xml:space="preserve">Одиночество в ресторане: исторический путь от строгости к свободе</t>
  </si>
  <si>
    <t xml:space="preserve">Многогранный этикет Китая</t>
  </si>
  <si>
    <t xml:space="preserve">Почему от меня это скрывали все эти годы?</t>
  </si>
  <si>
    <t xml:space="preserve">Экологический этикет: Как вести себя уважительно к природе</t>
  </si>
  <si>
    <t xml:space="preserve">Small Talk. Искусство непринужденной беседы в Различных Культурах</t>
  </si>
  <si>
    <t xml:space="preserve">Этикет употребления супов: как правильно есть суп?</t>
  </si>
  <si>
    <t xml:space="preserve">Порой я задаюсь вопросом: «Почему я не пошла преподавать химию или физику?»</t>
  </si>
  <si>
    <t xml:space="preserve">Этикет общения с персоналом</t>
  </si>
  <si>
    <t xml:space="preserve">Решили снять стресс - не создавайте его другим</t>
  </si>
  <si>
    <t xml:space="preserve">Предлагаю вам мой личный адрес электронной почты</t>
  </si>
  <si>
    <t xml:space="preserve">Зависит ли элегантность от денег?</t>
  </si>
  <si>
    <t xml:space="preserve">Испытанием этикета может стать элементарный подъем по лестнице</t>
  </si>
  <si>
    <t xml:space="preserve">Как не стать жертвой хамского обращения в салоне красоты?</t>
  </si>
  <si>
    <t xml:space="preserve">Путеводитель по элегантному Петербургу</t>
  </si>
  <si>
    <t xml:space="preserve">Завоевание видео-эфира</t>
  </si>
  <si>
    <t xml:space="preserve">Вы не будете против, если мы будем на ты?</t>
  </si>
  <si>
    <t xml:space="preserve">Кто заставил кролика нести яйца?</t>
  </si>
  <si>
    <t xml:space="preserve">Спорим, у вас есть паразиты?</t>
  </si>
  <si>
    <t xml:space="preserve">Три простых шага для создания первого впечатления</t>
  </si>
  <si>
    <t xml:space="preserve">В чем различие между коричневым и белым сахаром?</t>
  </si>
  <si>
    <t xml:space="preserve">Цветами можно договориться о встрече или рассказать о чувствах. Вы бы хотели возродить таинственный язык цветов?</t>
  </si>
  <si>
    <t xml:space="preserve">Как этикет может изменить будущее наших детей: Открытие новых горизонтов.</t>
  </si>
  <si>
    <t xml:space="preserve">Дайте мне, пожалуйста, совет: на какие еще темы вы бы хотели читать статьи?</t>
  </si>
  <si>
    <t xml:space="preserve">Откусывать хлеб - дурной тон</t>
  </si>
  <si>
    <t xml:space="preserve">Пришли гости и вы не знаете кого с кем сажать?</t>
  </si>
  <si>
    <t xml:space="preserve">Кто же платит в ресторане?</t>
  </si>
  <si>
    <t xml:space="preserve">Все ли в мире так, как нам кажется?</t>
  </si>
  <si>
    <t xml:space="preserve">Почти никто не умеет есть макароны</t>
  </si>
  <si>
    <t xml:space="preserve">Нижнее белье для лета</t>
  </si>
  <si>
    <t xml:space="preserve">Заработала свой первый миллион обучая детей этикету</t>
  </si>
  <si>
    <t xml:space="preserve">Восемь книг по этикету</t>
  </si>
  <si>
    <t xml:space="preserve">Как снизить волнение перед выступлением?</t>
  </si>
  <si>
    <t xml:space="preserve">Вы знаете, кому это переслать!</t>
  </si>
  <si>
    <t xml:space="preserve">Семейный этикет: искусство взаимоотношений</t>
  </si>
  <si>
    <t xml:space="preserve">Великолепно, легко и доступно.</t>
  </si>
  <si>
    <t xml:space="preserve">Сутулость - признак лузерства. Мотивация к тому, чтобы расправить плечи.</t>
  </si>
  <si>
    <t xml:space="preserve">Путешествие без границ: как избежать культурных неловкостей</t>
  </si>
  <si>
    <t xml:space="preserve">Берегите природу, Мать Вашу</t>
  </si>
  <si>
    <t xml:space="preserve">Как предмет бедности стал признаком роскоши в современном мире? Ретроспектива столового этикета</t>
  </si>
  <si>
    <t xml:space="preserve">Пожимать ли женщине руку? Частые ошибки в рукопожатиях</t>
  </si>
  <si>
    <t xml:space="preserve">Не включайте музыку без разрешения</t>
  </si>
  <si>
    <t xml:space="preserve">Трендовый офисный стиль: почему цветные носки стали must-have аксессуаром в деловой среде</t>
  </si>
  <si>
    <t xml:space="preserve">Какие туфли выбрать?</t>
  </si>
  <si>
    <t xml:space="preserve">Сенсорный сад: уникальная коллаборация компании Levrana с Ботаническим садом Петра Великого</t>
  </si>
  <si>
    <t xml:space="preserve">Когда благоухание превращается в зловоние</t>
  </si>
  <si>
    <t xml:space="preserve">Элегантный и практичный столовый прибор, о котором часто забывают: десертная вилка</t>
  </si>
  <si>
    <t xml:space="preserve">Лекция в Российском культурном центре в Пекине</t>
  </si>
  <si>
    <t xml:space="preserve">Ножницы для винограда на вашем столе</t>
  </si>
  <si>
    <t xml:space="preserve">Самая главная ошибка после встречи: а вы отправляете фоллоу-ап?</t>
  </si>
  <si>
    <t xml:space="preserve">А вы леди?</t>
  </si>
  <si>
    <t xml:space="preserve">Столовый бутерброд и российское производство тканей</t>
  </si>
  <si>
    <t xml:space="preserve">Почему вы носите часы не на той руке?</t>
  </si>
  <si>
    <t xml:space="preserve">Этикет в сказке «Золушка»</t>
  </si>
  <si>
    <t xml:space="preserve">Как имидж и этикет открывают двери к успеху: выступление на XII Всероссийском съезде советов молодых ученых и студенческих научных обществ</t>
  </si>
  <si>
    <t xml:space="preserve">Не Диор!</t>
  </si>
  <si>
    <t xml:space="preserve">Вы неправильно носите солнцезащитные очки</t>
  </si>
  <si>
    <t xml:space="preserve">Хлопайте в конце полета: этикет в самолете</t>
  </si>
  <si>
    <t xml:space="preserve">До сих пор носите наушники неправильно?</t>
  </si>
  <si>
    <t xml:space="preserve">Этикет в сказке «Спящая красавица»</t>
  </si>
  <si>
    <t xml:space="preserve">Овсянку нужно есть с салфеткой на голове</t>
  </si>
  <si>
    <t xml:space="preserve">Топ 5 правил каршеринга</t>
  </si>
  <si>
    <t xml:space="preserve">Как правильно носить «королеву в мире украшений»: этикет брошей</t>
  </si>
  <si>
    <t xml:space="preserve">Фильм «Служебный роман» с точки зрения этикета</t>
  </si>
  <si>
    <t xml:space="preserve">Загадочный кодлер: элегантный способ приготовления яиц</t>
  </si>
  <si>
    <t xml:space="preserve">Что мы не сможем найти в вашей дамской сумке?</t>
  </si>
  <si>
    <t xml:space="preserve">Этикет подарков в международной деловой среде</t>
  </si>
  <si>
    <t xml:space="preserve">Олимпиада и спортивный этикет</t>
  </si>
  <si>
    <t xml:space="preserve">Вилка для улиток: как изящный инструмент завоевал сердца гурманов</t>
  </si>
  <si>
    <t xml:space="preserve">Маникюр по этикету</t>
  </si>
  <si>
    <t xml:space="preserve">Мужской маникюр: что ваши руки говорят о вас</t>
  </si>
  <si>
    <t xml:space="preserve">Пресс-тур с Levrana: Как натуральная косметика вдохновляет на заботу о культуре и природе</t>
  </si>
  <si>
    <t xml:space="preserve">Вилка для лимона: этикет и традиции</t>
  </si>
  <si>
    <t xml:space="preserve">Этикет 1 сентября: искусство достойного старта учебного года</t>
  </si>
  <si>
    <t xml:space="preserve">Как мир встречает 1 сентября: интересные традиции и этикет</t>
  </si>
  <si>
    <t xml:space="preserve">Как носить шляпы: тонкости этикета ношения шляп</t>
  </si>
  <si>
    <t xml:space="preserve">Иностранные языки в деловом этикете и протоколе</t>
  </si>
  <si>
    <t xml:space="preserve">Осенние традиции: от капустников до «КРОШЕВО»</t>
  </si>
  <si>
    <t xml:space="preserve">– Ешь быстрее!</t>
  </si>
  <si>
    <t xml:space="preserve">Фразы для провокации конфликта</t>
  </si>
  <si>
    <t xml:space="preserve">Как вежливо отказать по телефону?</t>
  </si>
  <si>
    <t xml:space="preserve">Косметику нельзя дарить по этикету: как выбрать уместный подарок для близких</t>
  </si>
  <si>
    <t xml:space="preserve">Оденусь как король</t>
  </si>
  <si>
    <t xml:space="preserve">Как правильно пользоваться салфеткой в ресторане</t>
  </si>
  <si>
    <t xml:space="preserve">Этикет на высшем уровне. Секреты протокола на высокой неделе ООН</t>
  </si>
  <si>
    <t xml:space="preserve">Как реагировать на грубость</t>
  </si>
  <si>
    <t xml:space="preserve">Фестиваль «Крошево»</t>
  </si>
  <si>
    <t xml:space="preserve">В кафе работают не только официанты</t>
  </si>
  <si>
    <t xml:space="preserve">Лекция «Роль имиджа и этикета в международных отношениях» в РГГУ</t>
  </si>
  <si>
    <t xml:space="preserve">Как вести себя на встрече с незнакомыми людьми?</t>
  </si>
  <si>
    <t xml:space="preserve">Лекция «Роль имиджа и этикета в международных отношениях» в МГЛУ</t>
  </si>
  <si>
    <t xml:space="preserve">Как правильно держать бокал</t>
  </si>
  <si>
    <t xml:space="preserve">Ярмарка «Светский винтаж»: лекция «Симбиоз делового и светского этикета»</t>
  </si>
  <si>
    <t xml:space="preserve">Как обратиться к человеку, чтобы начать его раздражать</t>
  </si>
  <si>
    <t xml:space="preserve">Оставить чаевые – ваша обязанность</t>
  </si>
  <si>
    <t xml:space="preserve">Ошибки, которые чуть не стоили мне карьеры</t>
  </si>
  <si>
    <t xml:space="preserve">Как правильно звонить в домофон?</t>
  </si>
  <si>
    <t xml:space="preserve">Если вы отмечаете Хэллоуин, значит вы вор</t>
  </si>
  <si>
    <t xml:space="preserve">Качества, которые раздражают</t>
  </si>
  <si>
    <t xml:space="preserve">Тайный язык королевского этикета</t>
  </si>
  <si>
    <t xml:space="preserve">Что делать, когда вас игнорируют по телефону</t>
  </si>
  <si>
    <t xml:space="preserve">Вы неправильно пьете чай</t>
  </si>
  <si>
    <t xml:space="preserve">Шеф, этикет!</t>
  </si>
  <si>
    <t xml:space="preserve">Как реагировать на крики начальства</t>
  </si>
  <si>
    <t xml:space="preserve">Еще одна история Золушки. Королевский этикет</t>
  </si>
  <si>
    <t xml:space="preserve">Зачем нужен столовый этикет?</t>
  </si>
  <si>
    <t xml:space="preserve">Как реагировать на оскорбления</t>
  </si>
  <si>
    <t xml:space="preserve">Я поняла в чем ваша проблема</t>
  </si>
  <si>
    <t xml:space="preserve">Пленница этикета: Королева Ирана, кинозвезда, селебрити</t>
  </si>
  <si>
    <t xml:space="preserve">Гарри Поттер в Китае</t>
  </si>
  <si>
    <t xml:space="preserve">Порт-куто – что это?</t>
  </si>
  <si>
    <t xml:space="preserve">Самая бедная королевская семья в мире</t>
  </si>
  <si>
    <t xml:space="preserve">Хрустальный этикет</t>
  </si>
  <si>
    <t xml:space="preserve">Не все знают для чего нужна салфетка</t>
  </si>
  <si>
    <t xml:space="preserve">Топ-10 подарков по этикету</t>
  </si>
  <si>
    <t xml:space="preserve">Елочная игрушка: подарок или конфликт?</t>
  </si>
  <si>
    <t xml:space="preserve">Как обидеть подарком</t>
  </si>
  <si>
    <t xml:space="preserve">Вы неправильно едите оливье</t>
  </si>
  <si>
    <t xml:space="preserve">Как не опозориться на корпоративе</t>
  </si>
  <si>
    <t xml:space="preserve">Как королевская семья придумывает традиции</t>
  </si>
  <si>
    <t xml:space="preserve">Новогодний стол как в ресторане</t>
  </si>
  <si>
    <t xml:space="preserve">В чем разница: шампанское и игристое?</t>
  </si>
  <si>
    <t xml:space="preserve">Как реагировать на токсичные комментарии</t>
  </si>
  <si>
    <t xml:space="preserve">Как реагировать, если подарок не понравился</t>
  </si>
  <si>
    <t xml:space="preserve">Не ешьте прошлогодние салаты</t>
  </si>
  <si>
    <t xml:space="preserve">Как не опозориться с новогодним тостом</t>
  </si>
  <si>
    <t xml:space="preserve">Этикет на каникулах</t>
  </si>
  <si>
    <t xml:space="preserve">Как есть бутерброд с икрой</t>
  </si>
  <si>
    <t xml:space="preserve">Как попросить вернуть обратно контейнер от салата</t>
  </si>
  <si>
    <t xml:space="preserve">Как целоваться в публичном месте</t>
  </si>
  <si>
    <t xml:space="preserve">Как есть суп</t>
  </si>
  <si>
    <t xml:space="preserve">Как не испортить воздух</t>
  </si>
  <si>
    <t xml:space="preserve">Я никогда не извиняюсь</t>
  </si>
  <si>
    <t xml:space="preserve">Вилка для огурцов</t>
  </si>
  <si>
    <t xml:space="preserve">Как есть пышки по этикету</t>
  </si>
  <si>
    <t xml:space="preserve">Темы для светских бесед</t>
  </si>
  <si>
    <t xml:space="preserve">Кофе с собой – моветон?</t>
  </si>
  <si>
    <t xml:space="preserve">Этикет китайского Нового года</t>
  </si>
  <si>
    <t xml:space="preserve">Как элегантно выйти из спора</t>
  </si>
  <si>
    <t xml:space="preserve">Сколько я зарабатываю</t>
  </si>
  <si>
    <t xml:space="preserve">Как общаться с неприятными людьми</t>
  </si>
  <si>
    <t xml:space="preserve">Вилка для сардин</t>
  </si>
  <si>
    <t xml:space="preserve">Этикет в ресторане</t>
  </si>
  <si>
    <t xml:space="preserve">Комплементы или комплименты?</t>
  </si>
  <si>
    <t xml:space="preserve">Как элегантно расстаться</t>
  </si>
  <si>
    <t xml:space="preserve">Бонбоньерка</t>
  </si>
  <si>
    <t xml:space="preserve">Как пережить День всех влюбленных</t>
  </si>
  <si>
    <t xml:space="preserve">Телефон интереснее, чем люди</t>
  </si>
  <si>
    <t xml:space="preserve">Что подарить на 23 февраля?</t>
  </si>
  <si>
    <t xml:space="preserve">Цветы мужчинам?</t>
  </si>
  <si>
    <t xml:space="preserve">Как реагировать на обидные комплименты</t>
  </si>
  <si>
    <t xml:space="preserve">Что такое манш-а-жиго</t>
  </si>
  <si>
    <t xml:space="preserve">Локти на столе</t>
  </si>
  <si>
    <t xml:space="preserve">Как правильно есть палочками</t>
  </si>
  <si>
    <t xml:space="preserve">Стучать в дверь нельзя</t>
  </si>
  <si>
    <t xml:space="preserve">Оттопыренный мизинец: признак аристократизма или дурного тона?</t>
  </si>
  <si>
    <t xml:space="preserve">Лопатка для паштета</t>
  </si>
  <si>
    <t xml:space="preserve">Что подарить на 8 марта?</t>
  </si>
  <si>
    <t xml:space="preserve">Чаевые – всем!</t>
  </si>
  <si>
    <t xml:space="preserve">Цветы в горшках дарить нельзя</t>
  </si>
  <si>
    <t xml:space="preserve">Фотографироваться в неподходящих местах</t>
  </si>
  <si>
    <t xml:space="preserve">Как начать раздражать человека по переписке</t>
  </si>
  <si>
    <t xml:space="preserve">Загадочная кофейная банка</t>
  </si>
  <si>
    <t xml:space="preserve">Как не украсть чужую историю</t>
  </si>
  <si>
    <t xml:space="preserve">Как вести себя в метро, чтобы вас не ненавидели</t>
  </si>
  <si>
    <t xml:space="preserve">Вы точно говорите по-русски?</t>
  </si>
  <si>
    <t xml:space="preserve">Как общаться с официантом</t>
  </si>
  <si>
    <t xml:space="preserve">Быть или не быть онлайн</t>
  </si>
  <si>
    <t xml:space="preserve">Как поддерживать правильный small talk в машине</t>
  </si>
  <si>
    <t xml:space="preserve">Как научиться есть при помощи ножа</t>
  </si>
  <si>
    <t xml:space="preserve">Как отвечать, когда вас критикуют</t>
  </si>
  <si>
    <t xml:space="preserve">Тихая роскошь поведения</t>
  </si>
  <si>
    <t xml:space="preserve">Что о вас говорит ваш кофе</t>
  </si>
  <si>
    <t xml:space="preserve">Как элегантно пресекать манипуляции</t>
  </si>
  <si>
    <t xml:space="preserve">Как есть яйца</t>
  </si>
  <si>
    <t xml:space="preserve">Словесный шум</t>
  </si>
  <si>
    <t xml:space="preserve">Как есть блины по этикету</t>
  </si>
  <si>
    <t xml:space="preserve">Как правильно ответить на неудобный вопрос</t>
  </si>
  <si>
    <t xml:space="preserve">Воистину воскрес или воистину воскресе: разбор правильного употребления</t>
  </si>
  <si>
    <t xml:space="preserve">Как уходить по-английски и прощаться по этикету</t>
  </si>
  <si>
    <t xml:space="preserve">Как не говорить о работе</t>
  </si>
  <si>
    <t xml:space="preserve">Что ответить, когда не знаешь, что сказать</t>
  </si>
  <si>
    <t xml:space="preserve">Почему дорогие вещи не делают вас элегантнее</t>
  </si>
  <si>
    <t xml:space="preserve">Как есть салаты по этикету</t>
  </si>
  <si>
    <t xml:space="preserve">Как складывать зонт</t>
  </si>
  <si>
    <t xml:space="preserve">Цифровой этикет</t>
  </si>
  <si>
    <t xml:space="preserve">Этикет в самолете. Теперь наушники обязательны</t>
  </si>
  <si>
    <t xml:space="preserve">Этикет против жвачки</t>
  </si>
  <si>
    <t xml:space="preserve">Как вежливо манипулировать этикетом</t>
  </si>
  <si>
    <t xml:space="preserve">Как узнать имя человека, если забыл</t>
  </si>
  <si>
    <t xml:space="preserve">Вас слышат или слушают?</t>
  </si>
  <si>
    <t xml:space="preserve">Лучший способ испортить отношения: непрошенные советы</t>
  </si>
  <si>
    <t xml:space="preserve">Этикет памяти в Петербурге 9 Мая</t>
  </si>
  <si>
    <t xml:space="preserve">Этикет на 9 мая</t>
  </si>
  <si>
    <t xml:space="preserve">Можно не отвечать сразу? Вежливое игнорирование людей</t>
  </si>
  <si>
    <t xml:space="preserve">Как отвечать, когда вас пытаются пристыдить</t>
  </si>
  <si>
    <t xml:space="preserve">Можно ли спорить и не выглядеть агрессивно?</t>
  </si>
  <si>
    <t xml:space="preserve">В семье не без урода</t>
  </si>
  <si>
    <t xml:space="preserve">Как избежать навязывания чужого мнения</t>
  </si>
  <si>
    <t xml:space="preserve">Как быстро запомнить имя человека</t>
  </si>
  <si>
    <t xml:space="preserve">Что сказать, если вас неправильно поняли</t>
  </si>
  <si>
    <t xml:space="preserve">Как испортить впечатление о себе</t>
  </si>
  <si>
    <t xml:space="preserve">Слово «ресторан» – это суп</t>
  </si>
  <si>
    <t xml:space="preserve">Как читать человека за секунды</t>
  </si>
  <si>
    <t xml:space="preserve">Сколько ты зарабатываешь?</t>
  </si>
  <si>
    <t xml:space="preserve">Эффект прожектора в этикете</t>
  </si>
  <si>
    <t xml:space="preserve">Как родился этикет</t>
  </si>
  <si>
    <t xml:space="preserve">Лето раздевает, а мы теряем лицо?</t>
  </si>
  <si>
    <t xml:space="preserve">Как есть мороженое по этикету</t>
  </si>
  <si>
    <t xml:space="preserve">Мисофония в этикете</t>
  </si>
  <si>
    <t xml:space="preserve">Ты душишь разговором</t>
  </si>
  <si>
    <t xml:space="preserve">В чем разница между этикетом и протоколом?</t>
  </si>
  <si>
    <t xml:space="preserve">Как «пустое» светское общение повышает статус на ПМЭФ: нейронаука small talk</t>
  </si>
  <si>
    <t xml:space="preserve">Секреты нетворкинга на ПМЭФ</t>
  </si>
  <si>
    <t xml:space="preserve">Как есть фрукты и ягоды по этикету</t>
  </si>
  <si>
    <t xml:space="preserve">Деловой этикет на ПМЭФ</t>
  </si>
  <si>
    <t xml:space="preserve">Три основных правила этикета</t>
  </si>
  <si>
    <t xml:space="preserve">Культурная программа ПМЭФ: как совместить приятное с полезным</t>
  </si>
  <si>
    <t xml:space="preserve">Протокольные нюансы культурной программы больших форумов на примере ПМЭФ</t>
  </si>
  <si>
    <t xml:space="preserve">Как есть рис по этикету</t>
  </si>
  <si>
    <t xml:space="preserve">Как реагировать на массовые открытки</t>
  </si>
  <si>
    <t xml:space="preserve">Как съесть яйцо красиво</t>
  </si>
  <si>
    <t xml:space="preserve">Техника «серого камня» в современном этикете</t>
  </si>
  <si>
    <t xml:space="preserve">Ритуалы как инструмент доверия в деловом этикете</t>
  </si>
  <si>
    <t xml:space="preserve">Можно ли фотографировать еду в ресторане</t>
  </si>
  <si>
    <t xml:space="preserve">Если вы ниже по рангу, должны ли вы мириться с хамством?</t>
  </si>
  <si>
    <t xml:space="preserve">Как реагировать на письма счастья</t>
  </si>
  <si>
    <t xml:space="preserve">Как пить кофе по этикету</t>
  </si>
  <si>
    <t xml:space="preserve">Цифровой этикет реакций на сообщения</t>
  </si>
  <si>
    <t xml:space="preserve">Солнечные очки в помещении</t>
  </si>
  <si>
    <t xml:space="preserve">Искусственный интеллект и этикет</t>
  </si>
  <si>
    <t xml:space="preserve">Фразы, которые убивают диалог</t>
  </si>
  <si>
    <t xml:space="preserve">История этикета в России</t>
  </si>
  <si>
    <t xml:space="preserve">Что такое хорошие манеры?</t>
  </si>
  <si>
    <t xml:space="preserve">Этикет на пляже</t>
  </si>
  <si>
    <t xml:space="preserve">Фразы, которые мгновенно разрушают доверие</t>
  </si>
  <si>
    <t xml:space="preserve">Как учить детей этикету</t>
  </si>
  <si>
    <t xml:space="preserve">Этикет летнего пикника</t>
  </si>
  <si>
    <t xml:space="preserve">Этикет торжественных мероприятий</t>
  </si>
  <si>
    <t xml:space="preserve">Допускает ли этикет опоздания</t>
  </si>
  <si>
    <t xml:space="preserve">Как правильно не согласиться с чужой точкой зрения</t>
  </si>
  <si>
    <t xml:space="preserve">Этикет в жару</t>
  </si>
  <si>
    <t xml:space="preserve">Как не отравиться в ресторане</t>
  </si>
  <si>
    <t xml:space="preserve">Фразы, которые лучше не говорить</t>
  </si>
  <si>
    <t xml:space="preserve">Как самооценка влияет на этикет</t>
  </si>
  <si>
    <t xml:space="preserve">Как сообщить плохие новости</t>
  </si>
  <si>
    <t xml:space="preserve">Этикет на шопинге</t>
  </si>
  <si>
    <t xml:space="preserve">Незаметные враги репутации</t>
  </si>
  <si>
    <t xml:space="preserve">Как долго можно смотреть в глаза? Зрительный контакт и этикет</t>
  </si>
  <si>
    <t xml:space="preserve">У вас есть то, чем вы не пользуетесь</t>
  </si>
  <si>
    <t xml:space="preserve">Где заканчивается откровенность и начинается лицемерие</t>
  </si>
  <si>
    <t xml:space="preserve">Как пережить женскую истерику</t>
  </si>
  <si>
    <t xml:space="preserve">Этикет на даче у друзей</t>
  </si>
  <si>
    <t xml:space="preserve">Как уволить человека</t>
  </si>
  <si>
    <t xml:space="preserve">Манипуляция первым впечатлением</t>
  </si>
  <si>
    <t xml:space="preserve">Дресс-коды, которые к вам не относятся</t>
  </si>
  <si>
    <t xml:space="preserve">Часы как признак невежества</t>
  </si>
  <si>
    <t xml:space="preserve">Как одеться на 1 сентября</t>
  </si>
  <si>
    <t xml:space="preserve">Ты так похудела - комплимент или упрек?</t>
  </si>
  <si>
    <t xml:space="preserve">Разница между «есть» и «кушать»</t>
  </si>
  <si>
    <t xml:space="preserve">Столовый этикет в самолете</t>
  </si>
  <si>
    <t xml:space="preserve">Мое 1 сентября</t>
  </si>
  <si>
    <t xml:space="preserve">Этикетный оборотень или иллюзия вежливости</t>
  </si>
  <si>
    <t xml:space="preserve">Когда нужно вернуть долг по этикету</t>
  </si>
  <si>
    <t xml:space="preserve">Зачем в лифте зеркало</t>
  </si>
  <si>
    <t xml:space="preserve">Почему самые воспитанные люди самые опасные</t>
  </si>
  <si>
    <t xml:space="preserve">Куда положить зонт в ресторане</t>
  </si>
  <si>
    <t xml:space="preserve">Дама здоровается первая! Как здороваться согласно светскому этикету</t>
  </si>
  <si>
    <t xml:space="preserve">Как попросить повышение зарплаты</t>
  </si>
  <si>
    <t xml:space="preserve">Как украшения нарушают этикет</t>
  </si>
  <si>
    <t xml:space="preserve">Элегантность употребления алкоголя</t>
  </si>
  <si>
    <t xml:space="preserve">Как «привет» может стоить карьеры</t>
  </si>
  <si>
    <t xml:space="preserve">Топ-10 ошибок застольного этикета</t>
  </si>
  <si>
    <t xml:space="preserve">Смешная ошибка столового этикета</t>
  </si>
  <si>
    <t xml:space="preserve">У тебя пахнет изо рта</t>
  </si>
  <si>
    <t xml:space="preserve">Этикет духов осенью</t>
  </si>
  <si>
    <t xml:space="preserve">Как не оставлять следы от помады</t>
  </si>
  <si>
    <t xml:space="preserve">Как воспитать мужчину, который дарит цветы</t>
  </si>
  <si>
    <t xml:space="preserve">Цветы в гостях</t>
  </si>
  <si>
    <t xml:space="preserve">Этикет автомобилиста</t>
  </si>
  <si>
    <t xml:space="preserve">Как выйти замуж за заботливого мужчину</t>
  </si>
  <si>
    <t xml:space="preserve">Этикет курильщика</t>
  </si>
  <si>
    <t xml:space="preserve">Этикет на День учителя</t>
  </si>
  <si>
    <t xml:space="preserve">Кто ходит в гости, тот нарушает этикет</t>
  </si>
  <si>
    <t xml:space="preserve">Нужно ли использовать все приборы на домашнем застолье</t>
  </si>
  <si>
    <t xml:space="preserve">Аватар против карьеры</t>
  </si>
  <si>
    <t xml:space="preserve">Семейный этикет</t>
  </si>
  <si>
    <t xml:space="preserve">Как нарушить этикет не нарушая</t>
  </si>
  <si>
    <t xml:space="preserve">Можно ли пить вино со льдом?</t>
  </si>
  <si>
    <t xml:space="preserve">Как оскорбить человека не сказав ни слова</t>
  </si>
  <si>
    <t xml:space="preserve">Как выйти из-за стола, если вы захотели покурить</t>
  </si>
  <si>
    <t xml:space="preserve">Она нарушила королевский протокол</t>
  </si>
  <si>
    <t xml:space="preserve">Этикет против каблуков</t>
  </si>
  <si>
    <t xml:space="preserve">Застольный этикет</t>
  </si>
  <si>
    <t xml:space="preserve">Можно ли поднимать тост, если в бокале пусто?</t>
  </si>
  <si>
    <t xml:space="preserve">Этикет в пробке</t>
  </si>
  <si>
    <t xml:space="preserve">Правда ли, что вилка всегда в левой руке? Разбираем мифы о столовом этикете</t>
  </si>
  <si>
    <t xml:space="preserve">Этикет детей за праздничным столом: как воспитать маленького гостя</t>
  </si>
  <si>
    <t xml:space="preserve">Этикет в театре</t>
  </si>
  <si>
    <t xml:space="preserve">Этикет для соседей</t>
  </si>
  <si>
    <t xml:space="preserve">Что подарить хозяевам застолья: универсальные и провальные варианты</t>
  </si>
  <si>
    <t xml:space="preserve">Этикет против каникул</t>
  </si>
  <si>
    <t xml:space="preserve">Гость опоздал: стоит ли начинать без него</t>
  </si>
  <si>
    <t xml:space="preserve">Этикет: ограничение или свобода?</t>
  </si>
  <si>
    <t xml:space="preserve">Когда муж перестает быть супругом</t>
  </si>
  <si>
    <t xml:space="preserve">Эмодзи клоуна – оскорбление или нет</t>
  </si>
  <si>
    <t xml:space="preserve">Тарелки, приборы и бокалы: минимум, который должен знать каждый</t>
  </si>
  <si>
    <t xml:space="preserve">Как элегантно читать книги</t>
  </si>
  <si>
    <t xml:space="preserve">Этикет музыки: как подобрать фон к застолью</t>
  </si>
  <si>
    <t xml:space="preserve">Праздник иммигранта без регистрации</t>
  </si>
  <si>
    <t xml:space="preserve">Этикет Дня народного единства</t>
  </si>
  <si>
    <t xml:space="preserve">Как держать бокал для коньяка</t>
  </si>
  <si>
    <t xml:space="preserve">Этикет по разводу</t>
  </si>
  <si>
    <t xml:space="preserve">Шпильки дома и пижамы на праздник: дресс-код новогоднего застолья</t>
  </si>
  <si>
    <t xml:space="preserve">Ссора на публике</t>
  </si>
  <si>
    <t xml:space="preserve">Этикет против колготок</t>
  </si>
  <si>
    <t xml:space="preserve">Этикет пешехода</t>
  </si>
  <si>
    <t xml:space="preserve">Дарить ли алкоголь хозяевам и как правильно это сделать</t>
  </si>
  <si>
    <t xml:space="preserve">Мамам не до этикета: о невидимом труде, который мы перестали замечать</t>
  </si>
  <si>
    <t xml:space="preserve">Как правильно наливать шампанское</t>
  </si>
  <si>
    <t xml:space="preserve">Этикет в музее</t>
  </si>
  <si>
    <t xml:space="preserve">Кто украл у России Киндер-сюрприз?</t>
  </si>
  <si>
    <t xml:space="preserve">10 блюд, которые я бы никогда не заказала на первом свидании</t>
  </si>
  <si>
    <t xml:space="preserve">Как выбрать бокалы к праздничному столу: от шампанского до вина</t>
  </si>
  <si>
    <t xml:space="preserve">Можно ли сидеть за столом скрестив ноги</t>
  </si>
  <si>
    <t xml:space="preserve">Сервировка новогоднего стола: классика vs современность</t>
  </si>
  <si>
    <t xml:space="preserve">Этикет в кинотеатре</t>
  </si>
  <si>
    <t xml:space="preserve">Каким парфюмом пользовались Романовы?</t>
  </si>
  <si>
    <t xml:space="preserve">Как цвет посуды влияет на насыщаемость</t>
  </si>
  <si>
    <t xml:space="preserve">Цветы на Новый год: букет или еловый венок?</t>
  </si>
  <si>
    <t xml:space="preserve">Подкормка без обесценивания</t>
  </si>
  <si>
    <t xml:space="preserve">Сколько вина наливать в бокал</t>
  </si>
  <si>
    <t xml:space="preserve">Этикет для геймеров</t>
  </si>
  <si>
    <t xml:space="preserve">Этикет знаков зодиака</t>
  </si>
  <si>
    <t xml:space="preserve">Этикет присутствия</t>
  </si>
  <si>
    <t xml:space="preserve">Как по этикету пить разные типы вин</t>
  </si>
  <si>
    <t xml:space="preserve">Кто такие тарелочницы</t>
  </si>
  <si>
    <t xml:space="preserve">Новый год: тосты, подарки, сервировка</t>
  </si>
  <si>
    <t xml:space="preserve">Как выглядел и сколько стоил самый дорогой обед 19 века</t>
  </si>
  <si>
    <t xml:space="preserve">Этикет на ярмарке</t>
  </si>
  <si>
    <t xml:space="preserve">Этикет подарков детям</t>
  </si>
  <si>
    <t xml:space="preserve">Можно ли самому наливать себе напиток</t>
  </si>
  <si>
    <t xml:space="preserve">Антиэтикет: что точно не стоит делать в новогодний сезон</t>
  </si>
  <si>
    <t xml:space="preserve">Как дарить алкоголь</t>
  </si>
  <si>
    <t xml:space="preserve">Этикет 2026: 10 новых трендов в этикете, о которых молчат книги</t>
  </si>
  <si>
    <t xml:space="preserve">Подарки – это коррупция</t>
  </si>
  <si>
    <t xml:space="preserve">Испорченный праздник из-за необдуманной фразы</t>
  </si>
  <si>
    <t xml:space="preserve">Отказ от алкоголя – символ неуважения</t>
  </si>
  <si>
    <t xml:space="preserve">Три ошибки на новогоднем вечере</t>
  </si>
  <si>
    <t xml:space="preserve">Кто должен поднимать первый тост</t>
  </si>
  <si>
    <t xml:space="preserve">Как не выглядеть смешно на корпоративе</t>
  </si>
  <si>
    <t xml:space="preserve">Когда пора уходить с новогоднего застолья</t>
  </si>
  <si>
    <t xml:space="preserve">Самый раздражающий гость, это вы?</t>
  </si>
  <si>
    <t xml:space="preserve">Винтаж как часть сервировки</t>
  </si>
  <si>
    <t xml:space="preserve">Как создать ощущение праздника, даже если Новый год без размаха</t>
  </si>
  <si>
    <t xml:space="preserve">Как есть закуски за праздничным столом</t>
  </si>
  <si>
    <t xml:space="preserve">Можно ли чокаться стаканами с водой</t>
  </si>
  <si>
    <t xml:space="preserve">Как сказать плохой тост</t>
  </si>
  <si>
    <t xml:space="preserve">Настоящие или искусственные свечи на столе?</t>
  </si>
  <si>
    <t xml:space="preserve">Как отмечали Новый год в Царской России?</t>
  </si>
  <si>
    <t xml:space="preserve">Телефоны за новогодним столом: допустимо или моветон</t>
  </si>
  <si>
    <t xml:space="preserve">Как получить 50 тысяч подписчиков за год</t>
  </si>
  <si>
    <t xml:space="preserve">Рождество: отличие в тоне и традициях</t>
  </si>
  <si>
    <t xml:space="preserve">Не хватает только спасибо</t>
  </si>
  <si>
    <t xml:space="preserve">Балы в Российской империи</t>
  </si>
  <si>
    <t xml:space="preserve">Где сидят хозяева, где гости: схема рассадки</t>
  </si>
  <si>
    <t xml:space="preserve">Фамилии, которые стали словами</t>
  </si>
  <si>
    <t xml:space="preserve">Можно ли приходить в гости с животными</t>
  </si>
  <si>
    <t xml:space="preserve">Этикет на сайте знакомств</t>
  </si>
  <si>
    <t xml:space="preserve">Правила этикета на прогулке с собакой</t>
  </si>
  <si>
    <t xml:space="preserve">Оценки за поведение введут во все школы с 1 сентября</t>
  </si>
  <si>
    <t xml:space="preserve">Как отличить фарфор от фаянса</t>
  </si>
  <si>
    <t xml:space="preserve">Обострение хронической тупости после праздников</t>
  </si>
  <si>
    <t xml:space="preserve">Этикет чаепития</t>
  </si>
  <si>
    <t xml:space="preserve">Как обсуждать здоровье по этикету</t>
  </si>
  <si>
    <t xml:space="preserve">Как не стать плохим гостем</t>
  </si>
  <si>
    <t xml:space="preserve">Как пережить хамство на работе после выходных</t>
  </si>
  <si>
    <t xml:space="preserve">С какой едой сочетать красное вино</t>
  </si>
  <si>
    <t xml:space="preserve">Как элегантно попросить повышение</t>
  </si>
  <si>
    <t xml:space="preserve">Можно ли мыть посуду при гостях</t>
  </si>
  <si>
    <t xml:space="preserve">Джентльмен не пропустит леди...</t>
  </si>
  <si>
    <t xml:space="preserve">Привычка перебивать собеседника</t>
  </si>
  <si>
    <t xml:space="preserve">Не стоит извиняться за всё подряд</t>
  </si>
  <si>
    <t xml:space="preserve">Сухие цветы: можно ли дарить по этикету</t>
  </si>
  <si>
    <t xml:space="preserve">100 правил этикета</t>
  </si>
  <si>
    <t xml:space="preserve">Мясо не всегда режется ножом</t>
  </si>
  <si>
    <t xml:space="preserve">Наглость или забота гостей?</t>
  </si>
  <si>
    <t xml:space="preserve">Масленица</t>
  </si>
  <si>
    <t xml:space="preserve">Китайский Новый Год</t>
  </si>
  <si>
    <t xml:space="preserve">Как есть помидоры черри</t>
  </si>
  <si>
    <t xml:space="preserve">3 секретных сигнала хороших манер</t>
  </si>
  <si>
    <t xml:space="preserve">Передавайте кружки правильно</t>
  </si>
  <si>
    <t xml:space="preserve">Голосовые сообщения: минусы и плюсы</t>
  </si>
  <si>
    <t xml:space="preserve">Этикет Дня Святого Валентина</t>
  </si>
  <si>
    <t xml:space="preserve">Туалет или уборная?</t>
  </si>
  <si>
    <t xml:space="preserve">Как подавать и есть тирамису</t>
  </si>
  <si>
    <t xml:space="preserve">ЗимФестАмур</t>
  </si>
  <si>
    <t xml:space="preserve">Этикет конфет</t>
  </si>
  <si>
    <t xml:space="preserve">Этикет для персонала</t>
  </si>
  <si>
    <t xml:space="preserve">Этикет на 23 февраля</t>
  </si>
  <si>
    <t xml:space="preserve">Этикет для школьников</t>
  </si>
  <si>
    <t xml:space="preserve">Как стильно накрыть стол за 15 минут</t>
  </si>
  <si>
    <t xml:space="preserve">Нужен ли дресс-код в спортзалах?</t>
  </si>
  <si>
    <t xml:space="preserve">Нужны ли подставки под напитки?</t>
  </si>
  <si>
    <t xml:space="preserve">Какие правила этикета постоянно нарушают?</t>
  </si>
  <si>
    <t xml:space="preserve">Почему нож справа, а вилка слева?</t>
  </si>
  <si>
    <t xml:space="preserve">Когда-нибудь она станет президентом</t>
  </si>
  <si>
    <t xml:space="preserve">Наставничество (тьюторство) – профессия будущего</t>
  </si>
  <si>
    <t xml:space="preserve">Как сделать ужин как в ресторане</t>
  </si>
  <si>
    <t xml:space="preserve">Тонкости китайского столового этикета</t>
  </si>
  <si>
    <t xml:space="preserve">Старший брат для всех детей</t>
  </si>
  <si>
    <t xml:space="preserve">Идеи подарков на 8 марта</t>
  </si>
  <si>
    <t xml:space="preserve">Что делать с лимоном из чая?</t>
  </si>
  <si>
    <t xml:space="preserve">Тонкости лимонного этикета</t>
  </si>
  <si>
    <t xml:space="preserve">Этикет без пафоса</t>
  </si>
  <si>
    <t xml:space="preserve">Как есть мелкую «хитрую» еду</t>
  </si>
  <si>
    <t xml:space="preserve">Топ-5 ошибок мужского образа</t>
  </si>
  <si>
    <t xml:space="preserve">Этикет в эпоху ИИ: как вежливо общаться с человеком, если половину писем пишет нейросеть</t>
  </si>
  <si>
    <t xml:space="preserve">Один жест сервиса, который меня покорил</t>
  </si>
  <si>
    <t xml:space="preserve">Как одеться на похороны</t>
  </si>
  <si>
    <t xml:space="preserve">Как изящно есть морепродукты</t>
  </si>
  <si>
    <t xml:space="preserve">Этикет веера</t>
  </si>
  <si>
    <t xml:space="preserve">Организация «сырной тарелки»</t>
  </si>
  <si>
    <t xml:space="preserve">Как избежать неловкости из-за неправильно понятой новости</t>
  </si>
  <si>
    <t xml:space="preserve">Кто платит за такси?</t>
  </si>
  <si>
    <t xml:space="preserve">Несколько «не» за обедом</t>
  </si>
  <si>
    <t xml:space="preserve">Как есть мясные блюда</t>
  </si>
  <si>
    <t xml:space="preserve">Информационный этикет: как за 5 минут понять главные новости дня</t>
  </si>
  <si>
    <t xml:space="preserve">Тонкости обращения со специями</t>
  </si>
  <si>
    <t xml:space="preserve">Как по этикету заказывать доставку</t>
  </si>
  <si>
    <t xml:space="preserve">Как испортить день тому, кто спит рядом</t>
  </si>
  <si>
    <t xml:space="preserve">Этикет в продуктовом магазине</t>
  </si>
  <si>
    <t xml:space="preserve">Аперитивы</t>
  </si>
  <si>
    <t xml:space="preserve">Здрасти, соседи</t>
  </si>
  <si>
    <t xml:space="preserve">Десертные приборы</t>
  </si>
  <si>
    <t xml:space="preserve">Традиции Вербного воскресенья: как встречают этот день в семье</t>
  </si>
  <si>
    <t xml:space="preserve">Вежливость, которая на самом деле раздражает</t>
  </si>
  <si>
    <t xml:space="preserve">Под землей этикет не ловит</t>
  </si>
  <si>
    <t xml:space="preserve">Подача спиртных напитков: когда и с чем</t>
  </si>
  <si>
    <t xml:space="preserve">Этикет в магазине одежды</t>
  </si>
  <si>
    <t xml:space="preserve">Тонкости обращения с овощами</t>
  </si>
  <si>
    <t xml:space="preserve">Яйца руками не разламывают</t>
  </si>
  <si>
    <t xml:space="preserve">В чем разница между русской и европейской сервировкой?</t>
  </si>
  <si>
    <t xml:space="preserve">Что делать, если ваше окружение далеко от этикета?</t>
  </si>
  <si>
    <t xml:space="preserve">Что делать с косточкой?</t>
  </si>
  <si>
    <t xml:space="preserve">Что надеть на работу?</t>
  </si>
  <si>
    <t xml:space="preserve">Шампанское с утра. Зачем?</t>
  </si>
  <si>
    <t xml:space="preserve">Скучать по или скучать за?</t>
  </si>
  <si>
    <t xml:space="preserve">Как принимать гостей в квартире</t>
  </si>
  <si>
    <t xml:space="preserve">Повод поехать в Великий Новгород: выставка «Храмы Земли Русской» до 17 мая</t>
  </si>
  <si>
    <t xml:space="preserve">Четыре зоны тарелки</t>
  </si>
  <si>
    <t xml:space="preserve">Вы неправильно чихаете</t>
  </si>
  <si>
    <t xml:space="preserve">Почему чашку держат именно так</t>
  </si>
  <si>
    <t xml:space="preserve">Если вы заметили, что собеседник забыл ваше имя</t>
  </si>
  <si>
    <t xml:space="preserve">Почему не стоит писать «Доброго времени суток»?</t>
  </si>
  <si>
    <t xml:space="preserve">Как всегда выглядеть элегантно</t>
  </si>
  <si>
    <t xml:space="preserve">Сервировка BMW</t>
  </si>
  <si>
    <t xml:space="preserve">Как празднуют 1 мая в разных странах</t>
  </si>
  <si>
    <t xml:space="preserve">Правило ножа</t>
  </si>
  <si>
    <t xml:space="preserve">Принципы этикета в конфликтных ситуациях</t>
  </si>
  <si>
    <t xml:space="preserve">Топ-5 антиэтикетных повседневных действий</t>
  </si>
  <si>
    <t xml:space="preserve">Марокко: между роскошью медины и ритмом нового города</t>
  </si>
  <si>
    <t xml:space="preserve">Использованные столовые приборы</t>
  </si>
  <si>
    <t xml:space="preserve">Что мы делаем не так 9 мая</t>
  </si>
  <si>
    <t xml:space="preserve">Правила передачи блюд</t>
  </si>
  <si>
    <t xml:space="preserve">Правила деловой прически</t>
  </si>
  <si>
    <t xml:space="preserve">5 обидных для собеседника фраз</t>
  </si>
  <si>
    <t xml:space="preserve">5 правил повседневной элегантности</t>
  </si>
  <si>
    <t xml:space="preserve">Как элегантно сидеть за столом</t>
  </si>
  <si>
    <t xml:space="preserve">Этикет в гостях с ночевкой на даче</t>
  </si>
  <si>
    <t xml:space="preserve">Застольный этикет: финальная глава</t>
  </si>
  <si>
    <t xml:space="preserve">Топ-5 правил этикета в общении с семьей</t>
  </si>
  <si>
    <t xml:space="preserve">3 правила изящной речи</t>
  </si>
  <si>
    <t xml:space="preserve">Светская жизнь Петербурга: 18 – 24 мая</t>
  </si>
  <si>
    <t xml:space="preserve">Как поддержать разговор об искусстве, даже если вы не искусствовед</t>
  </si>
  <si>
    <t xml:space="preserve">Как выключить музыку у соседей и не испортить отношения</t>
  </si>
  <si>
    <t xml:space="preserve">5 ice breakers для светского вечера</t>
  </si>
  <si>
    <t xml:space="preserve">Гид по фруктовому этикету</t>
  </si>
  <si>
    <t xml:space="preserve">Как выдержать войну за дачные границы</t>
  </si>
  <si>
    <t xml:space="preserve">Светская жизнь Петербурга: 25-31 мая</t>
  </si>
  <si>
    <t xml:space="preserve">Как поддержать small talk на ужине, открытии или премьере</t>
  </si>
  <si>
    <t xml:space="preserve">Цифровая этика в школе</t>
  </si>
  <si>
    <t xml:space="preserve">Как превратить культурный выход в полезное знакомство</t>
  </si>
  <si>
    <t xml:space="preserve">Этикет чувств: чему учит стихотворение Ахматовой спустя сто лет</t>
  </si>
  <si>
    <t xml:space="preserve">Святой Пантелеймон</t>
  </si>
  <si>
    <t xml:space="preserve">Светская жизнь Петербурга: 1-7 июня</t>
  </si>
  <si>
    <t xml:space="preserve">Русский императив: выставка, о которой все говорят</t>
  </si>
  <si>
    <t xml:space="preserve">«Письмо матери» Есенина: стихотворение, которое учит самому сложному</t>
  </si>
  <si>
    <t xml:space="preserve">Почему я перечитываю «Евгения Онегина» во взрослом возрасте</t>
  </si>
  <si>
    <t xml:space="preserve">Соседи против шашлычников</t>
  </si>
  <si>
    <t xml:space="preserve">Как задавать вопросы, чтобы с вами хотели продолжать разговор</t>
  </si>
  <si>
    <t xml:space="preserve">Как одеться элегантно по этикету</t>
  </si>
  <si>
    <t xml:space="preserve">Светская жизнь Петербурга: 8-14 июня</t>
  </si>
  <si>
    <t xml:space="preserve">Новый ресторанный этикет: что уже считается дурным тоном</t>
  </si>
  <si>
    <t xml:space="preserve">Можно ли плакать на публике?</t>
  </si>
  <si>
    <t xml:space="preserve">Ошибки, которые сразу выдают человека не из светской среды</t>
  </si>
  <si>
    <t xml:space="preserve">5 вещей на даче, которые воспитанные люди никогда не делают</t>
  </si>
  <si>
    <t xml:space="preserve">Нормально ли не любить классику</t>
  </si>
  <si>
    <t xml:space="preserve">Светская жизнь Петербурга: 15-21 июня</t>
  </si>
  <si>
    <t xml:space="preserve">Дачный этикет умер?</t>
  </si>
  <si>
    <t xml:space="preserve">Этикет в автобусе</t>
  </si>
  <si>
    <t xml:space="preserve">Нужно ли извиняться, если ты прав</t>
  </si>
  <si>
    <t xml:space="preserve">Светская жизнь Петербурга: 22-28 июня</t>
  </si>
  <si>
    <t xml:space="preserve">Кто оплачивает пикник?</t>
  </si>
  <si>
    <t xml:space="preserve">Истерика в ресторане – это манипуляция или глупость?</t>
  </si>
  <si>
    <t xml:space="preserve">Как не потерять лицо в битве за борщевик (и любые джунгли)</t>
  </si>
  <si>
    <t xml:space="preserve">Этикет за самоваром: чему нас до сих пор учат Маковские</t>
  </si>
  <si>
    <t xml:space="preserve">Светская жизнь Петербурга: 29 июня – 5 июля</t>
  </si>
  <si>
    <t xml:space="preserve">Дачные долги или шуруповерт «до завтра»</t>
  </si>
  <si>
    <t xml:space="preserve">Когда супруга перестает быть женой</t>
  </si>
  <si>
    <t xml:space="preserve">«Сорри за войс» - этикет в мессенджерах</t>
  </si>
  <si>
    <t xml:space="preserve">Светская жизнь Петербурга: 6-12 июля</t>
  </si>
  <si>
    <t xml:space="preserve">Можно ли не дружить с соседями</t>
  </si>
  <si>
    <t xml:space="preserve">Как элегантно раздеться в городе, чтобы позагорать</t>
  </si>
  <si>
    <t xml:space="preserve">Нормально ли не любить театр?</t>
  </si>
  <si>
    <t xml:space="preserve">Светская жизнь Петербурга: 13-19 июля</t>
  </si>
  <si>
    <t xml:space="preserve">Как вежливо отказать соседу на даче</t>
  </si>
  <si>
    <t xml:space="preserve">Этикет общения в мессенджерах</t>
  </si>
  <si>
    <t xml:space="preserve">Дачный этикет детей: что родители должны объяснить еще до поездки за город</t>
  </si>
  <si>
    <t xml:space="preserve">Светская жизнь Петербурга: 20-26 июля</t>
  </si>
  <si>
    <t xml:space="preserve">Искусство быть петербуржцем</t>
  </si>
  <si>
    <t xml:space="preserve">Этикет дачных подарков: что привозить в гости, а что считается дурным тоном</t>
  </si>
  <si>
    <t xml:space="preserve">Лицемерная помощь</t>
  </si>
  <si>
    <t xml:space="preserve">Ролики</t>
  </si>
  <si>
    <t xml:space="preserve">Ролики. Отдельный лист: их воронка устроена иначе, сравнение со статьями некорректно.</t>
  </si>
  <si>
    <t xml:space="preserve">Проверьте свои знания в этикете 🙌🏻</t>
  </si>
  <si>
    <t xml:space="preserve">Несколько правил столового этикета🍽 #этикет #этикетзастолом #столовыйэтикет #правилаэтикета</t>
  </si>
  <si>
    <t xml:space="preserve">НЕ деловая причёска ❌ #правилаэтикета #этикет #деловойстиль #деловойэтикет #деловойобраз #деловойимидж</t>
  </si>
  <si>
    <t xml:space="preserve">Несколько помад, которые вас никогда не подведут #помада #помададлягуб #губнаяпомада #этикет #деловойстиль #деловойимидж</t>
  </si>
  <si>
    <t xml:space="preserve">Какие оттенки помад допустимы в деловом образе? #этикет #деловойстиль #деловойэтикет #деловойобраз #деловойимидж #помада #помададлягуб #губнаяпомада</t>
  </si>
  <si>
    <t xml:space="preserve">Проверьте свои знания в этикете 🙌🏻 #деловойстиль #этикет #деловойимидж #правилаэтикета #деловойэтикет #деловойобраз #приветствие</t>
  </si>
  <si>
    <t xml:space="preserve">Почему этикет не любит слово здравствуйте? #этикет #деловойстиль #деловойимидж #правилаэтикета #деловойобраз #приветствие</t>
  </si>
  <si>
    <t xml:space="preserve">Как правильно здороваться? #этикет #деловойстиль #деловоеобщение #этикетобщения #деловыепереговоры #деловаярепутация</t>
  </si>
  <si>
    <t xml:space="preserve">Нежелательные звонки #этикет #деловойстиль #деловойимидж #правилаэтикета #деловойэтикет #этикетобщения #деловыепереговоры #звонокпотелефону</t>
  </si>
  <si>
    <t xml:space="preserve">Наша речь - отражение нас самих #этикет #деловойстиль #деловойимидж #правилаэтикета #деловойобраз #деловойэтикет #деловыепереговоры #деловаярепутация #этикетобщения #правильнаяречь #грамотнаяречь</t>
  </si>
  <si>
    <t xml:space="preserve">Умение слушать 👂🏻 #этикет #этикетобщения #правилаэтикета #деловойэтикет #деловоеобщение #деловыекоммуникации #деловыеотношения #деловыепереговоры</t>
  </si>
  <si>
    <t xml:space="preserve">Слова "паразиты" #грамотнаяречь #правильнаяречь #красиваяречь #правилаэтикета #этикет #деловыепереговоры #деловыеотношения #деловойэтикет #деловойимидж</t>
  </si>
  <si>
    <t xml:space="preserve">Матные слова #этикет #деловойстиль #деловойэтикет #бизнесэтикет #правилаэтикета #деловыеотношения #деловоеобщение #деловаяпереписка</t>
  </si>
  <si>
    <t xml:space="preserve">Этикет взгляда #этикет #деловойстиль #правилаэтикета #деловойимидж #деловойэтикет #деловойобраз #этикетобщения #деловоеобщение #деловаярепутация #</t>
  </si>
  <si>
    <t xml:space="preserve">Почему надо соедить за положением рук и ног? #этикет #деловойстиль #правилаэтикета #деловойэтикет #деловойимидж #деловойобраз #этикетобщения #деловыепереговоры #деловоеобщение #деловаярепутация</t>
  </si>
  <si>
    <t xml:space="preserve">Проверьте ваши знания в этикете 🙌🏻 #этикет #деловойстиль #правилаэтикета #деловойимидж #деловойэтикет #деловойобраз #этикетобщения #деловыепереговоры #деловоеобщение #деловаярепутация #</t>
  </si>
  <si>
    <t xml:space="preserve">Этикет не ходит в гости просто так #этикет #деловойстиль #правилаэтикета #деловойимидж #деловойэтикет #деловойобраз #этикетобщения #деловыепереговоры #деловоеобщение #деловаярепутация</t>
  </si>
  <si>
    <t xml:space="preserve">#этикет #деловойстиль #правилаэтикета #деловойэтикет #деловойимидж #деловойобраз #этикетобщения #деловыепереговоры #деловоеобщение #деловаярепутация #деловыеотношения #правильнаяречь #грамотнаяречь</t>
  </si>
  <si>
    <t xml:space="preserve">Вежливость королей👑 #этикет #деловойстиль #правилаэтикета #деловойимидж #деловойэтикет #деловойимидж #деловойобраз #этикетобщения #деловыепереговоры #деловоеобщение #деловаярепутация</t>
  </si>
  <si>
    <t xml:space="preserve">что такое "уйти по-французки"? #этикет #правилаэтикета #деловойимидж #деловойэтикет #этикетобщения #деловаярепутация #деловыеотношения #деловаяпереписка</t>
  </si>
  <si>
    <t xml:space="preserve">Проверьте свои знания 🙌🏻 #этикет #деловойимидж #деловойстиль #правилаэтикета #деловойэтикет #деловойобраз #этикетобщения #деловыепереговоры #деловоеобщение #деловаярепутация</t>
  </si>
  <si>
    <t xml:space="preserve">Как реагировать на дурацкие подарки? #этикет #правилаэтикета #деловойимидж #деловойстиль #деловойэтикет #этикетобщения #деловойобраз #деловыепереговоры #деловоеобщение #деловаярепутация</t>
  </si>
  <si>
    <t xml:space="preserve">Этикет в спортзале #этикет #спортзал #правилаэтикета #деловойстиль #фитнесс #спорт #тренажёрныйзал #деловойэтикет #этикетобщения #деловаярепутация #деловыеотношения</t>
  </si>
  <si>
    <t xml:space="preserve">Обращение к незнакомым людям #этикет #правилаэтикета #деловойстиль #деловойэтикет #деловойимидж #этикетобщения #деловойобраз #деловыепереговоры #деловаярепутация #деловыепереговоры #приветствие</t>
  </si>
  <si>
    <t xml:space="preserve">Респираторный этикет #этикет #правилаэтикета #деловойстиль #деловойимидж #деловойэтикет #этикетобщения #деловойобраз #деловаярепутация #коронавирус2020</t>
  </si>
  <si>
    <t xml:space="preserve">Этикет в общих чатах #цифровойэтикет #этикет #правилаэтикета #деловойстиль #деловойимидж #деловойэтикет #этикетобщения #деловаярепутация #деловоеобщение #деловыеотношения #деловаяпереписка</t>
  </si>
  <si>
    <t xml:space="preserve">#столовыйэтикет #этикет #правилаэтикета #деловойстиль #деловойэтикет #этикетобщения #деловаярепутация #деловыепереговоры #деловоеобщение #деловыеотношения</t>
  </si>
  <si>
    <t xml:space="preserve">Не вздумайте делать ЭТО в ресторане! #рестораны #столовыйэтикет #правилаэтикета #этикет #этикетобщения #деловыепереговоры #деловоеобщение</t>
  </si>
  <si>
    <t xml:space="preserve">Как реагировать на комплименты? #комплименты #этикет #правилаэтикета #этикетобщения #деловыепереговоры #деловаярепутация #деловоеобщение #грамотнаяречь</t>
  </si>
  <si>
    <t xml:space="preserve">Три веши в этикете, которые нельзя делать мужчине #этикет #правилаэтикета #этикетобщения #деловаярепутация #деловыеотношения</t>
  </si>
  <si>
    <t xml:space="preserve">Проверьте свои знания 🙌🏻 #этикетобщения #правилаэтикета #деловойстиль #деловойэтикет #деловойимидж #деловаярепутация #деловыепереговоры #деловоеобщение #деловыеотношения</t>
  </si>
  <si>
    <t xml:space="preserve">Первое впечатление #этикет #правилаэтикета #этикетобщения #деловойимидж #деловойэтикет #деловаярепутация #деловойобраз #деловыепереговоры #грамотнаяречь #деловаяпереписка #приветствие</t>
  </si>
  <si>
    <t xml:space="preserve">Японский этикет #япония #этикет #правилаэтикета #этикетобщения #деловаярепутация #деловыепереговоры #деловыеотношения #деловойимидж</t>
  </si>
  <si>
    <t xml:space="preserve">#этикет #правилаэтикета #этикетобщения #деловойимидж #деловойэтикет #деловойстиль #деловаярепутация #деловыепереговоры #деловойобраз #деловоеобщение #деловыеотношения #деловаяпереписка</t>
  </si>
  <si>
    <t xml:space="preserve">Цифровой этикет #этикет #правилаэтикета #цифровойэтикет #этикетобщения #деловаярепутация #деловыепереговоры #деловоеобщение #деловойобраз #деловаяпереписка #правильнаяречь</t>
  </si>
  <si>
    <t xml:space="preserve">Опаздывать - неприлично #этикет #правилаэтикета #этикетобщения #деловойимидж #деловойстиль #деловаярепутация #деловыепереговоры #деловойобраз #деловыеотношения #деловоеобщение</t>
  </si>
  <si>
    <t xml:space="preserve">Будьте осторожны! Разные фразы = разные значения #этикет #правилаэтикета #этикетобщения #деловойимидж #деловойстиль #деловойэтикет #деловаярепутация #деловыепереговоры #деловойобраз #деловыеотношения</t>
  </si>
  <si>
    <t xml:space="preserve">Как правильно есть бутерброды #этикет #правилаэтикета #этикетобщения #деловойимидж #деловойэтикет #деловаярепутация #деловойобраз #деловоеобщение #столовыйэтикет #бутерброды</t>
  </si>
  <si>
    <t xml:space="preserve">Мужчины, не пропускайте женщину вперёд, если.. #этикет #правилаэтикета #этикетобщения #деловойстиль #деловойэтикет #деловыепереговоры #деловойобраз #деловоеобщение #деловаярепутация</t>
  </si>
  <si>
    <t xml:space="preserve">Этикет - это не пережиток прошлого❌ #этикет #правилаэтикета #этикетобщения #деловойстиль #деловойимидж #деловойэтикет #деловаярепутация #деловойобраз #деловойобраз #деловыепереговоры #деловоеобщение</t>
  </si>
  <si>
    <t xml:space="preserve">Вежливые замечания?🤔 #этикет #правилаэтикета #этикетобщения #деловойстиль #деловойимидж #деловойэтикет #деловаярепутация #деловойобраз #деловыепереговоры #деловоеобщение #деловыеотношения</t>
  </si>
  <si>
    <t xml:space="preserve">Проверьте ваши знания 🙌🏻 #этикет #правилаэтикета #этикетобщения #деловойстиль #деловойимидж #деловойэтикет #деловаярепутация #деловойобраз #деловыепереговоры #деловыеотношения</t>
  </si>
  <si>
    <t xml:space="preserve">Кто первый? #этикет #правилаэтикета #этикетобщения #деловойстиль #деловойимидж #деловойэтикет #деловоеобщение #деловыеотношения #деловаяпереписка #правильнаяречь #деловыепереговоры</t>
  </si>
  <si>
    <t xml:space="preserve">Правильный парфюм #этикет #правилаэтикета #деловойимидж #этикетобщения #деловойстиль #деловаярепутация #деловойобраз #деловыеотношения #деловаяпереписка #деловоеобщение #деловойстиль</t>
  </si>
  <si>
    <t xml:space="preserve">Желать приятного аппетита - неприлично! #этикет #правилаэтикета #деловойимидж #этикетобщения #деловойэтикет #деловаярепутация #деловыепереговоры #деловоеобщение #деловыеотношения</t>
  </si>
  <si>
    <t xml:space="preserve">Чаевые 💰 #этикет #правилаэтикета #деловойимидж #этикетобщения #деловойстиль #деловойэтикет #деловаярепутация #деловойобраз #деловоеобщение #деловыеотношения #столовыйэтикет #деловаяпереписка</t>
  </si>
  <si>
    <t xml:space="preserve">#этикет #правилаэтикета #этикетобщения #деловойимидж #деловойстиль #деловойэтикет #деловаярепутация #деловойобраз #деловыепереговоры #деловыеотношения</t>
  </si>
  <si>
    <t xml:space="preserve">Проверьте ваши знания 🙌🏻 #этикет #правилаэтикета #деловойимидж #этикетобщения #деловойстиль #деловаярепутация #деловойобраз #деловыепереговоры #деловаяпереписка #деловыеотношения</t>
  </si>
  <si>
    <t xml:space="preserve">Неприлично говорить "будь здоров" #этикет #деловойимидж #правилаэтикета #деловаярепутация #деловойэтикет #деловойобраз #деловыепереговоры #деловыеотношения #деловаяпереписка</t>
  </si>
  <si>
    <t xml:space="preserve">В больнице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</si>
  <si>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 xml:space="preserve">Будьте аккуратны с нежелательными прикосновениями #этикет #правилаэтикета #этикетобщения #деловойэтикет #деловаярепутация #деловыепереговоры #деловыеотношения #деловойобраз</t>
  </si>
  <si>
    <t xml:space="preserve">"Приятного аппетита"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#деловаяпереписка</t>
  </si>
  <si>
    <t xml:space="preserve">Где разместить сумку?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</t>
  </si>
  <si>
    <t xml:space="preserve">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 #деловаяпереписка</t>
  </si>
  <si>
    <t xml:space="preserve">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</si>
  <si>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 xml:space="preserve">Проверьте ваши знания 🙌🏻 #этикет #правилаэтикета #деловойимидж #этикетобщения #деловойстиль #деловойэтикет #деловаярепутация #деловойобраз #деловыепереговоры #деловоеобщение #деловыеотношения</t>
  </si>
  <si>
    <t xml:space="preserve">Гардероб в театре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</si>
  <si>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 xml:space="preserve">#этикет #правилаэтикета #этикетобщения #деловойэтикет #деловоеобщение</t>
  </si>
  <si>
    <t xml:space="preserve">Цифровой этикет #этикет #правилаэтикета #этикетобщения #деловойэтикет #деловаярепутация #деловыепереговоры #деловоеобщение #деловыеотношения #цифровойэтикет</t>
  </si>
  <si>
    <t xml:space="preserve">В театре #этикет #правилаэтикета #деловойэтикет #театр #этикетвтеатре</t>
  </si>
  <si>
    <t xml:space="preserve">Говорить о человеке в третьем лице в его присутсвии - неприлично #этикет #правилаэтикета #этикетобщения #деловойэтикет #деловыепереговоры #деловаяпереписка #цифровойэтикет</t>
  </si>
  <si>
    <t xml:space="preserve">Проверьте ваши знания 🙌🏻 #этикет #правилаэтикета #этикетобщения #деловойимидж #деловойэтикет #деловойстиль #деловаярепутация #деловоеобщение #деловыеотношения</t>
  </si>
  <si>
    <t xml:space="preserve">Всегда ли уместно дарить цветы? #этикет #правилаэтикета #цветы #этикетобщения #деловойэтикет #деловойстиль #деловыеотношения #деловоеобщение</t>
  </si>
  <si>
    <t xml:space="preserve">Антиджентльмен #этикет #правилаэтикета #этикетобщения #деловойэтикет #деловойстиль #деловаярепутация #деловыепереговоры #деловоеобщение #деловыеотношения</t>
  </si>
  <si>
    <t xml:space="preserve">Ты или Вы? #этикет #правилаэтикета #этикетобщения #деловойэтикет #деловаярепутация #деловыепереговоры #деловоеобщение #деловыеотношения #деловаяпереписка #цифровойэтикет</t>
  </si>
  <si>
    <t xml:space="preserve">Осторожно, зубочистки! #этикет #правилаэтикета #деловойэтикет #деловаярепутация #деловоеобщение #деловыеотношения #столовыйэтикет #этикетзастолом</t>
  </si>
  <si>
    <t xml:space="preserve">Палочки для еды #этикет #правилаэтикета #восточнаякухня #деловойэтикет #деловоеобщение #деловыеотношения #столовыйэтикет #этикетзастолом</t>
  </si>
  <si>
    <t xml:space="preserve">"Телефонный" этикет #этикет #правилаэтикета #этикетобщения #деловойэтикет #деловойимидж #деловаярепутация #деловыепереговоры #деловыеотношения #цифровойэтикет</t>
  </si>
  <si>
    <t xml:space="preserve"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</si>
  <si>
    <t xml:space="preserve">Как реагировать на подарок? #этикет #правилаэтикета #этикетобщения #деловойэтикет #деловойимидж #деловаярепутация #деловыепереговоры #деловыеотношения #цифровойэтикет</t>
  </si>
  <si>
    <t xml:space="preserve">#этикет #правилаэтикета #этикетобщения #деловойэтикет #деловойимидж #деловаярепутация #деловойстиль #деловыепереговоры #деловойобраз #деловыеотношения #деловоеобщение #деловаяпереписка</t>
  </si>
  <si>
    <t xml:space="preserve">В обществе причнто обращаться по имени #этикет #правилаэтикета #этикетобщения #деловойэтикет #деловойимидж #деловаярепутация #деловыепереговоры #деловойобраз #деловоеобщение #деловыеотношения</t>
  </si>
  <si>
    <t xml:space="preserve">Зачем нужен этикет?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</si>
  <si>
    <t xml:space="preserve">Можно ли есть руками? #этикет #правилаэтикета #этикетобщения #деловойэтикет #деловойимидж #деловаярепутация #деловойстиль #деловыепереговоры #столовыйэтикет #этикетзастолом</t>
  </si>
  <si>
    <t xml:space="preserve"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#деловойобраз #деловоеобщение #деловаяпереписка</t>
  </si>
  <si>
    <t xml:space="preserve">#этикет #правилаэтикета #этикетобщения #деловойэтикет #деловойимидж #деловаярепутация #деловойстиль #деловыепереговоры #деловойобраз #цифровойэтикет #деловаяпереписка</t>
  </si>
  <si>
    <t xml:space="preserve">Чаепитие ☕️ #этикет #правилаэтикета #деловойэтикет #деловойимидж #деловаярепутация #деловыепереговоры #деловойобраз #деловоеобщение #столовыйэтикет #этикетзастолом</t>
  </si>
  <si>
    <t xml:space="preserve">Этикет в офисе #этикет #правилаэтикета #этикетобщения #деловойэтикет #деловаярепутация #деловоеобщение #деловыеотношения #цифровойэтикет #офис</t>
  </si>
  <si>
    <t xml:space="preserve">Комплименты незнакомым людям. #этикет #правилаэтикета #этикетобщения #деловойэтикет #деловаярепутация #деловыепереговоры #деловоеобщение #деловыеотношения</t>
  </si>
  <si>
    <t xml:space="preserve">Нормы этикета зависят от места, времени и обстоятельств. #этикет #правилаэтикета #деловойэтикет #деловаярепутация #деловоеобщение #столовыйэтикет #этикетзастолом</t>
  </si>
  <si>
    <t xml:space="preserve">#этикет #правилаэтикета #этикетобщения #деловойэтикет #деловаярепутация #деловойимидж #деловыепереговоры #деловойстиль #деловыеотношения #деловаяпереписка</t>
  </si>
  <si>
    <t xml:space="preserve"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#цифровойэтикет #этикетзастолом</t>
  </si>
  <si>
    <t xml:space="preserve">Головные уборы 🎩 #этикет #правилаэтикета #деловойэтикет #деловойстиль #общественныеместа #шапка #головныеуборы</t>
  </si>
  <si>
    <t xml:space="preserve">Максимальная длина сообщения в общем чате не должна превышать... #этикет #цифровойэтикет #правилаэтикета #деловоеобщение #деловыепереговоры</t>
  </si>
  <si>
    <t xml:space="preserve">#этикет #правилаэтикета #общественныеместа #деловоеобщение #деловойэтикет #деловыеотношения #деловаярепутация</t>
  </si>
  <si>
    <t xml:space="preserve">#этикет #правилаэтикета #этикетобщения #деловойэтикет #деловаярепутация #деловыепереговоры #деловоеобщение #деловыеотношения #цифровойэтикет #</t>
  </si>
  <si>
    <t xml:space="preserve">Прилично ли есть десерты руками? #этикет #правилаэтикета #столовыйэтикет #этикетзастолом</t>
  </si>
  <si>
    <t xml:space="preserve">В театре #этикет #правилаэтикета #деловоеобщение #этикетвтеатре #театр #деловойэтикет #деловыеотношения #деловаярепутация</t>
  </si>
  <si>
    <t xml:space="preserve">Цифровой этикет #этикет #правилаэтикета #этикетобщения #деловаярепутация #деловыепереговоры #деловойобраз #деловойстиль #цифровойэтикет</t>
  </si>
  <si>
    <t xml:space="preserve">Проверьте ваши знания🙌🏻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 #цифровойэтикет</t>
  </si>
  <si>
    <t xml:space="preserve">#этикет #правилаэтикета #этикетобщения #деловойэтикет #деловаярепутация #деловыепереговоры #деловоеобщение #деловыеотношения #цифровойэтикет</t>
  </si>
  <si>
    <t xml:space="preserve">Во время разговора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</t>
  </si>
  <si>
    <t xml:space="preserve">Отношение к разговору #правилаэтикета #этикет #деловоеобщение #деловойэтикет #деловаярепутация #разговор #оьщение #деловыепереговоры</t>
  </si>
  <si>
    <t xml:space="preserve">#этикет #деловоеобщение #правилаэтикета #деловойэтикет #общественныеместа</t>
  </si>
  <si>
    <t xml:space="preserve">Приветсвие #правилаэтикета #деловоеобщение #этикет #деловойэтикет #деловаярепутация #деловыепереговоры #деловыеотношения #разговор</t>
  </si>
  <si>
    <t xml:space="preserve">Положите трубку, когда... #деловоеобщение #этикет #правилаэтикета #цифровойэтикет #деловыепереговоры #деловаярепутация #деловойэтикет</t>
  </si>
  <si>
    <t xml:space="preserve"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#деловойобраз #цифровойэтикет</t>
  </si>
  <si>
    <t xml:space="preserve">Сложный этический вопрос ❓ #правилаэтикета #этикет #самолет #деловоеобщение #общественныеместа #деловойэтикет #деловаярепутация</t>
  </si>
  <si>
    <t xml:space="preserve">Лайфхак из столового этикета #правилаэтикета #этикет #деловойэтикет #ресторан #столовыйэтикет #этикетзастолом #деловоеобщение</t>
  </si>
  <si>
    <t xml:space="preserve">Комплименты #деловоеобщение #этикет #правилаэтикета #деловойэтикет #деловаярепутация #деловыепереговоры #этикетобщения #речевойэтикет</t>
  </si>
  <si>
    <t xml:space="preserve">Общественный транспорт #правилаэтикета #этикет #метро #общественныйтранспорт #общественныеместа #этикетобщения #деловаярепутация</t>
  </si>
  <si>
    <t xml:space="preserve">Разговоры о рыбалке 🎣</t>
  </si>
  <si>
    <t xml:space="preserve">Куда убрать сумку в ресторане? #правилаэтикета #этикет #деловоеобщение #деловойэтикет #ресторан #этикетзастолом #столовыйэтикет</t>
  </si>
  <si>
    <t xml:space="preserve">Проверьте ваши знания 🙌🏻 #правилаэтикета #этикет #деловоеобщение #деловойэтикет #деловаярепутация #деловыепереговоры #столовыйэтикет</t>
  </si>
  <si>
    <t xml:space="preserve">Уважаемые пешеходы! #правилаэтикета #этикет #деловоеобщение #деловойэтикет #деловаярепутация #общественныеместа #этикетобщения</t>
  </si>
  <si>
    <t xml:space="preserve">В лифте #правилаэтикета #этикет #лифт #общественныеместа #этикетобщения</t>
  </si>
  <si>
    <t xml:space="preserve">Можно не знать этикет, но.. #правилаэтикета #этикет #деловоеобщение #деловойэтикет #деловаярепутация #деловыепереговоры #этикетобщения</t>
  </si>
  <si>
    <t xml:space="preserve">Не дарите цветы в горшках #правилаэтикета #этикет #деловоеобщение #деловойэтикет #деловаярепутация #подарки #цветы #деловыеотношения</t>
  </si>
  <si>
    <t xml:space="preserve">Пишем незнакомцу #этикет #правилаэтикета #деловоеобщение #деловойэтикет #деловаярепутация #деловыепереговоры #деловаяпереписка</t>
  </si>
  <si>
    <t xml:space="preserve">Заботливый хозяин</t>
  </si>
  <si>
    <t xml:space="preserve">Проверьте ваши знания #этикет #правилаэтикета #этикетобщения #деловойэтикет #деловаярепутация #деловойимидж #деловыепереговоры #деловоеобщение #деловыеотношения</t>
  </si>
  <si>
    <t xml:space="preserve">Комплимент или скандал? #этикет #правилаэтикета #этикетобщения #деловаярепутация #деловойэтикет #комплимент #комплименты #деловоеобщение #деловыеотношения</t>
  </si>
  <si>
    <t xml:space="preserve">Вещь взаймы</t>
  </si>
  <si>
    <t xml:space="preserve">Этикет на даче</t>
  </si>
  <si>
    <t xml:space="preserve">Проверьте ваши знания 😌</t>
  </si>
  <si>
    <t xml:space="preserve">В поезде дальнего следования</t>
  </si>
  <si>
    <t xml:space="preserve">Шведский стол</t>
  </si>
  <si>
    <t xml:space="preserve">Дворовый этикет</t>
  </si>
  <si>
    <t xml:space="preserve">Комментарии #этикет #правилаэтикета</t>
  </si>
  <si>
    <t xml:space="preserve">Шумная компания</t>
  </si>
  <si>
    <t xml:space="preserve">Головной убор в ресторане</t>
  </si>
  <si>
    <t xml:space="preserve">Время проверить свои знания 🙌🏻</t>
  </si>
  <si>
    <t xml:space="preserve">Пляжный отдых</t>
  </si>
  <si>
    <t xml:space="preserve">Место в поезде</t>
  </si>
  <si>
    <t xml:space="preserve">Жилой двор</t>
  </si>
  <si>
    <t xml:space="preserve">Цените людей</t>
  </si>
  <si>
    <t xml:space="preserve">Здороваться или прощаться?</t>
  </si>
  <si>
    <t xml:space="preserve">Тест 🙌🏻</t>
  </si>
  <si>
    <t xml:space="preserve">Перешептывания</t>
  </si>
  <si>
    <t xml:space="preserve">Комплименты - не экзамен!</t>
  </si>
  <si>
    <t xml:space="preserve">Рукопожатия</t>
  </si>
  <si>
    <t xml:space="preserve">Раньше - лучше?</t>
  </si>
  <si>
    <t xml:space="preserve">Проверьте ваши знания 🙌🏻</t>
  </si>
  <si>
    <t xml:space="preserve">Звонить или не звонить - вот в чём вопрос</t>
  </si>
  <si>
    <t xml:space="preserve">Ремонт в квартире</t>
  </si>
  <si>
    <t xml:space="preserve">Гостевой визит</t>
  </si>
  <si>
    <t xml:space="preserve">Новоселье</t>
  </si>
  <si>
    <t xml:space="preserve">Проверьте ваши знания в этикете 🙌🏻</t>
  </si>
  <si>
    <t xml:space="preserve">Отказ от подарка</t>
  </si>
  <si>
    <t xml:space="preserve">Какой подлокотник ваш?</t>
  </si>
  <si>
    <t xml:space="preserve">Антиджентельмен</t>
  </si>
  <si>
    <t xml:space="preserve">Не отвечают на звонок?</t>
  </si>
  <si>
    <t xml:space="preserve">Без спасибо</t>
  </si>
  <si>
    <t xml:space="preserve">Проверьте ваши знания</t>
  </si>
  <si>
    <t xml:space="preserve">Антиледи</t>
  </si>
  <si>
    <t xml:space="preserve">Вечеринка на даче</t>
  </si>
  <si>
    <t xml:space="preserve">Комплименты на даче</t>
  </si>
  <si>
    <t xml:space="preserve">Как вызвать раздражение</t>
  </si>
  <si>
    <t xml:space="preserve">Исправляем ошибки</t>
  </si>
  <si>
    <t xml:space="preserve">На самокате</t>
  </si>
  <si>
    <t xml:space="preserve">Кто платит?</t>
  </si>
  <si>
    <t xml:space="preserve">Прежде чем погладить чужую собаку...</t>
  </si>
  <si>
    <t xml:space="preserve">Рассада</t>
  </si>
  <si>
    <t xml:space="preserve">На пешеходном переходе</t>
  </si>
  <si>
    <t xml:space="preserve">Спортзал</t>
  </si>
  <si>
    <t xml:space="preserve">Развилка</t>
  </si>
  <si>
    <t xml:space="preserve">Рабочие звонки</t>
  </si>
  <si>
    <t xml:space="preserve">Кто здоровается первым?</t>
  </si>
  <si>
    <t xml:space="preserve">Я работала с президентом</t>
  </si>
  <si>
    <t xml:space="preserve">Шумные соседи</t>
  </si>
  <si>
    <t xml:space="preserve">С какой стороны номить сумку? #этикет #правилаэтикета #деловойэтикет #деловойимидж</t>
  </si>
  <si>
    <t xml:space="preserve">Улыбайтесь, господа! #улыбка #вежливость</t>
  </si>
  <si>
    <t xml:space="preserve">Пристальное внимание</t>
  </si>
  <si>
    <t xml:space="preserve">Сколько ошибок насчитали?</t>
  </si>
  <si>
    <t xml:space="preserve">Не проходите мимо!</t>
  </si>
  <si>
    <t xml:space="preserve">Как НЕ стоит делать комплименты #этикет #комплименты</t>
  </si>
  <si>
    <t xml:space="preserve">Лёгкая улыбка располагает к себе людей 😉</t>
  </si>
  <si>
    <t xml:space="preserve">Правила некультурного человека</t>
  </si>
  <si>
    <t xml:space="preserve">Можно ли проявлять чувства на публике, как вы считаете?</t>
  </si>
  <si>
    <t xml:space="preserve">Куда идти?🧐</t>
  </si>
  <si>
    <t xml:space="preserve">Переходите дорогу?</t>
  </si>
  <si>
    <t xml:space="preserve">Вам кажется, что вы прикованы к своему телефону?</t>
  </si>
  <si>
    <t xml:space="preserve">Заходя в помещение, снимайте солнцезащитные очки</t>
  </si>
  <si>
    <t xml:space="preserve">Ток-шоу "Домохозяйка на кухне"</t>
  </si>
  <si>
    <t xml:space="preserve">Резкие остановки</t>
  </si>
  <si>
    <t xml:space="preserve">В ресторане</t>
  </si>
  <si>
    <t xml:space="preserve">Голосовые сообщения</t>
  </si>
  <si>
    <t xml:space="preserve">Голосовые сообщения без предупреждения</t>
  </si>
  <si>
    <t xml:space="preserve">Кто проходит первым?</t>
  </si>
  <si>
    <t xml:space="preserve">Приветствие на улице</t>
  </si>
  <si>
    <t xml:space="preserve">Чужие переписки</t>
  </si>
  <si>
    <t xml:space="preserve">Без подарка</t>
  </si>
  <si>
    <t xml:space="preserve">Вещи на столе</t>
  </si>
  <si>
    <t xml:space="preserve">В поисках лучшего ракурса для фотографии 📸</t>
  </si>
  <si>
    <t xml:space="preserve">Плевки</t>
  </si>
  <si>
    <t xml:space="preserve">В общественном транспорте</t>
  </si>
  <si>
    <t xml:space="preserve">Третий НЕ лишний</t>
  </si>
  <si>
    <t xml:space="preserve">Как дела? Или повод показать архивы своей фотоплёнки</t>
  </si>
  <si>
    <t xml:space="preserve">Буря эмоций</t>
  </si>
  <si>
    <t xml:space="preserve">Неудачное собеседование</t>
  </si>
  <si>
    <t xml:space="preserve">Как позвать официанта?</t>
  </si>
  <si>
    <t xml:space="preserve">Песни в ресторане</t>
  </si>
  <si>
    <t xml:space="preserve">Узкие улицы</t>
  </si>
  <si>
    <t xml:space="preserve">Решили позвонить кому-то?</t>
  </si>
  <si>
    <t xml:space="preserve">Фото на улице</t>
  </si>
  <si>
    <t xml:space="preserve">Пикник</t>
  </si>
  <si>
    <t xml:space="preserve">Что делать, если опаздываешь?</t>
  </si>
  <si>
    <t xml:space="preserve">Прощание по этикету</t>
  </si>
  <si>
    <t xml:space="preserve">Вандализм</t>
  </si>
  <si>
    <t xml:space="preserve">Звонки за столом</t>
  </si>
  <si>
    <t xml:space="preserve">Светские беседы: ⛔️ политика, религия, семейные или финансовые проблемы и т.п. ✅ книги, премьеры в театре и кино, путешествия и т.п.</t>
  </si>
  <si>
    <t xml:space="preserve">Обед в офисе</t>
  </si>
  <si>
    <t xml:space="preserve">Очереди</t>
  </si>
  <si>
    <t xml:space="preserve">Примерочная</t>
  </si>
  <si>
    <t xml:space="preserve">Придерживайте двери!</t>
  </si>
  <si>
    <t xml:space="preserve">Универсальный подарок</t>
  </si>
  <si>
    <t xml:space="preserve">Горячий напиток</t>
  </si>
  <si>
    <t xml:space="preserve">Музыка</t>
  </si>
  <si>
    <t xml:space="preserve">Лучше раньше?</t>
  </si>
  <si>
    <t xml:space="preserve">Гости пришли без подарка?</t>
  </si>
  <si>
    <t xml:space="preserve">На эскалаторе</t>
  </si>
  <si>
    <t xml:space="preserve">Соблюдайте тишину!</t>
  </si>
  <si>
    <t xml:space="preserve">Этикет взгляда</t>
  </si>
  <si>
    <t xml:space="preserve">Встретились с друзьями на улице?</t>
  </si>
  <si>
    <t xml:space="preserve">В толпе</t>
  </si>
  <si>
    <t xml:space="preserve">Почему надо следить за запахом одежды?</t>
  </si>
  <si>
    <t xml:space="preserve">Не спешите говорить "будь здоров"!</t>
  </si>
  <si>
    <t xml:space="preserve">Почётное место в машине</t>
  </si>
  <si>
    <t xml:space="preserve">В метро</t>
  </si>
  <si>
    <t xml:space="preserve">Авторские права</t>
  </si>
  <si>
    <t xml:space="preserve">Не срывайте цветы!</t>
  </si>
  <si>
    <t xml:space="preserve">Осторожно, огонь!</t>
  </si>
  <si>
    <t xml:space="preserve">Не все городские газоны готовы к вашим объятиям</t>
  </si>
  <si>
    <t xml:space="preserve">Вести параллельно два диалога - не лучший вариант</t>
  </si>
  <si>
    <t xml:space="preserve">Конфуз в ресторане</t>
  </si>
  <si>
    <t xml:space="preserve">Как отказать по этикету?</t>
  </si>
  <si>
    <t xml:space="preserve">Разговоры по телефону в общественных местах</t>
  </si>
  <si>
    <t xml:space="preserve">Семейные наименования</t>
  </si>
  <si>
    <t xml:space="preserve">Китайское метро</t>
  </si>
  <si>
    <t xml:space="preserve">Этикет в спортзале</t>
  </si>
  <si>
    <t xml:space="preserve">Наслаждайтесь капучино, а не издевайтесь над ним☕️</t>
  </si>
  <si>
    <t xml:space="preserve">Как правильно показывать пальцем?</t>
  </si>
  <si>
    <t xml:space="preserve">Как сидеть красиво</t>
  </si>
  <si>
    <t xml:space="preserve">Кто перезванивает?</t>
  </si>
  <si>
    <t xml:space="preserve">Долгая поездка</t>
  </si>
  <si>
    <t xml:space="preserve">Не занимйте место сумками</t>
  </si>
  <si>
    <t xml:space="preserve">Рестораы в Китае</t>
  </si>
  <si>
    <t xml:space="preserve">Не кричите на людей</t>
  </si>
  <si>
    <t xml:space="preserve">Знакомства на улице</t>
  </si>
  <si>
    <t xml:space="preserve">Испепеляющая взглядом</t>
  </si>
  <si>
    <t xml:space="preserve">Еда в поезде</t>
  </si>
  <si>
    <t xml:space="preserve">Оптимальное время ответа на электронное письмо</t>
  </si>
  <si>
    <t xml:space="preserve">Закон или этикет</t>
  </si>
  <si>
    <t xml:space="preserve">Дресс-код в городе</t>
  </si>
  <si>
    <t xml:space="preserve">В диалоге</t>
  </si>
  <si>
    <t xml:space="preserve">Рюкзаки</t>
  </si>
  <si>
    <t xml:space="preserve">Нет наушников - нет музыки</t>
  </si>
  <si>
    <t xml:space="preserve">Сетевой этикет, также известный как «Netiquette» (от английских слов «network» и «etiquette»)</t>
  </si>
  <si>
    <t xml:space="preserve">Деловой макияж</t>
  </si>
  <si>
    <t xml:space="preserve">Наводить красоту</t>
  </si>
  <si>
    <t xml:space="preserve">Красная помада</t>
  </si>
  <si>
    <t xml:space="preserve">Совет дня</t>
  </si>
  <si>
    <t xml:space="preserve">Повторный звонок</t>
  </si>
  <si>
    <t xml:space="preserve">Знакомство в сети</t>
  </si>
  <si>
    <t xml:space="preserve">Круассан 🥐</t>
  </si>
  <si>
    <t xml:space="preserve">Не проходите мимо 🗺️</t>
  </si>
  <si>
    <t xml:space="preserve">Забыли имя собеседника?</t>
  </si>
  <si>
    <t xml:space="preserve">Еда на ходу</t>
  </si>
  <si>
    <t xml:space="preserve">Окурки</t>
  </si>
  <si>
    <t xml:space="preserve">Никогда 🛑</t>
  </si>
  <si>
    <t xml:space="preserve">В лифте</t>
  </si>
  <si>
    <t xml:space="preserve">Вежливый человек</t>
  </si>
  <si>
    <t xml:space="preserve">Кормление птиц</t>
  </si>
  <si>
    <t xml:space="preserve">Что не стоить дарить в Китае? Полное интервью доступно на моей странице✨</t>
  </si>
  <si>
    <t xml:space="preserve">Опоздания в Китае</t>
  </si>
  <si>
    <t xml:space="preserve">Китайский столовый этикет</t>
  </si>
  <si>
    <t xml:space="preserve">(Не) доброе утро</t>
  </si>
  <si>
    <t xml:space="preserve">Не забывайте здороваться и прощаться</t>
  </si>
  <si>
    <t xml:space="preserve">Временные рамки звонков в Китае</t>
  </si>
  <si>
    <t xml:space="preserve">Интимные предметы</t>
  </si>
  <si>
    <t xml:space="preserve">Комплименты в Китае</t>
  </si>
  <si>
    <t xml:space="preserve">Зонт ☔️</t>
  </si>
  <si>
    <t xml:space="preserve">Жест, который точно нельзя делать в Китае</t>
  </si>
  <si>
    <t xml:space="preserve">Три НЕ в достопримечательностях</t>
  </si>
  <si>
    <t xml:space="preserve">Ребёнок в стоматологии @Special One</t>
  </si>
  <si>
    <t xml:space="preserve">Китайский этикет подарков: что делают в момент вручения .</t>
  </si>
  <si>
    <t xml:space="preserve">Как носить сумку 👜</t>
  </si>
  <si>
    <t xml:space="preserve">Китайские палочки</t>
  </si>
  <si>
    <t xml:space="preserve">Звонки</t>
  </si>
  <si>
    <t xml:space="preserve">Лекция в рамках проекта "Образ Будущего"</t>
  </si>
  <si>
    <t xml:space="preserve">Не употребляйте алкоголь перед посещением врача @Special One</t>
  </si>
  <si>
    <t xml:space="preserve">Скоро. Церковный этикет: сюжет об Исаакиевском соборе</t>
  </si>
  <si>
    <t xml:space="preserve">Обращение</t>
  </si>
  <si>
    <t xml:space="preserve">В поисках сокровищ 🧳</t>
  </si>
  <si>
    <t xml:space="preserve">Опоздание к врачу @Special One</t>
  </si>
  <si>
    <t xml:space="preserve">Общие чаты</t>
  </si>
  <si>
    <t xml:space="preserve">В соборе</t>
  </si>
  <si>
    <t xml:space="preserve">Личные границы врача @Special One</t>
  </si>
  <si>
    <t xml:space="preserve">Церковный этикет. Полное видео на канале</t>
  </si>
  <si>
    <t xml:space="preserve">Как принимать цветы 🌺</t>
  </si>
  <si>
    <t xml:space="preserve">Как завязать шарф</t>
  </si>
  <si>
    <t xml:space="preserve">Форс-мажоры @Special One</t>
  </si>
  <si>
    <t xml:space="preserve">Как создать неудобства</t>
  </si>
  <si>
    <t xml:space="preserve">Если нет гардероба</t>
  </si>
  <si>
    <t xml:space="preserve">Как правильно держать чашку ☕️</t>
  </si>
  <si>
    <t xml:space="preserve">Букет цветов</t>
  </si>
  <si>
    <t xml:space="preserve">Жевать жвачку - это неуважение?</t>
  </si>
  <si>
    <t xml:space="preserve">Черная пятница 🔥</t>
  </si>
  <si>
    <t xml:space="preserve">Телефону не место за столом</t>
  </si>
  <si>
    <t xml:space="preserve">Кружочки в Telegram</t>
  </si>
  <si>
    <t xml:space="preserve">Руки в карманах</t>
  </si>
  <si>
    <t xml:space="preserve">Шопинг 🛍️</t>
  </si>
  <si>
    <t xml:space="preserve">Головной убор в помещении 🎩</t>
  </si>
  <si>
    <t xml:space="preserve">Корпоративы</t>
  </si>
  <si>
    <t xml:space="preserve">Бьюти-этикет 💄</t>
  </si>
  <si>
    <t xml:space="preserve">Как правильно уйти по-английски?</t>
  </si>
  <si>
    <t xml:space="preserve">Пакетик с сахаром</t>
  </si>
  <si>
    <t xml:space="preserve">Личный выбор каждого</t>
  </si>
  <si>
    <t xml:space="preserve">Распаковка подарка</t>
  </si>
  <si>
    <t xml:space="preserve">Дети на корпоративах</t>
  </si>
  <si>
    <t xml:space="preserve">Тестер</t>
  </si>
  <si>
    <t xml:space="preserve">Фейерверки</t>
  </si>
  <si>
    <t xml:space="preserve">В кофейне</t>
  </si>
  <si>
    <t xml:space="preserve">Общение на вечеринке</t>
  </si>
  <si>
    <t xml:space="preserve">Как отказаться от 🍷</t>
  </si>
  <si>
    <t xml:space="preserve">Столовый этикет: салаты</t>
  </si>
  <si>
    <t xml:space="preserve">Приглашение на ужин</t>
  </si>
  <si>
    <t xml:space="preserve">Уходить без оглядки, хлопнув дверью, невежливо.</t>
  </si>
  <si>
    <t xml:space="preserve">Рождественский ужин</t>
  </si>
  <si>
    <t xml:space="preserve">Как познакомить гостей</t>
  </si>
  <si>
    <t xml:space="preserve">В разговоре</t>
  </si>
  <si>
    <t xml:space="preserve">Дресс-код на Дне Рождения</t>
  </si>
  <si>
    <t xml:space="preserve">Вопросы о возрасте</t>
  </si>
  <si>
    <t xml:space="preserve">Неэлегантная привычка</t>
  </si>
  <si>
    <t xml:space="preserve">Реакция на подарок</t>
  </si>
  <si>
    <t xml:space="preserve">Доставка подарков</t>
  </si>
  <si>
    <t xml:space="preserve">Женская сумка</t>
  </si>
  <si>
    <t xml:space="preserve">Опоздание на день рождения</t>
  </si>
  <si>
    <t xml:space="preserve">Этикет здоровья</t>
  </si>
  <si>
    <t xml:space="preserve">В кинотеатре</t>
  </si>
  <si>
    <t xml:space="preserve">А вы знаете, почему сумку рекомендуется носить именно так?</t>
  </si>
  <si>
    <t xml:space="preserve">Кто первым заходит в лифт?</t>
  </si>
  <si>
    <t xml:space="preserve">Выход из лифта</t>
  </si>
  <si>
    <t xml:space="preserve">Общение в компании</t>
  </si>
  <si>
    <t xml:space="preserve">Выходя из-за стола</t>
  </si>
  <si>
    <t xml:space="preserve">Правила заведений</t>
  </si>
  <si>
    <t xml:space="preserve">ПДД в супермаркетах</t>
  </si>
  <si>
    <t xml:space="preserve">Как есть круассан?</t>
  </si>
  <si>
    <t xml:space="preserve">Подносы</t>
  </si>
  <si>
    <t xml:space="preserve">Как держать чашку?☕️</t>
  </si>
  <si>
    <t xml:space="preserve">Цветы мужчинам: да или нет?</t>
  </si>
  <si>
    <t xml:space="preserve">Возвращать на места</t>
  </si>
  <si>
    <t xml:space="preserve">Тележка в магазине</t>
  </si>
  <si>
    <t xml:space="preserve">Верхняя одежда в ресторане</t>
  </si>
  <si>
    <t xml:space="preserve">Как держать чашку из керамики?</t>
  </si>
  <si>
    <t xml:space="preserve">Кашель</t>
  </si>
  <si>
    <t xml:space="preserve">Содержимое сумки</t>
  </si>
  <si>
    <t xml:space="preserve">Как пройти к своему месту в кинотеатре?</t>
  </si>
  <si>
    <t xml:space="preserve">Уважение к книгам</t>
  </si>
  <si>
    <t xml:space="preserve">Дамская комната</t>
  </si>
  <si>
    <t xml:space="preserve">Как есть пирожные</t>
  </si>
  <si>
    <t xml:space="preserve">Съемка в кинозале</t>
  </si>
  <si>
    <t xml:space="preserve">Кража тележки</t>
  </si>
  <si>
    <t xml:space="preserve">Тусклый экран</t>
  </si>
  <si>
    <t xml:space="preserve">Важный звонок</t>
  </si>
  <si>
    <t xml:space="preserve">Антисептик</t>
  </si>
  <si>
    <t xml:space="preserve">Зеркало в ресторане</t>
  </si>
  <si>
    <t xml:space="preserve">Столкнувшись в дверях</t>
  </si>
  <si>
    <t xml:space="preserve">Электронные письма в выходные</t>
  </si>
  <si>
    <t xml:space="preserve">Мусор</t>
  </si>
  <si>
    <t xml:space="preserve">Не берите в примерочную больше вещей</t>
  </si>
  <si>
    <t xml:space="preserve">24 часа</t>
  </si>
  <si>
    <t xml:space="preserve">Число пропущенных</t>
  </si>
  <si>
    <t xml:space="preserve">В примерочной</t>
  </si>
  <si>
    <t xml:space="preserve">ПДД в супермаркете</t>
  </si>
  <si>
    <t xml:space="preserve">Опоздания</t>
  </si>
  <si>
    <t xml:space="preserve">Выйти из-за стола</t>
  </si>
  <si>
    <t xml:space="preserve">Не первая помощь</t>
  </si>
  <si>
    <t xml:space="preserve">Три гудка</t>
  </si>
  <si>
    <t xml:space="preserve">С заботой о вещах</t>
  </si>
  <si>
    <t xml:space="preserve">Этикет в разговоре</t>
  </si>
  <si>
    <t xml:space="preserve">Телефонный скандал</t>
  </si>
  <si>
    <t xml:space="preserve">Неудачное блюдо</t>
  </si>
  <si>
    <t xml:space="preserve">Что делать с водой в такси</t>
  </si>
  <si>
    <t xml:space="preserve">Это испортит впечатление о вас</t>
  </si>
  <si>
    <t xml:space="preserve">Солнечные очки в ресторане</t>
  </si>
  <si>
    <t xml:space="preserve">Как правильно есть суп?</t>
  </si>
  <si>
    <t xml:space="preserve">Внезапная встреча</t>
  </si>
  <si>
    <t xml:space="preserve">Если случился конфликт</t>
  </si>
  <si>
    <t xml:space="preserve">Невежливый пассажир</t>
  </si>
  <si>
    <t xml:space="preserve">Как подарить цветы?</t>
  </si>
  <si>
    <t xml:space="preserve">Сидим красиво</t>
  </si>
  <si>
    <t xml:space="preserve">Шляпа в ресторане</t>
  </si>
  <si>
    <t xml:space="preserve">Женщина пропускает мужчину</t>
  </si>
  <si>
    <t xml:space="preserve">Звук в транспорте</t>
  </si>
  <si>
    <t xml:space="preserve">Рассматривать ли людей?</t>
  </si>
  <si>
    <t xml:space="preserve">Я не пью</t>
  </si>
  <si>
    <t xml:space="preserve">Наушники. Образ от российского бренда www.rafinadshop.com</t>
  </si>
  <si>
    <t xml:space="preserve">Комплименты</t>
  </si>
  <si>
    <t xml:space="preserve">Эскалатор</t>
  </si>
  <si>
    <t xml:space="preserve">Как вы думаете, почему не стоит этого говорить? Образ от российского бренда www.rafinadshop.com</t>
  </si>
  <si>
    <t xml:space="preserve">Общее правило для напитков</t>
  </si>
  <si>
    <t xml:space="preserve">Будьте здоровы</t>
  </si>
  <si>
    <t xml:space="preserve">Макияж в метро</t>
  </si>
  <si>
    <t xml:space="preserve">Анти-джентельмен, это Вы?</t>
  </si>
  <si>
    <t xml:space="preserve">Я худею Магазин - Rafinad rafinadshop.com</t>
  </si>
  <si>
    <t xml:space="preserve">Перейдем на ты?</t>
  </si>
  <si>
    <t xml:space="preserve">А как вы думаете, надо ли открывать подарок в момент вручения? Жду ваших комментариев.</t>
  </si>
  <si>
    <t xml:space="preserve">Рекомендации светского этикета о подарках в момент вручения. Магазин - Rafinad rafinadshop.com</t>
  </si>
  <si>
    <t xml:space="preserve">ролик</t>
  </si>
  <si>
    <t xml:space="preserve">Виртуальные встречи без ошибок: Zoom этикет</t>
  </si>
  <si>
    <t xml:space="preserve">Как есть рассыпающийся десерт согласно этикету?</t>
  </si>
  <si>
    <t xml:space="preserve">Что сказать на подаренный букет цветов?  valentinahli – первый образовательный блог об этикете.  #светскийэтикетсвалентинойхлистун</t>
  </si>
  <si>
    <t xml:space="preserve">Поцелуй при встрече по этикету – какой же он?</t>
  </si>
  <si>
    <t xml:space="preserve">Как элегантно расположить сумку в кафе?  Образ от российского бренда https://rafinadshop.com/</t>
  </si>
  <si>
    <t xml:space="preserve">Этикет в метро</t>
  </si>
  <si>
    <t xml:space="preserve">По какой стороне эскалатора в метро принято идти, а на какой стоять?</t>
  </si>
  <si>
    <t xml:space="preserve">Как реагировать на астрологические предсказания согласно этикету, даже если вы в них не особо верите?</t>
  </si>
  <si>
    <t xml:space="preserve">Можно ли есть в метро согласно этикету?</t>
  </si>
  <si>
    <t xml:space="preserve">Где расположить сумку в ресторане? Сумка от российского бренда https://sinika.ru/</t>
  </si>
  <si>
    <t xml:space="preserve">Нога на ногу в метро – это по этикету?</t>
  </si>
  <si>
    <t xml:space="preserve">Можно ли носить очки на голове по этикету?</t>
  </si>
  <si>
    <t xml:space="preserve">Пожимать ли руку даме?</t>
  </si>
  <si>
    <t xml:space="preserve">До сих пор ставите большие сумки на стол? Не стоит этого делать!</t>
  </si>
  <si>
    <t xml:space="preserve">Могу я Вам помочь?</t>
  </si>
  <si>
    <t xml:space="preserve">Стоит ли говорить «спасибо» каждый раз, когда вам подают новое блюдо?</t>
  </si>
  <si>
    <t xml:space="preserve">Как начать разговор с незнакомым человеком?</t>
  </si>
  <si>
    <t xml:space="preserve">Банкетка для сумки в ресторане и ресторанный сервис. Сумка от российского бренда https://sinika.ru/</t>
  </si>
  <si>
    <t xml:space="preserve">Как держать бокал согласно этикету?</t>
  </si>
  <si>
    <t xml:space="preserve">Как обращаться к консультанту в магазине? Образ от российского бренда «Рафинад» https://rafinadshop.com/</t>
  </si>
  <si>
    <t xml:space="preserve">Этикет в примерочной. Образ от российского бренда «Рафинад» https://rafinadshop.com/</t>
  </si>
  <si>
    <t xml:space="preserve">На какие темы лучше не вести small talk? Образ от российского бренда https://rafinadshop.com/</t>
  </si>
  <si>
    <t xml:space="preserve">Что делать, если приборы убраны в тканевую салфетку?</t>
  </si>
  <si>
    <t xml:space="preserve">Как позвать человека по этикету?</t>
  </si>
  <si>
    <t xml:space="preserve">Как есть салат по этикету?</t>
  </si>
  <si>
    <t xml:space="preserve">Как держать бокал по этикету?</t>
  </si>
  <si>
    <t xml:space="preserve">Сомневаетесь в стерильности столовых приборов в ресторане?</t>
  </si>
  <si>
    <t xml:space="preserve">Далеко не в каждом ресторане зубочистки вас ждут на столе, однако даже если они стоят перед вами, пользоваться ими нельзя</t>
  </si>
  <si>
    <t xml:space="preserve">Каждый день мы делаем выбор: большую сумку и набить её для отказа или выбрать маленькую, а всё не уместившееся положить в пакет</t>
  </si>
  <si>
    <t xml:space="preserve">Порой лекарства становятся частью рациона. Если необходимо принять таблетки за столом, то лучше сделать это не объясняя причин и не углубляясь в историю болезни</t>
  </si>
  <si>
    <t xml:space="preserve">Этикет в салоне оптики. Очки из бутика эксклюзивной оптики Gluten Free Frames — https://glutenfreeoptics.com/</t>
  </si>
  <si>
    <t xml:space="preserve">Это выдаст в вас простушку. Соблазнительно накрасив губы, может вы и привлекли его внимание, но еще выдали в себе простушку. Лучше оставить это для дамской комнаты</t>
  </si>
  <si>
    <t xml:space="preserve">Основы этикета в салоне оптики. Очки из бутика эксклюзивной оптики Gluten Free Frames —https://glutenfreeoptics.com/</t>
  </si>
  <si>
    <t xml:space="preserve">Этикет для левши</t>
  </si>
  <si>
    <t xml:space="preserve">Вежливые слова</t>
  </si>
  <si>
    <t xml:space="preserve">Словарь в цифровом этикете</t>
  </si>
  <si>
    <t xml:space="preserve">Китайский деликатес</t>
  </si>
  <si>
    <t xml:space="preserve">Заметила тенденцию среди блоггеров ставить сумки на столы в ресторанах для создания контента, а их подписчики всё чаще берут это в пример. Поэтому встретить сумку на столе не такая уж редкость!</t>
  </si>
  <si>
    <t xml:space="preserve">Табу для джентельмена</t>
  </si>
  <si>
    <t xml:space="preserve">Этикет сообщений</t>
  </si>
  <si>
    <t xml:space="preserve">Если не понравилась еда в ресторане</t>
  </si>
  <si>
    <t xml:space="preserve">Как есть оливье по этикету</t>
  </si>
  <si>
    <t xml:space="preserve">Когда распаковывать подарок</t>
  </si>
  <si>
    <t xml:space="preserve">Как отказаться от алкоголя</t>
  </si>
  <si>
    <t xml:space="preserve">Что делать, если подарок не понравился</t>
  </si>
  <si>
    <t xml:space="preserve">Еще бокальчик</t>
  </si>
  <si>
    <t xml:space="preserve">Оскорбительные комментарии</t>
  </si>
  <si>
    <t xml:space="preserve">Синдром дефицита внимания</t>
  </si>
  <si>
    <t xml:space="preserve">В гости с пустыми руками</t>
  </si>
  <si>
    <t xml:space="preserve">Под землей тоже есть этикет!</t>
  </si>
  <si>
    <t xml:space="preserve">Как отодвигать стул</t>
  </si>
  <si>
    <t xml:space="preserve">Столик на компанию</t>
  </si>
  <si>
    <t xml:space="preserve">Этикет дня рождения</t>
  </si>
  <si>
    <t xml:space="preserve">Эти привычки выдадут вашу невоспитанность</t>
  </si>
  <si>
    <t xml:space="preserve">Цветы в горшках</t>
  </si>
  <si>
    <t xml:space="preserve">Парфюм без меры</t>
  </si>
  <si>
    <t xml:space="preserve">Близкие люди и телефон</t>
  </si>
  <si>
    <t xml:space="preserve">Когда стоит закрывать ноутбук на встрече?</t>
  </si>
  <si>
    <t xml:space="preserve">Зубочистки за столом</t>
  </si>
  <si>
    <t xml:space="preserve">Обесценивание</t>
  </si>
  <si>
    <t xml:space="preserve">Какие цветы нельзя дарить</t>
  </si>
  <si>
    <t xml:space="preserve">Кто первым здоровается?</t>
  </si>
  <si>
    <t xml:space="preserve">Громкая связь</t>
  </si>
  <si>
    <t xml:space="preserve">Как спросить о возрасте?</t>
  </si>
  <si>
    <t xml:space="preserve">Охрана в магазинах</t>
  </si>
  <si>
    <t xml:space="preserve">Я никогда не… 📌… поправляю чужие манеры на публике 📌 … говорю: «Ой, ты что, не знаешь, как правильно?» 📌 … навязываю этикет 📌 … забываю, что этикет – это не про меня. Это про других</t>
  </si>
  <si>
    <t xml:space="preserve">1) Этикет – это устаревшее. Это навигация по социальным кодам 2) Вежливость – это слабость. Наоборот 3) Этикет для женщин. Этикет для всех 4) Это никому не нужно. Этикет – это ваш социальный капитал</t>
  </si>
  <si>
    <t xml:space="preserve">Я эксперт по этикету и мне больно смотреть на то, когда 1) салфетка не на коленях 2) Тост говорят за себя 3) Машут официанту...</t>
  </si>
  <si>
    <t xml:space="preserve">Пить никто не заставляет</t>
  </si>
  <si>
    <t xml:space="preserve">5 фраз, которые моментально выдают профессионала:  1) «Позвольте уточнить, чтобы избежать недопонимания».... Продолжение в комментариях!</t>
  </si>
  <si>
    <t xml:space="preserve">Топ-5 ошибок этикета, которые совершают даже интеллигентные люди.  1) Отвечать комплиментом на комплимент. — «Какая у вас блузка!» — «И у вас тоже красивая!»... Продолжение в комментариях...</t>
  </si>
  <si>
    <t xml:space="preserve">Почему воспитанные так не делают, даже если могут? 1) Они не поправляют чужие ошибки на публике. Даже если слово сказано с ударением не туда. Продолжение в комментариях...</t>
  </si>
  <si>
    <t xml:space="preserve">Как запоминать имена сразу? Умение запомнить имя собеседника – это не врождённый талант, а навык. И одновременно способ проявить уважение... Продолжение в комментариях!</t>
  </si>
  <si>
    <t xml:space="preserve">Факты обо мне, которые не сочетаются с моей личностью как специалиста по этикету:  1) Постоянно нарушаю этикет! 2) Продолжение в комментариях...</t>
  </si>
  <si>
    <t xml:space="preserve">Что стоило бы знать об этикете в 20, чтобы не сожалеть об этом в 40... Ответ в комментариях!</t>
  </si>
  <si>
    <t xml:space="preserve">Я эксперт по этикету, и вот что вас реально выдаёт...</t>
  </si>
  <si>
    <t xml:space="preserve">Помогать, когда не просят?</t>
  </si>
  <si>
    <t xml:space="preserve">5 привычек, которые сигнализируют плохое воспитание 1. Громко разговаривать по телефону в общественных..... (продолжение в комментариях)</t>
  </si>
  <si>
    <t xml:space="preserve">Топ-5 признаков тихой роскоши в поведении... Продолжение в комментариях...</t>
  </si>
  <si>
    <t xml:space="preserve">Лайфхаки этикета, чтобы вас запоминали надолго 1. Называйте собеседника по имени, особенно в конце разговора. Это не манипуляция, это уважение к индивидуальности... продолжение в комментариях</t>
  </si>
  <si>
    <t xml:space="preserve">Топ привычек настоящих леди и джентльменов (через призму современного этикета) 1. Они уважают чужое время. Не опаздывают, не затягивают встречи, отменяют встречи... (продолжение в комментариях...)</t>
  </si>
  <si>
    <t xml:space="preserve">Как всегда производить хорошее впечатление... (продолжение в комментариях)</t>
  </si>
  <si>
    <t xml:space="preserve">Лето – не просто сезон. Это состояние. Простое, как босые ноги в тёплом песке. Лёгкое, как дыхание у воды. Точное, как правильный купальник.</t>
  </si>
  <si>
    <t xml:space="preserve">Пять летних ошибок, которые разрушают ваш образ 📌 Синтетика в жару – враг грации... Продолжение в комментариях</t>
  </si>
  <si>
    <t xml:space="preserve">Нужен ли этикет везде? Пять доказательств тому, что да Этикет нужен везде. Вот почему: 1️⃣ Он помогает не нарушать чужие границы. Продолжение в комментариях...</t>
  </si>
  <si>
    <t xml:space="preserve">Ты или Вы?</t>
  </si>
  <si>
    <t xml:space="preserve">Как обращаться с манжетами за столом? Даже если дресс-код white tie, а вы пришли в вечернем платье в пол... (продолжение в комментариях)</t>
  </si>
  <si>
    <t xml:space="preserve">Еда вилкой и ножом vs. руками – вопрос не только удобства, но и уровня формальности 📌 Пицца... (Продолжение в комментариях)</t>
  </si>
  <si>
    <t xml:space="preserve">5 ошибок, которые сразу бросаются в глаза в ресторане. 1️⃣ Салфетка Её место не на столе и не под тарелкой... Продолжение в комментариях</t>
  </si>
  <si>
    <t xml:space="preserve">Веди себя достойно!</t>
  </si>
  <si>
    <t xml:space="preserve">Поздние письма</t>
  </si>
  <si>
    <t xml:space="preserve">Как вкусно поужинать</t>
  </si>
  <si>
    <t xml:space="preserve">Каждому блюду свой подход</t>
  </si>
  <si>
    <t xml:space="preserve">Как испортить о себе впечатление</t>
  </si>
  <si>
    <t xml:space="preserve">В праздничной суете</t>
  </si>
  <si>
    <t xml:space="preserve">Примеры элегантных и современных пожеланий вы сможете найти в закрепленном комментарии</t>
  </si>
  <si>
    <t xml:space="preserve">А вы предпочитаете кофе с собой или разрешаете себе паузу на чашку кофе в кофейне?</t>
  </si>
  <si>
    <t xml:space="preserve">Как передавать соль и перец по этикету?</t>
  </si>
  <si>
    <t xml:space="preserve">Как избежать просьб за столом в стиле «передайте соль, пожалуйста» или «будьте добры перец»?</t>
  </si>
  <si>
    <t xml:space="preserve">Как выйти из-за стола по этикету?</t>
  </si>
  <si>
    <t xml:space="preserve">Цветы в подарок мужчине?</t>
  </si>
  <si>
    <t xml:space="preserve">Как дарить цветы по этикету?</t>
  </si>
  <si>
    <t xml:space="preserve">Манерничать у витрин</t>
  </si>
  <si>
    <t xml:space="preserve">Что такое селфи по этикету?</t>
  </si>
  <si>
    <t xml:space="preserve">Как есть сырники по этикету</t>
  </si>
  <si>
    <t xml:space="preserve">Когда блюдо нужно приправлять специями?</t>
  </si>
  <si>
    <t xml:space="preserve">Как читать меню?</t>
  </si>
  <si>
    <t xml:space="preserve">В ожидании встречи в ресторане</t>
  </si>
  <si>
    <t xml:space="preserve">Как реагировать на неудачный подарок</t>
  </si>
  <si>
    <t xml:space="preserve">План действий при знакомстве</t>
  </si>
  <si>
    <t xml:space="preserve">Что отделяет вас от океана?🇲🇦</t>
  </si>
  <si>
    <t xml:space="preserve">Самое главное правило на встрече</t>
  </si>
  <si>
    <t xml:space="preserve">Мои комментаторы на ДЗЕНе - котики</t>
  </si>
  <si>
    <t xml:space="preserve">Что такое нулевой день ПМЭФ?</t>
  </si>
  <si>
    <t xml:space="preserve">Идея для идеального свидания</t>
  </si>
  <si>
    <t xml:space="preserve">Одно из любимых мест местных жителей, куда порой не доходят толпы туристов. Адрес в конце видео ☕️</t>
  </si>
  <si>
    <t xml:space="preserve">А вы знали, что знаменитые медведи Ральфа – это не просто логотип бренда?</t>
  </si>
  <si>
    <t xml:space="preserve">Как читать фрески в Ватикане?</t>
  </si>
  <si>
    <t xml:space="preserve">Когда я увидела это видео, у меня внутри всё перевернулось. Честно говоря, я испытала настоящее отвращение.... Продолжение в комментариях ➡️</t>
  </si>
  <si>
    <t xml:space="preserve">О культурном вестнике. Новый выпуск уже завтра!</t>
  </si>
  <si>
    <t xml:space="preserve">Топ-5 правил dress code на корте</t>
  </si>
  <si>
    <t xml:space="preserve">Посты</t>
  </si>
  <si>
    <t xml:space="preserve">Короткие посты. Отдельный лист по той же причине.</t>
  </si>
  <si>
    <t xml:space="preserve">Мастер-класс по имиджу и деловому этикету  Если у вас нет планов на 6 марта и…</t>
  </si>
  <si>
    <t xml:space="preserve">Много не бывает! Образований..  Я заканчиваю школу и нервно думаю, куда…</t>
  </si>
  <si>
    <t xml:space="preserve">Накануне Международного женского дня прошла конференция «Женщины ДЕЛА…</t>
  </si>
  <si>
    <t xml:space="preserve">Новости по социальному проекту  Я очень рада поделиться новостями о социальном…</t>
  </si>
  <si>
    <t xml:space="preserve">Пару дней назад посетила очередную школу со своим проектом «Образ Будущего…</t>
  </si>
  <si>
    <t xml:space="preserve">НЕ всегда говори да  Многие из нас боятся сказать "нет". Мы переживаем, что…</t>
  </si>
  <si>
    <t xml:space="preserve">Воскресенье - прекрасный день,  Чтобы посетить петербургскую ярмарку 💫   Я не…</t>
  </si>
  <si>
    <t xml:space="preserve">Мистер и Мисс Этикет  На днях мне прислали ссылку на хранилище с видео от…</t>
  </si>
  <si>
    <t xml:space="preserve">У меня красивая фигура, но   зачастую я выбираю оверсайзы и мужские пиджаки…</t>
  </si>
  <si>
    <t xml:space="preserve">Я выгорела  или сгорела от обиды и непонимания, даже не знаю, что было бы…</t>
  </si>
  <si>
    <t xml:space="preserve">Если деловой образ состоит из двух цветов в одежде, это нормально?  Да, это…</t>
  </si>
  <si>
    <t xml:space="preserve">Мое отношение к российским дизайнерам  Да, российские дизайнеры в одежде…</t>
  </si>
  <si>
    <t xml:space="preserve">Что делает эксперта специалистом международного уровня? Диплом? Или практика…</t>
  </si>
  <si>
    <t xml:space="preserve">Одежда для мужчин  Этот вопрос значительно сложнее, не знаю, с чем конкретно…</t>
  </si>
  <si>
    <t xml:space="preserve">Этикет с французского означает "этикетка", а этикетка - это своего рода и есть…</t>
  </si>
  <si>
    <t xml:space="preserve">В первый рабочий день в Алжире я услышала фразу: «У вас часы, а у нас время…</t>
  </si>
  <si>
    <t xml:space="preserve">Доброе утро! Добрый день! Здравствуйте!  Правила приветствия обуславливаются…</t>
  </si>
  <si>
    <t xml:space="preserve">Одним из важных аспектов этикета является правильное общение с собеседником…</t>
  </si>
  <si>
    <t xml:space="preserve">Однажды в Алжире во время прогулки со знакомой и ее дочерью, к нам подошел…</t>
  </si>
  <si>
    <t xml:space="preserve">Как понять, что вы плохой слушатель ?!  ➖ Вы не задаете вопросы и не…</t>
  </si>
  <si>
    <t xml:space="preserve">Нужна ваша поддержка!🙌🏻  Давно поняла, что пора начинать что-то новое в…</t>
  </si>
  <si>
    <t xml:space="preserve">Об этом я не жалею!  У меня есть образования, которые едва ли мне пригодились…</t>
  </si>
  <si>
    <t xml:space="preserve">В зале полная тишина,  оркестр сосредоточено играет второй акт лебединого…</t>
  </si>
  <si>
    <t xml:space="preserve">(не)Прошенный совет  Сегодня я бы хотела затронуть тему советов, но не в…</t>
  </si>
  <si>
    <t xml:space="preserve">Удивительно, как отдых «вторгся» в мою рабочую жизнь. Если ещё месяц назад я…</t>
  </si>
  <si>
    <t xml:space="preserve">Могу я вам дать совет?  Как часто у вас спрашивали о таком, прежде чем дать…</t>
  </si>
  <si>
    <t xml:space="preserve">Я не права?  Чрезмерная ответственность порой мешает мне спокойно жить, не…</t>
  </si>
  <si>
    <t xml:space="preserve">Мой первый ПМЭФ  Я бы не поверила себе, услышав это еще пару лет назад. Сейчас…</t>
  </si>
  <si>
    <t xml:space="preserve">Основатель студии грима на киностудии  Я не часто об этом говорю, хотя…</t>
  </si>
  <si>
    <t xml:space="preserve">Босоножки и этикет  В жаркие летние дни, когда температура на улице…</t>
  </si>
  <si>
    <t xml:space="preserve">Любите лето? А жару?  Я очень теплолюбивая, мне практически всегда холодно…</t>
  </si>
  <si>
    <t xml:space="preserve">Солнцезащитные очки – это не только стильный аксессуар, но и необходимый…</t>
  </si>
  <si>
    <t xml:space="preserve">Знаете это чувство,  когда ресурсы исчерпаны и нет сил выполнять повседневные…</t>
  </si>
  <si>
    <t xml:space="preserve">Хотите узнать о моем увлечении?  У меня есть хобби, которое одно время даже…</t>
  </si>
  <si>
    <t xml:space="preserve">Недавно мне задали интересный вопрос, который я хочу осветить в блоге: отличия…</t>
  </si>
  <si>
    <t xml:space="preserve">Всем стоять, телефон на стол, руки за голову  или ещё одно правило, которому…</t>
  </si>
  <si>
    <t xml:space="preserve">Я уже не раз затрагивала тему комплиментов в блоге, но, пожалуй, об этом можно…</t>
  </si>
  <si>
    <t xml:space="preserve">Если вы часто пишите электронные письма, то это для Вас. Если нет, то не…</t>
  </si>
  <si>
    <t xml:space="preserve">«Я уже»  В работе мне особенно нравятся люди, которые придерживаются принцип…</t>
  </si>
  <si>
    <t xml:space="preserve">Пляж  Летом городские парки наполняются желающими пополнить свои запасы…</t>
  </si>
  <si>
    <t xml:space="preserve">Вы любите цветы?  8 и 9 июля пройдёт ежегодный фестиваль цветов (впервые в…</t>
  </si>
  <si>
    <t xml:space="preserve">- «Скажи волшебное слово»  Вам тоже так говорили в детстве? Мне кажется, что…</t>
  </si>
  <si>
    <t xml:space="preserve">Неужели в 21 веке они еще нужны?   О да и еще как! 🙌🏻 В деловой среде без…</t>
  </si>
  <si>
    <t xml:space="preserve">Переписка  Сначала мы были ограничены скобками, потом в нашей жизни появились…</t>
  </si>
  <si>
    <t xml:space="preserve">Самое сложное - это промолчать или сделать вид, что вы не заметили очевидных…</t>
  </si>
  <si>
    <t xml:space="preserve">Как вы относитесь к тому, когда человек смотрит/слушает что-то в телефоне без…</t>
  </si>
  <si>
    <t xml:space="preserve">Для тех, кто любит каблуки…  Вчера я сделала один очень нужный и правильный…</t>
  </si>
  <si>
    <t xml:space="preserve">Только вчера провели фестиваль, а уже есть публикации в СМИ😍   В скором…</t>
  </si>
  <si>
    <t xml:space="preserve">Как сохранить самообладание и провести фестиваль  На самом деле этот вопрос…</t>
  </si>
  <si>
    <t xml:space="preserve">Войсы/Голосовые/аудиосообщения  Эта тема вызывает много споров. Кто-то…</t>
  </si>
  <si>
    <t xml:space="preserve">Еще недавно я подавала документы на визу в Алжир, а сейчас не без проблем в…</t>
  </si>
  <si>
    <t xml:space="preserve">Войсы и голосовые в деловой среде.   Соглашусь, что классно наговаривать…</t>
  </si>
  <si>
    <t xml:space="preserve">В нашей жизни мы порой оказываемся в ситуациях со сложными собеседниками или…</t>
  </si>
  <si>
    <t xml:space="preserve">Вот бы можно было бы просто щелкнуть пальцами и достичь цели, но чаще всего…</t>
  </si>
  <si>
    <t xml:space="preserve">Что вы сейчас читаете ? 📚 Буду рада обсудить с вами или взять на заметку ваши…</t>
  </si>
  <si>
    <t xml:space="preserve">Когда важно не опаздывать?  ⏰ Когда вы хотите произвести положительное…</t>
  </si>
  <si>
    <t xml:space="preserve">Существует негласное правило – стоимость вашего наряда должна приблизительно…</t>
  </si>
  <si>
    <t xml:space="preserve">Вы тоже слышите улыбку через телефон? 😊  Речь, манера и интонация - три кита…</t>
  </si>
  <si>
    <t xml:space="preserve">Пост: Вы можете не знать название для ЭТОГО, но точно хоть раз сталкивались с…</t>
  </si>
  <si>
    <t xml:space="preserve">⁃ О чем ваши лекции?  ⁃ Об имидже.  ⁃ А что это? В целом про одежду?  ⁃ Я…</t>
  </si>
  <si>
    <t xml:space="preserve">Как правильно представить кого-то в деловом мире?  Ситуация очень простая…</t>
  </si>
  <si>
    <t xml:space="preserve">Товарищ? Гражданин? Или сударь?   Формы обращения к другому человеку в…</t>
  </si>
  <si>
    <t xml:space="preserve">Люблю выезжать на природу, где не слышно гула машин, плохо ловит интернет и…</t>
  </si>
  <si>
    <t xml:space="preserve">Чай. Кофе. Деловой этикет.   Важно помнить, что в деловом общении каждый…</t>
  </si>
  <si>
    <t xml:space="preserve">Знаете, как эффектно обозвать ситуацию, в которой один человек говорит больше…</t>
  </si>
  <si>
    <t xml:space="preserve">Ходить в гости - сейчас уже что-то из детства, да? 🧸  Проще стало встречаться…</t>
  </si>
  <si>
    <t xml:space="preserve">На наших глазах этикет принимает новые формы, а мы смотрим мимо и не видим…</t>
  </si>
  <si>
    <t xml:space="preserve">Что особенного в хлебе, фруктах, помидорах и огурцах?   Эту еду можно брать со…</t>
  </si>
  <si>
    <t xml:space="preserve">Недавно водитель компании, в которой я читала лекции, произвел на меня…</t>
  </si>
  <si>
    <t xml:space="preserve">В последнее время все больше людей стали игнорировать театральный дресс-код и…</t>
  </si>
  <si>
    <t xml:space="preserve">Через месяц начнётся новый учебный год и я возобновлю свои лекции с проектом…</t>
  </si>
  <si>
    <t xml:space="preserve">Кто давно на меня подписан, знают, что одним из моих профессиональных занятий…</t>
  </si>
  <si>
    <t xml:space="preserve">Я хотела бы сама посетить такую лекцию, как моя.   Это плохо?  Каждый раз…</t>
  </si>
  <si>
    <t xml:space="preserve">Этикет в самолете 💺  Во время полета каждый пассажир стремится сделать свое…</t>
  </si>
  <si>
    <t xml:space="preserve">Как все не испортить рукопожатием?  Рукопожатие является одним из самых…</t>
  </si>
  <si>
    <t xml:space="preserve">Прогноз погоды обещает аномальную жару в городе, самое время уехать туда, где…</t>
  </si>
  <si>
    <t xml:space="preserve">Жалко денег на цветы?  Да, действительно, порой букет цветов отживает свой…</t>
  </si>
  <si>
    <t xml:space="preserve">Чрезмерное употребление духов вредит не только вашему здоровью  Наверняка вы…</t>
  </si>
  <si>
    <t xml:space="preserve">Дедлайны, фидбеки, бэкграунды  Уместны ли при деловом общении?  Использование…</t>
  </si>
  <si>
    <t xml:space="preserve">Счастье или везение?  Я не провела ни дня за нелюбимым делом! Кто-то назовет…</t>
  </si>
  <si>
    <t xml:space="preserve">Этикет телефонного приветствия  Телефонное приветствие - это первое…</t>
  </si>
  <si>
    <t xml:space="preserve">Отзыв о Выставке «Перевернутое Сафари» в Манеже  Друзья, недавно я посетила…</t>
  </si>
  <si>
    <t xml:space="preserve">Извинение является важной частью этикета общения и помогает поддерживать…</t>
  </si>
  <si>
    <t xml:space="preserve">Собеседование является важным этапом процесса поиска работы. Во время этого…</t>
  </si>
  <si>
    <t xml:space="preserve">Сегодня произошла история, которая в очередной раз напомнила мне, как важна…</t>
  </si>
  <si>
    <t xml:space="preserve">Как сделать ваше приглашение на деловое мероприятие максимально эффективным…</t>
  </si>
  <si>
    <t xml:space="preserve">Где беру вдохновение и как сохраняю мотивацию  Для меня вдохновение – это, в…</t>
  </si>
  <si>
    <t xml:space="preserve">У меня нет детей, и я не даю советов о воспитании. Можно мы просто…</t>
  </si>
  <si>
    <t xml:space="preserve">Этикет и личное пространство  Общение – это ключевой аспект нашей жизни…</t>
  </si>
  <si>
    <t xml:space="preserve">Маленькие детали, которые делают вас истинным джентльменом или леди   Мы так…</t>
  </si>
  <si>
    <t xml:space="preserve">как я научилась публично выступать и коммуницировать.  Многие из нас, возможно…</t>
  </si>
  <si>
    <t xml:space="preserve">Обед или ужин в ресторане – это гастрономическое приключение, раскрывающее мир…</t>
  </si>
  <si>
    <t xml:space="preserve">Через пару дней улетаю в командировку в Китай. Если вы уже были в поднебесной…</t>
  </si>
  <si>
    <t xml:space="preserve">Деловые обеды и ужины – это не только возможность насладиться изысканными…</t>
  </si>
  <si>
    <t xml:space="preserve">Посещения кинотеатра или зона свободная от этикета  Если в большинстве…</t>
  </si>
  <si>
    <t xml:space="preserve">Обратная сторона моей жизни заключается в том, что меня боятся люди  Каждый из…</t>
  </si>
  <si>
    <t xml:space="preserve">Один из вопросов, который я часто слышу, — как вежливо выразить свою точку…</t>
  </si>
  <si>
    <t xml:space="preserve">Как сохранить спокойствие и при этом поддерживать этичный онлайн-диалог…</t>
  </si>
  <si>
    <t xml:space="preserve">🇨🇳 За два дня работы в Пекине, собрала 8 интересных фактов о Китае…</t>
  </si>
  <si>
    <t xml:space="preserve">С днём знаний! 📚   1 сентября – день, который символизирует начало учебного…</t>
  </si>
  <si>
    <t xml:space="preserve">Время не стоит на месте, и то, что мы сегодня называем "этикетом", имело свои…</t>
  </si>
  <si>
    <t xml:space="preserve">Ранее на этой неделе мы обсудили, как важно выражать свою точку зрения, не…</t>
  </si>
  <si>
    <t xml:space="preserve">Деловой этикет: онлайн встречи  В мире, где удаленная работа и виртуальные…</t>
  </si>
  <si>
    <t xml:space="preserve">Женщина приглашает мужчину в ресторан: кто платит?  Для многих людей, особенно…</t>
  </si>
  <si>
    <t xml:space="preserve">Сегодня хочу поделиться с вами моими впечатлениями от недавнего восьмичасового…</t>
  </si>
  <si>
    <t xml:space="preserve">Деловой макияж – это не просто манипуляции с красками и кисточками, это…</t>
  </si>
  <si>
    <t xml:space="preserve">Ожидание спутницы(ка) в ресторане   Вопросы этикета и правил приглашения в…</t>
  </si>
  <si>
    <t xml:space="preserve">Раньше, когда я путешествовала, всегда было время прийти в себя, иногда…</t>
  </si>
  <si>
    <t xml:space="preserve">Служебный этикет – это своего рода "кодекс чести" корпоративного мира. Он…</t>
  </si>
  <si>
    <t xml:space="preserve">Важные шаги к изменению русской культуры и общественного уклада были сделаны…</t>
  </si>
  <si>
    <t xml:space="preserve">В моих многочисленных путешествиях я всегда обращаю внимание на уникальные…</t>
  </si>
  <si>
    <t xml:space="preserve">Этикет руководителя   Современное лидерство - это не просто вынесение решений…</t>
  </si>
  <si>
    <t xml:space="preserve">Как закончить беседу  Завершение разговора — это как завершение главы в…</t>
  </si>
  <si>
    <t xml:space="preserve">Поддержка в трудные моменты   В моменты горя и утраты слова соболезнования и…</t>
  </si>
  <si>
    <t xml:space="preserve">Торжественные мероприятия   Правильно подобранная одежда не только помогает…</t>
  </si>
  <si>
    <t xml:space="preserve">Сервировка стола для официального приема   Правильная сервировка не только…</t>
  </si>
  <si>
    <t xml:space="preserve">Кажется, я нашла способ выиграть несколько часов в сутках!   Последнюю неделю…</t>
  </si>
  <si>
    <t xml:space="preserve">Натянутая вежливость в деловых письмах   Деловая переписка важна в…</t>
  </si>
  <si>
    <t xml:space="preserve">Давайте проведем небольшой интерактив и посчитаем количество ответов "да". В…</t>
  </si>
  <si>
    <t xml:space="preserve">Я выросла на диснеевских мультфильмах, смотрела американские фильмы, читала…</t>
  </si>
  <si>
    <t xml:space="preserve">Эвфемизмы   Сегодня хочу поговорить о речевой культуре и одном из её важных…</t>
  </si>
  <si>
    <t xml:space="preserve">Как культурно завершить вечер   Проведение вечеринки или дружеской встречи…</t>
  </si>
  <si>
    <t xml:space="preserve">Впервые у меня закончился контент.  Обычно съемками я занимаюсь в Петербурге…</t>
  </si>
  <si>
    <t xml:space="preserve">Несколько комплиментов от прохожих за один вечер. Москва вызывает культурный…</t>
  </si>
  <si>
    <t xml:space="preserve">Спасибо за вашу поддержку и комментарии - это очень помогает росту блога. Ваше…</t>
  </si>
  <si>
    <t xml:space="preserve">Как определить, что ситуация является этикетной?   Этикетные ситуации обычно…</t>
  </si>
  <si>
    <t xml:space="preserve">Тактичность — это важное качество, которое может сделать нашу жизнь более…</t>
  </si>
  <si>
    <t xml:space="preserve">Путешествия и проживание за границей – это удивительные и насыщенные опытом…</t>
  </si>
  <si>
    <t xml:space="preserve">Уверенность часто приходит к нам с нашими победами. Этот внутренний огонек…</t>
  </si>
  <si>
    <t xml:space="preserve">День рождения в коллективе   Празднование особых дат и дней рождения в…</t>
  </si>
  <si>
    <t xml:space="preserve">Когда решаете переночевать у друзей или знакомых   Дом каждого человека - это…</t>
  </si>
  <si>
    <t xml:space="preserve">Петиметры и кокетки  Влияние французской культуры на российские нравы и этикет…</t>
  </si>
  <si>
    <t xml:space="preserve">Речевые конструкторы - это как амортизаторы для наших разговоров, они помогают…</t>
  </si>
  <si>
    <t xml:space="preserve">Что вы выберете: арбуз или дыню? 🍉🍈  Пока думаете, что для вас вкуснее…</t>
  </si>
  <si>
    <t xml:space="preserve">Осень уже в самом разгаре, но это не повод грустить! 🍂   Желаю всем хороших…</t>
  </si>
  <si>
    <t xml:space="preserve">Психологи утверждают, что 55% наших эмоций и намерений выражаются через…</t>
  </si>
  <si>
    <t xml:space="preserve">Доброжелательная мимика, да что это вообще значит?  Часто слышу советы и…</t>
  </si>
  <si>
    <t xml:space="preserve">Общение без слов  Недавно я увидела ролик, в котором девушка попросила своего…</t>
  </si>
  <si>
    <t xml:space="preserve">Дорогие подписчики!   Ответьте, пожалуйста, на несколько вопросов, это поможет…</t>
  </si>
  <si>
    <t xml:space="preserve">Добрый день! Приглашаю вас принять участие в моем исследовании. Ваше мнение…</t>
  </si>
  <si>
    <t xml:space="preserve">Наблюдала недавно этикетную ситуацию в метро 🚈  Девушка сидела, увлечённая…</t>
  </si>
  <si>
    <t xml:space="preserve">Если Вы оказались на званом ужине и не знаете, где чья тарелка и бокал…</t>
  </si>
  <si>
    <t xml:space="preserve">О чем нельзя говорить за столом?  Есть темы, которые в любой культуре…</t>
  </si>
  <si>
    <t xml:space="preserve">Как правильно передавать предметы за столом?  Передавая соль, хлеб или соус…</t>
  </si>
  <si>
    <t xml:space="preserve">Стоит ли делать комплименты коллегам?  Да, но с осторожностью. Деловые…</t>
  </si>
  <si>
    <t xml:space="preserve">Можно ли опаздывать на деловую встречу?  Нет. В деловом мире пунктуальность…</t>
  </si>
  <si>
    <t xml:space="preserve">Как выйти из беседы, если разговор затянулся?  Можно сказать: «Было очень…</t>
  </si>
  <si>
    <t xml:space="preserve">Разговор в лифте: этикет или молчание?  В деловой среде в лифте не принято…</t>
  </si>
  <si>
    <t xml:space="preserve">Как корректно указать на ошибку?  Никогда не делайте это при посторонних…</t>
  </si>
  <si>
    <t xml:space="preserve">Если кто-то забыл Ваше имя  Не стоит обижаться или смущать человека…</t>
  </si>
  <si>
    <t xml:space="preserve">Можно ли звонить без предупреждения?  В деловом этикете предпочтительно…</t>
  </si>
  <si>
    <t xml:space="preserve">Как подать руку при знакомстве?  Рукопожатие должно быть уверенным, но не…</t>
  </si>
  <si>
    <t xml:space="preserve">Можно ли дарить парфюм коллегам или партнёрам?  Нет. Парфюм — слишком личный…</t>
  </si>
  <si>
    <t xml:space="preserve">Почему в деловой среде не носят яркие украшения?  Деловой стиль подразумевает…</t>
  </si>
  <si>
    <t xml:space="preserve">Психология общения. Почему в деловом общении важно задавать уточняющие вопросы…</t>
  </si>
  <si>
    <t xml:space="preserve">Как правильно вести себя в гостях?  — Приходить с небольшим подарком для…</t>
  </si>
  <si>
    <t xml:space="preserve">Можно ли перебивать вежливо?  Исключительно при уважительной необходимости…</t>
  </si>
  <si>
    <t xml:space="preserve">Можно ли разговаривать с набитым ртом?  Нет, даже если это всего лишь пара…</t>
  </si>
  <si>
    <t xml:space="preserve">Как правильно принимать комплимент?  Улыбнитесь и кратко поблагодарите…</t>
  </si>
  <si>
    <t xml:space="preserve">Куда деть телефон на деловом ужине?  На столе ему не место. Убираем в карман…</t>
  </si>
  <si>
    <t xml:space="preserve">Можно ли поправлять волосы за столом?  Нет. Волосы, как и макияж, корректируют…</t>
  </si>
  <si>
    <t xml:space="preserve">Можно ли подписывать e-mail только инициалами?  Нет. Завершение письма должно…</t>
  </si>
  <si>
    <t xml:space="preserve">Можно ли звать официанта, щёлкая пальцами?  Нет! Это невежливо. Правильный…</t>
  </si>
  <si>
    <t xml:space="preserve">Почему нельзя первым касаться руки высокопоставленного лица?  В…</t>
  </si>
  <si>
    <t xml:space="preserve">Почему не принято есть прямо с ножа?  Помимо очевидных причин (это небезопасно…</t>
  </si>
  <si>
    <t xml:space="preserve">Можно ли просить персонал изменить блюдо?  Допустимо корректно попросить об…</t>
  </si>
  <si>
    <t xml:space="preserve">Как вежливо дать понять, что вас неинтересен разговор?  Можно сказать: «мне…</t>
  </si>
  <si>
    <t xml:space="preserve">Можно ли передавать соль из рук в руки?  В классическом европейском этикете…</t>
  </si>
  <si>
    <t xml:space="preserve">Как невербально показать уважение к собеседнику?  📌 Поддерживайте зрительный…</t>
  </si>
  <si>
    <t xml:space="preserve">Почему нельзя здороваться через порог?  Эта традиция пришла из прошлого, когда…</t>
  </si>
  <si>
    <t xml:space="preserve">Как правильно выразить несогласие в деловом диалоге?  Вместо прямого «я не…</t>
  </si>
  <si>
    <t xml:space="preserve">Что делать, если кто-то сидит на вашем месте в театре или ресторане?  Не…</t>
  </si>
  <si>
    <t xml:space="preserve">Что нельзя дарить на официальных мероприятиях?  Нельзя дарить предметы…</t>
  </si>
  <si>
    <t xml:space="preserve">Стоит ли отправлять голосовые сообщения?  Голосовые –удобны для отправителя…</t>
  </si>
  <si>
    <t xml:space="preserve">Как правильно передавать предметы?  Лучше всего – ладонью вверх или двумя…</t>
  </si>
  <si>
    <t xml:space="preserve">Как правильно уведомить о получении электронного письма?  В ответном письме…</t>
  </si>
  <si>
    <t xml:space="preserve">Стоит ли задавать вопросы о личной жизни при деловых переговорах?  Нет, если…</t>
  </si>
  <si>
    <t xml:space="preserve">Почему важно иногда говорить «я подумаю»?  Это демонстрирует серьёзное…</t>
  </si>
  <si>
    <t xml:space="preserve">Можно ли поправлять макияж за столом?  Нет, это делают только в уборной…</t>
  </si>
  <si>
    <t xml:space="preserve">Нужно ли писать «здравствуйте» в каждом письме?  Если это деловая переписка…</t>
  </si>
  <si>
    <t xml:space="preserve">Как правильно отказать на приглашение?  Отказ должен быть личным, благодарным…</t>
  </si>
  <si>
    <t xml:space="preserve">Как вежливо намекнуть, что человек говорит слишком громко?  Можно сказать…</t>
  </si>
  <si>
    <t xml:space="preserve">Можно ли удалять сообщения после отправки?  Только в случае явной ошибки…</t>
  </si>
  <si>
    <t xml:space="preserve">Как вежливо отказать без «нет»?  – «Спасибо за предложение, но у меня другие…</t>
  </si>
  <si>
    <t xml:space="preserve">Можно ли направлять голосовое сообщение без предварительного согласования…</t>
  </si>
  <si>
    <t xml:space="preserve">Нужно ли вставать, если к столу подошли новые гости?  Да! Если вы сидите за…</t>
  </si>
  <si>
    <t xml:space="preserve">Как правильно заказывать кофе?  Если в кофейне вас спрашивают: «какой Вам кофе…</t>
  </si>
  <si>
    <t xml:space="preserve">Надо ли обязательно поздравлять малознакомого человека с днём рождения?  Нет…</t>
  </si>
  <si>
    <t xml:space="preserve">Почему не принято говорить «приятного аппетита»?  В классическом европейском…</t>
  </si>
  <si>
    <t xml:space="preserve">Почему важно иногда «давать паузу» в ответах?  Мгновенный ответ может звучать…</t>
  </si>
  <si>
    <t xml:space="preserve">Почему вежливый человек не всегда говорит «спасибо»?  Мы привыкли думать, что…</t>
  </si>
  <si>
    <t xml:space="preserve">Что делать, если Вам неловко не помнить кого-то на приёме?  Улыбнитесь и…</t>
  </si>
  <si>
    <t xml:space="preserve">Должен ли мужчина пропускать женщину вперёд?  Да, но не везде! Например, в…</t>
  </si>
  <si>
    <t xml:space="preserve">Почему в США официант забирает тарелку, пока вы ещё едите?  В Америке…</t>
  </si>
  <si>
    <t xml:space="preserve">Нужно ли уведомлять о прослушивании голосовых сообщений?  Да, особенно в…</t>
  </si>
  <si>
    <t xml:space="preserve">Почему в Италии никогда не пьют капучино после обеда?  Капучино считается…</t>
  </si>
  <si>
    <t xml:space="preserve">Как правильно сидеть на официальной встрече?  Женщинам рекомендуется слегка…</t>
  </si>
  <si>
    <t xml:space="preserve">Почему на свадьбах в Китае дарят деньги в красных конвертах?  Красный цвет в…</t>
  </si>
  <si>
    <t xml:space="preserve">Что делать, если Вы не помните имя собеседника?  Тактично спросите снова через…</t>
  </si>
  <si>
    <t xml:space="preserve">Почему нельзя скрещивать нож и вилку на тарелке?  В Европе скрещённые приборы…</t>
  </si>
  <si>
    <t xml:space="preserve">Тайный язык перчаток 👑  В XIX веке перчатки были не просто модным аксессуаром…</t>
  </si>
  <si>
    <t xml:space="preserve">Можно ли добавлять соль и перец без пробы блюда?  Нет. Согласно классическому…</t>
  </si>
  <si>
    <t xml:space="preserve">Почему на филиппинских свадьбах вешают деньги на наряды молодожёнов?  На…</t>
  </si>
  <si>
    <t xml:space="preserve">Почему важно повторять имя собеседника?  Повторение имени (особенно в начале и…</t>
  </si>
  <si>
    <t xml:space="preserve">Почему в Турции чай пьют из маленьких стаканов?  Турецкий чай подают в изящных…</t>
  </si>
  <si>
    <t xml:space="preserve">Как правильно прерывать разговор, если Вы спешите?  Идеальная формула: «Прошу…</t>
  </si>
  <si>
    <t xml:space="preserve">Почему в Италии не разрезают спагетти?  Разрезать спагетти – это почти…</t>
  </si>
  <si>
    <t xml:space="preserve">Зачем в Англии присылают «письмо благодарности»?  В Великобритании принято…</t>
  </si>
  <si>
    <t xml:space="preserve">В какое время не рекомендуется писать сообщения?  Не рекомендуется писать: До…</t>
  </si>
  <si>
    <t xml:space="preserve">Почему не принято сидеть «нога на ногу» в мусульманских странах?  В…</t>
  </si>
  <si>
    <t xml:space="preserve">Как правильно стоять на официальном мероприятии?  Руки вдоль тела или сложены…</t>
  </si>
  <si>
    <t xml:space="preserve">Почему нельзя дарить часы в Китае?  В китайской культуре часы – один из самых…</t>
  </si>
  <si>
    <t xml:space="preserve">Как правильно завершить рабочий звонок?  Не бросайте трубку первыми. Прощание…</t>
  </si>
  <si>
    <t xml:space="preserve">Правда ли, что нельзя говорить тост до первого блюда? 🥂  Это верно, но не…</t>
  </si>
  <si>
    <t xml:space="preserve">Почему нельзя скрещивать приборы на тарелке? 🍽️  Скрещенные нож и вилка на…</t>
  </si>
  <si>
    <t xml:space="preserve">Кто первым берёт меню?  В ресторане меню первым предлагает женщинам официант…</t>
  </si>
  <si>
    <t xml:space="preserve">Почему в некоторых культурах не говорят «спасибо» за подарок?  В некоторых…</t>
  </si>
  <si>
    <t xml:space="preserve">Зачем уточнять, всё ли Вас правильно поняли?  После объяснения важно…</t>
  </si>
  <si>
    <t xml:space="preserve">Почему в мире делового этикета столь важен момент «первого впечатления…</t>
  </si>
  <si>
    <t xml:space="preserve">Как тактично попросить человека говорить тише?  Лучший способ – показать…</t>
  </si>
  <si>
    <t xml:space="preserve">Почему в некоторых культурах запрещено дарить ножи?🔪  В некоторых странах…</t>
  </si>
  <si>
    <t xml:space="preserve">Почему в Японии важно, чтобы при встрече ваши глаза были на одном уровне с…</t>
  </si>
  <si>
    <t xml:space="preserve">Можно ли использовать смайлики в деловой переписке?  В формальной переписке…</t>
  </si>
  <si>
    <t xml:space="preserve">Почему иногда подают два бокала для воды?  На особо торжественных ужинах один…</t>
  </si>
  <si>
    <t xml:space="preserve">Надо ли благодарить за полученный отказ?  Да, особенно если речь идёт о…</t>
  </si>
  <si>
    <t xml:space="preserve">Можно ли доесть хлеб, поданный к супу?  Да, но в рамках приличия: хлеб едят…</t>
  </si>
  <si>
    <t xml:space="preserve">Молчание в чате – это тоже реплика  Не отвечать значит ответить молчанием…</t>
  </si>
  <si>
    <t xml:space="preserve">Почему не стоит звонить «на пару слов» без предупреждения?  Потому что…</t>
  </si>
  <si>
    <t xml:space="preserve">Можно ли приходить в футболке на деловую встречу летом?  Если это не IT или…</t>
  </si>
  <si>
    <t xml:space="preserve">Если вы мужчина, – да, хотя бы приподняться. Если женщина, необязательно. Но…</t>
  </si>
  <si>
    <t xml:space="preserve">Как вежливо прервать собеседника?  Формулы: – «Извини, важный момент — могу…</t>
  </si>
  <si>
    <t xml:space="preserve">Можно ли носить белое на свадьбу, если ты не невеста?  По классическому…</t>
  </si>
  <si>
    <t xml:space="preserve">Можно ли делать замечание коллеге при всех?  Нет, если вы не хотите подорвать…</t>
  </si>
  <si>
    <t xml:space="preserve">«Извините за опоздание» уже не работает?  Да. Сейчас важнее предупредить до…</t>
  </si>
  <si>
    <t xml:space="preserve">Почему не стоит класть телефон экраном вверх на стол?  Потому что это сигнал…</t>
  </si>
  <si>
    <t xml:space="preserve">Что не так с фразой «Девушке просекко»?  Она устарела. Этикет сегодня не про…</t>
  </si>
  <si>
    <t xml:space="preserve">«Познакомьтесь: это наш Саша» – ошибка?  Да. Представлять стоит по имени и…</t>
  </si>
  <si>
    <t xml:space="preserve">Почему дресс-код – это вовсе не про одежду?  Потому что дресс-код – это язык…</t>
  </si>
  <si>
    <t xml:space="preserve">Можно ли фотографировать еду в ресторане?  Да, если это быстро и незаметно…</t>
  </si>
  <si>
    <t xml:space="preserve">Наушники в ушах, когда говоришь с кассиром – это ок?  Нет. Даже если музыка на…</t>
  </si>
  <si>
    <t xml:space="preserve">Фраза «Прикрепляю на всякий случай» – ошибка?  Да. Она говорит: «Я сама не…</t>
  </si>
  <si>
    <t xml:space="preserve">Можно ли надушиться на собеседование?  Можно, но так, чтобы аромат не остался…</t>
  </si>
  <si>
    <t xml:space="preserve">Где поправить одежду, если что-то сбилось?  Не в лифте. Не на улице. Не в зале…</t>
  </si>
  <si>
    <t xml:space="preserve">Можно ли приходить на встречу с напитком в руке?  Нет, если встреча не в кафе…</t>
  </si>
  <si>
    <t xml:space="preserve">«Ты же видишь, я занят!» — это про агрессию или про границы?  Это агрессия…</t>
  </si>
  <si>
    <t xml:space="preserve">Можно ли попросить воду в чужом доме, если не предложили?  Можно. Но вежливо…</t>
  </si>
  <si>
    <t xml:space="preserve">Считается ли невежливым не лайкнуть сторис, где вас упомянули?  В мире…</t>
  </si>
  <si>
    <t xml:space="preserve">Можно ли поздравлять человека, если он не отмечает день рождения?  Да. но в…</t>
  </si>
  <si>
    <t xml:space="preserve">«Как дела?» – это не вопрос В светской беседе фраза «Как дела?» – это просто…</t>
  </si>
  <si>
    <t xml:space="preserve">«Онлайн-знакомство»  Представляете двух людей в чате? Представьте их друг…</t>
  </si>
  <si>
    <t xml:space="preserve">E-mail: магия строки «Тема»  Письмо без темы = письмо в спам. Всего 3-5 слов…</t>
  </si>
  <si>
    <t xml:space="preserve">Избегайте комплиментов, которые звучат как ваша оценка: «Ты сегодня хорошо…</t>
  </si>
  <si>
    <t xml:space="preserve">Телефон на столе – новая норма?  📱 Класть телефон на стол лицевой стороной…</t>
  </si>
  <si>
    <t xml:space="preserve">Этикет сторис с людьми  📸 Прежде чем отметить друга в сторис, где он выглядит…</t>
  </si>
  <si>
    <t xml:space="preserve">Спам-вопрос «Ты где?»  Сообщение «Привет» или «Ты где?» без контекста – это…</t>
  </si>
  <si>
    <t xml:space="preserve">Вы заходите в лифт с собакой. Заходит сосед без животного. Верный жест…</t>
  </si>
  <si>
    <t xml:space="preserve">Общественный транспорт, очередь в клинике – это «зоны молчания». Громкие…</t>
  </si>
  <si>
    <t xml:space="preserve">Чаевые курьеру – не строгая обязанность, но жест доброй воли. Особенно если…</t>
  </si>
  <si>
    <t xml:space="preserve">Можно ли отказаться от алкоголя, не объясняя причин?  Да, и это ваше…</t>
  </si>
  <si>
    <t xml:space="preserve">Голосовые сообщения – это форма вторжения. Их можно отправлять только с…</t>
  </si>
  <si>
    <t xml:space="preserve">Можно ли есть бургер ножом и вилкой?  Да, если это ресторан. Нет, если это…</t>
  </si>
  <si>
    <t xml:space="preserve">Можно ли сказать «я не пью чай» в гостях?  Можно, но предложите альтернативу…</t>
  </si>
  <si>
    <t xml:space="preserve">Можно ли опаздывать в спортзал, если у вас персональная тренировка?  Нет. Вы…</t>
  </si>
  <si>
    <t xml:space="preserve">Нужно ли жать руку, если ладонь мокрая от дождя или стресса?  Да. Но…</t>
  </si>
  <si>
    <t xml:space="preserve">«Спасибо» – универсальная валюта  Она работает во всех странах, на всех языках…</t>
  </si>
  <si>
    <t xml:space="preserve">Ошибка многих женщин  – носить вечерние ткани (атлас, пайетки) днём. Этикет…</t>
  </si>
  <si>
    <t xml:space="preserve">Салфетка на колени сразу после того, как сели  Не ждите, пока принесут блюдо…</t>
  </si>
  <si>
    <t xml:space="preserve">Столовые приборы – от внешних к внутренним  Каждый курс – свой набор. Во время…</t>
  </si>
  <si>
    <t xml:space="preserve">Сообщение без приветствия – грубость  Даже в мессенджере: «Здравствуйте, Иван…</t>
  </si>
  <si>
    <t xml:space="preserve">Удаление сообщений без объяснения – не норма  Если написали что-то не то…</t>
  </si>
  <si>
    <t xml:space="preserve">Деловая переписка без «Добрый день!» в каждом письме  Если общение уже идёт…</t>
  </si>
  <si>
    <t xml:space="preserve">Переносить встречу можно один раз  Второй перенос без серьёзной причины…</t>
  </si>
  <si>
    <t xml:space="preserve">Групповые чаты – новая зона этикета  Не пишите в общий чат после 22:00. И не…</t>
  </si>
  <si>
    <t xml:space="preserve">Этикет в аэропорту  При контроле ноутбук и жидкости достаются заранее, без…</t>
  </si>
  <si>
    <t xml:space="preserve">Дарить цветы мужчине можно  В 2025 году это норма: композиции в нейтральных…</t>
  </si>
  <si>
    <t xml:space="preserve">Парфюм – невидимая одежда  Он не должен идти впереди вас. Аромат уместен…</t>
  </si>
  <si>
    <t xml:space="preserve">Дресс-код на онлайн-интервью  Нижняя часть костюма тоже важна. Вы не знаете…</t>
  </si>
  <si>
    <t xml:space="preserve">Молчание – часть этикета  Иногда вежливее промолчать, чем поддерживать…</t>
  </si>
  <si>
    <t xml:space="preserve">Электронные поздравления ≠ бездушно  Если оно персонализировано. Плохой тон…</t>
  </si>
  <si>
    <t xml:space="preserve">Новогодний корпоратив –рабочее мероприятие, не вечеринка  Даже если шампанское…</t>
  </si>
  <si>
    <t xml:space="preserve">Подарок руководителю Только от коллектива и в пределах символического бюджета…</t>
  </si>
  <si>
    <t xml:space="preserve">«Дресс-код – свободный» не значит «всё можно»  Для корпоративов это smart…</t>
  </si>
  <si>
    <t xml:space="preserve">Фраза «до Нового года» – не дедлайн  Если нужно успеть, называйте конкретную…</t>
  </si>
  <si>
    <t xml:space="preserve">Подарочная упаковка = часть подарка  Не кладите подарок в фирменный пакет…</t>
  </si>
  <si>
    <t xml:space="preserve">Украшения в офисе  Допустимы только в нейтральной зоне (ресепшн, переговорная…</t>
  </si>
  <si>
    <t xml:space="preserve">Поздравительное письмо клиентам  Без цитат и стихов. 1 абзац – тёплое…</t>
  </si>
  <si>
    <t xml:space="preserve">Украшения на себе  В декабре допустимо чуть больше блеска, чем обычно. Но если…</t>
  </si>
  <si>
    <t xml:space="preserve">Новогодняя открытка в 2025  Возвращается в моду. Но только минимализм, плотная…</t>
  </si>
  <si>
    <t xml:space="preserve">Лучшее пожелание  Не «счастья и здоровья». А фраза, отражающая внимание…</t>
  </si>
  <si>
    <t xml:space="preserve">Конец года – не повод спешить  Ближе к праздникам у людей падает концентрация…</t>
  </si>
  <si>
    <t xml:space="preserve">В холодный сезон – важный знак  Снять перчатку для рукопожатия всё ещё…</t>
  </si>
  <si>
    <t xml:space="preserve">Гардероб — тоже часть образа  Зимой верхняя одежда – часть имиджа, а не просто…</t>
  </si>
  <si>
    <t xml:space="preserve">В деловых помещениях – без шапки и шарфа  Даже если холодно. Оставаться в…</t>
  </si>
  <si>
    <t xml:space="preserve">Small talk после праздников  Без темы «Как отдохнули?», она утомляет. Лучше…</t>
  </si>
  <si>
    <t xml:space="preserve">После праздников  Не начинайте письма 12 января с «С возвращением в реальность…</t>
  </si>
  <si>
    <t xml:space="preserve">Ответы в мессенджерах после каникул  Если долго не отвечали, начните с…</t>
  </si>
  <si>
    <t xml:space="preserve">Новогодние каникулы закончились, а привычки остались  Опоздания, «созвонимся…</t>
  </si>
  <si>
    <t xml:space="preserve">Почему вежливые люди не начинают разговор с себя  Хороший тон – сначала дать…</t>
  </si>
  <si>
    <t xml:space="preserve">Границы в общении  Вопрос может быть задан вежливо – и всё равно быть…</t>
  </si>
  <si>
    <t xml:space="preserve">Почему не стоит шутить первым  Юмор – это территория риска. Сначала нужно…</t>
  </si>
  <si>
    <t xml:space="preserve">Зимние приглашения  Приглашая, важно учитывать не только формат, но и погоду…</t>
  </si>
  <si>
    <t xml:space="preserve">Этикет несогласия  Можно не соглашаться и при этом не разрушать отношения. Тон…</t>
  </si>
  <si>
    <t xml:space="preserve">Этикет ожиданий  Не все обязаны отвечать сразу. Терпение – социальная роскошь</t>
  </si>
  <si>
    <t xml:space="preserve">Хорошие манеры незаметны  Если этикет бросается в глаза, он уже нарушен…</t>
  </si>
  <si>
    <t xml:space="preserve">Почему в конце зимы люди становятся резче  К февралю накапливается усталость…</t>
  </si>
  <si>
    <t xml:space="preserve">Почему нельзя сравнивать подарки  Подарок – это не эквивалент, а намерение…</t>
  </si>
  <si>
    <t xml:space="preserve">Этикет усталости  Быть уставшим – нормально. Делать свою усталость центром…</t>
  </si>
  <si>
    <t xml:space="preserve">Когда лучше не продолжать разговор  Если вы чувствуете, что диалог становится…</t>
  </si>
  <si>
    <t xml:space="preserve">Этикет ожиданий в «день чувств»  14 февраля – день, когда ожидания чаще…</t>
  </si>
  <si>
    <t xml:space="preserve">Почему излишняя откровенность – не честность  Честность не требует полного…</t>
  </si>
  <si>
    <t xml:space="preserve">Тон важнее слов  Одинаковая фраза может звучать уважительно или унизительно…</t>
  </si>
  <si>
    <t xml:space="preserve">Этикет отказа  Отказывать нужно чётко и спокойно, без длинных оправданий…</t>
  </si>
  <si>
    <t xml:space="preserve">ИИ-картинки уже перестали быть развлечением. Теперь это вопрос…</t>
  </si>
  <si>
    <t xml:space="preserve">Почему не стоит исправлять других публично  Даже если вы правы, публичные…</t>
  </si>
  <si>
    <t xml:space="preserve">Этикет ожидания ответа  Чем дольше вы ждёте, тем важнее не демонстрировать…</t>
  </si>
  <si>
    <t xml:space="preserve">Этикет инициативы  Проявлять инициативу – уместно. Давить – нет. Вежливая…</t>
  </si>
  <si>
    <t xml:space="preserve">Цветы и внимание: тонкая грань  Внимание – не обязанность, а жест. Цветы…</t>
  </si>
  <si>
    <t xml:space="preserve">В преддверии 8 марта вспомним простое правило: подарок не обесценивают.  Фраза…</t>
  </si>
  <si>
    <t xml:space="preserve">Знаете, почему символом 8 марта стала мимоза? В послевоенные годы это были…</t>
  </si>
  <si>
    <t xml:space="preserve">В деловой среде букет – это знак внимания, а не личное послание.   Слишком…</t>
  </si>
  <si>
    <t xml:space="preserve">Сообщения после 22:00  Поздние сообщения без срочности – это вторжение в…</t>
  </si>
  <si>
    <t xml:space="preserve">Почему снимают головной убор   Снимать головной убор при входе – жест…</t>
  </si>
  <si>
    <t xml:space="preserve">Зачем столько вилок  Множество приборов на столе появилось во Франции XVII…</t>
  </si>
  <si>
    <t xml:space="preserve">Почему чокаются  Одна из версий уходит в глубокое Средневековье: при сильном…</t>
  </si>
  <si>
    <t xml:space="preserve">Фраза «чувствуйте себя как дома» в аристократической среде XIX века была…</t>
  </si>
  <si>
    <t xml:space="preserve">Мода на опоздания  В XVIII веке во Франции существовала «мода на опоздание…</t>
  </si>
  <si>
    <t xml:space="preserve">Почему не дуют на чай  В английской традиции XIX века считалось недопустимым…</t>
  </si>
  <si>
    <t xml:space="preserve">Ответ на приглашение  Когда появились письменные приглашения, ответ считался…</t>
  </si>
  <si>
    <t xml:space="preserve">Зеркала в залах  В бальных залах XVIII века зеркала размещали не только ради…</t>
  </si>
  <si>
    <t xml:space="preserve">Почему пишут «с уважением» ￼ Фраза «с уважением» пришла из эпохи, когда письма…</t>
  </si>
  <si>
    <t xml:space="preserve">Лёд в напитках  Лёд стал массовым только в XIX веке, когда его начали…</t>
  </si>
  <si>
    <t xml:space="preserve">Подпись от руки  Рукописная подпись долгое время была не просто формальностью…</t>
  </si>
  <si>
    <t xml:space="preserve">Не тянуться через стол  Когда столы стали длиннее и богаче сервированы…</t>
  </si>
  <si>
    <t xml:space="preserve">Темп шага  В XIX веке прогулка была частью светской жизни, и слишком быстрый…</t>
  </si>
  <si>
    <t xml:space="preserve">Не поправлять других  Исправлять чьи-то манеры на людях считалось ещё большим…</t>
  </si>
  <si>
    <t xml:space="preserve">Не нюхать еду  Явно наклоняться и нюхать блюдо считалось признаком недоверия к…</t>
  </si>
  <si>
    <t xml:space="preserve">Не спрашивать цену  В аристократической культуре обсуждение стоимости…</t>
  </si>
  <si>
    <t xml:space="preserve">Солнцезащитные очки  Разговаривать в тёмных очках – всё равно что говорить с…</t>
  </si>
  <si>
    <t xml:space="preserve">Фото в цветах  Весна провоцирует на фото – сады, парки, цветущие деревья. Но…</t>
  </si>
  <si>
    <t xml:space="preserve">Велосипеды и люди  Весной появляются велосипеды и самокаты и вместе с ними…</t>
  </si>
  <si>
    <t xml:space="preserve">Пикник – это не просто отдых, а временное «пространство», которое вы создаёте…</t>
  </si>
  <si>
    <t xml:space="preserve">Кормить животных  Весной хочется заботы – кормить птиц, животных.   Но хлеб…</t>
  </si>
  <si>
    <t xml:space="preserve">Фраза «надо встретиться» без продолжения – социальный шум.  Раньше за такими…</t>
  </si>
  <si>
    <t xml:space="preserve">Остановиться посреди потока  Резко остановиться на тротуаре – всё равно что…</t>
  </si>
  <si>
    <t xml:space="preserve">Громкость в наушниках  Если музыку из ваших наушников слышат окружающие – это…</t>
  </si>
  <si>
    <t xml:space="preserve">«Без фильтров»  Позиция «я просто говорю как есть» часто маскирует грубость…</t>
  </si>
  <si>
    <t xml:space="preserve">Солнцезащитные очки  Очки защищают от солнца, но не заменяют взгляд.  Во время…</t>
  </si>
  <si>
    <t xml:space="preserve">Парфюм в жару  Летом аромат ощущается сильнее, чем кажется его владельцу…</t>
  </si>
  <si>
    <t xml:space="preserve">Открытые окна в транспорте  Свежий воздух нравится не всем одинаково.  Прежде…</t>
  </si>
  <si>
    <t xml:space="preserve">Разговор в очереди  Очередь – место ожидания, а не сцена для личных историй…</t>
  </si>
  <si>
    <t xml:space="preserve">Видео без наушников  Если ролик слышат окружающие, они уже стали невольными…</t>
  </si>
  <si>
    <t xml:space="preserve">Сумка на соседнем сиденье  В транспорте место предназначено для людей, а не…</t>
  </si>
  <si>
    <t xml:space="preserve">Обсуждение чужих покупок  Комментарии вроде «зачем тебе это?» редко звучат как…</t>
  </si>
  <si>
    <t xml:space="preserve">Кондиционер  Температура в помещении –это всегда компромисс, а не личная…</t>
  </si>
  <si>
    <t xml:space="preserve">Разговор о планах на лето  Не у всех есть отпуск, поездки и «что-то интересное…</t>
  </si>
  <si>
    <t xml:space="preserve">Мороженое на улице  Если мороженое начинает таять быстрее, чем вы успеваете…</t>
  </si>
  <si>
    <t xml:space="preserve">Летняя веранда  Если на террасе курят за соседним столом, не стоит громко…</t>
  </si>
  <si>
    <t xml:space="preserve">Узкий тротуар  Если вы идёте компанией, не занимайте весь тротуар.  Хороший…</t>
  </si>
  <si>
    <t xml:space="preserve">Остановка  Не стойте прямо у двери автобуса, если не выходите на следующей…</t>
  </si>
  <si>
    <t xml:space="preserve">Голосовые сообщения  Если сообщение можно написать одной фразой, лучше…</t>
  </si>
  <si>
    <t xml:space="preserve">Такси  Не хлопайте дверью автомобиля.  Закрытая спокойно дверь говорит о…</t>
  </si>
  <si>
    <t xml:space="preserve">Последний кусок  Последний кусок на общем блюде лучше предложить другим…</t>
  </si>
  <si>
    <t xml:space="preserve">Пляж  Музыка на пляже должна заканчиваться там, где заканчивается ваше…</t>
  </si>
  <si>
    <t xml:space="preserve">Представление  Если вы привели человека в компанию, представьте его остальным…</t>
  </si>
  <si>
    <t xml:space="preserve">Переписка  Не требуйте мгновенного ответа, если вопрос не срочный.  Доступен в…</t>
  </si>
  <si>
    <t xml:space="preserve">Тост  Во время тоста лучше отложить вилку и телефон.  Несколько минут внимания…</t>
  </si>
  <si>
    <t xml:space="preserve">Видео</t>
  </si>
  <si>
    <t xml:space="preserve">Длинные видео. Их всего 7 — сравнивать статистически нечего, лист справочный.</t>
  </si>
  <si>
    <t xml:space="preserve">Студия грима Valentina Hli</t>
  </si>
  <si>
    <t xml:space="preserve">Уникальный мастер-класс по гриму и спецэффектам в кино</t>
  </si>
  <si>
    <t xml:space="preserve">Китайский этикет: подарки, застолье, стереотипы</t>
  </si>
  <si>
    <t xml:space="preserve">Этикет в начальной школе. Практика и теория. Интервью с учителем из школы Нижнего Новгорода</t>
  </si>
  <si>
    <t xml:space="preserve">Церковный этикет. Исаакиевский собор.</t>
  </si>
  <si>
    <t xml:space="preserve">82-я годовщина парада 7 ноября 1941 года: за кулисами со студией грима Valentina Hli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</si>
</sst>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.0%"/>
    <numFmt numFmtId="168" formatCode="0.00"/>
    <numFmt numFmtId="169" formatCode="dd\.mm\.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zen.ru/media/id/63dd27aac30ab522dcce48b3/64229198c9b8b77e077b9be0" TargetMode="External"/><Relationship Id="rId2" Type="http://schemas.openxmlformats.org/officeDocument/2006/relationships/hyperlink" Target="https://dzen.ru/media/id/63dd27aac30ab522dcce48b3/642bf9d9a867c062828e1b44" TargetMode="External"/><Relationship Id="rId3" Type="http://schemas.openxmlformats.org/officeDocument/2006/relationships/hyperlink" Target="https://dzen.ru/media/id/63dd27aac30ab522dcce48b3/64439ac06195f63c2e8f23f8" TargetMode="External"/><Relationship Id="rId4" Type="http://schemas.openxmlformats.org/officeDocument/2006/relationships/hyperlink" Target="https://dzen.ru/media/id/63dd27aac30ab522dcce48b3/647202eb0686372682c08f10" TargetMode="External"/><Relationship Id="rId5" Type="http://schemas.openxmlformats.org/officeDocument/2006/relationships/hyperlink" Target="https://dzen.ru/media/id/63dd27aac30ab522dcce48b3/64d26e412f59ab3263fedea4" TargetMode="External"/><Relationship Id="rId6" Type="http://schemas.openxmlformats.org/officeDocument/2006/relationships/hyperlink" Target="https://dzen.ru/media/id/63dd27aac30ab522dcce48b3/64d36eaac09280390d1dbe7b" TargetMode="External"/><Relationship Id="rId7" Type="http://schemas.openxmlformats.org/officeDocument/2006/relationships/hyperlink" Target="https://dzen.ru/media/id/63dd27aac30ab522dcce48b3/64dc7b0a5d7a31683f99e2f3" TargetMode="External"/><Relationship Id="rId8" Type="http://schemas.openxmlformats.org/officeDocument/2006/relationships/hyperlink" Target="https://dzen.ru/media/id/63dd27aac30ab522dcce48b3/64e08d9da5f0c931a9263d04" TargetMode="External"/><Relationship Id="rId9" Type="http://schemas.openxmlformats.org/officeDocument/2006/relationships/hyperlink" Target="https://dzen.ru/media/id/63dd27aac30ab522dcce48b3/65251755c095b8411ac6763a" TargetMode="External"/><Relationship Id="rId10" Type="http://schemas.openxmlformats.org/officeDocument/2006/relationships/hyperlink" Target="https://dzen.ru/media/id/63dd27aac30ab522dcce48b3/6527d7f342b2122b751f0da0" TargetMode="External"/><Relationship Id="rId11" Type="http://schemas.openxmlformats.org/officeDocument/2006/relationships/hyperlink" Target="https://dzen.ru/media/id/63dd27aac30ab522dcce48b3/652aa96b5a70464fa106de4e" TargetMode="External"/><Relationship Id="rId12" Type="http://schemas.openxmlformats.org/officeDocument/2006/relationships/hyperlink" Target="https://dzen.ru/media/id/63dd27aac30ab522dcce48b3/652d6ac68365541c395aec7f" TargetMode="External"/><Relationship Id="rId13" Type="http://schemas.openxmlformats.org/officeDocument/2006/relationships/hyperlink" Target="https://dzen.ru/media/id/63dd27aac30ab522dcce48b3/652d8e648365541c39aaf587" TargetMode="External"/><Relationship Id="rId14" Type="http://schemas.openxmlformats.org/officeDocument/2006/relationships/hyperlink" Target="https://dzen.ru/media/id/63dd27aac30ab522dcce48b3/652eab126bbf9502d078f6f3" TargetMode="External"/><Relationship Id="rId15" Type="http://schemas.openxmlformats.org/officeDocument/2006/relationships/hyperlink" Target="https://dzen.ru/media/id/63dd27aac30ab522dcce48b3/653004280966b827aab9dd12" TargetMode="External"/><Relationship Id="rId16" Type="http://schemas.openxmlformats.org/officeDocument/2006/relationships/hyperlink" Target="https://dzen.ru/media/id/63dd27aac30ab522dcce48b3/6532486442603874aaa3139e" TargetMode="External"/><Relationship Id="rId17" Type="http://schemas.openxmlformats.org/officeDocument/2006/relationships/hyperlink" Target="https://dzen.ru/media/id/63dd27aac30ab522dcce48b3/65340ea3e82387673fab2b1c" TargetMode="External"/><Relationship Id="rId18" Type="http://schemas.openxmlformats.org/officeDocument/2006/relationships/hyperlink" Target="https://dzen.ru/media/id/63dd27aac30ab522dcce48b3/6536dba1ac1eaf2192746f13" TargetMode="External"/><Relationship Id="rId19" Type="http://schemas.openxmlformats.org/officeDocument/2006/relationships/hyperlink" Target="https://dzen.ru/media/id/63dd27aac30ab522dcce48b3/6533ec03dfbed1522e94b94a" TargetMode="External"/><Relationship Id="rId20" Type="http://schemas.openxmlformats.org/officeDocument/2006/relationships/hyperlink" Target="https://dzen.ru/media/id/63dd27aac30ab522dcce48b3/653ca6b66a06345c86072afa" TargetMode="External"/><Relationship Id="rId21" Type="http://schemas.openxmlformats.org/officeDocument/2006/relationships/hyperlink" Target="https://dzen.ru/media/id/63dd27aac30ab522dcce48b3/653f97cadf966c757041e7b8" TargetMode="External"/><Relationship Id="rId22" Type="http://schemas.openxmlformats.org/officeDocument/2006/relationships/hyperlink" Target="https://dzen.ru/media/id/63dd27aac30ab522dcce48b3/6542123b458b143fc2d3a8a2" TargetMode="External"/><Relationship Id="rId23" Type="http://schemas.openxmlformats.org/officeDocument/2006/relationships/hyperlink" Target="https://dzen.ru/media/id/63dd27aac30ab522dcce48b3/654508c3a5af4a380cd486d8" TargetMode="External"/><Relationship Id="rId24" Type="http://schemas.openxmlformats.org/officeDocument/2006/relationships/hyperlink" Target="https://dzen.ru/media/id/63dd27aac30ab522dcce48b3/6547bb44b8dcae73a89d3a23" TargetMode="External"/><Relationship Id="rId25" Type="http://schemas.openxmlformats.org/officeDocument/2006/relationships/hyperlink" Target="https://dzen.ru/media/id/63dd27aac30ab522dcce48b3/654a4ae388bda60cad86e64f" TargetMode="External"/><Relationship Id="rId26" Type="http://schemas.openxmlformats.org/officeDocument/2006/relationships/hyperlink" Target="https://dzen.ru/media/id/63dd27aac30ab522dcce48b3/654cf3a65fbdb06733de78de" TargetMode="External"/><Relationship Id="rId27" Type="http://schemas.openxmlformats.org/officeDocument/2006/relationships/hyperlink" Target="https://dzen.ru/media/id/63dd27aac30ab522dcce48b3/654f6decef61d67414350bb8" TargetMode="External"/><Relationship Id="rId28" Type="http://schemas.openxmlformats.org/officeDocument/2006/relationships/hyperlink" Target="https://dzen.ru/media/id/63dd27aac30ab522dcce48b3/6551082b11ee265e6c903f9c" TargetMode="External"/><Relationship Id="rId29" Type="http://schemas.openxmlformats.org/officeDocument/2006/relationships/hyperlink" Target="https://dzen.ru/media/id/63dd27aac30ab522dcce48b3/6554e71e3b3f472e351ad680" TargetMode="External"/><Relationship Id="rId30" Type="http://schemas.openxmlformats.org/officeDocument/2006/relationships/hyperlink" Target="https://dzen.ru/media/id/63dd27aac30ab522dcce48b3/65576b9c1e1bd141ad1fcddc" TargetMode="External"/><Relationship Id="rId31" Type="http://schemas.openxmlformats.org/officeDocument/2006/relationships/hyperlink" Target="https://dzen.ru/media/id/63dd27aac30ab522dcce48b3/6559220765e2fc0570db50e8" TargetMode="External"/><Relationship Id="rId32" Type="http://schemas.openxmlformats.org/officeDocument/2006/relationships/hyperlink" Target="https://dzen.ru/media/id/63dd27aac30ab522dcce48b3/655c579c8a74061665ac7e17" TargetMode="External"/><Relationship Id="rId33" Type="http://schemas.openxmlformats.org/officeDocument/2006/relationships/hyperlink" Target="https://dzen.ru/media/id/63dd27aac30ab522dcce48b3/655f6532aad3ac18d32a32cc" TargetMode="External"/><Relationship Id="rId34" Type="http://schemas.openxmlformats.org/officeDocument/2006/relationships/hyperlink" Target="https://dzen.ru/media/id/63dd27aac30ab522dcce48b3/6561ade565c1165014b369c1" TargetMode="External"/><Relationship Id="rId35" Type="http://schemas.openxmlformats.org/officeDocument/2006/relationships/hyperlink" Target="https://dzen.ru/media/id/63dd27aac30ab522dcce48b3/65645eaa84ef1976903f5a5e" TargetMode="External"/><Relationship Id="rId36" Type="http://schemas.openxmlformats.org/officeDocument/2006/relationships/hyperlink" Target="https://dzen.ru/media/id/63dd27aac30ab522dcce48b3/656738da88cffc7a8f1a60f3" TargetMode="External"/><Relationship Id="rId37" Type="http://schemas.openxmlformats.org/officeDocument/2006/relationships/hyperlink" Target="https://dzen.ru/media/id/63dd27aac30ab522dcce48b3/656a0473f87caa53d311c53f" TargetMode="External"/><Relationship Id="rId38" Type="http://schemas.openxmlformats.org/officeDocument/2006/relationships/hyperlink" Target="https://dzen.ru/media/id/63dd27aac30ab522dcce48b3/656c93a39894eb7840c34401" TargetMode="External"/><Relationship Id="rId39" Type="http://schemas.openxmlformats.org/officeDocument/2006/relationships/hyperlink" Target="https://dzen.ru/media/id/63dd27aac30ab522dcce48b3/656f51e5b7c55f2e680040a0" TargetMode="External"/><Relationship Id="rId40" Type="http://schemas.openxmlformats.org/officeDocument/2006/relationships/hyperlink" Target="https://dzen.ru/media/id/63dd27aac30ab522dcce48b3/6571ca17b52b316f42dafe14" TargetMode="External"/><Relationship Id="rId41" Type="http://schemas.openxmlformats.org/officeDocument/2006/relationships/hyperlink" Target="https://dzen.ru/media/id/63dd27aac30ab522dcce48b3/65747c014f0304257d9b7448" TargetMode="External"/><Relationship Id="rId42" Type="http://schemas.openxmlformats.org/officeDocument/2006/relationships/hyperlink" Target="https://dzen.ru/media/id/63dd27aac30ab522dcce48b3/657730d36dbe6b1938eb80ff" TargetMode="External"/><Relationship Id="rId43" Type="http://schemas.openxmlformats.org/officeDocument/2006/relationships/hyperlink" Target="https://dzen.ru/media/id/63dd27aac30ab522dcce48b3/65797cf1d536e822e776825d" TargetMode="External"/><Relationship Id="rId44" Type="http://schemas.openxmlformats.org/officeDocument/2006/relationships/hyperlink" Target="https://dzen.ru/media/id/63dd27aac30ab522dcce48b3/657c0ccc6aba5b2d76bef1bd" TargetMode="External"/><Relationship Id="rId45" Type="http://schemas.openxmlformats.org/officeDocument/2006/relationships/hyperlink" Target="https://dzen.ru/media/id/63dd27aac30ab522dcce48b3/657eb11a83b4b95986426920" TargetMode="External"/><Relationship Id="rId46" Type="http://schemas.openxmlformats.org/officeDocument/2006/relationships/hyperlink" Target="https://dzen.ru/media/id/63dd27aac30ab522dcce48b3/65815ca869ac86089c7d1a62" TargetMode="External"/><Relationship Id="rId47" Type="http://schemas.openxmlformats.org/officeDocument/2006/relationships/hyperlink" Target="https://dzen.ru/media/id/63dd27aac30ab522dcce48b3/658312b02df2b36839247d12" TargetMode="External"/><Relationship Id="rId48" Type="http://schemas.openxmlformats.org/officeDocument/2006/relationships/hyperlink" Target="https://dzen.ru/media/id/63dd27aac30ab522dcce48b3/6585d80041d6bb6c24552ea4" TargetMode="External"/><Relationship Id="rId49" Type="http://schemas.openxmlformats.org/officeDocument/2006/relationships/hyperlink" Target="https://dzen.ru/media/id/63dd27aac30ab522dcce48b3/65896ef339c6e24c8b4a458e" TargetMode="External"/><Relationship Id="rId50" Type="http://schemas.openxmlformats.org/officeDocument/2006/relationships/hyperlink" Target="https://dzen.ru/media/id/63dd27aac30ab522dcce48b3/658b46eabff6e67336619e7b" TargetMode="External"/><Relationship Id="rId51" Type="http://schemas.openxmlformats.org/officeDocument/2006/relationships/hyperlink" Target="https://dzen.ru/media/id/63dd27aac30ab522dcce48b3/658e82b52eb5c11b9676b96b" TargetMode="External"/><Relationship Id="rId52" Type="http://schemas.openxmlformats.org/officeDocument/2006/relationships/hyperlink" Target="https://dzen.ru/media/id/63dd27aac30ab522dcce48b3/6590965195509b2d84458681" TargetMode="External"/><Relationship Id="rId53" Type="http://schemas.openxmlformats.org/officeDocument/2006/relationships/hyperlink" Target="https://dzen.ru/media/id/63dd27aac30ab522dcce48b3/6593db9a1f823614d3245261" TargetMode="External"/><Relationship Id="rId54" Type="http://schemas.openxmlformats.org/officeDocument/2006/relationships/hyperlink" Target="https://dzen.ru/media/id/63dd27aac30ab522dcce48b3/65966eebeb35721ecb8570c0" TargetMode="External"/><Relationship Id="rId55" Type="http://schemas.openxmlformats.org/officeDocument/2006/relationships/hyperlink" Target="https://dzen.ru/media/id/63dd27aac30ab522dcce48b3/65990eefc767be610dafb991" TargetMode="External"/><Relationship Id="rId56" Type="http://schemas.openxmlformats.org/officeDocument/2006/relationships/hyperlink" Target="https://dzen.ru/media/id/63dd27aac30ab522dcce48b3/659bb02b2a04ce11257e2938" TargetMode="External"/><Relationship Id="rId57" Type="http://schemas.openxmlformats.org/officeDocument/2006/relationships/hyperlink" Target="https://dzen.ru/media/id/63dd27aac30ab522dcce48b3/659d05c5b296f85363feeead" TargetMode="External"/><Relationship Id="rId58" Type="http://schemas.openxmlformats.org/officeDocument/2006/relationships/hyperlink" Target="https://dzen.ru/media/id/63dd27aac30ab522dcce48b3/65a0dfdad99f650ca42a7a52" TargetMode="External"/><Relationship Id="rId59" Type="http://schemas.openxmlformats.org/officeDocument/2006/relationships/hyperlink" Target="https://dzen.ru/media/id/63dd27aac30ab522dcce48b3/65a38efe44abe535e13e905d" TargetMode="External"/><Relationship Id="rId60" Type="http://schemas.openxmlformats.org/officeDocument/2006/relationships/hyperlink" Target="https://dzen.ru/media/id/63dd27aac30ab522dcce48b3/65a58c49e093670734455e49" TargetMode="External"/><Relationship Id="rId61" Type="http://schemas.openxmlformats.org/officeDocument/2006/relationships/hyperlink" Target="https://dzen.ru/media/id/63dd27aac30ab522dcce48b3/65a81a7c335af54b4b43da2a" TargetMode="External"/><Relationship Id="rId62" Type="http://schemas.openxmlformats.org/officeDocument/2006/relationships/hyperlink" Target="https://dzen.ru/media/id/63dd27aac30ab522dcce48b3/65aa7d3a5d43777ffc9904bd" TargetMode="External"/><Relationship Id="rId63" Type="http://schemas.openxmlformats.org/officeDocument/2006/relationships/hyperlink" Target="https://dzen.ru/media/id/63dd27aac30ab522dcce48b3/65ae2112612efc41c8a63587" TargetMode="External"/><Relationship Id="rId64" Type="http://schemas.openxmlformats.org/officeDocument/2006/relationships/hyperlink" Target="https://dzen.ru/media/id/63dd27aac30ab522dcce48b3/65b0ced4c5eb1b4dc153b62e" TargetMode="External"/><Relationship Id="rId65" Type="http://schemas.openxmlformats.org/officeDocument/2006/relationships/hyperlink" Target="https://dzen.ru/media/id/63dd27aac30ab522dcce48b3/65b35b10a4f0b521043de3d8" TargetMode="External"/><Relationship Id="rId66" Type="http://schemas.openxmlformats.org/officeDocument/2006/relationships/hyperlink" Target="https://dzen.ru/media/id/63dd27aac30ab522dcce48b3/65b3c7e8fa240c5e6134b62d" TargetMode="External"/><Relationship Id="rId67" Type="http://schemas.openxmlformats.org/officeDocument/2006/relationships/hyperlink" Target="https://dzen.ru/media/id/63dd27aac30ab522dcce48b3/65b8a9a2ddb34e045460e434" TargetMode="External"/><Relationship Id="rId68" Type="http://schemas.openxmlformats.org/officeDocument/2006/relationships/hyperlink" Target="https://dzen.ru/media/id/63dd27aac30ab522dcce48b3/65bb5dfb168cdf5c397c9920" TargetMode="External"/><Relationship Id="rId69" Type="http://schemas.openxmlformats.org/officeDocument/2006/relationships/hyperlink" Target="https://dzen.ru/media/id/63dd27aac30ab522dcce48b3/65bdf4f4ff094971f0a10338" TargetMode="External"/><Relationship Id="rId70" Type="http://schemas.openxmlformats.org/officeDocument/2006/relationships/hyperlink" Target="https://dzen.ru/media/id/63dd27aac30ab522dcce48b3/65c07cba45d96a12fdfda2e7" TargetMode="External"/><Relationship Id="rId71" Type="http://schemas.openxmlformats.org/officeDocument/2006/relationships/hyperlink" Target="https://dzen.ru/media/id/63dd27aac30ab522dcce48b3/65c33c890f01582226c885c0" TargetMode="External"/><Relationship Id="rId72" Type="http://schemas.openxmlformats.org/officeDocument/2006/relationships/hyperlink" Target="https://dzen.ru/media/id/63dd27aac30ab522dcce48b3/65c5fb4109606a2c08cc169d" TargetMode="External"/><Relationship Id="rId73" Type="http://schemas.openxmlformats.org/officeDocument/2006/relationships/hyperlink" Target="https://dzen.ru/media/id/63dd27aac30ab522dcce48b3/65c7ed12e7105805f101d98b" TargetMode="External"/><Relationship Id="rId74" Type="http://schemas.openxmlformats.org/officeDocument/2006/relationships/hyperlink" Target="https://dzen.ru/media/id/63dd27aac30ab522dcce48b3/65cb1c27db1fd65e3269618f" TargetMode="External"/><Relationship Id="rId75" Type="http://schemas.openxmlformats.org/officeDocument/2006/relationships/hyperlink" Target="https://dzen.ru/media/id/63dd27aac30ab522dcce48b3/65cdd00d09606a2c08fb41b7" TargetMode="External"/><Relationship Id="rId76" Type="http://schemas.openxmlformats.org/officeDocument/2006/relationships/hyperlink" Target="https://dzen.ru/media/id/63dd27aac30ab522dcce48b3/65d0784db59d795072ed3e68" TargetMode="External"/><Relationship Id="rId77" Type="http://schemas.openxmlformats.org/officeDocument/2006/relationships/hyperlink" Target="https://dzen.ru/media/id/63dd27aac30ab522dcce48b3/65d316f2b59d7950726ccca6" TargetMode="External"/><Relationship Id="rId78" Type="http://schemas.openxmlformats.org/officeDocument/2006/relationships/hyperlink" Target="https://dzen.ru/media/id/63dd27aac30ab522dcce48b3/65d5a9e115e35e7dc7a1030d" TargetMode="External"/><Relationship Id="rId79" Type="http://schemas.openxmlformats.org/officeDocument/2006/relationships/hyperlink" Target="https://dzen.ru/media/id/63dd27aac30ab522dcce48b3/65d86b6fd2b1603f98ad4d4c" TargetMode="External"/><Relationship Id="rId80" Type="http://schemas.openxmlformats.org/officeDocument/2006/relationships/hyperlink" Target="https://dzen.ru/media/id/63dd27aac30ab522dcce48b3/65db0de7569aee7bb40100a6" TargetMode="External"/><Relationship Id="rId81" Type="http://schemas.openxmlformats.org/officeDocument/2006/relationships/hyperlink" Target="https://dzen.ru/media/id/63dd27aac30ab522dcce48b3/65ddbe064b6b2f256fe048c3" TargetMode="External"/><Relationship Id="rId82" Type="http://schemas.openxmlformats.org/officeDocument/2006/relationships/hyperlink" Target="https://dzen.ru/media/id/63dd27aac30ab522dcce48b3/65e07ff73057d83ff3266082" TargetMode="External"/><Relationship Id="rId83" Type="http://schemas.openxmlformats.org/officeDocument/2006/relationships/hyperlink" Target="https://dzen.ru/media/id/63dd27aac30ab522dcce48b3/65e2e5b22b8b137faf70d9cb" TargetMode="External"/><Relationship Id="rId84" Type="http://schemas.openxmlformats.org/officeDocument/2006/relationships/hyperlink" Target="https://dzen.ru/media/id/63dd27aac30ab522dcce48b3/65e589abe12f920d341ca8c7" TargetMode="External"/><Relationship Id="rId85" Type="http://schemas.openxmlformats.org/officeDocument/2006/relationships/hyperlink" Target="https://dzen.ru/media/id/63dd27aac30ab522dcce48b3/65e7a8547700786f98db4069" TargetMode="External"/><Relationship Id="rId86" Type="http://schemas.openxmlformats.org/officeDocument/2006/relationships/hyperlink" Target="https://dzen.ru/media/id/63dd27aac30ab522dcce48b3/65eae9420050982f07e6c630" TargetMode="External"/><Relationship Id="rId87" Type="http://schemas.openxmlformats.org/officeDocument/2006/relationships/hyperlink" Target="https://dzen.ru/media/id/63dd27aac30ab522dcce48b3/65ed6e0c0149d872ef0cddd9" TargetMode="External"/><Relationship Id="rId88" Type="http://schemas.openxmlformats.org/officeDocument/2006/relationships/hyperlink" Target="https://dzen.ru/media/id/63dd27aac30ab522dcce48b3/65ef8e8628714c5311ea24da" TargetMode="External"/><Relationship Id="rId89" Type="http://schemas.openxmlformats.org/officeDocument/2006/relationships/hyperlink" Target="https://dzen.ru/media/id/63dd27aac30ab522dcce48b3/65ef97ab8bdbff4a8a12f00e" TargetMode="External"/><Relationship Id="rId90" Type="http://schemas.openxmlformats.org/officeDocument/2006/relationships/hyperlink" Target="https://dzen.ru/media/id/63dd27aac30ab522dcce48b3/65f37528d0b61e78b2bba305" TargetMode="External"/><Relationship Id="rId91" Type="http://schemas.openxmlformats.org/officeDocument/2006/relationships/hyperlink" Target="https://dzen.ru/media/id/63dd27aac30ab522dcce48b3/65f7519d1d98e109a3d62ab7" TargetMode="External"/><Relationship Id="rId92" Type="http://schemas.openxmlformats.org/officeDocument/2006/relationships/hyperlink" Target="https://dzen.ru/media/id/63dd27aac30ab522dcce48b3/65f9fd1eeb565e5104d10dd6" TargetMode="External"/><Relationship Id="rId93" Type="http://schemas.openxmlformats.org/officeDocument/2006/relationships/hyperlink" Target="https://dzen.ru/media/id/63dd27aac30ab522dcce48b3/65fd49acca334130e3673f65" TargetMode="External"/><Relationship Id="rId94" Type="http://schemas.openxmlformats.org/officeDocument/2006/relationships/hyperlink" Target="https://dzen.ru/media/id/63dd27aac30ab522dcce48b3/65ffef50637a7913325e2afd" TargetMode="External"/><Relationship Id="rId95" Type="http://schemas.openxmlformats.org/officeDocument/2006/relationships/hyperlink" Target="https://dzen.ru/media/id/63dd27aac30ab522dcce48b3/6602910322aa0724b50025b6" TargetMode="External"/><Relationship Id="rId96" Type="http://schemas.openxmlformats.org/officeDocument/2006/relationships/hyperlink" Target="https://dzen.ru/media/id/63dd27aac30ab522dcce48b3/6604b3e975d1500baa528f22" TargetMode="External"/><Relationship Id="rId97" Type="http://schemas.openxmlformats.org/officeDocument/2006/relationships/hyperlink" Target="https://dzen.ru/media/id/63dd27aac30ab522dcce48b3/66075177cea4665fd5d19da9" TargetMode="External"/><Relationship Id="rId98" Type="http://schemas.openxmlformats.org/officeDocument/2006/relationships/hyperlink" Target="https://dzen.ru/media/id/63dd27aac30ab522dcce48b3/660a76a69d47c93154458e1a" TargetMode="External"/><Relationship Id="rId99" Type="http://schemas.openxmlformats.org/officeDocument/2006/relationships/hyperlink" Target="https://dzen.ru/media/id/63dd27aac30ab522dcce48b3/660cb736b264c0652c41a2a3" TargetMode="External"/><Relationship Id="rId100" Type="http://schemas.openxmlformats.org/officeDocument/2006/relationships/hyperlink" Target="https://dzen.ru/media/id/63dd27aac30ab522dcce48b3/660fce3bb4dd1071d6776f8c" TargetMode="External"/><Relationship Id="rId101" Type="http://schemas.openxmlformats.org/officeDocument/2006/relationships/hyperlink" Target="https://dzen.ru/media/id/63dd27aac30ab522dcce48b3/6611e9d49c7e2d240741935c" TargetMode="External"/><Relationship Id="rId102" Type="http://schemas.openxmlformats.org/officeDocument/2006/relationships/hyperlink" Target="https://dzen.ru/media/id/63dd27aac30ab522dcce48b3/6615056bfc2db45bb823b37a" TargetMode="External"/><Relationship Id="rId103" Type="http://schemas.openxmlformats.org/officeDocument/2006/relationships/hyperlink" Target="https://dzen.ru/media/id/63dd27aac30ab522dcce48b3/66179a65d770996ce94b3572" TargetMode="External"/><Relationship Id="rId104" Type="http://schemas.openxmlformats.org/officeDocument/2006/relationships/hyperlink" Target="https://dzen.ru/media/id/63dd27aac30ab522dcce48b3/66199cc7b2c477719b52d315" TargetMode="External"/><Relationship Id="rId105" Type="http://schemas.openxmlformats.org/officeDocument/2006/relationships/hyperlink" Target="https://dzen.ru/media/id/63dd27aac30ab522dcce48b3/661c0ef11bb95a519d79e98a" TargetMode="External"/><Relationship Id="rId106" Type="http://schemas.openxmlformats.org/officeDocument/2006/relationships/hyperlink" Target="https://dzen.ru/media/id/63dd27aac30ab522dcce48b3/661ef9da71204b5166b0a703" TargetMode="External"/><Relationship Id="rId107" Type="http://schemas.openxmlformats.org/officeDocument/2006/relationships/hyperlink" Target="https://dzen.ru/media/id/63dd27aac30ab522dcce48b3/662250aaac021a178f5ba953" TargetMode="External"/><Relationship Id="rId108" Type="http://schemas.openxmlformats.org/officeDocument/2006/relationships/hyperlink" Target="https://dzen.ru/media/id/63dd27aac30ab522dcce48b3/6624b232cbb15a5702930a0d" TargetMode="External"/><Relationship Id="rId109" Type="http://schemas.openxmlformats.org/officeDocument/2006/relationships/hyperlink" Target="https://dzen.ru/media/id/63dd27aac30ab522dcce48b3/66275d4729c2047a17a9c14f" TargetMode="External"/><Relationship Id="rId110" Type="http://schemas.openxmlformats.org/officeDocument/2006/relationships/hyperlink" Target="https://dzen.ru/media/id/63dd27aac30ab522dcce48b3/662a1a71c808d277773065a6" TargetMode="External"/><Relationship Id="rId111" Type="http://schemas.openxmlformats.org/officeDocument/2006/relationships/hyperlink" Target="https://dzen.ru/media/id/63dd27aac30ab522dcce48b3/662cbf6731eace3a597a7f6a" TargetMode="External"/><Relationship Id="rId112" Type="http://schemas.openxmlformats.org/officeDocument/2006/relationships/hyperlink" Target="https://dzen.ru/media/id/63dd27aac30ab522dcce48b3/662f53e0eb2236040fef634b" TargetMode="External"/><Relationship Id="rId113" Type="http://schemas.openxmlformats.org/officeDocument/2006/relationships/hyperlink" Target="https://dzen.ru/media/id/63dd27aac30ab522dcce48b3/66310dc87044c74bee917674" TargetMode="External"/><Relationship Id="rId114" Type="http://schemas.openxmlformats.org/officeDocument/2006/relationships/hyperlink" Target="https://dzen.ru/media/id/63dd27aac30ab522dcce48b3/663368e519148e7821fe29c9" TargetMode="External"/><Relationship Id="rId115" Type="http://schemas.openxmlformats.org/officeDocument/2006/relationships/hyperlink" Target="https://dzen.ru/media/id/63dd27aac30ab522dcce48b3/66373b9e0e1546102794447c" TargetMode="External"/><Relationship Id="rId116" Type="http://schemas.openxmlformats.org/officeDocument/2006/relationships/hyperlink" Target="https://dzen.ru/media/id/63dd27aac30ab522dcce48b3/6639eb229f669c30c3550c51" TargetMode="External"/><Relationship Id="rId117" Type="http://schemas.openxmlformats.org/officeDocument/2006/relationships/hyperlink" Target="https://dzen.ru/media/id/63dd27aac30ab522dcce48b3/663c887668aabe399c6fecb9" TargetMode="External"/><Relationship Id="rId118" Type="http://schemas.openxmlformats.org/officeDocument/2006/relationships/hyperlink" Target="https://dzen.ru/media/id/63dd27aac30ab522dcce48b3/663f2be797b762648711688b" TargetMode="External"/><Relationship Id="rId119" Type="http://schemas.openxmlformats.org/officeDocument/2006/relationships/hyperlink" Target="https://dzen.ru/media/id/63dd27aac30ab522dcce48b3/6641c02b0357f923a7fc86fc" TargetMode="External"/><Relationship Id="rId120" Type="http://schemas.openxmlformats.org/officeDocument/2006/relationships/hyperlink" Target="https://dzen.ru/media/id/63dd27aac30ab522dcce48b3/66447b8ce73439739bde342d" TargetMode="External"/><Relationship Id="rId121" Type="http://schemas.openxmlformats.org/officeDocument/2006/relationships/hyperlink" Target="https://dzen.ru/media/id/63dd27aac30ab522dcce48b3/6646f956d17e135fd6f9b096" TargetMode="External"/><Relationship Id="rId122" Type="http://schemas.openxmlformats.org/officeDocument/2006/relationships/hyperlink" Target="https://dzen.ru/media/id/63dd27aac30ab522dcce48b3/66491cd422ce294559d32274" TargetMode="External"/><Relationship Id="rId123" Type="http://schemas.openxmlformats.org/officeDocument/2006/relationships/hyperlink" Target="https://dzen.ru/media/id/63dd27aac30ab522dcce48b3/664c516a635482244fdfd4a0" TargetMode="External"/><Relationship Id="rId124" Type="http://schemas.openxmlformats.org/officeDocument/2006/relationships/hyperlink" Target="https://dzen.ru/media/id/63dd27aac30ab522dcce48b3/664edd03bf0c940b99624365" TargetMode="External"/><Relationship Id="rId125" Type="http://schemas.openxmlformats.org/officeDocument/2006/relationships/hyperlink" Target="https://dzen.ru/media/id/63dd27aac30ab522dcce48b3/6651448f5fc26601bc10c8f7" TargetMode="External"/><Relationship Id="rId126" Type="http://schemas.openxmlformats.org/officeDocument/2006/relationships/hyperlink" Target="https://dzen.ru/media/id/63dd27aac30ab522dcce48b3/6654458b01282a451771ce28" TargetMode="External"/><Relationship Id="rId127" Type="http://schemas.openxmlformats.org/officeDocument/2006/relationships/hyperlink" Target="https://dzen.ru/media/id/63dd27aac30ab522dcce48b3/6656e1915fc26601bca774f1" TargetMode="External"/><Relationship Id="rId128" Type="http://schemas.openxmlformats.org/officeDocument/2006/relationships/hyperlink" Target="https://dzen.ru/media/id/63dd27aac30ab522dcce48b3/66590a598f8f587ad8f3adbf" TargetMode="External"/><Relationship Id="rId129" Type="http://schemas.openxmlformats.org/officeDocument/2006/relationships/hyperlink" Target="https://dzen.ru/media/id/63dd27aac30ab522dcce48b3/665bb33f0d264d42a7e97110" TargetMode="External"/><Relationship Id="rId130" Type="http://schemas.openxmlformats.org/officeDocument/2006/relationships/hyperlink" Target="https://dzen.ru/media/id/63dd27aac30ab522dcce48b3/665ed29f4fb7d66f4634d653" TargetMode="External"/><Relationship Id="rId131" Type="http://schemas.openxmlformats.org/officeDocument/2006/relationships/hyperlink" Target="https://dzen.ru/media/id/63dd27aac30ab522dcce48b3/666160d7ae5bc312e585c745" TargetMode="External"/><Relationship Id="rId132" Type="http://schemas.openxmlformats.org/officeDocument/2006/relationships/hyperlink" Target="https://dzen.ru/media/id/63dd27aac30ab522dcce48b3/66641a65b205006d78c03513" TargetMode="External"/><Relationship Id="rId133" Type="http://schemas.openxmlformats.org/officeDocument/2006/relationships/hyperlink" Target="https://dzen.ru/media/id/63dd27aac30ab522dcce48b3/6666bd7d0b511666481bfb26" TargetMode="External"/><Relationship Id="rId134" Type="http://schemas.openxmlformats.org/officeDocument/2006/relationships/hyperlink" Target="https://dzen.ru/media/id/63dd27aac30ab522dcce48b3/6668e3c90ca25727591baa78" TargetMode="External"/><Relationship Id="rId135" Type="http://schemas.openxmlformats.org/officeDocument/2006/relationships/hyperlink" Target="https://dzen.ru/media/id/63dd27aac30ab522dcce48b3/666c06e858d6c46b6113f4aa" TargetMode="External"/><Relationship Id="rId136" Type="http://schemas.openxmlformats.org/officeDocument/2006/relationships/hyperlink" Target="https://dzen.ru/media/id/63dd27aac30ab522dcce48b3/666e58646b57775badd4e49a" TargetMode="External"/><Relationship Id="rId137" Type="http://schemas.openxmlformats.org/officeDocument/2006/relationships/hyperlink" Target="https://dzen.ru/media/id/63dd27aac30ab522dcce48b3/66729f2f9d38727c0f587522" TargetMode="External"/><Relationship Id="rId138" Type="http://schemas.openxmlformats.org/officeDocument/2006/relationships/hyperlink" Target="https://dzen.ru/media/id/63dd27aac30ab522dcce48b3/6672a350867ea00009f932b3" TargetMode="External"/><Relationship Id="rId139" Type="http://schemas.openxmlformats.org/officeDocument/2006/relationships/hyperlink" Target="https://dzen.ru/media/id/63dd27aac30ab522dcce48b3/66769dd1c4463870659779a6" TargetMode="External"/><Relationship Id="rId140" Type="http://schemas.openxmlformats.org/officeDocument/2006/relationships/hyperlink" Target="https://dzen.ru/media/id/63dd27aac30ab522dcce48b3/667a67249d76681df9c6e0f0" TargetMode="External"/><Relationship Id="rId141" Type="http://schemas.openxmlformats.org/officeDocument/2006/relationships/hyperlink" Target="https://dzen.ru/media/id/63dd27aac30ab522dcce48b3/667c413a9a544801f6284575" TargetMode="External"/><Relationship Id="rId142" Type="http://schemas.openxmlformats.org/officeDocument/2006/relationships/hyperlink" Target="https://dzen.ru/media/id/63dd27aac30ab522dcce48b3/667fbc2afd7b631e44c474b8" TargetMode="External"/><Relationship Id="rId143" Type="http://schemas.openxmlformats.org/officeDocument/2006/relationships/hyperlink" Target="https://dzen.ru/media/id/63dd27aac30ab522dcce48b3/66825465e419264ab4f06a12" TargetMode="External"/><Relationship Id="rId144" Type="http://schemas.openxmlformats.org/officeDocument/2006/relationships/hyperlink" Target="https://dzen.ru/media/id/63dd27aac30ab522dcce48b3/6683e22762d21a0b5b172218" TargetMode="External"/><Relationship Id="rId145" Type="http://schemas.openxmlformats.org/officeDocument/2006/relationships/hyperlink" Target="https://dzen.ru/media/id/63dd27aac30ab522dcce48b3/66879698e419264ab4e4afb9" TargetMode="External"/><Relationship Id="rId146" Type="http://schemas.openxmlformats.org/officeDocument/2006/relationships/hyperlink" Target="https://dzen.ru/media/id/63dd27aac30ab522dcce48b3/668909d9bf000b11236ef142" TargetMode="External"/><Relationship Id="rId147" Type="http://schemas.openxmlformats.org/officeDocument/2006/relationships/hyperlink" Target="https://dzen.ru/media/id/63dd27aac30ab522dcce48b3/668ce99f597abb295f4f6d9f" TargetMode="External"/><Relationship Id="rId148" Type="http://schemas.openxmlformats.org/officeDocument/2006/relationships/hyperlink" Target="https://dzen.ru/media/id/63dd27aac30ab522dcce48b3/668ee1ec768fc17b655637f2" TargetMode="External"/><Relationship Id="rId149" Type="http://schemas.openxmlformats.org/officeDocument/2006/relationships/hyperlink" Target="https://dzen.ru/media/id/63dd27aac30ab522dcce48b3/669249c26206d47d47005a8c" TargetMode="External"/><Relationship Id="rId150" Type="http://schemas.openxmlformats.org/officeDocument/2006/relationships/hyperlink" Target="https://dzen.ru/media/id/63dd27aac30ab522dcce48b3/6694e720863a9877f3524224" TargetMode="External"/><Relationship Id="rId151" Type="http://schemas.openxmlformats.org/officeDocument/2006/relationships/hyperlink" Target="https://dzen.ru/media/id/63dd27aac30ab522dcce48b3/6696bb99e4a7f25f09dd5a71" TargetMode="External"/><Relationship Id="rId152" Type="http://schemas.openxmlformats.org/officeDocument/2006/relationships/hyperlink" Target="https://dzen.ru/media/id/63dd27aac30ab522dcce48b3/669a2ff15de5626eddfe6c5e" TargetMode="External"/><Relationship Id="rId153" Type="http://schemas.openxmlformats.org/officeDocument/2006/relationships/hyperlink" Target="https://dzen.ru/media/id/63dd27aac30ab522dcce48b3/669cd9bdf11d201c92353444" TargetMode="External"/><Relationship Id="rId154" Type="http://schemas.openxmlformats.org/officeDocument/2006/relationships/hyperlink" Target="https://dzen.ru/media/id/63dd27aac30ab522dcce48b3/669ec604aa10c4738d611423" TargetMode="External"/><Relationship Id="rId155" Type="http://schemas.openxmlformats.org/officeDocument/2006/relationships/hyperlink" Target="https://dzen.ru/media/id/63dd27aac30ab522dcce48b3/66a13b741391a41155e1e000" TargetMode="External"/><Relationship Id="rId156" Type="http://schemas.openxmlformats.org/officeDocument/2006/relationships/hyperlink" Target="https://dzen.ru/media/id/63dd27aac30ab522dcce48b3/66a4b2cdba5e8b1a462bec91" TargetMode="External"/><Relationship Id="rId157" Type="http://schemas.openxmlformats.org/officeDocument/2006/relationships/hyperlink" Target="https://dzen.ru/media/id/63dd27aac30ab522dcce48b3/66a75f38d3a54523d5d0d382" TargetMode="External"/><Relationship Id="rId158" Type="http://schemas.openxmlformats.org/officeDocument/2006/relationships/hyperlink" Target="https://dzen.ru/media/id/63dd27aac30ab522dcce48b3/66aa0ae8b9a52a13c02599c1" TargetMode="External"/><Relationship Id="rId159" Type="http://schemas.openxmlformats.org/officeDocument/2006/relationships/hyperlink" Target="https://dzen.ru/media/id/63dd27aac30ab522dcce48b3/66aca43557e7bc5b7bed8851" TargetMode="External"/><Relationship Id="rId160" Type="http://schemas.openxmlformats.org/officeDocument/2006/relationships/hyperlink" Target="https://dzen.ru/media/id/63dd27aac30ab522dcce48b3/66af2a810542f0527ae85137" TargetMode="External"/><Relationship Id="rId161" Type="http://schemas.openxmlformats.org/officeDocument/2006/relationships/hyperlink" Target="https://dzen.ru/media/id/63dd27aac30ab522dcce48b3/66b1d413839c8d7a5434e1df" TargetMode="External"/><Relationship Id="rId162" Type="http://schemas.openxmlformats.org/officeDocument/2006/relationships/hyperlink" Target="https://dzen.ru/media/id/63dd27aac30ab522dcce48b3/66b487c90e91671e5a0190f1" TargetMode="External"/><Relationship Id="rId163" Type="http://schemas.openxmlformats.org/officeDocument/2006/relationships/hyperlink" Target="https://dzen.ru/media/id/63dd27aac30ab522dcce48b3/66b73b102da20429e84894bf" TargetMode="External"/><Relationship Id="rId164" Type="http://schemas.openxmlformats.org/officeDocument/2006/relationships/hyperlink" Target="https://dzen.ru/media/id/63dd27aac30ab522dcce48b3/66b9cb1092b676336fba8519" TargetMode="External"/><Relationship Id="rId165" Type="http://schemas.openxmlformats.org/officeDocument/2006/relationships/hyperlink" Target="https://dzen.ru/media/id/63dd27aac30ab522dcce48b3/66bc6e5c8b92ab6fd38388be" TargetMode="External"/><Relationship Id="rId166" Type="http://schemas.openxmlformats.org/officeDocument/2006/relationships/hyperlink" Target="https://dzen.ru/media/id/63dd27aac30ab522dcce48b3/66c04b9d3c265b68b02313ad" TargetMode="External"/><Relationship Id="rId167" Type="http://schemas.openxmlformats.org/officeDocument/2006/relationships/hyperlink" Target="https://dzen.ru/media/id/63dd27aac30ab522dcce48b3/66c3108d61ad894a99f9fae6" TargetMode="External"/><Relationship Id="rId168" Type="http://schemas.openxmlformats.org/officeDocument/2006/relationships/hyperlink" Target="https://dzen.ru/media/id/63dd27aac30ab522dcce48b3/66c4cf86df2b810cc4ae01b1" TargetMode="External"/><Relationship Id="rId169" Type="http://schemas.openxmlformats.org/officeDocument/2006/relationships/hyperlink" Target="https://dzen.ru/media/id/63dd27aac30ab522dcce48b3/66c72d1040e6066f40c600cd" TargetMode="External"/><Relationship Id="rId170" Type="http://schemas.openxmlformats.org/officeDocument/2006/relationships/hyperlink" Target="https://dzen.ru/media/id/63dd27aac30ab522dcce48b3/66cb14d8ac4b7b1c4df04a9c" TargetMode="External"/><Relationship Id="rId171" Type="http://schemas.openxmlformats.org/officeDocument/2006/relationships/hyperlink" Target="https://dzen.ru/media/id/63dd27aac30ab522dcce48b3/66ce373233c5f32485cf227e" TargetMode="External"/><Relationship Id="rId172" Type="http://schemas.openxmlformats.org/officeDocument/2006/relationships/hyperlink" Target="https://dzen.ru/media/id/63dd27aac30ab522dcce48b3/66d0c8abcc3ba7690ea0683e" TargetMode="External"/><Relationship Id="rId173" Type="http://schemas.openxmlformats.org/officeDocument/2006/relationships/hyperlink" Target="https://dzen.ru/media/id/63dd27aac30ab522dcce48b3/66d55c0ac146bc03f96f7c17" TargetMode="External"/><Relationship Id="rId174" Type="http://schemas.openxmlformats.org/officeDocument/2006/relationships/hyperlink" Target="https://dzen.ru/media/id/63dd27aac30ab522dcce48b3/66d832331627741813ca0697" TargetMode="External"/><Relationship Id="rId175" Type="http://schemas.openxmlformats.org/officeDocument/2006/relationships/hyperlink" Target="https://dzen.ru/media/id/63dd27aac30ab522dcce48b3/66dae1a782d936435a86732b" TargetMode="External"/><Relationship Id="rId176" Type="http://schemas.openxmlformats.org/officeDocument/2006/relationships/hyperlink" Target="https://dzen.ru/media/id/63dd27aac30ab522dcce48b3/66deb7f183f0604cbbda0e03" TargetMode="External"/><Relationship Id="rId177" Type="http://schemas.openxmlformats.org/officeDocument/2006/relationships/hyperlink" Target="https://dzen.ru/media/id/63dd27aac30ab522dcce48b3/66e1a05f1df72c7dd682ef4e" TargetMode="External"/><Relationship Id="rId178" Type="http://schemas.openxmlformats.org/officeDocument/2006/relationships/hyperlink" Target="https://dzen.ru/media/id/63dd27aac30ab522dcce48b3/66e42e8f5a081f17d539d71c" TargetMode="External"/><Relationship Id="rId179" Type="http://schemas.openxmlformats.org/officeDocument/2006/relationships/hyperlink" Target="https://dzen.ru/media/id/63dd27aac30ab522dcce48b3/66e7f6bf8181c103d654585c" TargetMode="External"/><Relationship Id="rId180" Type="http://schemas.openxmlformats.org/officeDocument/2006/relationships/hyperlink" Target="https://dzen.ru/media/id/63dd27aac30ab522dcce48b3/66ea90050e02a1063be572a3" TargetMode="External"/><Relationship Id="rId181" Type="http://schemas.openxmlformats.org/officeDocument/2006/relationships/hyperlink" Target="https://dzen.ru/media/id/63dd27aac30ab522dcce48b3/66ed4453576d5e047ec0a942" TargetMode="External"/><Relationship Id="rId182" Type="http://schemas.openxmlformats.org/officeDocument/2006/relationships/hyperlink" Target="https://dzen.ru/media/id/63dd27aac30ab522dcce48b3/66f1291aa1ad352bba78728c" TargetMode="External"/><Relationship Id="rId183" Type="http://schemas.openxmlformats.org/officeDocument/2006/relationships/hyperlink" Target="https://dzen.ru/media/id/63dd27aac30ab522dcce48b3/66f3e9967b36697872ea5804" TargetMode="External"/><Relationship Id="rId184" Type="http://schemas.openxmlformats.org/officeDocument/2006/relationships/hyperlink" Target="https://dzen.ru/media/id/63dd27aac30ab522dcce48b3/66fa5ae206ec2b139ec84f67" TargetMode="External"/><Relationship Id="rId185" Type="http://schemas.openxmlformats.org/officeDocument/2006/relationships/hyperlink" Target="https://dzen.ru/media/id/63dd27aac30ab522dcce48b3/66ffa47d36ccdf3a4cdecf7b" TargetMode="External"/><Relationship Id="rId186" Type="http://schemas.openxmlformats.org/officeDocument/2006/relationships/hyperlink" Target="https://dzen.ru/media/id/63dd27aac30ab522dcce48b3/67039d47396b9a10016af2fc" TargetMode="External"/><Relationship Id="rId187" Type="http://schemas.openxmlformats.org/officeDocument/2006/relationships/hyperlink" Target="https://dzen.ru/media/id/63dd27aac30ab522dcce48b3/6706662814f6dd0d169edfb6" TargetMode="External"/><Relationship Id="rId188" Type="http://schemas.openxmlformats.org/officeDocument/2006/relationships/hyperlink" Target="https://dzen.ru/media/id/63dd27aac30ab522dcce48b3/6708e7b2551d0514021ebad8" TargetMode="External"/><Relationship Id="rId189" Type="http://schemas.openxmlformats.org/officeDocument/2006/relationships/hyperlink" Target="https://dzen.ru/media/id/63dd27aac30ab522dcce48b3/670d095f996627484ccff641" TargetMode="External"/><Relationship Id="rId190" Type="http://schemas.openxmlformats.org/officeDocument/2006/relationships/hyperlink" Target="https://dzen.ru/media/id/63dd27aac30ab522dcce48b3/670ec7a0551d0514028c554e" TargetMode="External"/><Relationship Id="rId191" Type="http://schemas.openxmlformats.org/officeDocument/2006/relationships/hyperlink" Target="https://dzen.ru/media/id/63dd27aac30ab522dcce48b3/67121a6f702a103585223e81" TargetMode="External"/><Relationship Id="rId192" Type="http://schemas.openxmlformats.org/officeDocument/2006/relationships/hyperlink" Target="https://dzen.ru/media/id/63dd27aac30ab522dcce48b3/6718972e6cd37d17113d6f53" TargetMode="External"/><Relationship Id="rId193" Type="http://schemas.openxmlformats.org/officeDocument/2006/relationships/hyperlink" Target="https://dzen.ru/media/id/63dd27aac30ab522dcce48b3/671a178300ff8577c75a986c" TargetMode="External"/><Relationship Id="rId194" Type="http://schemas.openxmlformats.org/officeDocument/2006/relationships/hyperlink" Target="https://dzen.ru/media/id/63dd27aac30ab522dcce48b3/671dba3a0135fe0674133d33" TargetMode="External"/><Relationship Id="rId195" Type="http://schemas.openxmlformats.org/officeDocument/2006/relationships/hyperlink" Target="https://dzen.ru/media/id/63dd27aac30ab522dcce48b3/6722491540e70a5ac4c6de9c" TargetMode="External"/><Relationship Id="rId196" Type="http://schemas.openxmlformats.org/officeDocument/2006/relationships/hyperlink" Target="https://dzen.ru/media/id/63dd27aac30ab522dcce48b3/6724ad91f3214d12a30f643e" TargetMode="External"/><Relationship Id="rId197" Type="http://schemas.openxmlformats.org/officeDocument/2006/relationships/hyperlink" Target="https://dzen.ru/media/id/63dd27aac30ab522dcce48b3/67287d8cb08ab834ddc3bc10" TargetMode="External"/><Relationship Id="rId198" Type="http://schemas.openxmlformats.org/officeDocument/2006/relationships/hyperlink" Target="https://dzen.ru/media/id/63dd27aac30ab522dcce48b3/672a0fb5d1136548f135dceb" TargetMode="External"/><Relationship Id="rId199" Type="http://schemas.openxmlformats.org/officeDocument/2006/relationships/hyperlink" Target="https://dzen.ru/media/id/63dd27aac30ab522dcce48b3/672a16e353a093571fdede52" TargetMode="External"/><Relationship Id="rId200" Type="http://schemas.openxmlformats.org/officeDocument/2006/relationships/hyperlink" Target="https://dzen.ru/media/id/63dd27aac30ab522dcce48b3/672fa8e75c020758f986bac5" TargetMode="External"/><Relationship Id="rId201" Type="http://schemas.openxmlformats.org/officeDocument/2006/relationships/hyperlink" Target="https://dzen.ru/media/id/63dd27aac30ab522dcce48b3/672faeb5195f1460501468f2" TargetMode="External"/><Relationship Id="rId202" Type="http://schemas.openxmlformats.org/officeDocument/2006/relationships/hyperlink" Target="https://dzen.ru/media/id/63dd27aac30ab522dcce48b3/6735dda23d02300d4725492d" TargetMode="External"/><Relationship Id="rId203" Type="http://schemas.openxmlformats.org/officeDocument/2006/relationships/hyperlink" Target="https://dzen.ru/media/id/63dd27aac30ab522dcce48b3/672facd0933ccf37f0f0741e" TargetMode="External"/><Relationship Id="rId204" Type="http://schemas.openxmlformats.org/officeDocument/2006/relationships/hyperlink" Target="https://dzen.ru/media/id/63dd27aac30ab522dcce48b3/672fad37728ad76ebc294d89" TargetMode="External"/><Relationship Id="rId205" Type="http://schemas.openxmlformats.org/officeDocument/2006/relationships/hyperlink" Target="https://dzen.ru/media/id/63dd27aac30ab522dcce48b3/673a5a7b7332de4747266c18" TargetMode="External"/><Relationship Id="rId206" Type="http://schemas.openxmlformats.org/officeDocument/2006/relationships/hyperlink" Target="https://dzen.ru/media/id/63dd27aac30ab522dcce48b3/67418ae9bb9b34179b599d32" TargetMode="External"/><Relationship Id="rId207" Type="http://schemas.openxmlformats.org/officeDocument/2006/relationships/hyperlink" Target="https://dzen.ru/media/id/63dd27aac30ab522dcce48b3/6745f18d5630cc58dee5cda8" TargetMode="External"/><Relationship Id="rId208" Type="http://schemas.openxmlformats.org/officeDocument/2006/relationships/hyperlink" Target="https://dzen.ru/media/id/63dd27aac30ab522dcce48b3/67489e22a34584092fcabea7" TargetMode="External"/><Relationship Id="rId209" Type="http://schemas.openxmlformats.org/officeDocument/2006/relationships/hyperlink" Target="https://dzen.ru/media/id/63dd27aac30ab522dcce48b3/674cdea1e903fb6ed1306daf" TargetMode="External"/><Relationship Id="rId210" Type="http://schemas.openxmlformats.org/officeDocument/2006/relationships/hyperlink" Target="https://dzen.ru/media/id/63dd27aac30ab522dcce48b3/674cc8121260e648646b3c18" TargetMode="External"/><Relationship Id="rId211" Type="http://schemas.openxmlformats.org/officeDocument/2006/relationships/hyperlink" Target="https://dzen.ru/media/id/63dd27aac30ab522dcce48b3/674cdc8a99b3202c1f2ddf24" TargetMode="External"/><Relationship Id="rId212" Type="http://schemas.openxmlformats.org/officeDocument/2006/relationships/hyperlink" Target="https://dzen.ru/media/id/63dd27aac30ab522dcce48b3/6755c1b2a8a0414691b37e0c" TargetMode="External"/><Relationship Id="rId213" Type="http://schemas.openxmlformats.org/officeDocument/2006/relationships/hyperlink" Target="https://dzen.ru/media/id/63dd27aac30ab522dcce48b3/67586a8a9eb6062c05da61c6" TargetMode="External"/><Relationship Id="rId214" Type="http://schemas.openxmlformats.org/officeDocument/2006/relationships/hyperlink" Target="https://dzen.ru/media/id/63dd27aac30ab522dcce48b3/675b503ed8fb625d81d3911c" TargetMode="External"/><Relationship Id="rId215" Type="http://schemas.openxmlformats.org/officeDocument/2006/relationships/hyperlink" Target="https://dzen.ru/media/id/63dd27aac30ab522dcce48b3/675d6e776a55196abda94c2c" TargetMode="External"/><Relationship Id="rId216" Type="http://schemas.openxmlformats.org/officeDocument/2006/relationships/hyperlink" Target="https://dzen.ru/media/id/63dd27aac30ab522dcce48b3/675b5096e49bcd65d7de5f0b" TargetMode="External"/><Relationship Id="rId217" Type="http://schemas.openxmlformats.org/officeDocument/2006/relationships/hyperlink" Target="https://dzen.ru/media/id/63dd27aac30ab522dcce48b3/675d66e7d3a60a56ca40c5df" TargetMode="External"/><Relationship Id="rId218" Type="http://schemas.openxmlformats.org/officeDocument/2006/relationships/hyperlink" Target="https://dzen.ru/media/id/63dd27aac30ab522dcce48b3/6755cf8807f8224d4183c0bc" TargetMode="External"/><Relationship Id="rId219" Type="http://schemas.openxmlformats.org/officeDocument/2006/relationships/hyperlink" Target="https://dzen.ru/media/id/63dd27aac30ab522dcce48b3/6755ce500769fc26ca301148" TargetMode="External"/><Relationship Id="rId220" Type="http://schemas.openxmlformats.org/officeDocument/2006/relationships/hyperlink" Target="https://dzen.ru/media/id/63dd27aac30ab522dcce48b3/6755c354107ef73196433bb8" TargetMode="External"/><Relationship Id="rId221" Type="http://schemas.openxmlformats.org/officeDocument/2006/relationships/hyperlink" Target="https://dzen.ru/media/id/63dd27aac30ab522dcce48b3/676d778d078b4a47b438c49c" TargetMode="External"/><Relationship Id="rId222" Type="http://schemas.openxmlformats.org/officeDocument/2006/relationships/hyperlink" Target="https://dzen.ru/media/id/63dd27aac30ab522dcce48b3/67687341ff19cc1d3d38c948" TargetMode="External"/><Relationship Id="rId223" Type="http://schemas.openxmlformats.org/officeDocument/2006/relationships/hyperlink" Target="https://dzen.ru/media/id/63dd27aac30ab522dcce48b3/67765decb857da78466007bd" TargetMode="External"/><Relationship Id="rId224" Type="http://schemas.openxmlformats.org/officeDocument/2006/relationships/hyperlink" Target="https://dzen.ru/media/id/63dd27aac30ab522dcce48b3/67769ae74c82065a67c613a8" TargetMode="External"/><Relationship Id="rId225" Type="http://schemas.openxmlformats.org/officeDocument/2006/relationships/hyperlink" Target="https://dzen.ru/media/id/63dd27aac30ab522dcce48b3/677bdb0f74c6ec2e8a2cc822" TargetMode="External"/><Relationship Id="rId226" Type="http://schemas.openxmlformats.org/officeDocument/2006/relationships/hyperlink" Target="https://dzen.ru/media/id/63dd27aac30ab522dcce48b3/677bff95b96b121a4ab0c7bd" TargetMode="External"/><Relationship Id="rId227" Type="http://schemas.openxmlformats.org/officeDocument/2006/relationships/hyperlink" Target="https://dzen.ru/media/id/63dd27aac30ab522dcce48b3/67823344ca505531c15f2865" TargetMode="External"/><Relationship Id="rId228" Type="http://schemas.openxmlformats.org/officeDocument/2006/relationships/hyperlink" Target="https://dzen.ru/media/id/63dd27aac30ab522dcce48b3/676af877f405b90b52ecfbce" TargetMode="External"/><Relationship Id="rId229" Type="http://schemas.openxmlformats.org/officeDocument/2006/relationships/hyperlink" Target="https://dzen.ru/media/id/63dd27aac30ab522dcce48b3/6776a0e7b89fd1434de33980" TargetMode="External"/><Relationship Id="rId230" Type="http://schemas.openxmlformats.org/officeDocument/2006/relationships/hyperlink" Target="https://dzen.ru/media/id/63dd27aac30ab522dcce48b3/678d2ae58e33370bace1c9a4" TargetMode="External"/><Relationship Id="rId231" Type="http://schemas.openxmlformats.org/officeDocument/2006/relationships/hyperlink" Target="https://dzen.ru/media/id/63dd27aac30ab522dcce48b3/678b9767f295c745119bf8b4" TargetMode="External"/><Relationship Id="rId232" Type="http://schemas.openxmlformats.org/officeDocument/2006/relationships/hyperlink" Target="https://dzen.ru/media/id/63dd27aac30ab522dcce48b3/677bdef3b96b121a4a7bdffd" TargetMode="External"/><Relationship Id="rId233" Type="http://schemas.openxmlformats.org/officeDocument/2006/relationships/hyperlink" Target="https://dzen.ru/media/id/63dd27aac30ab522dcce48b3/67939b1f6a036524f6ea6066" TargetMode="External"/><Relationship Id="rId234" Type="http://schemas.openxmlformats.org/officeDocument/2006/relationships/hyperlink" Target="https://dzen.ru/media/id/63dd27aac30ab522dcce48b3/678d2bb249dbc957f72d1e1f" TargetMode="External"/><Relationship Id="rId235" Type="http://schemas.openxmlformats.org/officeDocument/2006/relationships/hyperlink" Target="https://dzen.ru/media/id/63dd27aac30ab522dcce48b3/67973129cfbdb479bea539f2" TargetMode="External"/><Relationship Id="rId236" Type="http://schemas.openxmlformats.org/officeDocument/2006/relationships/hyperlink" Target="https://dzen.ru/media/id/63dd27aac30ab522dcce48b3/6793c829e4e0164089963ebe" TargetMode="External"/><Relationship Id="rId237" Type="http://schemas.openxmlformats.org/officeDocument/2006/relationships/hyperlink" Target="https://dzen.ru/media/id/63dd27aac30ab522dcce48b3/6793e936b2bea61a68ae0afb" TargetMode="External"/><Relationship Id="rId238" Type="http://schemas.openxmlformats.org/officeDocument/2006/relationships/hyperlink" Target="https://dzen.ru/media/id/63dd27aac30ab522dcce48b3/678b9a161c51c6673dd67f1c" TargetMode="External"/><Relationship Id="rId239" Type="http://schemas.openxmlformats.org/officeDocument/2006/relationships/hyperlink" Target="https://dzen.ru/media/id/63dd27aac30ab522dcce48b3/679e52db79e4e83d7d5b4798" TargetMode="External"/><Relationship Id="rId240" Type="http://schemas.openxmlformats.org/officeDocument/2006/relationships/hyperlink" Target="https://dzen.ru/media/id/63dd27aac30ab522dcce48b3/67a3b11302225a70e45c9ef8" TargetMode="External"/><Relationship Id="rId241" Type="http://schemas.openxmlformats.org/officeDocument/2006/relationships/hyperlink" Target="https://dzen.ru/media/id/63dd27aac30ab522dcce48b3/67a3c20492d8f6099595b74b" TargetMode="External"/><Relationship Id="rId242" Type="http://schemas.openxmlformats.org/officeDocument/2006/relationships/hyperlink" Target="https://dzen.ru/media/id/63dd27aac30ab522dcce48b3/67a3b1a689a16f5704cc8e98" TargetMode="External"/><Relationship Id="rId243" Type="http://schemas.openxmlformats.org/officeDocument/2006/relationships/hyperlink" Target="https://dzen.ru/media/id/63dd27aac30ab522dcce48b3/67a3b768c07b444f32bb6f20" TargetMode="External"/><Relationship Id="rId244" Type="http://schemas.openxmlformats.org/officeDocument/2006/relationships/hyperlink" Target="https://dzen.ru/media/id/63dd27aac30ab522dcce48b3/67a3b154fa37df674c7874ae" TargetMode="External"/><Relationship Id="rId245" Type="http://schemas.openxmlformats.org/officeDocument/2006/relationships/hyperlink" Target="https://dzen.ru/media/id/63dd27aac30ab522dcce48b3/67b03d63a5909b71caadf98f" TargetMode="External"/><Relationship Id="rId246" Type="http://schemas.openxmlformats.org/officeDocument/2006/relationships/hyperlink" Target="https://dzen.ru/media/id/63dd27aac30ab522dcce48b3/67b0f0b1eba3ab3083eec485" TargetMode="External"/><Relationship Id="rId247" Type="http://schemas.openxmlformats.org/officeDocument/2006/relationships/hyperlink" Target="https://dzen.ru/media/id/63dd27aac30ab522dcce48b3/67b0ecad0e6b464c2410d3b4" TargetMode="External"/><Relationship Id="rId248" Type="http://schemas.openxmlformats.org/officeDocument/2006/relationships/hyperlink" Target="https://dzen.ru/media/id/63dd27aac30ab522dcce48b3/67a3bb3389a16f5704dd2c04" TargetMode="External"/><Relationship Id="rId249" Type="http://schemas.openxmlformats.org/officeDocument/2006/relationships/hyperlink" Target="https://dzen.ru/media/id/63dd27aac30ab522dcce48b3/67b993d30135093dea36377e" TargetMode="External"/><Relationship Id="rId250" Type="http://schemas.openxmlformats.org/officeDocument/2006/relationships/hyperlink" Target="https://dzen.ru/media/id/63dd27aac30ab522dcce48b3/67bb44b1cb64550b9d19f96d" TargetMode="External"/><Relationship Id="rId251" Type="http://schemas.openxmlformats.org/officeDocument/2006/relationships/hyperlink" Target="https://dzen.ru/media/id/63dd27aac30ab522dcce48b3/67a3b22f89a16f5704cd860c" TargetMode="External"/><Relationship Id="rId252" Type="http://schemas.openxmlformats.org/officeDocument/2006/relationships/hyperlink" Target="https://dzen.ru/media/id/63dd27aac30ab522dcce48b3/67ac42ddcf4d8c43c2e31376" TargetMode="External"/><Relationship Id="rId253" Type="http://schemas.openxmlformats.org/officeDocument/2006/relationships/hyperlink" Target="https://dzen.ru/media/id/63dd27aac30ab522dcce48b3/67c13941586b4d4a9edc9847" TargetMode="External"/><Relationship Id="rId254" Type="http://schemas.openxmlformats.org/officeDocument/2006/relationships/hyperlink" Target="https://dzen.ru/media/id/63dd27aac30ab522dcce48b3/67b9a0ca1b5d8d3cae2a649c" TargetMode="External"/><Relationship Id="rId255" Type="http://schemas.openxmlformats.org/officeDocument/2006/relationships/hyperlink" Target="https://dzen.ru/media/id/63dd27aac30ab522dcce48b3/67c72db0205ede48472077a8" TargetMode="External"/><Relationship Id="rId256" Type="http://schemas.openxmlformats.org/officeDocument/2006/relationships/hyperlink" Target="https://dzen.ru/media/id/63dd27aac30ab522dcce48b3/67b7924583dc047ea144ce38" TargetMode="External"/><Relationship Id="rId257" Type="http://schemas.openxmlformats.org/officeDocument/2006/relationships/hyperlink" Target="https://dzen.ru/media/id/63dd27aac30ab522dcce48b3/67b03728a5909b71caa68209" TargetMode="External"/><Relationship Id="rId258" Type="http://schemas.openxmlformats.org/officeDocument/2006/relationships/hyperlink" Target="https://dzen.ru/media/id/63dd27aac30ab522dcce48b3/67cc550d1cdbb51640b623cf" TargetMode="External"/><Relationship Id="rId259" Type="http://schemas.openxmlformats.org/officeDocument/2006/relationships/hyperlink" Target="https://dzen.ru/media/id/63dd27aac30ab522dcce48b3/67c7315df4400c7534c4c4d1" TargetMode="External"/><Relationship Id="rId260" Type="http://schemas.openxmlformats.org/officeDocument/2006/relationships/hyperlink" Target="https://dzen.ru/media/id/63dd27aac30ab522dcce48b3/67cc5a446d765c59f4a11606" TargetMode="External"/><Relationship Id="rId261" Type="http://schemas.openxmlformats.org/officeDocument/2006/relationships/hyperlink" Target="https://dzen.ru/media/id/63dd27aac30ab522dcce48b3/67b79c580046007a391db23f" TargetMode="External"/><Relationship Id="rId262" Type="http://schemas.openxmlformats.org/officeDocument/2006/relationships/hyperlink" Target="https://dzen.ru/media/id/63dd27aac30ab522dcce48b3/67d7668a795bde0c1a710917" TargetMode="External"/><Relationship Id="rId263" Type="http://schemas.openxmlformats.org/officeDocument/2006/relationships/hyperlink" Target="https://dzen.ru/media/id/63dd27aac30ab522dcce48b3/67d7641bd11c147eae0639bb" TargetMode="External"/><Relationship Id="rId264" Type="http://schemas.openxmlformats.org/officeDocument/2006/relationships/hyperlink" Target="https://dzen.ru/media/id/63dd27aac30ab522dcce48b3/67dc7ef429afa9677559e1f3" TargetMode="External"/><Relationship Id="rId265" Type="http://schemas.openxmlformats.org/officeDocument/2006/relationships/hyperlink" Target="https://dzen.ru/media/id/63dd27aac30ab522dcce48b3/67d2425488f481026d15d767" TargetMode="External"/><Relationship Id="rId266" Type="http://schemas.openxmlformats.org/officeDocument/2006/relationships/hyperlink" Target="https://dzen.ru/media/id/63dd27aac30ab522dcce48b3/67d7699084b42d75731b341c" TargetMode="External"/><Relationship Id="rId267" Type="http://schemas.openxmlformats.org/officeDocument/2006/relationships/hyperlink" Target="https://dzen.ru/media/id/63dd27aac30ab522dcce48b3/67e014f1db637532c9bca5b2" TargetMode="External"/><Relationship Id="rId268" Type="http://schemas.openxmlformats.org/officeDocument/2006/relationships/hyperlink" Target="https://dzen.ru/media/id/63dd27aac30ab522dcce48b3/67de087f4701de07a902989e" TargetMode="External"/><Relationship Id="rId269" Type="http://schemas.openxmlformats.org/officeDocument/2006/relationships/hyperlink" Target="https://dzen.ru/media/id/63dd27aac30ab522dcce48b3/67de1aae3114b94305c01f1e" TargetMode="External"/><Relationship Id="rId270" Type="http://schemas.openxmlformats.org/officeDocument/2006/relationships/hyperlink" Target="https://dzen.ru/media/id/63dd27aac30ab522dcce48b3/67d245b7f39d0f338069a067" TargetMode="External"/><Relationship Id="rId271" Type="http://schemas.openxmlformats.org/officeDocument/2006/relationships/hyperlink" Target="https://dzen.ru/media/id/63dd27aac30ab522dcce48b3/67de1da3b7d586607d4b88e3" TargetMode="External"/><Relationship Id="rId272" Type="http://schemas.openxmlformats.org/officeDocument/2006/relationships/hyperlink" Target="https://dzen.ru/media/id/63dd27aac30ab522dcce48b3/67b793df53046856a671ff8c" TargetMode="External"/><Relationship Id="rId273" Type="http://schemas.openxmlformats.org/officeDocument/2006/relationships/hyperlink" Target="https://dzen.ru/media/id/63dd27aac30ab522dcce48b3/67b78aca51a35a1d23214d6f" TargetMode="External"/><Relationship Id="rId274" Type="http://schemas.openxmlformats.org/officeDocument/2006/relationships/hyperlink" Target="https://dzen.ru/media/id/63dd27aac30ab522dcce48b3/67b79838f3fda67e670c3893" TargetMode="External"/><Relationship Id="rId275" Type="http://schemas.openxmlformats.org/officeDocument/2006/relationships/hyperlink" Target="https://dzen.ru/media/id/63dd27aac30ab522dcce48b3/67f2a9031047046a46d08f36" TargetMode="External"/><Relationship Id="rId276" Type="http://schemas.openxmlformats.org/officeDocument/2006/relationships/hyperlink" Target="https://dzen.ru/media/id/63dd27aac30ab522dcce48b3/67f4a3cbe467857dce7fe15b" TargetMode="External"/><Relationship Id="rId277" Type="http://schemas.openxmlformats.org/officeDocument/2006/relationships/hyperlink" Target="https://dzen.ru/media/id/63dd27aac30ab522dcce48b3/67f2a74789cc1106831965ef" TargetMode="External"/><Relationship Id="rId278" Type="http://schemas.openxmlformats.org/officeDocument/2006/relationships/hyperlink" Target="https://dzen.ru/media/id/63dd27aac30ab522dcce48b3/67effc921047046a465e146c" TargetMode="External"/><Relationship Id="rId279" Type="http://schemas.openxmlformats.org/officeDocument/2006/relationships/hyperlink" Target="https://dzen.ru/media/id/63dd27aac30ab522dcce48b3/67d76bee668f0578acc98674" TargetMode="External"/><Relationship Id="rId280" Type="http://schemas.openxmlformats.org/officeDocument/2006/relationships/hyperlink" Target="https://dzen.ru/media/id/63dd27aac30ab522dcce48b3/67f2a11e148ce5610bed99b3" TargetMode="External"/><Relationship Id="rId281" Type="http://schemas.openxmlformats.org/officeDocument/2006/relationships/hyperlink" Target="https://dzen.ru/media/id/63dd27aac30ab522dcce48b3/67f7ff6cf657e116d95715f5" TargetMode="External"/><Relationship Id="rId282" Type="http://schemas.openxmlformats.org/officeDocument/2006/relationships/hyperlink" Target="https://dzen.ru/media/id/63dd27aac30ab522dcce48b3/68015d78abfde60e8f35dfc5" TargetMode="External"/><Relationship Id="rId283" Type="http://schemas.openxmlformats.org/officeDocument/2006/relationships/hyperlink" Target="https://dzen.ru/media/id/63dd27aac30ab522dcce48b3/68015985e6b59e57eb4a7d83" TargetMode="External"/><Relationship Id="rId284" Type="http://schemas.openxmlformats.org/officeDocument/2006/relationships/hyperlink" Target="https://dzen.ru/media/id/63dd27aac30ab522dcce48b3/6807de294f14493dd1faec6e" TargetMode="External"/><Relationship Id="rId285" Type="http://schemas.openxmlformats.org/officeDocument/2006/relationships/hyperlink" Target="https://dzen.ru/media/id/63dd27aac30ab522dcce48b3/68041b0e27a1864908ad2729" TargetMode="External"/><Relationship Id="rId286" Type="http://schemas.openxmlformats.org/officeDocument/2006/relationships/hyperlink" Target="https://dzen.ru/media/id/63dd27aac30ab522dcce48b3/67fad285e1caa514eaa0efc2" TargetMode="External"/><Relationship Id="rId287" Type="http://schemas.openxmlformats.org/officeDocument/2006/relationships/hyperlink" Target="https://dzen.ru/media/id/63dd27aac30ab522dcce48b3/680d22bb28dc2229638f28c0" TargetMode="External"/><Relationship Id="rId288" Type="http://schemas.openxmlformats.org/officeDocument/2006/relationships/hyperlink" Target="https://dzen.ru/media/id/63dd27aac30ab522dcce48b3/680c5a543e3ca00ba091496c" TargetMode="External"/><Relationship Id="rId289" Type="http://schemas.openxmlformats.org/officeDocument/2006/relationships/hyperlink" Target="https://dzen.ru/media/id/63dd27aac30ab522dcce48b3/68016358e1caa514eab826b3" TargetMode="External"/><Relationship Id="rId290" Type="http://schemas.openxmlformats.org/officeDocument/2006/relationships/hyperlink" Target="https://dzen.ru/media/id/63dd27aac30ab522dcce48b3/68139abcf579fe6ab1c08acc" TargetMode="External"/><Relationship Id="rId291" Type="http://schemas.openxmlformats.org/officeDocument/2006/relationships/hyperlink" Target="https://dzen.ru/media/id/63dd27aac30ab522dcce48b3/680eb9497727ff621422ddf7" TargetMode="External"/><Relationship Id="rId292" Type="http://schemas.openxmlformats.org/officeDocument/2006/relationships/hyperlink" Target="https://dzen.ru/media/id/63dd27aac30ab522dcce48b3/680d1fc03fee45474345c128" TargetMode="External"/><Relationship Id="rId293" Type="http://schemas.openxmlformats.org/officeDocument/2006/relationships/hyperlink" Target="https://dzen.ru/media/id/63dd27aac30ab522dcce48b3/680d259d2071087de536f962" TargetMode="External"/><Relationship Id="rId294" Type="http://schemas.openxmlformats.org/officeDocument/2006/relationships/hyperlink" Target="https://dzen.ru/media/id/63dd27aac30ab522dcce48b3/680d2ba8348137286a4dd16f" TargetMode="External"/><Relationship Id="rId295" Type="http://schemas.openxmlformats.org/officeDocument/2006/relationships/hyperlink" Target="https://dzen.ru/media/id/63dd27aac30ab522dcce48b3/680161959ab7045dffe2f800" TargetMode="External"/><Relationship Id="rId296" Type="http://schemas.openxmlformats.org/officeDocument/2006/relationships/hyperlink" Target="https://dzen.ru/media/id/63dd27aac30ab522dcce48b3/681caf7332755952723a1940" TargetMode="External"/><Relationship Id="rId297" Type="http://schemas.openxmlformats.org/officeDocument/2006/relationships/hyperlink" Target="https://dzen.ru/media/id/63dd27aac30ab522dcce48b3/68016014c05ff97f14e23e44" TargetMode="External"/><Relationship Id="rId298" Type="http://schemas.openxmlformats.org/officeDocument/2006/relationships/hyperlink" Target="https://dzen.ru/media/id/63dd27aac30ab522dcce48b3/681cdf8ecbff7317c632b3d2" TargetMode="External"/><Relationship Id="rId299" Type="http://schemas.openxmlformats.org/officeDocument/2006/relationships/hyperlink" Target="https://dzen.ru/media/id/63dd27aac30ab522dcce48b3/680166d8527e534590826421" TargetMode="External"/><Relationship Id="rId300" Type="http://schemas.openxmlformats.org/officeDocument/2006/relationships/hyperlink" Target="https://dzen.ru/media/id/63dd27aac30ab522dcce48b3/68200ae6d568643f0a47ddd0" TargetMode="External"/><Relationship Id="rId301" Type="http://schemas.openxmlformats.org/officeDocument/2006/relationships/hyperlink" Target="https://dzen.ru/media/id/63dd27aac30ab522dcce48b3/681cbb35cbff7317c602095a" TargetMode="External"/><Relationship Id="rId302" Type="http://schemas.openxmlformats.org/officeDocument/2006/relationships/hyperlink" Target="https://dzen.ru/media/id/63dd27aac30ab522dcce48b3/682a24e1c49d2f29a4a7a9c8" TargetMode="External"/><Relationship Id="rId303" Type="http://schemas.openxmlformats.org/officeDocument/2006/relationships/hyperlink" Target="https://dzen.ru/media/id/63dd27aac30ab522dcce48b3/682a33c8edaf9d0b2135fe0f" TargetMode="External"/><Relationship Id="rId304" Type="http://schemas.openxmlformats.org/officeDocument/2006/relationships/hyperlink" Target="https://dzen.ru/media/id/63dd27aac30ab522dcce48b3/682a38945a881453f071df90" TargetMode="External"/><Relationship Id="rId305" Type="http://schemas.openxmlformats.org/officeDocument/2006/relationships/hyperlink" Target="https://dzen.ru/media/id/63dd27aac30ab522dcce48b3/682f710ed972df23db68969f" TargetMode="External"/><Relationship Id="rId306" Type="http://schemas.openxmlformats.org/officeDocument/2006/relationships/hyperlink" Target="https://dzen.ru/media/id/63dd27aac30ab522dcce48b3/682a3105a685494e64f4c0c9" TargetMode="External"/><Relationship Id="rId307" Type="http://schemas.openxmlformats.org/officeDocument/2006/relationships/hyperlink" Target="https://dzen.ru/media/id/63dd27aac30ab522dcce48b3/683b4d4a80e8847bc070f460" TargetMode="External"/><Relationship Id="rId308" Type="http://schemas.openxmlformats.org/officeDocument/2006/relationships/hyperlink" Target="https://dzen.ru/media/id/63dd27aac30ab522dcce48b3/682a36b598bd244615477d77" TargetMode="External"/><Relationship Id="rId309" Type="http://schemas.openxmlformats.org/officeDocument/2006/relationships/hyperlink" Target="https://dzen.ru/media/id/63dd27aac30ab522dcce48b3/682dc8e7306647541837e46d" TargetMode="External"/><Relationship Id="rId310" Type="http://schemas.openxmlformats.org/officeDocument/2006/relationships/hyperlink" Target="https://dzen.ru/media/id/63dd27aac30ab522dcce48b3/682dcd009582a50508796ede" TargetMode="External"/><Relationship Id="rId311" Type="http://schemas.openxmlformats.org/officeDocument/2006/relationships/hyperlink" Target="https://dzen.ru/media/id/63dd27aac30ab522dcce48b3/6841d70143f465753452ad5d" TargetMode="External"/><Relationship Id="rId312" Type="http://schemas.openxmlformats.org/officeDocument/2006/relationships/hyperlink" Target="https://dzen.ru/media/id/63dd27aac30ab522dcce48b3/6843b1aa33562a4b41dd93a7" TargetMode="External"/><Relationship Id="rId313" Type="http://schemas.openxmlformats.org/officeDocument/2006/relationships/hyperlink" Target="https://dzen.ru/media/id/63dd27aac30ab522dcce48b3/683b41e616dc514cdba4dd2a" TargetMode="External"/><Relationship Id="rId314" Type="http://schemas.openxmlformats.org/officeDocument/2006/relationships/hyperlink" Target="https://dzen.ru/media/id/63dd27aac30ab522dcce48b3/68439f20cf8dda7689fee92c" TargetMode="External"/><Relationship Id="rId315" Type="http://schemas.openxmlformats.org/officeDocument/2006/relationships/hyperlink" Target="https://dzen.ru/media/id/63dd27aac30ab522dcce48b3/683b5390d19484575fdab10d" TargetMode="External"/><Relationship Id="rId316" Type="http://schemas.openxmlformats.org/officeDocument/2006/relationships/hyperlink" Target="https://dzen.ru/media/id/63dd27aac30ab522dcce48b3/6843ae9e6bc49e3472e364da" TargetMode="External"/><Relationship Id="rId317" Type="http://schemas.openxmlformats.org/officeDocument/2006/relationships/hyperlink" Target="https://dzen.ru/media/id/63dd27aac30ab522dcce48b3/6843a531dae809545e92fdf2" TargetMode="External"/><Relationship Id="rId318" Type="http://schemas.openxmlformats.org/officeDocument/2006/relationships/hyperlink" Target="https://dzen.ru/media/id/63dd27aac30ab522dcce48b3/683b641095eee80f6c0cbb59" TargetMode="External"/><Relationship Id="rId319" Type="http://schemas.openxmlformats.org/officeDocument/2006/relationships/hyperlink" Target="https://dzen.ru/media/id/63dd27aac30ab522dcce48b3/6848bd3cc798ef1f1c2ce418" TargetMode="External"/><Relationship Id="rId320" Type="http://schemas.openxmlformats.org/officeDocument/2006/relationships/hyperlink" Target="https://dzen.ru/media/id/63dd27aac30ab522dcce48b3/6843ba73129ad45762e49144" TargetMode="External"/><Relationship Id="rId321" Type="http://schemas.openxmlformats.org/officeDocument/2006/relationships/hyperlink" Target="https://dzen.ru/media/id/63dd27aac30ab522dcce48b3/6843c1dedae809545ea2a90c" TargetMode="External"/><Relationship Id="rId322" Type="http://schemas.openxmlformats.org/officeDocument/2006/relationships/hyperlink" Target="https://dzen.ru/media/id/63dd27aac30ab522dcce48b3/6848c0cc614ba50502081d73" TargetMode="External"/><Relationship Id="rId323" Type="http://schemas.openxmlformats.org/officeDocument/2006/relationships/hyperlink" Target="https://dzen.ru/media/id/63dd27aac30ab522dcce48b3/6848b691614ba5050203bd0a" TargetMode="External"/><Relationship Id="rId324" Type="http://schemas.openxmlformats.org/officeDocument/2006/relationships/hyperlink" Target="https://dzen.ru/media/id/63dd27aac30ab522dcce48b3/683b617d610de855479c7162" TargetMode="External"/><Relationship Id="rId325" Type="http://schemas.openxmlformats.org/officeDocument/2006/relationships/hyperlink" Target="https://dzen.ru/media/id/63dd27aac30ab522dcce48b3/684e3ec76bc49e34726f50b8" TargetMode="External"/><Relationship Id="rId326" Type="http://schemas.openxmlformats.org/officeDocument/2006/relationships/hyperlink" Target="https://dzen.ru/media/id/63dd27aac30ab522dcce48b3/6855f05804af7c23601f9249" TargetMode="External"/><Relationship Id="rId327" Type="http://schemas.openxmlformats.org/officeDocument/2006/relationships/hyperlink" Target="https://dzen.ru/media/id/63dd27aac30ab522dcce48b3/684e3afee5076503cb2151fc" TargetMode="External"/><Relationship Id="rId328" Type="http://schemas.openxmlformats.org/officeDocument/2006/relationships/hyperlink" Target="https://dzen.ru/media/id/63dd27aac30ab522dcce48b3/6848ba2d33562a4b416db818" TargetMode="External"/><Relationship Id="rId329" Type="http://schemas.openxmlformats.org/officeDocument/2006/relationships/hyperlink" Target="https://dzen.ru/media/id/63dd27aac30ab522dcce48b3/6855ecff37486b604e9f5a61" TargetMode="External"/><Relationship Id="rId330" Type="http://schemas.openxmlformats.org/officeDocument/2006/relationships/hyperlink" Target="https://dzen.ru/media/id/63dd27aac30ab522dcce48b3/684e4498dae809545e9fc7e3" TargetMode="External"/><Relationship Id="rId331" Type="http://schemas.openxmlformats.org/officeDocument/2006/relationships/hyperlink" Target="https://dzen.ru/media/id/63dd27aac30ab522dcce48b3/684e47b5f0cba24df0c3b729" TargetMode="External"/><Relationship Id="rId332" Type="http://schemas.openxmlformats.org/officeDocument/2006/relationships/hyperlink" Target="https://dzen.ru/media/id/63dd27aac30ab522dcce48b3/6873d94527b84310ade490a9" TargetMode="External"/><Relationship Id="rId333" Type="http://schemas.openxmlformats.org/officeDocument/2006/relationships/hyperlink" Target="https://dzen.ru/media/id/63dd27aac30ab522dcce48b3/68765a9146ad481ff3274eae" TargetMode="External"/><Relationship Id="rId334" Type="http://schemas.openxmlformats.org/officeDocument/2006/relationships/hyperlink" Target="https://dzen.ru/media/id/63dd27aac30ab522dcce48b3/6873cb67ef09bd32e5036cf9" TargetMode="External"/><Relationship Id="rId335" Type="http://schemas.openxmlformats.org/officeDocument/2006/relationships/hyperlink" Target="https://dzen.ru/media/id/63dd27aac30ab522dcce48b3/6855cd9e9674506b1f2ceec4" TargetMode="External"/><Relationship Id="rId336" Type="http://schemas.openxmlformats.org/officeDocument/2006/relationships/hyperlink" Target="https://dzen.ru/media/id/63dd27aac30ab522dcce48b3/6843b7dee81e9155a65113f0" TargetMode="External"/><Relationship Id="rId337" Type="http://schemas.openxmlformats.org/officeDocument/2006/relationships/hyperlink" Target="https://dzen.ru/media/id/63dd27aac30ab522dcce48b3/6873d043b10b8b71566d7fd4" TargetMode="External"/><Relationship Id="rId338" Type="http://schemas.openxmlformats.org/officeDocument/2006/relationships/hyperlink" Target="https://dzen.ru/media/id/63dd27aac30ab522dcce48b3/687d697d6f92306e0a4eb981" TargetMode="External"/><Relationship Id="rId339" Type="http://schemas.openxmlformats.org/officeDocument/2006/relationships/hyperlink" Target="https://dzen.ru/media/id/63dd27aac30ab522dcce48b3/687d6e054a82000e6fc37009" TargetMode="External"/><Relationship Id="rId340" Type="http://schemas.openxmlformats.org/officeDocument/2006/relationships/hyperlink" Target="https://dzen.ru/media/id/63dd27aac30ab522dcce48b3/6884ad134ea451210081fc1c" TargetMode="External"/><Relationship Id="rId341" Type="http://schemas.openxmlformats.org/officeDocument/2006/relationships/hyperlink" Target="https://dzen.ru/media/id/63dd27aac30ab522dcce48b3/6884a9251574236f60dd5174" TargetMode="External"/><Relationship Id="rId342" Type="http://schemas.openxmlformats.org/officeDocument/2006/relationships/hyperlink" Target="https://dzen.ru/media/id/63dd27aac30ab522dcce48b3/6884b7fd69884043c99331cf" TargetMode="External"/><Relationship Id="rId343" Type="http://schemas.openxmlformats.org/officeDocument/2006/relationships/hyperlink" Target="https://dzen.ru/media/id/63dd27aac30ab522dcce48b3/6884b35a44c3d77cbee983fb" TargetMode="External"/><Relationship Id="rId344" Type="http://schemas.openxmlformats.org/officeDocument/2006/relationships/hyperlink" Target="https://dzen.ru/media/id/63dd27aac30ab522dcce48b3/688e3080594210707b7e6599" TargetMode="External"/><Relationship Id="rId345" Type="http://schemas.openxmlformats.org/officeDocument/2006/relationships/hyperlink" Target="https://dzen.ru/media/id/63dd27aac30ab522dcce48b3/6884d8cc1574236f600eaf2b" TargetMode="External"/><Relationship Id="rId346" Type="http://schemas.openxmlformats.org/officeDocument/2006/relationships/hyperlink" Target="https://dzen.ru/media/id/63dd27aac30ab522dcce48b3/688e227ede02396d905383d4" TargetMode="External"/><Relationship Id="rId347" Type="http://schemas.openxmlformats.org/officeDocument/2006/relationships/hyperlink" Target="https://dzen.ru/media/id/63dd27aac30ab522dcce48b3/688e26bbd1e1e16d15719619" TargetMode="External"/><Relationship Id="rId348" Type="http://schemas.openxmlformats.org/officeDocument/2006/relationships/hyperlink" Target="https://dzen.ru/media/id/63dd27aac30ab522dcce48b3/688e36dd51fad0000bcec275" TargetMode="External"/><Relationship Id="rId349" Type="http://schemas.openxmlformats.org/officeDocument/2006/relationships/hyperlink" Target="https://dzen.ru/media/id/63dd27aac30ab522dcce48b3/689922c4cc1c1458e25fd7b2" TargetMode="External"/><Relationship Id="rId350" Type="http://schemas.openxmlformats.org/officeDocument/2006/relationships/hyperlink" Target="https://dzen.ru/media/id/63dd27aac30ab522dcce48b3/689925aa2d1cc46bb3d12ebc" TargetMode="External"/><Relationship Id="rId351" Type="http://schemas.openxmlformats.org/officeDocument/2006/relationships/hyperlink" Target="https://dzen.ru/media/id/63dd27aac30ab522dcce48b3/689919e93a8ebb77f926e978" TargetMode="External"/><Relationship Id="rId352" Type="http://schemas.openxmlformats.org/officeDocument/2006/relationships/hyperlink" Target="https://dzen.ru/media/id/63dd27aac30ab522dcce48b3/68a223dcb13a7f1cb1e3b19d" TargetMode="External"/><Relationship Id="rId353" Type="http://schemas.openxmlformats.org/officeDocument/2006/relationships/hyperlink" Target="https://dzen.ru/media/id/63dd27aac30ab522dcce48b3/68a1a3cdb13a2e233e0f1208" TargetMode="External"/><Relationship Id="rId354" Type="http://schemas.openxmlformats.org/officeDocument/2006/relationships/hyperlink" Target="https://dzen.ru/media/id/63dd27aac30ab522dcce48b3/68991d0a4557dd55e5de40a1" TargetMode="External"/><Relationship Id="rId355" Type="http://schemas.openxmlformats.org/officeDocument/2006/relationships/hyperlink" Target="https://dzen.ru/media/id/63dd27aac30ab522dcce48b3/68a225df326e5b5146661c91" TargetMode="External"/><Relationship Id="rId356" Type="http://schemas.openxmlformats.org/officeDocument/2006/relationships/hyperlink" Target="https://dzen.ru/media/id/63dd27aac30ab522dcce48b3/68a9abb42573560372518f50" TargetMode="External"/><Relationship Id="rId357" Type="http://schemas.openxmlformats.org/officeDocument/2006/relationships/hyperlink" Target="https://dzen.ru/media/id/63dd27aac30ab522dcce48b3/68a19d194952361c36edda26" TargetMode="External"/><Relationship Id="rId358" Type="http://schemas.openxmlformats.org/officeDocument/2006/relationships/hyperlink" Target="https://dzen.ru/media/id/63dd27aac30ab522dcce48b3/68a21f4b4230d279d035c203" TargetMode="External"/><Relationship Id="rId359" Type="http://schemas.openxmlformats.org/officeDocument/2006/relationships/hyperlink" Target="https://dzen.ru/media/id/63dd27aac30ab522dcce48b3/68a1a5f8a204564aa740cf3d" TargetMode="External"/><Relationship Id="rId360" Type="http://schemas.openxmlformats.org/officeDocument/2006/relationships/hyperlink" Target="https://dzen.ru/media/id/63dd27aac30ab522dcce48b3/68b4557f0c5cde33fe51fb0a" TargetMode="External"/><Relationship Id="rId361" Type="http://schemas.openxmlformats.org/officeDocument/2006/relationships/hyperlink" Target="https://dzen.ru/media/id/63dd27aac30ab522dcce48b3/688e337fdd24f54edd998ad6" TargetMode="External"/><Relationship Id="rId362" Type="http://schemas.openxmlformats.org/officeDocument/2006/relationships/hyperlink" Target="https://dzen.ru/media/id/63dd27aac30ab522dcce48b3/68a2221651f2a12c74539ab8" TargetMode="External"/><Relationship Id="rId363" Type="http://schemas.openxmlformats.org/officeDocument/2006/relationships/hyperlink" Target="https://dzen.ru/media/id/63dd27aac30ab522dcce48b3/68a1ae984230d279d0b8e4b0" TargetMode="External"/><Relationship Id="rId364" Type="http://schemas.openxmlformats.org/officeDocument/2006/relationships/hyperlink" Target="https://dzen.ru/media/id/63dd27aac30ab522dcce48b3/68babedf282488273343260c" TargetMode="External"/><Relationship Id="rId365" Type="http://schemas.openxmlformats.org/officeDocument/2006/relationships/hyperlink" Target="https://dzen.ru/media/id/63dd27aac30ab522dcce48b3/68babb168d69e628bbb0099c" TargetMode="External"/><Relationship Id="rId366" Type="http://schemas.openxmlformats.org/officeDocument/2006/relationships/hyperlink" Target="https://dzen.ru/media/id/63dd27aac30ab522dcce48b3/68bac34982ef2a1e7203304e" TargetMode="External"/><Relationship Id="rId367" Type="http://schemas.openxmlformats.org/officeDocument/2006/relationships/hyperlink" Target="https://dzen.ru/media/id/63dd27aac30ab522dcce48b3/68babd25dd36c46d6e5d01e2" TargetMode="External"/><Relationship Id="rId368" Type="http://schemas.openxmlformats.org/officeDocument/2006/relationships/hyperlink" Target="https://dzen.ru/media/id/63dd27aac30ab522dcce48b3/68c42ff05b792419360893d1" TargetMode="External"/><Relationship Id="rId369" Type="http://schemas.openxmlformats.org/officeDocument/2006/relationships/hyperlink" Target="https://dzen.ru/media/id/63dd27aac30ab522dcce48b3/68c68b3db7325c409e862107" TargetMode="External"/><Relationship Id="rId370" Type="http://schemas.openxmlformats.org/officeDocument/2006/relationships/hyperlink" Target="https://dzen.ru/media/id/63dd27aac30ab522dcce48b3/68bac6a68d69e628bbc0c10a" TargetMode="External"/><Relationship Id="rId371" Type="http://schemas.openxmlformats.org/officeDocument/2006/relationships/hyperlink" Target="https://dzen.ru/media/id/63dd27aac30ab522dcce48b3/68c68f71efed904d54875ab9" TargetMode="External"/><Relationship Id="rId372" Type="http://schemas.openxmlformats.org/officeDocument/2006/relationships/hyperlink" Target="https://dzen.ru/media/id/63dd27aac30ab522dcce48b3/68c439d86f9b675db4731c02" TargetMode="External"/><Relationship Id="rId373" Type="http://schemas.openxmlformats.org/officeDocument/2006/relationships/hyperlink" Target="https://dzen.ru/media/id/63dd27aac30ab522dcce48b3/68c42b644e88bf099d462c78" TargetMode="External"/><Relationship Id="rId374" Type="http://schemas.openxmlformats.org/officeDocument/2006/relationships/hyperlink" Target="https://dzen.ru/media/id/63dd27aac30ab522dcce48b3/68cf42f812e1b53b4e251da5" TargetMode="External"/><Relationship Id="rId375" Type="http://schemas.openxmlformats.org/officeDocument/2006/relationships/hyperlink" Target="https://dzen.ru/media/id/63dd27aac30ab522dcce48b3/68cfdec8ca5aca7320ac0c6e" TargetMode="External"/><Relationship Id="rId376" Type="http://schemas.openxmlformats.org/officeDocument/2006/relationships/hyperlink" Target="https://dzen.ru/media/id/63dd27aac30ab522dcce48b3/68c83c55d99d823f51e7f9ef" TargetMode="External"/><Relationship Id="rId377" Type="http://schemas.openxmlformats.org/officeDocument/2006/relationships/hyperlink" Target="https://dzen.ru/media/id/63dd27aac30ab522dcce48b3/68cfdf5290b25a0ab337b2c1" TargetMode="External"/><Relationship Id="rId378" Type="http://schemas.openxmlformats.org/officeDocument/2006/relationships/hyperlink" Target="https://dzen.ru/media/id/63dd27aac30ab522dcce48b3/68cf37f02a0efa402d093264" TargetMode="External"/><Relationship Id="rId379" Type="http://schemas.openxmlformats.org/officeDocument/2006/relationships/hyperlink" Target="https://dzen.ru/media/id/63dd27aac30ab522dcce48b3/68cf46ca9091fc28b665b1e8" TargetMode="External"/><Relationship Id="rId380" Type="http://schemas.openxmlformats.org/officeDocument/2006/relationships/hyperlink" Target="https://dzen.ru/media/id/63dd27aac30ab522dcce48b3/68d854758708355f375009ce" TargetMode="External"/><Relationship Id="rId381" Type="http://schemas.openxmlformats.org/officeDocument/2006/relationships/hyperlink" Target="https://dzen.ru/media/id/63dd27aac30ab522dcce48b3/68d839de411a92297112a2cf" TargetMode="External"/><Relationship Id="rId382" Type="http://schemas.openxmlformats.org/officeDocument/2006/relationships/hyperlink" Target="https://dzen.ru/media/id/63dd27aac30ab522dcce48b3/68d83b137c87061c305febbc" TargetMode="External"/><Relationship Id="rId383" Type="http://schemas.openxmlformats.org/officeDocument/2006/relationships/hyperlink" Target="https://dzen.ru/media/id/63dd27aac30ab522dcce48b3/68d85a46f7e53e790d415b29" TargetMode="External"/><Relationship Id="rId384" Type="http://schemas.openxmlformats.org/officeDocument/2006/relationships/hyperlink" Target="https://dzen.ru/media/id/63dd27aac30ab522dcce48b3/68d8242df54dbb52d0644ffe" TargetMode="External"/><Relationship Id="rId385" Type="http://schemas.openxmlformats.org/officeDocument/2006/relationships/hyperlink" Target="https://dzen.ru/media/id/63dd27aac30ab522dcce48b3/68cf44df316d1775411a4f8f" TargetMode="External"/><Relationship Id="rId386" Type="http://schemas.openxmlformats.org/officeDocument/2006/relationships/hyperlink" Target="https://dzen.ru/media/id/63dd27aac30ab522dcce48b3/68d8532d4b61de53db374b29" TargetMode="External"/><Relationship Id="rId387" Type="http://schemas.openxmlformats.org/officeDocument/2006/relationships/hyperlink" Target="https://dzen.ru/media/id/63dd27aac30ab522dcce48b3/68dff7ad1130210c935b163c" TargetMode="External"/><Relationship Id="rId388" Type="http://schemas.openxmlformats.org/officeDocument/2006/relationships/hyperlink" Target="https://dzen.ru/media/id/63dd27aac30ab522dcce48b3/68dff6df6e185f1baef09c6d" TargetMode="External"/><Relationship Id="rId389" Type="http://schemas.openxmlformats.org/officeDocument/2006/relationships/hyperlink" Target="https://dzen.ru/media/id/63dd27aac30ab522dcce48b3/68dffceecb1ab64e565f4a8f" TargetMode="External"/><Relationship Id="rId390" Type="http://schemas.openxmlformats.org/officeDocument/2006/relationships/hyperlink" Target="https://dzen.ru/media/id/63dd27aac30ab522dcce48b3/68dffc8913e9620c6ae7d63e" TargetMode="External"/><Relationship Id="rId391" Type="http://schemas.openxmlformats.org/officeDocument/2006/relationships/hyperlink" Target="https://dzen.ru/media/id/63dd27aac30ab522dcce48b3/68dff6884953315479aeaa35" TargetMode="External"/><Relationship Id="rId392" Type="http://schemas.openxmlformats.org/officeDocument/2006/relationships/hyperlink" Target="https://dzen.ru/media/id/63dd27aac30ab522dcce48b3/68ec1178b4d1206b000ab78f" TargetMode="External"/><Relationship Id="rId393" Type="http://schemas.openxmlformats.org/officeDocument/2006/relationships/hyperlink" Target="https://dzen.ru/media/id/63dd27aac30ab522dcce48b3/68e81f5efba0286ff3623205" TargetMode="External"/><Relationship Id="rId394" Type="http://schemas.openxmlformats.org/officeDocument/2006/relationships/hyperlink" Target="https://dzen.ru/media/id/63dd27aac30ab522dcce48b3/68e804618e98e1176a8615ed" TargetMode="External"/><Relationship Id="rId395" Type="http://schemas.openxmlformats.org/officeDocument/2006/relationships/hyperlink" Target="https://dzen.ru/media/id/63dd27aac30ab522dcce48b3/68e82081e7ae21418484fb43" TargetMode="External"/><Relationship Id="rId396" Type="http://schemas.openxmlformats.org/officeDocument/2006/relationships/hyperlink" Target="https://dzen.ru/media/id/63dd27aac30ab522dcce48b3/68e82ebd20cef80020ca2094" TargetMode="External"/><Relationship Id="rId397" Type="http://schemas.openxmlformats.org/officeDocument/2006/relationships/hyperlink" Target="https://dzen.ru/media/id/63dd27aac30ab522dcce48b3/68e82cabe7ae2141848bdf77" TargetMode="External"/><Relationship Id="rId398" Type="http://schemas.openxmlformats.org/officeDocument/2006/relationships/hyperlink" Target="https://dzen.ru/media/id/63dd27aac30ab522dcce48b3/68f51ec34d505347cb4aaaf1" TargetMode="External"/><Relationship Id="rId399" Type="http://schemas.openxmlformats.org/officeDocument/2006/relationships/hyperlink" Target="https://dzen.ru/media/id/63dd27aac30ab522dcce48b3/68f52eaaa338645c0b2a3e1e" TargetMode="External"/><Relationship Id="rId400" Type="http://schemas.openxmlformats.org/officeDocument/2006/relationships/hyperlink" Target="https://dzen.ru/media/id/63dd27aac30ab522dcce48b3/68e80966ba597a593cd77313" TargetMode="External"/><Relationship Id="rId401" Type="http://schemas.openxmlformats.org/officeDocument/2006/relationships/hyperlink" Target="https://dzen.ru/media/id/63dd27aac30ab522dcce48b3/68f5307d14f4d936c886f254" TargetMode="External"/><Relationship Id="rId402" Type="http://schemas.openxmlformats.org/officeDocument/2006/relationships/hyperlink" Target="https://dzen.ru/media/id/63dd27aac30ab522dcce48b3/68e96db60cbf23407c0aaed4" TargetMode="External"/><Relationship Id="rId403" Type="http://schemas.openxmlformats.org/officeDocument/2006/relationships/hyperlink" Target="https://dzen.ru/media/id/63dd27aac30ab522dcce48b3/68f52c18dd73ca4c23e1b105" TargetMode="External"/><Relationship Id="rId404" Type="http://schemas.openxmlformats.org/officeDocument/2006/relationships/hyperlink" Target="https://dzen.ru/media/id/63dd27aac30ab522dcce48b3/68fe91284a5a361f8301acf4" TargetMode="External"/><Relationship Id="rId405" Type="http://schemas.openxmlformats.org/officeDocument/2006/relationships/hyperlink" Target="https://dzen.ru/media/id/63dd27aac30ab522dcce48b3/68fe88202838d622c7c5734b" TargetMode="External"/><Relationship Id="rId406" Type="http://schemas.openxmlformats.org/officeDocument/2006/relationships/hyperlink" Target="https://dzen.ru/media/id/63dd27aac30ab522dcce48b3/68fe95af9504783537206101" TargetMode="External"/><Relationship Id="rId407" Type="http://schemas.openxmlformats.org/officeDocument/2006/relationships/hyperlink" Target="https://dzen.ru/media/id/63dd27aac30ab522dcce48b3/68fe89aa7ed67f2779ce9315" TargetMode="External"/><Relationship Id="rId408" Type="http://schemas.openxmlformats.org/officeDocument/2006/relationships/hyperlink" Target="https://dzen.ru/media/id/63dd27aac30ab522dcce48b3/68fe8b2d1810287604b4a948" TargetMode="External"/><Relationship Id="rId409" Type="http://schemas.openxmlformats.org/officeDocument/2006/relationships/hyperlink" Target="https://dzen.ru/media/id/63dd27aac30ab522dcce48b3/68fe970c4f58bf206cc21914" TargetMode="External"/><Relationship Id="rId410" Type="http://schemas.openxmlformats.org/officeDocument/2006/relationships/hyperlink" Target="https://dzen.ru/media/id/63dd27aac30ab522dcce48b3/690756816c1a137a072a58dc" TargetMode="External"/><Relationship Id="rId411" Type="http://schemas.openxmlformats.org/officeDocument/2006/relationships/hyperlink" Target="https://dzen.ru/media/id/63dd27aac30ab522dcce48b3/69074ea6b7a2c57976d4ff69" TargetMode="External"/><Relationship Id="rId412" Type="http://schemas.openxmlformats.org/officeDocument/2006/relationships/hyperlink" Target="https://dzen.ru/media/id/63dd27aac30ab522dcce48b3/69075ab34227de1adfacae91" TargetMode="External"/><Relationship Id="rId413" Type="http://schemas.openxmlformats.org/officeDocument/2006/relationships/hyperlink" Target="https://dzen.ru/media/id/63dd27aac30ab522dcce48b3/690750376c1a137a07246f50" TargetMode="External"/><Relationship Id="rId414" Type="http://schemas.openxmlformats.org/officeDocument/2006/relationships/hyperlink" Target="https://dzen.ru/media/id/63dd27aac30ab522dcce48b3/6907587f63c1542864c35535" TargetMode="External"/><Relationship Id="rId415" Type="http://schemas.openxmlformats.org/officeDocument/2006/relationships/hyperlink" Target="https://dzen.ru/media/id/63dd27aac30ab522dcce48b3/690751d3e0d30a4d2385ef43" TargetMode="External"/><Relationship Id="rId416" Type="http://schemas.openxmlformats.org/officeDocument/2006/relationships/hyperlink" Target="https://dzen.ru/media/id/63dd27aac30ab522dcce48b3/6910d8717dcb9029e0e97391" TargetMode="External"/><Relationship Id="rId417" Type="http://schemas.openxmlformats.org/officeDocument/2006/relationships/hyperlink" Target="https://dzen.ru/media/id/63dd27aac30ab522dcce48b3/6910e03f5b80947f858e714b" TargetMode="External"/><Relationship Id="rId418" Type="http://schemas.openxmlformats.org/officeDocument/2006/relationships/hyperlink" Target="https://dzen.ru/media/id/63dd27aac30ab522dcce48b3/6910db001b8336643eddb077" TargetMode="External"/><Relationship Id="rId419" Type="http://schemas.openxmlformats.org/officeDocument/2006/relationships/hyperlink" Target="https://dzen.ru/media/id/63dd27aac30ab522dcce48b3/6910e118aedabb2e24760a5f" TargetMode="External"/><Relationship Id="rId420" Type="http://schemas.openxmlformats.org/officeDocument/2006/relationships/hyperlink" Target="https://dzen.ru/media/id/63dd27aac30ab522dcce48b3/6910dcd49200a14d3591af09" TargetMode="External"/><Relationship Id="rId421" Type="http://schemas.openxmlformats.org/officeDocument/2006/relationships/hyperlink" Target="https://dzen.ru/media/id/63dd27aac30ab522dcce48b3/6910dd314fdaa54bfd25ddab" TargetMode="External"/><Relationship Id="rId422" Type="http://schemas.openxmlformats.org/officeDocument/2006/relationships/hyperlink" Target="https://dzen.ru/media/id/63dd27aac30ab522dcce48b3/6913414ca8b499516651e6e2" TargetMode="External"/><Relationship Id="rId423" Type="http://schemas.openxmlformats.org/officeDocument/2006/relationships/hyperlink" Target="https://dzen.ru/media/id/63dd27aac30ab522dcce48b3/69120f5a604acf5b5193bd38" TargetMode="External"/><Relationship Id="rId424" Type="http://schemas.openxmlformats.org/officeDocument/2006/relationships/hyperlink" Target="https://dzen.ru/media/id/63dd27aac30ab522dcce48b3/69137ef4a9b3de7cf980953c" TargetMode="External"/><Relationship Id="rId425" Type="http://schemas.openxmlformats.org/officeDocument/2006/relationships/hyperlink" Target="https://dzen.ru/media/id/63dd27aac30ab522dcce48b3/691209eaa43d9f7b725da8a7" TargetMode="External"/><Relationship Id="rId426" Type="http://schemas.openxmlformats.org/officeDocument/2006/relationships/hyperlink" Target="https://dzen.ru/media/id/63dd27aac30ab522dcce48b3/69137b54aedabb2e2407a31f" TargetMode="External"/><Relationship Id="rId427" Type="http://schemas.openxmlformats.org/officeDocument/2006/relationships/hyperlink" Target="https://dzen.ru/media/id/63dd27aac30ab522dcce48b3/691225db13841327799c4180" TargetMode="External"/><Relationship Id="rId428" Type="http://schemas.openxmlformats.org/officeDocument/2006/relationships/hyperlink" Target="https://dzen.ru/media/id/63dd27aac30ab522dcce48b3/69137cdfaedabb2e240a17a4" TargetMode="External"/><Relationship Id="rId429" Type="http://schemas.openxmlformats.org/officeDocument/2006/relationships/hyperlink" Target="https://dzen.ru/media/id/63dd27aac30ab522dcce48b3/6912113b7dcb9029e09224ea" TargetMode="External"/><Relationship Id="rId430" Type="http://schemas.openxmlformats.org/officeDocument/2006/relationships/hyperlink" Target="https://dzen.ru/media/id/63dd27aac30ab522dcce48b3/691380b7bd0bbd39bf0f7e3e" TargetMode="External"/><Relationship Id="rId431" Type="http://schemas.openxmlformats.org/officeDocument/2006/relationships/hyperlink" Target="https://dzen.ru/media/id/63dd27aac30ab522dcce48b3/69121701127d6a6c1df1d04c" TargetMode="External"/><Relationship Id="rId432" Type="http://schemas.openxmlformats.org/officeDocument/2006/relationships/hyperlink" Target="https://dzen.ru/media/id/63dd27aac30ab522dcce48b3/691383fda9242d4bfa82c20d" TargetMode="External"/><Relationship Id="rId433" Type="http://schemas.openxmlformats.org/officeDocument/2006/relationships/hyperlink" Target="https://dzen.ru/media/id/63dd27aac30ab522dcce48b3/69138379772ce42de0081af7" TargetMode="External"/><Relationship Id="rId434" Type="http://schemas.openxmlformats.org/officeDocument/2006/relationships/hyperlink" Target="https://dzen.ru/media/id/63dd27aac30ab522dcce48b3/692c83561f2a3b1edf221af9" TargetMode="External"/><Relationship Id="rId435" Type="http://schemas.openxmlformats.org/officeDocument/2006/relationships/hyperlink" Target="https://dzen.ru/media/id/63dd27aac30ab522dcce48b3/692c9d09f2a6a03d40421299" TargetMode="External"/><Relationship Id="rId436" Type="http://schemas.openxmlformats.org/officeDocument/2006/relationships/hyperlink" Target="https://dzen.ru/media/id/63dd27aac30ab522dcce48b3/692c7e258173bb64a5922176" TargetMode="External"/><Relationship Id="rId437" Type="http://schemas.openxmlformats.org/officeDocument/2006/relationships/hyperlink" Target="https://dzen.ru/media/id/63dd27aac30ab522dcce48b3/692c83cf39305e0523aa3b49" TargetMode="External"/><Relationship Id="rId438" Type="http://schemas.openxmlformats.org/officeDocument/2006/relationships/hyperlink" Target="https://dzen.ru/media/id/63dd27aac30ab522dcce48b3/692c81a5799bac0b22dd7476" TargetMode="External"/><Relationship Id="rId439" Type="http://schemas.openxmlformats.org/officeDocument/2006/relationships/hyperlink" Target="https://dzen.ru/media/id/63dd27aac30ab522dcce48b3/692c7dba1f2a3b1edf1a8c00" TargetMode="External"/><Relationship Id="rId440" Type="http://schemas.openxmlformats.org/officeDocument/2006/relationships/hyperlink" Target="https://dzen.ru/media/id/63dd27aac30ab522dcce48b3/6935945dc10d4960a0c698e7" TargetMode="External"/><Relationship Id="rId441" Type="http://schemas.openxmlformats.org/officeDocument/2006/relationships/hyperlink" Target="https://dzen.ru/media/id/63dd27aac30ab522dcce48b3/69358fbce70d9d325c5160c3" TargetMode="External"/><Relationship Id="rId442" Type="http://schemas.openxmlformats.org/officeDocument/2006/relationships/hyperlink" Target="https://dzen.ru/media/id/63dd27aac30ab522dcce48b3/69359822e6a451708ad8e0a2" TargetMode="External"/><Relationship Id="rId443" Type="http://schemas.openxmlformats.org/officeDocument/2006/relationships/hyperlink" Target="https://dzen.ru/media/id/63dd27aac30ab522dcce48b3/69358c035e853a1113268e39" TargetMode="External"/><Relationship Id="rId444" Type="http://schemas.openxmlformats.org/officeDocument/2006/relationships/hyperlink" Target="https://dzen.ru/media/id/63dd27aac30ab522dcce48b3/693596ea2b4fd22326680d79" TargetMode="External"/><Relationship Id="rId445" Type="http://schemas.openxmlformats.org/officeDocument/2006/relationships/hyperlink" Target="https://dzen.ru/media/id/63dd27aac30ab522dcce48b3/69359353e1b578752e80e7e6" TargetMode="External"/><Relationship Id="rId446" Type="http://schemas.openxmlformats.org/officeDocument/2006/relationships/hyperlink" Target="https://dzen.ru/media/id/63dd27aac30ab522dcce48b3/693e922ec3b529492de32083" TargetMode="External"/><Relationship Id="rId447" Type="http://schemas.openxmlformats.org/officeDocument/2006/relationships/hyperlink" Target="https://dzen.ru/media/id/63dd27aac30ab522dcce48b3/693e8c000976141cafe094c1" TargetMode="External"/><Relationship Id="rId448" Type="http://schemas.openxmlformats.org/officeDocument/2006/relationships/hyperlink" Target="https://dzen.ru/media/id/63dd27aac30ab522dcce48b3/693e9eca7e27d113807532df" TargetMode="External"/><Relationship Id="rId449" Type="http://schemas.openxmlformats.org/officeDocument/2006/relationships/hyperlink" Target="https://dzen.ru/media/id/63dd27aac30ab522dcce48b3/693c8768533948527b7f203e" TargetMode="External"/><Relationship Id="rId450" Type="http://schemas.openxmlformats.org/officeDocument/2006/relationships/hyperlink" Target="https://dzen.ru/media/id/63dd27aac30ab522dcce48b3/693ea10e566f616587d6bf43" TargetMode="External"/><Relationship Id="rId451" Type="http://schemas.openxmlformats.org/officeDocument/2006/relationships/hyperlink" Target="https://dzen.ru/media/id/63dd27aac30ab522dcce48b3/693e9f470976141caff871ed" TargetMode="External"/><Relationship Id="rId452" Type="http://schemas.openxmlformats.org/officeDocument/2006/relationships/hyperlink" Target="https://dzen.ru/media/id/63dd27aac30ab522dcce48b3/6948191e7776ec1d425fbb35" TargetMode="External"/><Relationship Id="rId453" Type="http://schemas.openxmlformats.org/officeDocument/2006/relationships/hyperlink" Target="https://dzen.ru/media/id/63dd27aac30ab522dcce48b3/69499b0d64be0147777bd1c2" TargetMode="External"/><Relationship Id="rId454" Type="http://schemas.openxmlformats.org/officeDocument/2006/relationships/hyperlink" Target="https://dzen.ru/media/id/63dd27aac30ab522dcce48b3/694804c2f4a9394601ac8065" TargetMode="External"/><Relationship Id="rId455" Type="http://schemas.openxmlformats.org/officeDocument/2006/relationships/hyperlink" Target="https://dzen.ru/media/id/63dd27aac30ab522dcce48b3/69481c1098059e4c777e6172" TargetMode="External"/><Relationship Id="rId456" Type="http://schemas.openxmlformats.org/officeDocument/2006/relationships/hyperlink" Target="https://dzen.ru/media/id/63dd27aac30ab522dcce48b3/6948067ef4a9394601aeb194" TargetMode="External"/><Relationship Id="rId457" Type="http://schemas.openxmlformats.org/officeDocument/2006/relationships/hyperlink" Target="https://dzen.ru/media/id/63dd27aac30ab522dcce48b3/694811f97087b2140f74b21d" TargetMode="External"/><Relationship Id="rId458" Type="http://schemas.openxmlformats.org/officeDocument/2006/relationships/hyperlink" Target="https://dzen.ru/media/id/63dd27aac30ab522dcce48b3/69481ef1767e450dac8bfc4e" TargetMode="External"/><Relationship Id="rId459" Type="http://schemas.openxmlformats.org/officeDocument/2006/relationships/hyperlink" Target="https://dzen.ru/media/id/63dd27aac30ab522dcce48b3/69515445a5ebb71be83717a4" TargetMode="External"/><Relationship Id="rId460" Type="http://schemas.openxmlformats.org/officeDocument/2006/relationships/hyperlink" Target="https://dzen.ru/media/id/63dd27aac30ab522dcce48b3/69514f596fc6d7224d27b7ff" TargetMode="External"/><Relationship Id="rId461" Type="http://schemas.openxmlformats.org/officeDocument/2006/relationships/hyperlink" Target="https://dzen.ru/media/id/63dd27aac30ab522dcce48b3/69515336c3623b459e988718" TargetMode="External"/><Relationship Id="rId462" Type="http://schemas.openxmlformats.org/officeDocument/2006/relationships/hyperlink" Target="https://dzen.ru/media/id/63dd27aac30ab522dcce48b3/69514a231e75223ebd0a7a1a" TargetMode="External"/><Relationship Id="rId463" Type="http://schemas.openxmlformats.org/officeDocument/2006/relationships/hyperlink" Target="https://dzen.ru/media/id/63dd27aac30ab522dcce48b3/6951556e43c19f4e6f823738" TargetMode="External"/><Relationship Id="rId464" Type="http://schemas.openxmlformats.org/officeDocument/2006/relationships/hyperlink" Target="https://dzen.ru/media/id/63dd27aac30ab522dcce48b3/69517280d24769283fdd0d02" TargetMode="External"/><Relationship Id="rId465" Type="http://schemas.openxmlformats.org/officeDocument/2006/relationships/hyperlink" Target="https://dzen.ru/media/id/63dd27aac30ab522dcce48b3/696147b8e3db5c6061a7be92" TargetMode="External"/><Relationship Id="rId466" Type="http://schemas.openxmlformats.org/officeDocument/2006/relationships/hyperlink" Target="https://dzen.ru/media/id/63dd27aac30ab522dcce48b3/6951574dc3623b459e9dbe68" TargetMode="External"/><Relationship Id="rId467" Type="http://schemas.openxmlformats.org/officeDocument/2006/relationships/hyperlink" Target="https://dzen.ru/media/id/63dd27aac30ab522dcce48b3/696149922e2b4a128b0279bc" TargetMode="External"/><Relationship Id="rId468" Type="http://schemas.openxmlformats.org/officeDocument/2006/relationships/hyperlink" Target="https://dzen.ru/media/id/63dd27aac30ab522dcce48b3/69614772a45e4e67c3211407" TargetMode="External"/><Relationship Id="rId469" Type="http://schemas.openxmlformats.org/officeDocument/2006/relationships/hyperlink" Target="https://dzen.ru/media/id/63dd27aac30ab522dcce48b3/696144d4a5ebb71be8eda482" TargetMode="External"/><Relationship Id="rId470" Type="http://schemas.openxmlformats.org/officeDocument/2006/relationships/hyperlink" Target="https://dzen.ru/media/id/63dd27aac30ab522dcce48b3/696cb82fc71bdc43a5b3c83b" TargetMode="External"/><Relationship Id="rId471" Type="http://schemas.openxmlformats.org/officeDocument/2006/relationships/hyperlink" Target="https://dzen.ru/media/id/63dd27aac30ab522dcce48b3/696cc2f93afdea314977f599" TargetMode="External"/><Relationship Id="rId472" Type="http://schemas.openxmlformats.org/officeDocument/2006/relationships/hyperlink" Target="https://dzen.ru/media/id/63dd27aac30ab522dcce48b3/6970a079077e8f045f1346b6" TargetMode="External"/><Relationship Id="rId473" Type="http://schemas.openxmlformats.org/officeDocument/2006/relationships/hyperlink" Target="https://dzen.ru/media/id/63dd27aac30ab522dcce48b3/696cc10bb3868b4e7787df26" TargetMode="External"/><Relationship Id="rId474" Type="http://schemas.openxmlformats.org/officeDocument/2006/relationships/hyperlink" Target="https://dzen.ru/media/id/63dd27aac30ab522dcce48b3/6973417e6f55303e74bd11a6" TargetMode="External"/><Relationship Id="rId475" Type="http://schemas.openxmlformats.org/officeDocument/2006/relationships/hyperlink" Target="https://dzen.ru/media/id/63dd27aac30ab522dcce48b3/696cc8552821ba5513d1a56b" TargetMode="External"/><Relationship Id="rId476" Type="http://schemas.openxmlformats.org/officeDocument/2006/relationships/hyperlink" Target="https://dzen.ru/media/id/63dd27aac30ab522dcce48b3/6977490a26b5c6151e7c74f7" TargetMode="External"/><Relationship Id="rId477" Type="http://schemas.openxmlformats.org/officeDocument/2006/relationships/hyperlink" Target="https://dzen.ru/media/id/63dd27aac30ab522dcce48b3/6975fc3fcfce4a65cb2b3339" TargetMode="External"/><Relationship Id="rId478" Type="http://schemas.openxmlformats.org/officeDocument/2006/relationships/hyperlink" Target="https://dzen.ru/media/id/63dd27aac30ab522dcce48b3/6979e7e94437833b46b4ea3c" TargetMode="External"/><Relationship Id="rId479" Type="http://schemas.openxmlformats.org/officeDocument/2006/relationships/hyperlink" Target="https://dzen.ru/media/id/63dd27aac30ab522dcce48b3/6976025f618339313fb10f15" TargetMode="External"/><Relationship Id="rId480" Type="http://schemas.openxmlformats.org/officeDocument/2006/relationships/hyperlink" Target="https://dzen.ru/media/id/63dd27aac30ab522dcce48b3/697c7b967ec66d64f95ebcf8" TargetMode="External"/><Relationship Id="rId481" Type="http://schemas.openxmlformats.org/officeDocument/2006/relationships/hyperlink" Target="https://dzen.ru/media/id/63dd27aac30ab522dcce48b3/697dbdf953d8595cadc893a3" TargetMode="External"/><Relationship Id="rId482" Type="http://schemas.openxmlformats.org/officeDocument/2006/relationships/hyperlink" Target="https://dzen.ru/media/id/63dd27aac30ab522dcce48b3/698062c871f0967fd973fd04" TargetMode="External"/><Relationship Id="rId483" Type="http://schemas.openxmlformats.org/officeDocument/2006/relationships/hyperlink" Target="https://dzen.ru/media/id/63dd27aac30ab522dcce48b3/698065a821168d71a51d663b" TargetMode="External"/><Relationship Id="rId484" Type="http://schemas.openxmlformats.org/officeDocument/2006/relationships/hyperlink" Target="https://dzen.ru/media/id/63dd27aac30ab522dcce48b3/69831775477a861ce0ae0dd0" TargetMode="External"/><Relationship Id="rId485" Type="http://schemas.openxmlformats.org/officeDocument/2006/relationships/hyperlink" Target="https://dzen.ru/media/id/63dd27aac30ab522dcce48b3/69846d4cb64e210ec9499ead" TargetMode="External"/><Relationship Id="rId486" Type="http://schemas.openxmlformats.org/officeDocument/2006/relationships/hyperlink" Target="https://dzen.ru/media/id/63dd27aac30ab522dcce48b3/6985b78fdb12ae7446e6d908" TargetMode="External"/><Relationship Id="rId487" Type="http://schemas.openxmlformats.org/officeDocument/2006/relationships/hyperlink" Target="https://dzen.ru/media/id/63dd27aac30ab522dcce48b3/6986ebb8a9cb7849f0d6ecda" TargetMode="External"/><Relationship Id="rId488" Type="http://schemas.openxmlformats.org/officeDocument/2006/relationships/hyperlink" Target="https://dzen.ru/media/id/63dd27aac30ab522dcce48b3/69899ea0db12ae7446c3b144" TargetMode="External"/><Relationship Id="rId489" Type="http://schemas.openxmlformats.org/officeDocument/2006/relationships/hyperlink" Target="https://dzen.ru/media/id/63dd27aac30ab522dcce48b3/69899fac0f83b1583df89211" TargetMode="External"/><Relationship Id="rId490" Type="http://schemas.openxmlformats.org/officeDocument/2006/relationships/hyperlink" Target="https://dzen.ru/media/id/63dd27aac30ab522dcce48b3/696cc9660a33112e4677c858" TargetMode="External"/><Relationship Id="rId491" Type="http://schemas.openxmlformats.org/officeDocument/2006/relationships/hyperlink" Target="https://dzen.ru/media/id/63dd27aac30ab522dcce48b3/698c50f64af95548ef34bcdb" TargetMode="External"/><Relationship Id="rId492" Type="http://schemas.openxmlformats.org/officeDocument/2006/relationships/hyperlink" Target="https://dzen.ru/media/id/63dd27aac30ab522dcce48b3/698c559c4763ed47210b3a0c" TargetMode="External"/><Relationship Id="rId493" Type="http://schemas.openxmlformats.org/officeDocument/2006/relationships/hyperlink" Target="https://dzen.ru/media/id/63dd27aac30ab522dcce48b3/698c597d6c1dd34f5344c10d" TargetMode="External"/><Relationship Id="rId494" Type="http://schemas.openxmlformats.org/officeDocument/2006/relationships/hyperlink" Target="https://dzen.ru/media/id/63dd27aac30ab522dcce48b3/6992dd503d552d18d65755c9" TargetMode="External"/><Relationship Id="rId495" Type="http://schemas.openxmlformats.org/officeDocument/2006/relationships/hyperlink" Target="https://dzen.ru/media/id/63dd27aac30ab522dcce48b3/699368d0dc116e459fe3e2ab" TargetMode="External"/><Relationship Id="rId496" Type="http://schemas.openxmlformats.org/officeDocument/2006/relationships/hyperlink" Target="https://dzen.ru/media/id/63dd27aac30ab522dcce48b3/6994d347ea4f9867ed99201b" TargetMode="External"/><Relationship Id="rId497" Type="http://schemas.openxmlformats.org/officeDocument/2006/relationships/hyperlink" Target="https://dzen.ru/media/id/63dd27aac30ab522dcce48b3/6994d4fd9e126268a59bc19f" TargetMode="External"/><Relationship Id="rId498" Type="http://schemas.openxmlformats.org/officeDocument/2006/relationships/hyperlink" Target="https://dzen.ru/media/id/63dd27aac30ab522dcce48b3/699818e097ddef09c5fb5fc4" TargetMode="External"/><Relationship Id="rId499" Type="http://schemas.openxmlformats.org/officeDocument/2006/relationships/hyperlink" Target="https://dzen.ru/media/id/63dd27aac30ab522dcce48b3/69981b31f7c9b17c66ceb61b" TargetMode="External"/><Relationship Id="rId500" Type="http://schemas.openxmlformats.org/officeDocument/2006/relationships/hyperlink" Target="https://dzen.ru/media/id/63dd27aac30ab522dcce48b3/699c227f4948182381c528f7" TargetMode="External"/><Relationship Id="rId501" Type="http://schemas.openxmlformats.org/officeDocument/2006/relationships/hyperlink" Target="https://dzen.ru/media/id/63dd27aac30ab522dcce48b3/699c45284948182381f124c6" TargetMode="External"/><Relationship Id="rId502" Type="http://schemas.openxmlformats.org/officeDocument/2006/relationships/hyperlink" Target="https://dzen.ru/media/id/63dd27aac30ab522dcce48b3/699eb6bc7e3fad32911e760b" TargetMode="External"/><Relationship Id="rId503" Type="http://schemas.openxmlformats.org/officeDocument/2006/relationships/hyperlink" Target="https://dzen.ru/media/id/63dd27aac30ab522dcce48b3/69a00c32d0f5970c40c3fedd" TargetMode="External"/><Relationship Id="rId504" Type="http://schemas.openxmlformats.org/officeDocument/2006/relationships/hyperlink" Target="https://dzen.ru/media/id/63dd27aac30ab522dcce48b3/696ccdd456e4430fc1e5747f" TargetMode="External"/><Relationship Id="rId505" Type="http://schemas.openxmlformats.org/officeDocument/2006/relationships/hyperlink" Target="https://dzen.ru/media/id/63dd27aac30ab522dcce48b3/696cc2813afdea3149775dbb" TargetMode="External"/><Relationship Id="rId506" Type="http://schemas.openxmlformats.org/officeDocument/2006/relationships/hyperlink" Target="https://dzen.ru/media/id/63dd27aac30ab522dcce48b3/69a54b948ab50139c0ab5743" TargetMode="External"/><Relationship Id="rId507" Type="http://schemas.openxmlformats.org/officeDocument/2006/relationships/hyperlink" Target="https://dzen.ru/media/id/63dd27aac30ab522dcce48b3/69a55d3b2ca7165f888a5d98" TargetMode="External"/><Relationship Id="rId508" Type="http://schemas.openxmlformats.org/officeDocument/2006/relationships/hyperlink" Target="https://dzen.ru/media/id/63dd27aac30ab522dcce48b3/69a553fce55b6a07bf2ac9ee" TargetMode="External"/><Relationship Id="rId509" Type="http://schemas.openxmlformats.org/officeDocument/2006/relationships/hyperlink" Target="https://dzen.ru/media/id/63dd27aac30ab522dcce48b3/69a7eeb9c7cdd850ac55588b" TargetMode="External"/><Relationship Id="rId510" Type="http://schemas.openxmlformats.org/officeDocument/2006/relationships/hyperlink" Target="https://dzen.ru/media/id/63dd27aac30ab522dcce48b3/69a943881f9647023418af7f" TargetMode="External"/><Relationship Id="rId511" Type="http://schemas.openxmlformats.org/officeDocument/2006/relationships/hyperlink" Target="https://dzen.ru/media/id/63dd27aac30ab522dcce48b3/69a9efe4c8860f221f5d231a" TargetMode="External"/><Relationship Id="rId512" Type="http://schemas.openxmlformats.org/officeDocument/2006/relationships/hyperlink" Target="https://dzen.ru/media/id/63dd27aac30ab522dcce48b3/69aaa18e0f5a7468bd63d421" TargetMode="External"/><Relationship Id="rId513" Type="http://schemas.openxmlformats.org/officeDocument/2006/relationships/hyperlink" Target="https://dzen.ru/media/id/63dd27aac30ab522dcce48b3/69adff8f14c4182ff737b898" TargetMode="External"/><Relationship Id="rId514" Type="http://schemas.openxmlformats.org/officeDocument/2006/relationships/hyperlink" Target="https://dzen.ru/media/id/63dd27aac30ab522dcce48b3/69afe8cd54c19f73b997c3ce" TargetMode="External"/><Relationship Id="rId515" Type="http://schemas.openxmlformats.org/officeDocument/2006/relationships/hyperlink" Target="https://dzen.ru/media/id/63dd27aac30ab522dcce48b3/69afecf0d6a65018c4ac905d" TargetMode="External"/><Relationship Id="rId516" Type="http://schemas.openxmlformats.org/officeDocument/2006/relationships/hyperlink" Target="https://dzen.ru/media/id/63dd27aac30ab522dcce48b3/69b27bdc50d2f45d98362bdf" TargetMode="External"/><Relationship Id="rId517" Type="http://schemas.openxmlformats.org/officeDocument/2006/relationships/hyperlink" Target="https://dzen.ru/media/id/63dd27aac30ab522dcce48b3/69b3342a7f84cf33ad3b33dc" TargetMode="External"/><Relationship Id="rId518" Type="http://schemas.openxmlformats.org/officeDocument/2006/relationships/hyperlink" Target="https://dzen.ru/media/id/63dd27aac30ab522dcce48b3/69b335dc7c578d071bad91f3" TargetMode="External"/><Relationship Id="rId519" Type="http://schemas.openxmlformats.org/officeDocument/2006/relationships/hyperlink" Target="https://dzen.ru/media/id/63dd27aac30ab522dcce48b3/69b5394d81119e04eff8b199" TargetMode="External"/><Relationship Id="rId520" Type="http://schemas.openxmlformats.org/officeDocument/2006/relationships/hyperlink" Target="https://dzen.ru/media/id/63dd27aac30ab522dcce48b3/69b6ee9b00135712385c57f4" TargetMode="External"/><Relationship Id="rId521" Type="http://schemas.openxmlformats.org/officeDocument/2006/relationships/hyperlink" Target="https://dzen.ru/media/id/63dd27aac30ab522dcce48b3/69b7fe203914d7783684ff9b" TargetMode="External"/><Relationship Id="rId522" Type="http://schemas.openxmlformats.org/officeDocument/2006/relationships/hyperlink" Target="https://dzen.ru/media/id/63dd27aac30ab522dcce48b3/69b9834ea8886c3949330f51" TargetMode="External"/><Relationship Id="rId523" Type="http://schemas.openxmlformats.org/officeDocument/2006/relationships/hyperlink" Target="https://dzen.ru/media/id/63dd27aac30ab522dcce48b3/69bbc2c1c44034744555c3ed" TargetMode="External"/><Relationship Id="rId524" Type="http://schemas.openxmlformats.org/officeDocument/2006/relationships/hyperlink" Target="https://dzen.ru/media/id/63dd27aac30ab522dcce48b3/69bc543fafa5fb3888a5dfdf" TargetMode="External"/><Relationship Id="rId525" Type="http://schemas.openxmlformats.org/officeDocument/2006/relationships/hyperlink" Target="https://dzen.ru/media/id/63dd27aac30ab522dcce48b3/69bc552c406f6a623f11b68e" TargetMode="External"/><Relationship Id="rId526" Type="http://schemas.openxmlformats.org/officeDocument/2006/relationships/hyperlink" Target="https://dzen.ru/media/id/63dd27aac30ab522dcce48b3/69c074352e14f079eedc3e6a" TargetMode="External"/><Relationship Id="rId527" Type="http://schemas.openxmlformats.org/officeDocument/2006/relationships/hyperlink" Target="https://dzen.ru/media/id/63dd27aac30ab522dcce48b3/69c25bb30304c77280fb360a" TargetMode="External"/><Relationship Id="rId528" Type="http://schemas.openxmlformats.org/officeDocument/2006/relationships/hyperlink" Target="https://dzen.ru/media/id/63dd27aac30ab522dcce48b3/69c26d742951261a4bf2e0c9" TargetMode="External"/><Relationship Id="rId529" Type="http://schemas.openxmlformats.org/officeDocument/2006/relationships/hyperlink" Target="https://dzen.ru/media/id/63dd27aac30ab522dcce48b3/69c508d288e0774576ffb340" TargetMode="External"/><Relationship Id="rId530" Type="http://schemas.openxmlformats.org/officeDocument/2006/relationships/hyperlink" Target="https://dzen.ru/media/id/63dd27aac30ab522dcce48b3/69c54337637bea447c6fd675" TargetMode="External"/><Relationship Id="rId531" Type="http://schemas.openxmlformats.org/officeDocument/2006/relationships/hyperlink" Target="https://dzen.ru/media/id/63dd27aac30ab522dcce48b3/69c57b02552adb1e403beeea" TargetMode="External"/><Relationship Id="rId532" Type="http://schemas.openxmlformats.org/officeDocument/2006/relationships/hyperlink" Target="https://dzen.ru/media/id/63dd27aac30ab522dcce48b3/69c974ad88e0774576ad0c36" TargetMode="External"/><Relationship Id="rId533" Type="http://schemas.openxmlformats.org/officeDocument/2006/relationships/hyperlink" Target="https://dzen.ru/media/id/63dd27aac30ab522dcce48b3/69cb878f4d05b60ad9cd7da3" TargetMode="External"/><Relationship Id="rId534" Type="http://schemas.openxmlformats.org/officeDocument/2006/relationships/hyperlink" Target="https://dzen.ru/media/id/63dd27aac30ab522dcce48b3/69cb8d0db58d5f0c3e830f86" TargetMode="External"/><Relationship Id="rId535" Type="http://schemas.openxmlformats.org/officeDocument/2006/relationships/hyperlink" Target="https://dzen.ru/media/id/63dd27aac30ab522dcce48b3/69cb99d0b58d5f0c3ea06481" TargetMode="External"/><Relationship Id="rId536" Type="http://schemas.openxmlformats.org/officeDocument/2006/relationships/hyperlink" Target="https://dzen.ru/media/id/63dd27aac30ab522dcce48b3/69cb9def36d9e77fee59de5a" TargetMode="External"/><Relationship Id="rId537" Type="http://schemas.openxmlformats.org/officeDocument/2006/relationships/hyperlink" Target="https://dzen.ru/media/id/63dd27aac30ab522dcce48b3/69cb9fd041594c75d035564f" TargetMode="External"/><Relationship Id="rId538" Type="http://schemas.openxmlformats.org/officeDocument/2006/relationships/hyperlink" Target="https://dzen.ru/media/id/63dd27aac30ab522dcce48b3/69d29de84c261661d6151010" TargetMode="External"/><Relationship Id="rId539" Type="http://schemas.openxmlformats.org/officeDocument/2006/relationships/hyperlink" Target="https://dzen.ru/media/id/63dd27aac30ab522dcce48b3/69d4b90034d4d861b0fdda9e" TargetMode="External"/><Relationship Id="rId540" Type="http://schemas.openxmlformats.org/officeDocument/2006/relationships/hyperlink" Target="https://dzen.ru/media/id/63dd27aac30ab522dcce48b3/69d4cbd726c7cf3dc0d4ea81" TargetMode="External"/><Relationship Id="rId541" Type="http://schemas.openxmlformats.org/officeDocument/2006/relationships/hyperlink" Target="https://dzen.ru/media/id/63dd27aac30ab522dcce48b3/69d4ba111107cd05a600b875" TargetMode="External"/><Relationship Id="rId542" Type="http://schemas.openxmlformats.org/officeDocument/2006/relationships/hyperlink" Target="https://dzen.ru/media/id/63dd27aac30ab522dcce48b3/69d8cb6fe78b8c086e5b8519" TargetMode="External"/><Relationship Id="rId543" Type="http://schemas.openxmlformats.org/officeDocument/2006/relationships/hyperlink" Target="https://dzen.ru/media/id/63dd27aac30ab522dcce48b3/69d7ce5bb5a80b525862a2f1" TargetMode="External"/><Relationship Id="rId544" Type="http://schemas.openxmlformats.org/officeDocument/2006/relationships/hyperlink" Target="https://dzen.ru/media/id/63dd27aac30ab522dcce48b3/69dbf59f5151071d55398701" TargetMode="External"/><Relationship Id="rId545" Type="http://schemas.openxmlformats.org/officeDocument/2006/relationships/hyperlink" Target="https://dzen.ru/media/id/63dd27aac30ab522dcce48b3/69de053b6a5aac3c674439c9" TargetMode="External"/><Relationship Id="rId546" Type="http://schemas.openxmlformats.org/officeDocument/2006/relationships/hyperlink" Target="https://dzen.ru/media/id/63dd27aac30ab522dcce48b3/69de08b8a6684003ee8018b8" TargetMode="External"/><Relationship Id="rId547" Type="http://schemas.openxmlformats.org/officeDocument/2006/relationships/hyperlink" Target="https://dzen.ru/media/id/63dd27aac30ab522dcce48b3/69e0b9b74e425a1d553b5fd1" TargetMode="External"/><Relationship Id="rId548" Type="http://schemas.openxmlformats.org/officeDocument/2006/relationships/hyperlink" Target="https://dzen.ru/media/id/63dd27aac30ab522dcce48b3/69e0d3f173d9690519460243" TargetMode="External"/><Relationship Id="rId549" Type="http://schemas.openxmlformats.org/officeDocument/2006/relationships/hyperlink" Target="https://dzen.ru/media/id/63dd27aac30ab522dcce48b3/69e0d90b1851bd6b6f3cb7f2" TargetMode="External"/><Relationship Id="rId550" Type="http://schemas.openxmlformats.org/officeDocument/2006/relationships/hyperlink" Target="https://dzen.ru/media/id/63dd27aac30ab522dcce48b3/69e61d3420cb0c0c82b3ec0d" TargetMode="External"/><Relationship Id="rId551" Type="http://schemas.openxmlformats.org/officeDocument/2006/relationships/hyperlink" Target="https://dzen.ru/media/id/63dd27aac30ab522dcce48b3/69e748423dba43770d5b3309" TargetMode="External"/><Relationship Id="rId552" Type="http://schemas.openxmlformats.org/officeDocument/2006/relationships/hyperlink" Target="https://dzen.ru/media/id/63dd27aac30ab522dcce48b3/69e75284a1a9b957474d3680" TargetMode="External"/><Relationship Id="rId553" Type="http://schemas.openxmlformats.org/officeDocument/2006/relationships/hyperlink" Target="https://dzen.ru/media/id/63dd27aac30ab522dcce48b3/69e9f3b6ea98285a8015046a" TargetMode="External"/><Relationship Id="rId554" Type="http://schemas.openxmlformats.org/officeDocument/2006/relationships/hyperlink" Target="https://dzen.ru/media/id/63dd27aac30ab522dcce48b3/69ea039cdeaa9d1e1eb56f5b" TargetMode="External"/><Relationship Id="rId555" Type="http://schemas.openxmlformats.org/officeDocument/2006/relationships/hyperlink" Target="https://dzen.ru/media/id/63dd27aac30ab522dcce48b3/69ea0422f3e3fa0b120fb45c" TargetMode="External"/><Relationship Id="rId556" Type="http://schemas.openxmlformats.org/officeDocument/2006/relationships/hyperlink" Target="https://dzen.ru/media/id/63dd27aac30ab522dcce48b3/69ee7ac65b5f074ecdae648f" TargetMode="External"/><Relationship Id="rId557" Type="http://schemas.openxmlformats.org/officeDocument/2006/relationships/hyperlink" Target="https://dzen.ru/media/id/63dd27aac30ab522dcce48b3/69f04f142643861053ea94cc" TargetMode="External"/><Relationship Id="rId558" Type="http://schemas.openxmlformats.org/officeDocument/2006/relationships/hyperlink" Target="https://dzen.ru/media/id/63dd27aac30ab522dcce48b3/69f1245757a5ad04e57018a2" TargetMode="External"/><Relationship Id="rId559" Type="http://schemas.openxmlformats.org/officeDocument/2006/relationships/hyperlink" Target="https://dzen.ru/media/id/63dd27aac30ab522dcce48b3/69f2f77910d44e45047c5e19" TargetMode="External"/><Relationship Id="rId560" Type="http://schemas.openxmlformats.org/officeDocument/2006/relationships/hyperlink" Target="https://dzen.ru/media/id/63dd27aac30ab522dcce48b3/69f2fb47b0394c6175f709f2" TargetMode="External"/><Relationship Id="rId561" Type="http://schemas.openxmlformats.org/officeDocument/2006/relationships/hyperlink" Target="https://dzen.ru/media/id/63dd27aac30ab522dcce48b3/69f2fc10b0394c6175f81508" TargetMode="External"/><Relationship Id="rId562" Type="http://schemas.openxmlformats.org/officeDocument/2006/relationships/hyperlink" Target="https://dzen.ru/media/id/63dd27aac30ab522dcce48b3/69f863d29e653d7783774f26" TargetMode="External"/><Relationship Id="rId563" Type="http://schemas.openxmlformats.org/officeDocument/2006/relationships/hyperlink" Target="https://dzen.ru/media/id/63dd27aac30ab522dcce48b3/69f9acf6a38e126ba1bc7de7" TargetMode="External"/><Relationship Id="rId564" Type="http://schemas.openxmlformats.org/officeDocument/2006/relationships/hyperlink" Target="https://dzen.ru/media/id/63dd27aac30ab522dcce48b3/69f9e61266544869fb77b708" TargetMode="External"/><Relationship Id="rId565" Type="http://schemas.openxmlformats.org/officeDocument/2006/relationships/hyperlink" Target="https://dzen.ru/media/id/63dd27aac30ab522dcce48b3/69f9e8fe9e653d7783345579" TargetMode="External"/><Relationship Id="rId566" Type="http://schemas.openxmlformats.org/officeDocument/2006/relationships/hyperlink" Target="https://dzen.ru/media/id/63dd27aac30ab522dcce48b3/69fd2a9eb664315096347adb" TargetMode="External"/><Relationship Id="rId567" Type="http://schemas.openxmlformats.org/officeDocument/2006/relationships/hyperlink" Target="https://dzen.ru/media/id/63dd27aac30ab522dcce48b3/69fe8a0a15156b27f12c9587" TargetMode="External"/><Relationship Id="rId568" Type="http://schemas.openxmlformats.org/officeDocument/2006/relationships/hyperlink" Target="https://dzen.ru/media/id/63dd27aac30ab522dcce48b3/6a00b9431babcd215f208a6d" TargetMode="External"/><Relationship Id="rId569" Type="http://schemas.openxmlformats.org/officeDocument/2006/relationships/hyperlink" Target="https://dzen.ru/media/id/63dd27aac30ab522dcce48b3/6a030e9c15156b27f1351bb2" TargetMode="External"/><Relationship Id="rId570" Type="http://schemas.openxmlformats.org/officeDocument/2006/relationships/hyperlink" Target="https://dzen.ru/media/id/63dd27aac30ab522dcce48b3/6a03a5607630a14b800255ed" TargetMode="External"/><Relationship Id="rId571" Type="http://schemas.openxmlformats.org/officeDocument/2006/relationships/hyperlink" Target="https://dzen.ru/media/id/63dd27aac30ab522dcce48b3/6a038811570c2d44d953efd5" TargetMode="External"/><Relationship Id="rId572" Type="http://schemas.openxmlformats.org/officeDocument/2006/relationships/hyperlink" Target="https://dzen.ru/media/id/63dd27aac30ab522dcce48b3/6a05d55d7a176c57a86bf946" TargetMode="External"/><Relationship Id="rId573" Type="http://schemas.openxmlformats.org/officeDocument/2006/relationships/hyperlink" Target="https://dzen.ru/media/id/63dd27aac30ab522dcce48b3/6a06522aa62f460406862144" TargetMode="External"/><Relationship Id="rId574" Type="http://schemas.openxmlformats.org/officeDocument/2006/relationships/hyperlink" Target="https://dzen.ru/media/id/63dd27aac30ab522dcce48b3/6a09c6b03dcba176c3838b16" TargetMode="External"/><Relationship Id="rId575" Type="http://schemas.openxmlformats.org/officeDocument/2006/relationships/hyperlink" Target="https://dzen.ru/media/id/63dd27aac30ab522dcce48b3/6a0c1ad55030b312793e1a56" TargetMode="External"/><Relationship Id="rId576" Type="http://schemas.openxmlformats.org/officeDocument/2006/relationships/hyperlink" Target="https://dzen.ru/media/id/63dd27aac30ab522dcce48b3/6a0d402219a063237298f9a5" TargetMode="External"/><Relationship Id="rId577" Type="http://schemas.openxmlformats.org/officeDocument/2006/relationships/hyperlink" Target="https://dzen.ru/media/id/63dd27aac30ab522dcce48b3/6a0ec1e3e3becd0bfc57cc16" TargetMode="External"/><Relationship Id="rId578" Type="http://schemas.openxmlformats.org/officeDocument/2006/relationships/hyperlink" Target="https://dzen.ru/media/id/63dd27aac30ab522dcce48b3/6a0ec3c285026874bbc35d6f" TargetMode="External"/><Relationship Id="rId579" Type="http://schemas.openxmlformats.org/officeDocument/2006/relationships/hyperlink" Target="https://dzen.ru/media/id/63dd27aac30ab522dcce48b3/6a10380d0beca04a2bdba9be" TargetMode="External"/><Relationship Id="rId580" Type="http://schemas.openxmlformats.org/officeDocument/2006/relationships/hyperlink" Target="https://dzen.ru/media/id/63dd27aac30ab522dcce48b3/6a13d700c569140ae11dff8c" TargetMode="External"/><Relationship Id="rId581" Type="http://schemas.openxmlformats.org/officeDocument/2006/relationships/hyperlink" Target="https://dzen.ru/media/id/63dd27aac30ab522dcce48b3/6a14b4e6ad71e4211b56261f" TargetMode="External"/><Relationship Id="rId582" Type="http://schemas.openxmlformats.org/officeDocument/2006/relationships/hyperlink" Target="https://dzen.ru/media/id/63dd27aac30ab522dcce48b3/6a161920839cb04b4f4f97ad" TargetMode="External"/><Relationship Id="rId583" Type="http://schemas.openxmlformats.org/officeDocument/2006/relationships/hyperlink" Target="https://dzen.ru/media/id/63dd27aac30ab522dcce48b3/6a170968e9db2d1622fb0dd7" TargetMode="External"/><Relationship Id="rId584" Type="http://schemas.openxmlformats.org/officeDocument/2006/relationships/hyperlink" Target="https://dzen.ru/media/id/63dd27aac30ab522dcce48b3/6a18a6985d42dc291f3b0370" TargetMode="External"/><Relationship Id="rId585" Type="http://schemas.openxmlformats.org/officeDocument/2006/relationships/hyperlink" Target="https://dzen.ru/media/id/63dd27aac30ab522dcce48b3/6a18aa9986215e0d9ed759f7" TargetMode="External"/><Relationship Id="rId586" Type="http://schemas.openxmlformats.org/officeDocument/2006/relationships/hyperlink" Target="https://dzen.ru/media/id/63dd27aac30ab522dcce48b3/6a1d3612562fd931d7613ab3" TargetMode="External"/><Relationship Id="rId587" Type="http://schemas.openxmlformats.org/officeDocument/2006/relationships/hyperlink" Target="https://dzen.ru/media/id/63dd27aac30ab522dcce48b3/6a1e0c5ea2c26b6c9fea4fbb" TargetMode="External"/><Relationship Id="rId588" Type="http://schemas.openxmlformats.org/officeDocument/2006/relationships/hyperlink" Target="https://dzen.ru/media/id/63dd27aac30ab522dcce48b3/6a1e0cd5b55b73423d4b7bc7" TargetMode="External"/><Relationship Id="rId589" Type="http://schemas.openxmlformats.org/officeDocument/2006/relationships/hyperlink" Target="https://dzen.ru/media/id/63dd27aac30ab522dcce48b3/6a1e0be2de7360241c338161" TargetMode="External"/><Relationship Id="rId590" Type="http://schemas.openxmlformats.org/officeDocument/2006/relationships/hyperlink" Target="https://dzen.ru/media/id/63dd27aac30ab522dcce48b3/6a215a02a1da0e2b86550175" TargetMode="External"/><Relationship Id="rId591" Type="http://schemas.openxmlformats.org/officeDocument/2006/relationships/hyperlink" Target="https://dzen.ru/media/id/63dd27aac30ab522dcce48b3/6a21fa45dbd1b65a7332e883" TargetMode="External"/><Relationship Id="rId592" Type="http://schemas.openxmlformats.org/officeDocument/2006/relationships/hyperlink" Target="https://dzen.ru/media/id/63dd27aac30ab522dcce48b3/6a21fb03f060b8028d902c37" TargetMode="External"/><Relationship Id="rId593" Type="http://schemas.openxmlformats.org/officeDocument/2006/relationships/hyperlink" Target="https://dzen.ru/media/id/63dd27aac30ab522dcce48b3/6a2686e13e9e7a7e67e13ee6" TargetMode="External"/><Relationship Id="rId594" Type="http://schemas.openxmlformats.org/officeDocument/2006/relationships/hyperlink" Target="https://dzen.ru/media/id/63dd27aac30ab522dcce48b3/6a27cac0450551402d26432a" TargetMode="External"/><Relationship Id="rId595" Type="http://schemas.openxmlformats.org/officeDocument/2006/relationships/hyperlink" Target="https://dzen.ru/media/id/63dd27aac30ab522dcce48b3/6a290c7bc274e95afa476c54" TargetMode="External"/><Relationship Id="rId596" Type="http://schemas.openxmlformats.org/officeDocument/2006/relationships/hyperlink" Target="https://dzen.ru/media/id/63dd27aac30ab522dcce48b3/6a2a7fe832fc990f33f47254" TargetMode="External"/><Relationship Id="rId597" Type="http://schemas.openxmlformats.org/officeDocument/2006/relationships/hyperlink" Target="https://dzen.ru/media/id/63dd27aac30ab522dcce48b3/6a2a8ae46514515979eb8464" TargetMode="External"/><Relationship Id="rId598" Type="http://schemas.openxmlformats.org/officeDocument/2006/relationships/hyperlink" Target="https://dzen.ru/media/id/63dd27aac30ab522dcce48b3/6a2a8b73403fe12f4bb3f309" TargetMode="External"/><Relationship Id="rId599" Type="http://schemas.openxmlformats.org/officeDocument/2006/relationships/hyperlink" Target="https://dzen.ru/media/id/63dd27aac30ab522dcce48b3/6a2f9fa032fc990f336ce09b" TargetMode="External"/><Relationship Id="rId600" Type="http://schemas.openxmlformats.org/officeDocument/2006/relationships/hyperlink" Target="https://dzen.ru/media/id/63dd27aac30ab522dcce48b3/6a310ae297011e4b94d08122" TargetMode="External"/><Relationship Id="rId601" Type="http://schemas.openxmlformats.org/officeDocument/2006/relationships/hyperlink" Target="https://dzen.ru/media/id/63dd27aac30ab522dcce48b3/6a3262a50ba5787101444fa9" TargetMode="External"/><Relationship Id="rId602" Type="http://schemas.openxmlformats.org/officeDocument/2006/relationships/hyperlink" Target="https://dzen.ru/media/id/63dd27aac30ab522dcce48b3/6a34fdd15ebf3519ec9f4c01" TargetMode="External"/><Relationship Id="rId603" Type="http://schemas.openxmlformats.org/officeDocument/2006/relationships/hyperlink" Target="https://dzen.ru/media/id/63dd27aac30ab522dcce48b3/6a38f206665bf6072bb69970" TargetMode="External"/><Relationship Id="rId604" Type="http://schemas.openxmlformats.org/officeDocument/2006/relationships/hyperlink" Target="https://dzen.ru/media/id/63dd27aac30ab522dcce48b3/6a3a64f8ad24ae75861f981b" TargetMode="External"/><Relationship Id="rId605" Type="http://schemas.openxmlformats.org/officeDocument/2006/relationships/hyperlink" Target="https://dzen.ru/media/id/63dd27aac30ab522dcce48b3/6a3b9464aa314c580e2fd1b1" TargetMode="External"/><Relationship Id="rId606" Type="http://schemas.openxmlformats.org/officeDocument/2006/relationships/hyperlink" Target="https://dzen.ru/media/id/63dd27aac30ab522dcce48b3/6a3da678d9b57f6d8a92204f" TargetMode="External"/><Relationship Id="rId607" Type="http://schemas.openxmlformats.org/officeDocument/2006/relationships/hyperlink" Target="https://dzen.ru/media/id/63dd27aac30ab522dcce48b3/6a40eee530865c46a915e26b" TargetMode="External"/><Relationship Id="rId608" Type="http://schemas.openxmlformats.org/officeDocument/2006/relationships/hyperlink" Target="https://dzen.ru/media/id/63dd27aac30ab522dcce48b3/6a41918f47d3cf6b48b4605d" TargetMode="External"/><Relationship Id="rId609" Type="http://schemas.openxmlformats.org/officeDocument/2006/relationships/hyperlink" Target="https://dzen.ru/media/id/63dd27aac30ab522dcce48b3/6a42dc418bfc1715296b41a8" TargetMode="External"/><Relationship Id="rId610" Type="http://schemas.openxmlformats.org/officeDocument/2006/relationships/hyperlink" Target="https://dzen.ru/media/id/63dd27aac30ab522dcce48b3/6a4404db17f7ac487ba10644" TargetMode="External"/><Relationship Id="rId611" Type="http://schemas.openxmlformats.org/officeDocument/2006/relationships/hyperlink" Target="https://dzen.ru/media/id/63dd27aac30ab522dcce48b3/6a46df985ec2671d970addcf" TargetMode="External"/><Relationship Id="rId612" Type="http://schemas.openxmlformats.org/officeDocument/2006/relationships/hyperlink" Target="https://dzen.ru/media/id/63dd27aac30ab522dcce48b3/6a4adc9f2b36b82950796a04" TargetMode="External"/><Relationship Id="rId613" Type="http://schemas.openxmlformats.org/officeDocument/2006/relationships/hyperlink" Target="https://dzen.ru/media/id/63dd27aac30ab522dcce48b3/6a4cc7d2bab9cd47ce55dddc" TargetMode="External"/><Relationship Id="rId614" Type="http://schemas.openxmlformats.org/officeDocument/2006/relationships/hyperlink" Target="https://dzen.ru/media/id/63dd27aac30ab522dcce48b3/6a4ce8e95e72ba3125f78af7" TargetMode="External"/><Relationship Id="rId615" Type="http://schemas.openxmlformats.org/officeDocument/2006/relationships/hyperlink" Target="https://dzen.ru/media/id/63dd27aac30ab522dcce48b3/6a4ce9ab23afe7791709c31d" TargetMode="External"/><Relationship Id="rId616" Type="http://schemas.openxmlformats.org/officeDocument/2006/relationships/hyperlink" Target="https://dzen.ru/media/id/63dd27aac30ab522dcce48b3/6a54ad54dc87c335f3d3f331" TargetMode="External"/><Relationship Id="rId617" Type="http://schemas.openxmlformats.org/officeDocument/2006/relationships/hyperlink" Target="https://dzen.ru/media/id/63dd27aac30ab522dcce48b3/6a55f3f2077fdc3319dd9e45" TargetMode="External"/><Relationship Id="rId618" Type="http://schemas.openxmlformats.org/officeDocument/2006/relationships/hyperlink" Target="https://dzen.ru/media/id/63dd27aac30ab522dcce48b3/6a5735297cd0c57ca147691f" TargetMode="External"/><Relationship Id="rId619" Type="http://schemas.openxmlformats.org/officeDocument/2006/relationships/hyperlink" Target="https://dzen.ru/media/id/63dd27aac30ab522dcce48b3/6a5a13ea8d8abc0ac8850358" TargetMode="External"/><Relationship Id="rId620" Type="http://schemas.openxmlformats.org/officeDocument/2006/relationships/hyperlink" Target="https://dzen.ru/media/id/63dd27aac30ab522dcce48b3/6a5dcbf26d8e995c249120c4" TargetMode="External"/><Relationship Id="rId621" Type="http://schemas.openxmlformats.org/officeDocument/2006/relationships/hyperlink" Target="https://dzen.ru/media/id/63dd27aac30ab522dcce48b3/6a5f2b69a803da6867ca52e0" TargetMode="External"/><Relationship Id="rId622" Type="http://schemas.openxmlformats.org/officeDocument/2006/relationships/hyperlink" Target="https://dzen.ru/media/id/63dd27aac30ab522dcce48b3/6a60671e06178a60e494f436" TargetMode="External"/><Relationship Id="rId623" Type="http://schemas.openxmlformats.org/officeDocument/2006/relationships/hyperlink" Target="https://dzen.ru/media/id/63dd27aac30ab522dcce48b3/6a6340679e17237ef9dd0aff" TargetMode="External"/><Relationship Id="rId624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zen.ru/media/id/63dd27aac30ab522dcce48b3/63dd3b43c190412358129f98" TargetMode="External"/><Relationship Id="rId2" Type="http://schemas.openxmlformats.org/officeDocument/2006/relationships/hyperlink" Target="https://dzen.ru/media/id/63dd27aac30ab522dcce48b3/63de2dd816e34617a5f587a5" TargetMode="External"/><Relationship Id="rId3" Type="http://schemas.openxmlformats.org/officeDocument/2006/relationships/hyperlink" Target="https://dzen.ru/media/id/63dd27aac30ab522dcce48b3/63de303416e34617a5fa96a3" TargetMode="External"/><Relationship Id="rId4" Type="http://schemas.openxmlformats.org/officeDocument/2006/relationships/hyperlink" Target="https://dzen.ru/media/id/63dd27aac30ab522dcce48b3/63de3b76d48a7d30cc3077e5" TargetMode="External"/><Relationship Id="rId5" Type="http://schemas.openxmlformats.org/officeDocument/2006/relationships/hyperlink" Target="https://dzen.ru/media/id/63dd27aac30ab522dcce48b3/63de3c73c30ab522dc48b032" TargetMode="External"/><Relationship Id="rId6" Type="http://schemas.openxmlformats.org/officeDocument/2006/relationships/hyperlink" Target="https://dzen.ru/media/id/63dd27aac30ab522dcce48b3/63de5a7f6b64ec28c02dfb85" TargetMode="External"/><Relationship Id="rId7" Type="http://schemas.openxmlformats.org/officeDocument/2006/relationships/hyperlink" Target="https://dzen.ru/media/id/63dd27aac30ab522dcce48b3/63e23a2cefdb741a2e96b06a" TargetMode="External"/><Relationship Id="rId8" Type="http://schemas.openxmlformats.org/officeDocument/2006/relationships/hyperlink" Target="https://dzen.ru/media/id/63dd27aac30ab522dcce48b3/63e24ae6b62fe45d336bdd6e" TargetMode="External"/><Relationship Id="rId9" Type="http://schemas.openxmlformats.org/officeDocument/2006/relationships/hyperlink" Target="https://dzen.ru/media/id/63dd27aac30ab522dcce48b3/63e34acdc377ee72605c7e35" TargetMode="External"/><Relationship Id="rId10" Type="http://schemas.openxmlformats.org/officeDocument/2006/relationships/hyperlink" Target="https://dzen.ru/media/id/63dd27aac30ab522dcce48b3/63e34b89206e0529c266fc06" TargetMode="External"/><Relationship Id="rId11" Type="http://schemas.openxmlformats.org/officeDocument/2006/relationships/hyperlink" Target="https://dzen.ru/media/id/63dd27aac30ab522dcce48b3/63e34d85206e0529c26b8f08" TargetMode="External"/><Relationship Id="rId12" Type="http://schemas.openxmlformats.org/officeDocument/2006/relationships/hyperlink" Target="https://dzen.ru/media/id/63dd27aac30ab522dcce48b3/63e34e2871083879c1425559" TargetMode="External"/><Relationship Id="rId13" Type="http://schemas.openxmlformats.org/officeDocument/2006/relationships/hyperlink" Target="https://dzen.ru/media/id/63dd27aac30ab522dcce48b3/63e4bf1e71083879c11d7ab9" TargetMode="External"/><Relationship Id="rId14" Type="http://schemas.openxmlformats.org/officeDocument/2006/relationships/hyperlink" Target="https://dzen.ru/media/id/63dd27aac30ab522dcce48b3/63e4bfa720951645e7c3419b" TargetMode="External"/><Relationship Id="rId15" Type="http://schemas.openxmlformats.org/officeDocument/2006/relationships/hyperlink" Target="https://dzen.ru/media/id/63dd27aac30ab522dcce48b3/63e4c01fa42b1d132cc5a169" TargetMode="External"/><Relationship Id="rId16" Type="http://schemas.openxmlformats.org/officeDocument/2006/relationships/hyperlink" Target="https://dzen.ru/media/id/63dd27aac30ab522dcce48b3/63e5e0ae6555b01990600616" TargetMode="External"/><Relationship Id="rId17" Type="http://schemas.openxmlformats.org/officeDocument/2006/relationships/hyperlink" Target="https://dzen.ru/media/id/63dd27aac30ab522dcce48b3/63e5e1312f2f457d3a34055c" TargetMode="External"/><Relationship Id="rId18" Type="http://schemas.openxmlformats.org/officeDocument/2006/relationships/hyperlink" Target="https://dzen.ru/media/id/63dd27aac30ab522dcce48b3/63e5e1d49527e10694efb6b7" TargetMode="External"/><Relationship Id="rId19" Type="http://schemas.openxmlformats.org/officeDocument/2006/relationships/hyperlink" Target="https://dzen.ru/media/id/63dd27aac30ab522dcce48b3/63e5e282022af957b2ac54cb" TargetMode="External"/><Relationship Id="rId20" Type="http://schemas.openxmlformats.org/officeDocument/2006/relationships/hyperlink" Target="https://dzen.ru/media/id/63dd27aac30ab522dcce48b3/63e73e23775492059746e587" TargetMode="External"/><Relationship Id="rId21" Type="http://schemas.openxmlformats.org/officeDocument/2006/relationships/hyperlink" Target="https://dzen.ru/media/id/63dd27aac30ab522dcce48b3/63e73e8377549205974793c2" TargetMode="External"/><Relationship Id="rId22" Type="http://schemas.openxmlformats.org/officeDocument/2006/relationships/hyperlink" Target="https://dzen.ru/media/id/63dd27aac30ab522dcce48b3/63e73f0223ae796bcfde125b" TargetMode="External"/><Relationship Id="rId23" Type="http://schemas.openxmlformats.org/officeDocument/2006/relationships/hyperlink" Target="https://dzen.ru/media/id/63dd27aac30ab522dcce48b3/63e73f66d8a61f624dfbc645" TargetMode="External"/><Relationship Id="rId24" Type="http://schemas.openxmlformats.org/officeDocument/2006/relationships/hyperlink" Target="https://dzen.ru/media/id/63dd27aac30ab522dcce48b3/63e73fd323ae796bcfdf8c5b" TargetMode="External"/><Relationship Id="rId25" Type="http://schemas.openxmlformats.org/officeDocument/2006/relationships/hyperlink" Target="https://dzen.ru/media/id/63dd27aac30ab522dcce48b3/63e7403de635502055cbddbf" TargetMode="External"/><Relationship Id="rId26" Type="http://schemas.openxmlformats.org/officeDocument/2006/relationships/hyperlink" Target="https://dzen.ru/media/id/63dd27aac30ab522dcce48b3/63e740c6d8a61f624dfe4e67" TargetMode="External"/><Relationship Id="rId27" Type="http://schemas.openxmlformats.org/officeDocument/2006/relationships/hyperlink" Target="https://dzen.ru/media/id/63dd27aac30ab522dcce48b3/63e7414db6320256725a3f85" TargetMode="External"/><Relationship Id="rId28" Type="http://schemas.openxmlformats.org/officeDocument/2006/relationships/hyperlink" Target="https://dzen.ru/media/id/63dd27aac30ab522dcce48b3/63ea03083672ed09e332cb25" TargetMode="External"/><Relationship Id="rId29" Type="http://schemas.openxmlformats.org/officeDocument/2006/relationships/hyperlink" Target="https://dzen.ru/media/id/63dd27aac30ab522dcce48b3/63ea03ead8a61f624dc098f3" TargetMode="External"/><Relationship Id="rId30" Type="http://schemas.openxmlformats.org/officeDocument/2006/relationships/hyperlink" Target="https://dzen.ru/media/id/63dd27aac30ab522dcce48b3/63ebb7f4f5597e73feb307f1" TargetMode="External"/><Relationship Id="rId31" Type="http://schemas.openxmlformats.org/officeDocument/2006/relationships/hyperlink" Target="https://dzen.ru/media/id/63dd27aac30ab522dcce48b3/63ecbd09e4c14d3f823a9aa1" TargetMode="External"/><Relationship Id="rId32" Type="http://schemas.openxmlformats.org/officeDocument/2006/relationships/hyperlink" Target="https://dzen.ru/media/id/63dd27aac30ab522dcce48b3/63ecbda324ae2c4bb8f0cc6b" TargetMode="External"/><Relationship Id="rId33" Type="http://schemas.openxmlformats.org/officeDocument/2006/relationships/hyperlink" Target="https://dzen.ru/media/id/63dd27aac30ab522dcce48b3/63ed459b02c2220cc29bc7de" TargetMode="External"/><Relationship Id="rId34" Type="http://schemas.openxmlformats.org/officeDocument/2006/relationships/hyperlink" Target="https://dzen.ru/media/id/63dd27aac30ab522dcce48b3/63ed45fab0dc892d68bec644" TargetMode="External"/><Relationship Id="rId35" Type="http://schemas.openxmlformats.org/officeDocument/2006/relationships/hyperlink" Target="https://dzen.ru/media/id/63dd27aac30ab522dcce48b3/63ef948ce50f1863de16a1a9" TargetMode="External"/><Relationship Id="rId36" Type="http://schemas.openxmlformats.org/officeDocument/2006/relationships/hyperlink" Target="https://dzen.ru/media/id/63dd27aac30ab522dcce48b3/63f1d52e29138056e760af9f" TargetMode="External"/><Relationship Id="rId37" Type="http://schemas.openxmlformats.org/officeDocument/2006/relationships/hyperlink" Target="https://dzen.ru/media/id/63dd27aac30ab522dcce48b3/63f1d6d83398503757f08c88" TargetMode="External"/><Relationship Id="rId38" Type="http://schemas.openxmlformats.org/officeDocument/2006/relationships/hyperlink" Target="https://dzen.ru/media/id/63dd27aac30ab522dcce48b3/63f1dd0632c5b8194dd7c1b0" TargetMode="External"/><Relationship Id="rId39" Type="http://schemas.openxmlformats.org/officeDocument/2006/relationships/hyperlink" Target="https://dzen.ru/media/id/63dd27aac30ab522dcce48b3/63f1dd9797c8c1465f42ee45" TargetMode="External"/><Relationship Id="rId40" Type="http://schemas.openxmlformats.org/officeDocument/2006/relationships/hyperlink" Target="https://dzen.ru/media/id/63dd27aac30ab522dcce48b3/63f1de2789230f22b449a26e" TargetMode="External"/><Relationship Id="rId41" Type="http://schemas.openxmlformats.org/officeDocument/2006/relationships/hyperlink" Target="https://dzen.ru/media/id/63dd27aac30ab522dcce48b3/63f1df0a339850375708a407" TargetMode="External"/><Relationship Id="rId42" Type="http://schemas.openxmlformats.org/officeDocument/2006/relationships/hyperlink" Target="https://dzen.ru/media/id/63dd27aac30ab522dcce48b3/63f5f293cf9a1b3cd0d42ae5" TargetMode="External"/><Relationship Id="rId43" Type="http://schemas.openxmlformats.org/officeDocument/2006/relationships/hyperlink" Target="https://dzen.ru/media/id/63dd27aac30ab522dcce48b3/63f5f37dcb9b9e706d1bddec" TargetMode="External"/><Relationship Id="rId44" Type="http://schemas.openxmlformats.org/officeDocument/2006/relationships/hyperlink" Target="https://dzen.ru/media/id/63dd27aac30ab522dcce48b3/63f5f460214a725f508320e6" TargetMode="External"/><Relationship Id="rId45" Type="http://schemas.openxmlformats.org/officeDocument/2006/relationships/hyperlink" Target="https://dzen.ru/media/id/63dd27aac30ab522dcce48b3/63f8a44d50fea47de5bd2357" TargetMode="External"/><Relationship Id="rId46" Type="http://schemas.openxmlformats.org/officeDocument/2006/relationships/hyperlink" Target="https://dzen.ru/media/id/63dd27aac30ab522dcce48b3/63fa2edb72051e06a152b6a7" TargetMode="External"/><Relationship Id="rId47" Type="http://schemas.openxmlformats.org/officeDocument/2006/relationships/hyperlink" Target="https://dzen.ru/media/id/63dd27aac30ab522dcce48b3/63fb44f868d0d13d3ae68380" TargetMode="External"/><Relationship Id="rId48" Type="http://schemas.openxmlformats.org/officeDocument/2006/relationships/hyperlink" Target="https://dzen.ru/media/id/63dd27aac30ab522dcce48b3/63fb45783876d93b6fe21990" TargetMode="External"/><Relationship Id="rId49" Type="http://schemas.openxmlformats.org/officeDocument/2006/relationships/hyperlink" Target="https://dzen.ru/media/id/63dd27aac30ab522dcce48b3/63fcd2a8e59c5a53fd7dbcf4" TargetMode="External"/><Relationship Id="rId50" Type="http://schemas.openxmlformats.org/officeDocument/2006/relationships/hyperlink" Target="https://dzen.ru/media/id/63dd27aac30ab522dcce48b3/63fe244b1e751c186b02af4f" TargetMode="External"/><Relationship Id="rId51" Type="http://schemas.openxmlformats.org/officeDocument/2006/relationships/hyperlink" Target="https://dzen.ru/media/id/63dd27aac30ab522dcce48b3/63ff333309621d795d9b55db" TargetMode="External"/><Relationship Id="rId52" Type="http://schemas.openxmlformats.org/officeDocument/2006/relationships/hyperlink" Target="https://dzen.ru/media/id/63dd27aac30ab522dcce48b3/640089f7f9053437dfa52c3d" TargetMode="External"/><Relationship Id="rId53" Type="http://schemas.openxmlformats.org/officeDocument/2006/relationships/hyperlink" Target="https://dzen.ru/media/id/63dd27aac30ab522dcce48b3/64030e5279d1922f93eb0811" TargetMode="External"/><Relationship Id="rId54" Type="http://schemas.openxmlformats.org/officeDocument/2006/relationships/hyperlink" Target="https://dzen.ru/media/id/63dd27aac30ab522dcce48b3/6404add5028b9d7ae4db71fe" TargetMode="External"/><Relationship Id="rId55" Type="http://schemas.openxmlformats.org/officeDocument/2006/relationships/hyperlink" Target="https://dzen.ru/media/id/63dd27aac30ab522dcce48b3/6406f8b4f056c65375fa59f0" TargetMode="External"/><Relationship Id="rId56" Type="http://schemas.openxmlformats.org/officeDocument/2006/relationships/hyperlink" Target="https://dzen.ru/media/id/63dd27aac30ab522dcce48b3/6409be2fd9258c3cb1de667d" TargetMode="External"/><Relationship Id="rId57" Type="http://schemas.openxmlformats.org/officeDocument/2006/relationships/hyperlink" Target="https://dzen.ru/media/id/63dd27aac30ab522dcce48b3/640ad2330a7c6b686e8bdd58" TargetMode="External"/><Relationship Id="rId58" Type="http://schemas.openxmlformats.org/officeDocument/2006/relationships/hyperlink" Target="https://dzen.ru/media/id/63dd27aac30ab522dcce48b3/640c4568508a173b5bce23d5" TargetMode="External"/><Relationship Id="rId59" Type="http://schemas.openxmlformats.org/officeDocument/2006/relationships/hyperlink" Target="https://dzen.ru/media/id/63dd27aac30ab522dcce48b3/640c46caf51604314a810aeb" TargetMode="External"/><Relationship Id="rId60" Type="http://schemas.openxmlformats.org/officeDocument/2006/relationships/hyperlink" Target="https://dzen.ru/media/id/63dd27aac30ab522dcce48b3/640c4720208ecd0da4aa710f" TargetMode="External"/><Relationship Id="rId61" Type="http://schemas.openxmlformats.org/officeDocument/2006/relationships/hyperlink" Target="https://dzen.ru/media/id/63dd27aac30ab522dcce48b3/640c4785172c4f645494af11" TargetMode="External"/><Relationship Id="rId62" Type="http://schemas.openxmlformats.org/officeDocument/2006/relationships/hyperlink" Target="https://dzen.ru/media/id/63dd27aac30ab522dcce48b3/640c48204fc9e34fb8313b2d" TargetMode="External"/><Relationship Id="rId63" Type="http://schemas.openxmlformats.org/officeDocument/2006/relationships/hyperlink" Target="https://dzen.ru/media/id/63dd27aac30ab522dcce48b3/640c488cd4e137214a2fd75b" TargetMode="External"/><Relationship Id="rId64" Type="http://schemas.openxmlformats.org/officeDocument/2006/relationships/hyperlink" Target="https://dzen.ru/media/id/63dd27aac30ab522dcce48b3/640c48e0d4e137214a308b5a" TargetMode="External"/><Relationship Id="rId65" Type="http://schemas.openxmlformats.org/officeDocument/2006/relationships/hyperlink" Target="https://dzen.ru/media/id/63dd27aac30ab522dcce48b3/640c493ba019fd175505c850" TargetMode="External"/><Relationship Id="rId66" Type="http://schemas.openxmlformats.org/officeDocument/2006/relationships/hyperlink" Target="https://dzen.ru/media/id/63dd27aac30ab522dcce48b3/6410ef22b02fb42525e34f32" TargetMode="External"/><Relationship Id="rId67" Type="http://schemas.openxmlformats.org/officeDocument/2006/relationships/hyperlink" Target="https://dzen.ru/media/id/63dd27aac30ab522dcce48b3/6410efce7a771c2eee9deb7d" TargetMode="External"/><Relationship Id="rId68" Type="http://schemas.openxmlformats.org/officeDocument/2006/relationships/hyperlink" Target="https://dzen.ru/media/id/63dd27aac30ab522dcce48b3/6410f0e36cc57e15daa65548" TargetMode="External"/><Relationship Id="rId69" Type="http://schemas.openxmlformats.org/officeDocument/2006/relationships/hyperlink" Target="https://dzen.ru/media/id/63dd27aac30ab522dcce48b3/6410f195e09e825fc5e0d932" TargetMode="External"/><Relationship Id="rId70" Type="http://schemas.openxmlformats.org/officeDocument/2006/relationships/hyperlink" Target="https://dzen.ru/media/id/63dd27aac30ab522dcce48b3/641426be9446fd1fb6b519dd" TargetMode="External"/><Relationship Id="rId71" Type="http://schemas.openxmlformats.org/officeDocument/2006/relationships/hyperlink" Target="https://dzen.ru/media/id/63dd27aac30ab522dcce48b3/64142708b976c55636b8e317" TargetMode="External"/><Relationship Id="rId72" Type="http://schemas.openxmlformats.org/officeDocument/2006/relationships/hyperlink" Target="https://dzen.ru/media/id/63dd27aac30ab522dcce48b3/64142773fa104d28f5ac70a0" TargetMode="External"/><Relationship Id="rId73" Type="http://schemas.openxmlformats.org/officeDocument/2006/relationships/hyperlink" Target="https://dzen.ru/media/id/63dd27aac30ab522dcce48b3/641427c3188a1b0dd6a42364" TargetMode="External"/><Relationship Id="rId74" Type="http://schemas.openxmlformats.org/officeDocument/2006/relationships/hyperlink" Target="https://dzen.ru/media/id/63dd27aac30ab522dcce48b3/6416e8db68b5dc1e539037f0" TargetMode="External"/><Relationship Id="rId75" Type="http://schemas.openxmlformats.org/officeDocument/2006/relationships/hyperlink" Target="https://dzen.ru/media/id/63dd27aac30ab522dcce48b3/6418a2a83df84b6502b717b3" TargetMode="External"/><Relationship Id="rId76" Type="http://schemas.openxmlformats.org/officeDocument/2006/relationships/hyperlink" Target="https://dzen.ru/media/id/63dd27aac30ab522dcce48b3/6419cd7cd54685168a6703e6" TargetMode="External"/><Relationship Id="rId77" Type="http://schemas.openxmlformats.org/officeDocument/2006/relationships/hyperlink" Target="https://dzen.ru/media/id/63dd27aac30ab522dcce48b3/641aeb0b54a4711c493e9467" TargetMode="External"/><Relationship Id="rId78" Type="http://schemas.openxmlformats.org/officeDocument/2006/relationships/hyperlink" Target="https://dzen.ru/media/id/63dd27aac30ab522dcce48b3/641c7203701ef4371af93bca" TargetMode="External"/><Relationship Id="rId79" Type="http://schemas.openxmlformats.org/officeDocument/2006/relationships/hyperlink" Target="https://dzen.ru/media/id/63dd27aac30ab522dcce48b3/641d8587cf387e4ed8da047b" TargetMode="External"/><Relationship Id="rId80" Type="http://schemas.openxmlformats.org/officeDocument/2006/relationships/hyperlink" Target="https://dzen.ru/media/id/63dd27aac30ab522dcce48b3/641e162f4410c17d36978210" TargetMode="External"/><Relationship Id="rId81" Type="http://schemas.openxmlformats.org/officeDocument/2006/relationships/hyperlink" Target="https://dzen.ru/media/id/63dd27aac30ab522dcce48b3/64205c591df94946286cd0f3" TargetMode="External"/><Relationship Id="rId82" Type="http://schemas.openxmlformats.org/officeDocument/2006/relationships/hyperlink" Target="https://dzen.ru/media/id/63dd27aac30ab522dcce48b3/6421769c65530d6563edd045" TargetMode="External"/><Relationship Id="rId83" Type="http://schemas.openxmlformats.org/officeDocument/2006/relationships/hyperlink" Target="https://dzen.ru/media/id/63dd27aac30ab522dcce48b3/64233cf693ef502e09325ed8" TargetMode="External"/><Relationship Id="rId84" Type="http://schemas.openxmlformats.org/officeDocument/2006/relationships/hyperlink" Target="https://dzen.ru/media/id/63dd27aac30ab522dcce48b3/6423fc6af8ec7c3ceabef54a" TargetMode="External"/><Relationship Id="rId85" Type="http://schemas.openxmlformats.org/officeDocument/2006/relationships/hyperlink" Target="https://dzen.ru/media/id/63dd27aac30ab522dcce48b3/642555d26ce96c0a8b8addea" TargetMode="External"/><Relationship Id="rId86" Type="http://schemas.openxmlformats.org/officeDocument/2006/relationships/hyperlink" Target="https://dzen.ru/media/id/63dd27aac30ab522dcce48b3/6426bb3a4b88007cce4bd05d" TargetMode="External"/><Relationship Id="rId87" Type="http://schemas.openxmlformats.org/officeDocument/2006/relationships/hyperlink" Target="https://dzen.ru/media/id/63dd27aac30ab522dcce48b3/6427fc26282bdf49f5dcbe69" TargetMode="External"/><Relationship Id="rId88" Type="http://schemas.openxmlformats.org/officeDocument/2006/relationships/hyperlink" Target="https://dzen.ru/media/id/63dd27aac30ab522dcce48b3/642940af17fedc0d79045277" TargetMode="External"/><Relationship Id="rId89" Type="http://schemas.openxmlformats.org/officeDocument/2006/relationships/hyperlink" Target="https://dzen.ru/media/id/63dd27aac30ab522dcce48b3/642ac170e1fa7f28645964c9" TargetMode="External"/><Relationship Id="rId90" Type="http://schemas.openxmlformats.org/officeDocument/2006/relationships/hyperlink" Target="https://dzen.ru/media/id/63dd27aac30ab522dcce48b3/642bf6c6997dd640379d060c" TargetMode="External"/><Relationship Id="rId91" Type="http://schemas.openxmlformats.org/officeDocument/2006/relationships/hyperlink" Target="https://dzen.ru/media/id/63dd27aac30ab522dcce48b3/642d752529ad38338a8c18db" TargetMode="External"/><Relationship Id="rId92" Type="http://schemas.openxmlformats.org/officeDocument/2006/relationships/hyperlink" Target="https://dzen.ru/media/id/63dd27aac30ab522dcce48b3/642ea7b6db2c06629f6b6eff" TargetMode="External"/><Relationship Id="rId93" Type="http://schemas.openxmlformats.org/officeDocument/2006/relationships/hyperlink" Target="https://dzen.ru/media/id/63dd27aac30ab522dcce48b3/6430073e977c1b05ae5239bb" TargetMode="External"/><Relationship Id="rId94" Type="http://schemas.openxmlformats.org/officeDocument/2006/relationships/hyperlink" Target="https://dzen.ru/media/id/63dd27aac30ab522dcce48b3/64319a6ac25f4708f9d404f5" TargetMode="External"/><Relationship Id="rId95" Type="http://schemas.openxmlformats.org/officeDocument/2006/relationships/hyperlink" Target="https://dzen.ru/media/id/63dd27aac30ab522dcce48b3/643294db9919fe2050ba693f" TargetMode="External"/><Relationship Id="rId96" Type="http://schemas.openxmlformats.org/officeDocument/2006/relationships/hyperlink" Target="https://dzen.ru/media/id/63dd27aac30ab522dcce48b3/6432957b5a0876026f22554d" TargetMode="External"/><Relationship Id="rId97" Type="http://schemas.openxmlformats.org/officeDocument/2006/relationships/hyperlink" Target="https://dzen.ru/media/id/63dd27aac30ab522dcce48b3/6435400b6fbe4663a5cff75e" TargetMode="External"/><Relationship Id="rId98" Type="http://schemas.openxmlformats.org/officeDocument/2006/relationships/hyperlink" Target="https://dzen.ru/media/id/63dd27aac30ab522dcce48b3/64367d6249a75201c81a6f80" TargetMode="External"/><Relationship Id="rId99" Type="http://schemas.openxmlformats.org/officeDocument/2006/relationships/hyperlink" Target="https://dzen.ru/media/id/63dd27aac30ab522dcce48b3/64367e0bb60b382327cb59c1" TargetMode="External"/><Relationship Id="rId100" Type="http://schemas.openxmlformats.org/officeDocument/2006/relationships/hyperlink" Target="https://dzen.ru/media/id/63dd27aac30ab522dcce48b3/64385449b4206372d429035c" TargetMode="External"/><Relationship Id="rId101" Type="http://schemas.openxmlformats.org/officeDocument/2006/relationships/hyperlink" Target="https://dzen.ru/media/id/63dd27aac30ab522dcce48b3/643a6c846f99ba706bc7c715" TargetMode="External"/><Relationship Id="rId102" Type="http://schemas.openxmlformats.org/officeDocument/2006/relationships/hyperlink" Target="https://dzen.ru/media/id/63dd27aac30ab522dcce48b3/643b2754bdaeac23afd11503" TargetMode="External"/><Relationship Id="rId103" Type="http://schemas.openxmlformats.org/officeDocument/2006/relationships/hyperlink" Target="https://dzen.ru/media/id/63dd27aac30ab522dcce48b3/643c60654d6f403382345fba" TargetMode="External"/><Relationship Id="rId104" Type="http://schemas.openxmlformats.org/officeDocument/2006/relationships/hyperlink" Target="https://dzen.ru/media/id/63dd27aac30ab522dcce48b3/643e5760b09ef74c5d6d3672" TargetMode="External"/><Relationship Id="rId105" Type="http://schemas.openxmlformats.org/officeDocument/2006/relationships/hyperlink" Target="https://dzen.ru/media/id/63dd27aac30ab522dcce48b3/643f110cf4e31e6c612d539a" TargetMode="External"/><Relationship Id="rId106" Type="http://schemas.openxmlformats.org/officeDocument/2006/relationships/hyperlink" Target="https://dzen.ru/media/id/63dd27aac30ab522dcce48b3/6440af102171c245fa9db2c0" TargetMode="External"/><Relationship Id="rId107" Type="http://schemas.openxmlformats.org/officeDocument/2006/relationships/hyperlink" Target="https://dzen.ru/media/id/63dd27aac30ab522dcce48b3/6442394504e485105ce8b857" TargetMode="External"/><Relationship Id="rId108" Type="http://schemas.openxmlformats.org/officeDocument/2006/relationships/hyperlink" Target="https://dzen.ru/media/id/63dd27aac30ab522dcce48b3/6443ea00e8967e33c12d02eb" TargetMode="External"/><Relationship Id="rId109" Type="http://schemas.openxmlformats.org/officeDocument/2006/relationships/hyperlink" Target="https://dzen.ru/media/id/63dd27aac30ab522dcce48b3/6444fa8c2952dd21d46a3628" TargetMode="External"/><Relationship Id="rId110" Type="http://schemas.openxmlformats.org/officeDocument/2006/relationships/hyperlink" Target="https://dzen.ru/media/id/63dd27aac30ab522dcce48b3/644625d0db54b34c51bf45ef" TargetMode="External"/><Relationship Id="rId111" Type="http://schemas.openxmlformats.org/officeDocument/2006/relationships/hyperlink" Target="https://dzen.ru/media/id/63dd27aac30ab522dcce48b3/6446d48d190f757c4b4193b1" TargetMode="External"/><Relationship Id="rId112" Type="http://schemas.openxmlformats.org/officeDocument/2006/relationships/hyperlink" Target="https://dzen.ru/media/id/63dd27aac30ab522dcce48b3/64483773a8c37330205bc93c" TargetMode="External"/><Relationship Id="rId113" Type="http://schemas.openxmlformats.org/officeDocument/2006/relationships/hyperlink" Target="https://dzen.ru/media/id/63dd27aac30ab522dcce48b3/644a32782dae64517c990c5a" TargetMode="External"/><Relationship Id="rId114" Type="http://schemas.openxmlformats.org/officeDocument/2006/relationships/hyperlink" Target="https://dzen.ru/media/id/63dd27aac30ab522dcce48b3/644b8f351e7cf16ba64b6800" TargetMode="External"/><Relationship Id="rId115" Type="http://schemas.openxmlformats.org/officeDocument/2006/relationships/hyperlink" Target="https://dzen.ru/media/id/63dd27aac30ab522dcce48b3/644ce27ccd7785705276bb99" TargetMode="External"/><Relationship Id="rId116" Type="http://schemas.openxmlformats.org/officeDocument/2006/relationships/hyperlink" Target="https://dzen.ru/media/id/63dd27aac30ab522dcce48b3/644e4af76e459848bba04203" TargetMode="External"/><Relationship Id="rId117" Type="http://schemas.openxmlformats.org/officeDocument/2006/relationships/hyperlink" Target="https://dzen.ru/media/id/63dd27aac30ab522dcce48b3/645000e46bdf6b3113301222" TargetMode="External"/><Relationship Id="rId118" Type="http://schemas.openxmlformats.org/officeDocument/2006/relationships/hyperlink" Target="https://dzen.ru/media/id/63dd27aac30ab522dcce48b3/6450f4e40726a464176a8566" TargetMode="External"/><Relationship Id="rId119" Type="http://schemas.openxmlformats.org/officeDocument/2006/relationships/hyperlink" Target="https://dzen.ru/media/id/63dd27aac30ab522dcce48b3/64528de559e5425c59b73122" TargetMode="External"/><Relationship Id="rId120" Type="http://schemas.openxmlformats.org/officeDocument/2006/relationships/hyperlink" Target="https://dzen.ru/media/id/63dd27aac30ab522dcce48b3/6453f7e228226754d7f5a06e" TargetMode="External"/><Relationship Id="rId121" Type="http://schemas.openxmlformats.org/officeDocument/2006/relationships/hyperlink" Target="https://dzen.ru/media/id/63dd27aac30ab522dcce48b3/64541c728c1d170b7603356d" TargetMode="External"/><Relationship Id="rId122" Type="http://schemas.openxmlformats.org/officeDocument/2006/relationships/hyperlink" Target="https://dzen.ru/media/id/63dd27aac30ab522dcce48b3/6456a229f20fcc6a45deee76" TargetMode="External"/><Relationship Id="rId123" Type="http://schemas.openxmlformats.org/officeDocument/2006/relationships/hyperlink" Target="https://dzen.ru/media/id/63dd27aac30ab522dcce48b3/6456a286034e2f7f1c1c1c26" TargetMode="External"/><Relationship Id="rId124" Type="http://schemas.openxmlformats.org/officeDocument/2006/relationships/hyperlink" Target="https://dzen.ru/media/id/63dd27aac30ab522dcce48b3/6458c284700ade31802b7ef7" TargetMode="External"/><Relationship Id="rId125" Type="http://schemas.openxmlformats.org/officeDocument/2006/relationships/hyperlink" Target="https://dzen.ru/media/id/63dd27aac30ab522dcce48b3/645b78160d2f1534af6a4c7f" TargetMode="External"/><Relationship Id="rId126" Type="http://schemas.openxmlformats.org/officeDocument/2006/relationships/hyperlink" Target="https://dzen.ru/media/id/63dd27aac30ab522dcce48b3/645ccb3d167baa53a894c589" TargetMode="External"/><Relationship Id="rId127" Type="http://schemas.openxmlformats.org/officeDocument/2006/relationships/hyperlink" Target="https://dzen.ru/media/id/63dd27aac30ab522dcce48b3/645e18ae9a2b427ccfcf0502" TargetMode="External"/><Relationship Id="rId128" Type="http://schemas.openxmlformats.org/officeDocument/2006/relationships/hyperlink" Target="https://dzen.ru/media/id/63dd27aac30ab522dcce48b3/645f62f685ccb948093af23b" TargetMode="External"/><Relationship Id="rId129" Type="http://schemas.openxmlformats.org/officeDocument/2006/relationships/hyperlink" Target="https://dzen.ru/media/id/63dd27aac30ab522dcce48b3/645f648c09d15309d1480cd5" TargetMode="External"/><Relationship Id="rId130" Type="http://schemas.openxmlformats.org/officeDocument/2006/relationships/hyperlink" Target="https://dzen.ru/media/id/63dd27aac30ab522dcce48b3/645f624b523722662b01efdf" TargetMode="External"/><Relationship Id="rId131" Type="http://schemas.openxmlformats.org/officeDocument/2006/relationships/hyperlink" Target="https://dzen.ru/media/id/63dd27aac30ab522dcce48b3/646345323a265e05b30a3efc" TargetMode="External"/><Relationship Id="rId132" Type="http://schemas.openxmlformats.org/officeDocument/2006/relationships/hyperlink" Target="https://dzen.ru/media/id/63dd27aac30ab522dcce48b3/6464b39df0a26876b0fd2aee" TargetMode="External"/><Relationship Id="rId133" Type="http://schemas.openxmlformats.org/officeDocument/2006/relationships/hyperlink" Target="https://dzen.ru/media/id/63dd27aac30ab522dcce48b3/64653e435903af636d8c59b9" TargetMode="External"/><Relationship Id="rId134" Type="http://schemas.openxmlformats.org/officeDocument/2006/relationships/hyperlink" Target="https://dzen.ru/media/id/63dd27aac30ab522dcce48b3/64653e71a956372e0cc37b71" TargetMode="External"/><Relationship Id="rId135" Type="http://schemas.openxmlformats.org/officeDocument/2006/relationships/hyperlink" Target="https://dzen.ru/media/id/63dd27aac30ab522dcce48b3/64653ed16912376c6b8316a8" TargetMode="External"/><Relationship Id="rId136" Type="http://schemas.openxmlformats.org/officeDocument/2006/relationships/hyperlink" Target="https://dzen.ru/media/id/63dd27aac30ab522dcce48b3/6469f3f5fbefcc700697ca30" TargetMode="External"/><Relationship Id="rId137" Type="http://schemas.openxmlformats.org/officeDocument/2006/relationships/hyperlink" Target="https://dzen.ru/media/id/63dd27aac30ab522dcce48b3/6469f41e16943d5cebbaf2d5" TargetMode="External"/><Relationship Id="rId138" Type="http://schemas.openxmlformats.org/officeDocument/2006/relationships/hyperlink" Target="https://dzen.ru/media/id/63dd27aac30ab522dcce48b3/6469f44acbad560bc546373b" TargetMode="External"/><Relationship Id="rId139" Type="http://schemas.openxmlformats.org/officeDocument/2006/relationships/hyperlink" Target="https://dzen.ru/media/id/63dd27aac30ab522dcce48b3/646dd215b75eb830cc0fba8f" TargetMode="External"/><Relationship Id="rId140" Type="http://schemas.openxmlformats.org/officeDocument/2006/relationships/hyperlink" Target="https://dzen.ru/media/id/63dd27aac30ab522dcce48b3/646dd249fb94f15bc90b2c21" TargetMode="External"/><Relationship Id="rId141" Type="http://schemas.openxmlformats.org/officeDocument/2006/relationships/hyperlink" Target="https://dzen.ru/media/id/63dd27aac30ab522dcce48b3/646dd6fafe2aca4b3ccd3770" TargetMode="External"/><Relationship Id="rId142" Type="http://schemas.openxmlformats.org/officeDocument/2006/relationships/hyperlink" Target="https://dzen.ru/media/id/63dd27aac30ab522dcce48b3/646dd729d424253881a160a8" TargetMode="External"/><Relationship Id="rId143" Type="http://schemas.openxmlformats.org/officeDocument/2006/relationships/hyperlink" Target="https://dzen.ru/media/id/63dd27aac30ab522dcce48b3/64731a423befba03d33eece6" TargetMode="External"/><Relationship Id="rId144" Type="http://schemas.openxmlformats.org/officeDocument/2006/relationships/hyperlink" Target="https://dzen.ru/media/id/63dd27aac30ab522dcce48b3/64731a8d5beabd2bd5a7d251" TargetMode="External"/><Relationship Id="rId145" Type="http://schemas.openxmlformats.org/officeDocument/2006/relationships/hyperlink" Target="https://dzen.ru/media/id/63dd27aac30ab522dcce48b3/64731abf6a0c2f23725fb44f" TargetMode="External"/><Relationship Id="rId146" Type="http://schemas.openxmlformats.org/officeDocument/2006/relationships/hyperlink" Target="https://dzen.ru/media/id/63dd27aac30ab522dcce48b3/64731aea2378a24240fb7127" TargetMode="External"/><Relationship Id="rId147" Type="http://schemas.openxmlformats.org/officeDocument/2006/relationships/hyperlink" Target="https://dzen.ru/media/id/63dd27aac30ab522dcce48b3/64731b4acec039781cb1fa95" TargetMode="External"/><Relationship Id="rId148" Type="http://schemas.openxmlformats.org/officeDocument/2006/relationships/hyperlink" Target="https://dzen.ru/media/id/63dd27aac30ab522dcce48b3/6479b243844be36a08737e03" TargetMode="External"/><Relationship Id="rId149" Type="http://schemas.openxmlformats.org/officeDocument/2006/relationships/hyperlink" Target="https://dzen.ru/media/id/63dd27aac30ab522dcce48b3/6479b3b8d0939c3b22bf9827" TargetMode="External"/><Relationship Id="rId150" Type="http://schemas.openxmlformats.org/officeDocument/2006/relationships/hyperlink" Target="https://dzen.ru/media/id/63dd27aac30ab522dcce48b3/6479b458dbf34b3bb78f6f96" TargetMode="External"/><Relationship Id="rId151" Type="http://schemas.openxmlformats.org/officeDocument/2006/relationships/hyperlink" Target="https://dzen.ru/media/id/63dd27aac30ab522dcce48b3/647cf882f0df9c38060e96e3" TargetMode="External"/><Relationship Id="rId152" Type="http://schemas.openxmlformats.org/officeDocument/2006/relationships/hyperlink" Target="https://dzen.ru/media/id/63dd27aac30ab522dcce48b3/647cf912ea925260718f5403" TargetMode="External"/><Relationship Id="rId153" Type="http://schemas.openxmlformats.org/officeDocument/2006/relationships/hyperlink" Target="https://dzen.ru/media/id/63dd27aac30ab522dcce48b3/647cf96b3f0f616a866141b2" TargetMode="External"/><Relationship Id="rId154" Type="http://schemas.openxmlformats.org/officeDocument/2006/relationships/hyperlink" Target="https://dzen.ru/media/id/63dd27aac30ab522dcce48b3/647cf9beea92526071903043" TargetMode="External"/><Relationship Id="rId155" Type="http://schemas.openxmlformats.org/officeDocument/2006/relationships/hyperlink" Target="https://dzen.ru/media/id/63dd27aac30ab522dcce48b3/647cfa15287e4a17092401d8" TargetMode="External"/><Relationship Id="rId156" Type="http://schemas.openxmlformats.org/officeDocument/2006/relationships/hyperlink" Target="https://dzen.ru/media/id/63dd27aac30ab522dcce48b3/6482398785c3654e555f3469" TargetMode="External"/><Relationship Id="rId157" Type="http://schemas.openxmlformats.org/officeDocument/2006/relationships/hyperlink" Target="https://dzen.ru/media/id/63dd27aac30ab522dcce48b3/648239fd5208a65c04afdafa" TargetMode="External"/><Relationship Id="rId158" Type="http://schemas.openxmlformats.org/officeDocument/2006/relationships/hyperlink" Target="https://dzen.ru/media/id/63dd27aac30ab522dcce48b3/64823a590b24603c929c7370" TargetMode="External"/><Relationship Id="rId159" Type="http://schemas.openxmlformats.org/officeDocument/2006/relationships/hyperlink" Target="https://dzen.ru/media/id/63dd27aac30ab522dcce48b3/64823aba9506570f87f2dc23" TargetMode="External"/><Relationship Id="rId160" Type="http://schemas.openxmlformats.org/officeDocument/2006/relationships/hyperlink" Target="https://dzen.ru/media/id/63dd27aac30ab522dcce48b3/64823b1b8db8a360148b594e" TargetMode="External"/><Relationship Id="rId161" Type="http://schemas.openxmlformats.org/officeDocument/2006/relationships/hyperlink" Target="https://dzen.ru/media/id/63dd27aac30ab522dcce48b3/648adb809b13826e2858d213" TargetMode="External"/><Relationship Id="rId162" Type="http://schemas.openxmlformats.org/officeDocument/2006/relationships/hyperlink" Target="https://dzen.ru/media/id/63dd27aac30ab522dcce48b3/648ae33138c1ca45309ea468" TargetMode="External"/><Relationship Id="rId163" Type="http://schemas.openxmlformats.org/officeDocument/2006/relationships/hyperlink" Target="https://dzen.ru/media/id/63dd27aac30ab522dcce48b3/648ae46acdc3c01bcc920743" TargetMode="External"/><Relationship Id="rId164" Type="http://schemas.openxmlformats.org/officeDocument/2006/relationships/hyperlink" Target="https://dzen.ru/media/id/63dd27aac30ab522dcce48b3/648ecf3d8cde1a1137d0cf1b" TargetMode="External"/><Relationship Id="rId165" Type="http://schemas.openxmlformats.org/officeDocument/2006/relationships/hyperlink" Target="https://dzen.ru/media/id/63dd27aac30ab522dcce48b3/648f7bdb3923b316d6e21cf5" TargetMode="External"/><Relationship Id="rId166" Type="http://schemas.openxmlformats.org/officeDocument/2006/relationships/hyperlink" Target="https://dzen.ru/media/id/63dd27aac30ab522dcce48b3/649098b2d079f82a49099d75" TargetMode="External"/><Relationship Id="rId167" Type="http://schemas.openxmlformats.org/officeDocument/2006/relationships/hyperlink" Target="https://dzen.ru/media/id/63dd27aac30ab522dcce48b3/6491bdaad1c97f70d7814c85" TargetMode="External"/><Relationship Id="rId168" Type="http://schemas.openxmlformats.org/officeDocument/2006/relationships/hyperlink" Target="https://dzen.ru/media/id/63dd27aac30ab522dcce48b3/64930d09b8acde14795609f0" TargetMode="External"/><Relationship Id="rId169" Type="http://schemas.openxmlformats.org/officeDocument/2006/relationships/hyperlink" Target="https://dzen.ru/media/id/63dd27aac30ab522dcce48b3/6494528a6b468327af688971" TargetMode="External"/><Relationship Id="rId170" Type="http://schemas.openxmlformats.org/officeDocument/2006/relationships/hyperlink" Target="https://dzen.ru/media/id/63dd27aac30ab522dcce48b3/6495b769d3edc357ce3a3f22" TargetMode="External"/><Relationship Id="rId171" Type="http://schemas.openxmlformats.org/officeDocument/2006/relationships/hyperlink" Target="https://dzen.ru/media/id/63dd27aac30ab522dcce48b3/649715c3774190685ccb5da9" TargetMode="External"/><Relationship Id="rId172" Type="http://schemas.openxmlformats.org/officeDocument/2006/relationships/hyperlink" Target="https://dzen.ru/media/id/63dd27aac30ab522dcce48b3/64985b13612ee44473ef6004" TargetMode="External"/><Relationship Id="rId173" Type="http://schemas.openxmlformats.org/officeDocument/2006/relationships/hyperlink" Target="https://dzen.ru/media/id/63dd27aac30ab522dcce48b3/6499bd3afde3c05d4fa41e2c" TargetMode="External"/><Relationship Id="rId174" Type="http://schemas.openxmlformats.org/officeDocument/2006/relationships/hyperlink" Target="https://dzen.ru/media/id/63dd27aac30ab522dcce48b3/649b133c3bade31c61384dbd" TargetMode="External"/><Relationship Id="rId175" Type="http://schemas.openxmlformats.org/officeDocument/2006/relationships/hyperlink" Target="https://dzen.ru/media/id/63dd27aac30ab522dcce48b3/649c4f998eeb147b3f448257" TargetMode="External"/><Relationship Id="rId176" Type="http://schemas.openxmlformats.org/officeDocument/2006/relationships/hyperlink" Target="https://dzen.ru/media/id/63dd27aac30ab522dcce48b3/649f15780d384d3575732bff" TargetMode="External"/><Relationship Id="rId177" Type="http://schemas.openxmlformats.org/officeDocument/2006/relationships/hyperlink" Target="https://dzen.ru/media/id/63dd27aac30ab522dcce48b3/64a06bc8d7aa5d585077a539" TargetMode="External"/><Relationship Id="rId178" Type="http://schemas.openxmlformats.org/officeDocument/2006/relationships/hyperlink" Target="https://dzen.ru/media/id/63dd27aac30ab522dcce48b3/64a079d7b4777377d17cd39b" TargetMode="External"/><Relationship Id="rId179" Type="http://schemas.openxmlformats.org/officeDocument/2006/relationships/hyperlink" Target="https://dzen.ru/media/id/63dd27aac30ab522dcce48b3/64a2ceb85134d54eb8e730f3" TargetMode="External"/><Relationship Id="rId180" Type="http://schemas.openxmlformats.org/officeDocument/2006/relationships/hyperlink" Target="https://dzen.ru/media/id/63dd27aac30ab522dcce48b3/64a45069b92cd218c7c13c5d" TargetMode="External"/><Relationship Id="rId181" Type="http://schemas.openxmlformats.org/officeDocument/2006/relationships/hyperlink" Target="https://dzen.ru/media/id/63dd27aac30ab522dcce48b3/64a56c058e513a0cecdd11f1" TargetMode="External"/><Relationship Id="rId182" Type="http://schemas.openxmlformats.org/officeDocument/2006/relationships/hyperlink" Target="https://dzen.ru/media/id/63dd27aac30ab522dcce48b3/64a6953d2e8e4c7f24001a67" TargetMode="External"/><Relationship Id="rId183" Type="http://schemas.openxmlformats.org/officeDocument/2006/relationships/hyperlink" Target="https://dzen.ru/media/id/63dd27aac30ab522dcce48b3/64a820a8d2dcc1693872c35f" TargetMode="External"/><Relationship Id="rId184" Type="http://schemas.openxmlformats.org/officeDocument/2006/relationships/hyperlink" Target="https://dzen.ru/media/id/63dd27aac30ab522dcce48b3/64aa62c403ddb86a9bc0f51a" TargetMode="External"/><Relationship Id="rId185" Type="http://schemas.openxmlformats.org/officeDocument/2006/relationships/hyperlink" Target="https://dzen.ru/media/id/63dd27aac30ab522dcce48b3/64aa889fb6491f03121e77b5" TargetMode="External"/><Relationship Id="rId186" Type="http://schemas.openxmlformats.org/officeDocument/2006/relationships/hyperlink" Target="https://dzen.ru/media/id/63dd27aac30ab522dcce48b3/64abff606ba4132c8f97d063" TargetMode="External"/><Relationship Id="rId187" Type="http://schemas.openxmlformats.org/officeDocument/2006/relationships/hyperlink" Target="https://dzen.ru/media/id/63dd27aac30ab522dcce48b3/64ad2e626cb5cb08313ae189" TargetMode="External"/><Relationship Id="rId188" Type="http://schemas.openxmlformats.org/officeDocument/2006/relationships/hyperlink" Target="https://dzen.ru/media/id/63dd27aac30ab522dcce48b3/64ae841098a9494b39b3c521" TargetMode="External"/><Relationship Id="rId189" Type="http://schemas.openxmlformats.org/officeDocument/2006/relationships/hyperlink" Target="https://dzen.ru/media/id/63dd27aac30ab522dcce48b3/64afc29a914019282cb523df" TargetMode="External"/><Relationship Id="rId190" Type="http://schemas.openxmlformats.org/officeDocument/2006/relationships/hyperlink" Target="https://dzen.ru/media/id/63dd27aac30ab522dcce48b3/64b1393deb521d675218a7eb" TargetMode="External"/><Relationship Id="rId191" Type="http://schemas.openxmlformats.org/officeDocument/2006/relationships/hyperlink" Target="https://dzen.ru/media/id/63dd27aac30ab522dcce48b3/64b28f6c25e22b780900a629" TargetMode="External"/><Relationship Id="rId192" Type="http://schemas.openxmlformats.org/officeDocument/2006/relationships/hyperlink" Target="https://dzen.ru/media/id/63dd27aac30ab522dcce48b3/64b3e7702162ad30eb7d7dbe" TargetMode="External"/><Relationship Id="rId193" Type="http://schemas.openxmlformats.org/officeDocument/2006/relationships/hyperlink" Target="https://dzen.ru/media/id/63dd27aac30ab522dcce48b3/64b553e6e2f6aa6832c82820" TargetMode="External"/><Relationship Id="rId194" Type="http://schemas.openxmlformats.org/officeDocument/2006/relationships/hyperlink" Target="https://dzen.ru/media/id/63dd27aac30ab522dcce48b3/64b6a0fafff562673880b66a" TargetMode="External"/><Relationship Id="rId195" Type="http://schemas.openxmlformats.org/officeDocument/2006/relationships/hyperlink" Target="https://dzen.ru/media/id/63dd27aac30ab522dcce48b3/64b7d46d1a73ea0ccd8bc323" TargetMode="External"/><Relationship Id="rId196" Type="http://schemas.openxmlformats.org/officeDocument/2006/relationships/hyperlink" Target="https://dzen.ru/media/id/63dd27aac30ab522dcce48b3/64b93ec4057a71086627a9c8" TargetMode="External"/><Relationship Id="rId197" Type="http://schemas.openxmlformats.org/officeDocument/2006/relationships/hyperlink" Target="https://dzen.ru/media/id/63dd27aac30ab522dcce48b3/64b93ee43681fc71266b2746" TargetMode="External"/><Relationship Id="rId198" Type="http://schemas.openxmlformats.org/officeDocument/2006/relationships/hyperlink" Target="https://dzen.ru/media/id/63dd27aac30ab522dcce48b3/64ba95d62de5e453a4a81ca7" TargetMode="External"/><Relationship Id="rId199" Type="http://schemas.openxmlformats.org/officeDocument/2006/relationships/hyperlink" Target="https://dzen.ru/media/id/63dd27aac30ab522dcce48b3/64bbe4da953ef56ce2b61814" TargetMode="External"/><Relationship Id="rId200" Type="http://schemas.openxmlformats.org/officeDocument/2006/relationships/hyperlink" Target="https://dzen.ru/media/id/63dd27aac30ab522dcce48b3/64bda0a380d903121ef7474f" TargetMode="External"/><Relationship Id="rId201" Type="http://schemas.openxmlformats.org/officeDocument/2006/relationships/hyperlink" Target="https://dzen.ru/media/id/63dd27aac30ab522dcce48b3/64be6cc6f278c509e4494e40" TargetMode="External"/><Relationship Id="rId202" Type="http://schemas.openxmlformats.org/officeDocument/2006/relationships/hyperlink" Target="https://dzen.ru/media/id/63dd27aac30ab522dcce48b3/64bfbbd5bdb1fd768df6a16a" TargetMode="External"/><Relationship Id="rId203" Type="http://schemas.openxmlformats.org/officeDocument/2006/relationships/hyperlink" Target="https://dzen.ru/media/id/63dd27aac30ab522dcce48b3/64c10326f6d8da4594fd48de" TargetMode="External"/><Relationship Id="rId204" Type="http://schemas.openxmlformats.org/officeDocument/2006/relationships/hyperlink" Target="https://dzen.ru/media/id/63dd27aac30ab522dcce48b3/64c276fb16c88734fda82283" TargetMode="External"/><Relationship Id="rId205" Type="http://schemas.openxmlformats.org/officeDocument/2006/relationships/hyperlink" Target="https://dzen.ru/media/id/63dd27aac30ab522dcce48b3/64c3b023b3d8da19fdad4359" TargetMode="External"/><Relationship Id="rId206" Type="http://schemas.openxmlformats.org/officeDocument/2006/relationships/hyperlink" Target="https://dzen.ru/media/id/63dd27aac30ab522dcce48b3/64c3c4c79d53c34339f9e017" TargetMode="External"/><Relationship Id="rId207" Type="http://schemas.openxmlformats.org/officeDocument/2006/relationships/hyperlink" Target="https://dzen.ru/media/id/63dd27aac30ab522dcce48b3/64c3c4ead2d0c34441e94c6b" TargetMode="External"/><Relationship Id="rId208" Type="http://schemas.openxmlformats.org/officeDocument/2006/relationships/hyperlink" Target="https://dzen.ru/media/id/63dd27aac30ab522dcce48b3/64c3c50d2b84c50c8da5d1f8" TargetMode="External"/><Relationship Id="rId209" Type="http://schemas.openxmlformats.org/officeDocument/2006/relationships/hyperlink" Target="https://dzen.ru/media/id/63dd27aac30ab522dcce48b3/64c8de6a64ce37305ca74fe1" TargetMode="External"/><Relationship Id="rId210" Type="http://schemas.openxmlformats.org/officeDocument/2006/relationships/hyperlink" Target="https://dzen.ru/media/id/63dd27aac30ab522dcce48b3/64c97a96d21c8d352cb0fcc9" TargetMode="External"/><Relationship Id="rId211" Type="http://schemas.openxmlformats.org/officeDocument/2006/relationships/hyperlink" Target="https://dzen.ru/media/id/63dd27aac30ab522dcce48b3/64cba7e8ef433f10ac2b5261" TargetMode="External"/><Relationship Id="rId212" Type="http://schemas.openxmlformats.org/officeDocument/2006/relationships/hyperlink" Target="https://dzen.ru/media/id/63dd27aac30ab522dcce48b3/64cc0df71a2d213521837e4f" TargetMode="External"/><Relationship Id="rId213" Type="http://schemas.openxmlformats.org/officeDocument/2006/relationships/hyperlink" Target="https://dzen.ru/media/id/63dd27aac30ab522dcce48b3/64ce24695fd9762d162c2c80" TargetMode="External"/><Relationship Id="rId214" Type="http://schemas.openxmlformats.org/officeDocument/2006/relationships/hyperlink" Target="https://dzen.ru/media/id/63dd27aac30ab522dcce48b3/64cf9dd2d1abe756216d0311" TargetMode="External"/><Relationship Id="rId215" Type="http://schemas.openxmlformats.org/officeDocument/2006/relationships/hyperlink" Target="https://dzen.ru/media/id/63dd27aac30ab522dcce48b3/64d0d7164a27621bc2b4d732" TargetMode="External"/><Relationship Id="rId216" Type="http://schemas.openxmlformats.org/officeDocument/2006/relationships/hyperlink" Target="https://dzen.ru/media/id/63dd27aac30ab522dcce48b3/64d24d0165b8bf655f4085bd" TargetMode="External"/><Relationship Id="rId217" Type="http://schemas.openxmlformats.org/officeDocument/2006/relationships/hyperlink" Target="https://dzen.ru/media/id/63dd27aac30ab522dcce48b3/64d3a3af557c7928fd958d83" TargetMode="External"/><Relationship Id="rId218" Type="http://schemas.openxmlformats.org/officeDocument/2006/relationships/hyperlink" Target="https://dzen.ru/media/id/63dd27aac30ab522dcce48b3/64d4edac5902091e1e50ebe4" TargetMode="External"/><Relationship Id="rId219" Type="http://schemas.openxmlformats.org/officeDocument/2006/relationships/hyperlink" Target="https://dzen.ru/media/id/63dd27aac30ab522dcce48b3/64d646d4ece9da1476904a39" TargetMode="External"/><Relationship Id="rId220" Type="http://schemas.openxmlformats.org/officeDocument/2006/relationships/hyperlink" Target="https://dzen.ru/media/id/63dd27aac30ab522dcce48b3/64d7a5c0d5a4066e1ab20239" TargetMode="External"/><Relationship Id="rId221" Type="http://schemas.openxmlformats.org/officeDocument/2006/relationships/hyperlink" Target="https://dzen.ru/media/id/63dd27aac30ab522dcce48b3/64d8d727e0718b48a4d03267" TargetMode="External"/><Relationship Id="rId222" Type="http://schemas.openxmlformats.org/officeDocument/2006/relationships/hyperlink" Target="https://dzen.ru/media/id/63dd27aac30ab522dcce48b3/64da3bf1ae41ff4d81c7c2b1" TargetMode="External"/><Relationship Id="rId223" Type="http://schemas.openxmlformats.org/officeDocument/2006/relationships/hyperlink" Target="https://dzen.ru/media/id/63dd27aac30ab522dcce48b3/64db86039fa3aa5a31f9f784" TargetMode="External"/><Relationship Id="rId224" Type="http://schemas.openxmlformats.org/officeDocument/2006/relationships/hyperlink" Target="https://dzen.ru/media/id/63dd27aac30ab522dcce48b3/64dce7a111e6134d5ea32304" TargetMode="External"/><Relationship Id="rId225" Type="http://schemas.openxmlformats.org/officeDocument/2006/relationships/hyperlink" Target="https://dzen.ru/media/id/63dd27aac30ab522dcce48b3/64de1f9da9216a35444964e4" TargetMode="External"/><Relationship Id="rId226" Type="http://schemas.openxmlformats.org/officeDocument/2006/relationships/hyperlink" Target="https://dzen.ru/media/id/63dd27aac30ab522dcce48b3/64df8a74a5f0c931a9e91ee2" TargetMode="External"/><Relationship Id="rId227" Type="http://schemas.openxmlformats.org/officeDocument/2006/relationships/hyperlink" Target="https://dzen.ru/media/id/63dd27aac30ab522dcce48b3/64e0dce2a5f0c931a9adf4fb" TargetMode="External"/><Relationship Id="rId228" Type="http://schemas.openxmlformats.org/officeDocument/2006/relationships/hyperlink" Target="https://dzen.ru/media/id/63dd27aac30ab522dcce48b3/64e21e9b9d7ce32b3a145018" TargetMode="External"/><Relationship Id="rId229" Type="http://schemas.openxmlformats.org/officeDocument/2006/relationships/hyperlink" Target="https://dzen.ru/media/id/63dd27aac30ab522dcce48b3/64e370d2fc86116427fb7c0d" TargetMode="External"/><Relationship Id="rId230" Type="http://schemas.openxmlformats.org/officeDocument/2006/relationships/hyperlink" Target="https://dzen.ru/media/id/63dd27aac30ab522dcce48b3/64e4a63ae6c100299a73f436" TargetMode="External"/><Relationship Id="rId231" Type="http://schemas.openxmlformats.org/officeDocument/2006/relationships/hyperlink" Target="https://dzen.ru/media/id/63dd27aac30ab522dcce48b3/64e62ab625390b6638b4fc47" TargetMode="External"/><Relationship Id="rId232" Type="http://schemas.openxmlformats.org/officeDocument/2006/relationships/hyperlink" Target="https://dzen.ru/media/id/63dd27aac30ab522dcce48b3/64e7571bf6ccc15bd1de5e26" TargetMode="External"/><Relationship Id="rId233" Type="http://schemas.openxmlformats.org/officeDocument/2006/relationships/hyperlink" Target="https://dzen.ru/media/id/63dd27aac30ab522dcce48b3/64e8c980cf36970a75168830" TargetMode="External"/><Relationship Id="rId234" Type="http://schemas.openxmlformats.org/officeDocument/2006/relationships/hyperlink" Target="https://dzen.ru/media/id/63dd27aac30ab522dcce48b3/64ea12e3ebf4d23d4eb14273" TargetMode="External"/><Relationship Id="rId235" Type="http://schemas.openxmlformats.org/officeDocument/2006/relationships/hyperlink" Target="https://dzen.ru/media/id/63dd27aac30ab522dcce48b3/64eb73d91987760b59407025" TargetMode="External"/><Relationship Id="rId236" Type="http://schemas.openxmlformats.org/officeDocument/2006/relationships/hyperlink" Target="https://dzen.ru/media/id/63dd27aac30ab522dcce48b3/64ecc0ff16e38207e0784b47" TargetMode="External"/><Relationship Id="rId237" Type="http://schemas.openxmlformats.org/officeDocument/2006/relationships/hyperlink" Target="https://dzen.ru/media/id/63dd27aac30ab522dcce48b3/64edf8ebfd9f772853fe968c" TargetMode="External"/><Relationship Id="rId238" Type="http://schemas.openxmlformats.org/officeDocument/2006/relationships/hyperlink" Target="https://dzen.ru/media/id/63dd27aac30ab522dcce48b3/64ef37f45bce8b40f9665b98" TargetMode="External"/><Relationship Id="rId239" Type="http://schemas.openxmlformats.org/officeDocument/2006/relationships/hyperlink" Target="https://dzen.ru/media/id/63dd27aac30ab522dcce48b3/64f09928ee4b16290d843618" TargetMode="External"/><Relationship Id="rId240" Type="http://schemas.openxmlformats.org/officeDocument/2006/relationships/hyperlink" Target="https://dzen.ru/media/id/63dd27aac30ab522dcce48b3/64f20652736c0272f3917ca1" TargetMode="External"/><Relationship Id="rId241" Type="http://schemas.openxmlformats.org/officeDocument/2006/relationships/hyperlink" Target="https://dzen.ru/media/id/63dd27aac30ab522dcce48b3/64f34369d643ae46b79ff214" TargetMode="External"/><Relationship Id="rId242" Type="http://schemas.openxmlformats.org/officeDocument/2006/relationships/hyperlink" Target="https://dzen.ru/media/id/63dd27aac30ab522dcce48b3/64f49146d643ae46b711317a" TargetMode="External"/><Relationship Id="rId243" Type="http://schemas.openxmlformats.org/officeDocument/2006/relationships/hyperlink" Target="https://dzen.ru/media/id/63dd27aac30ab522dcce48b3/64f5ea618e7f3f09b9a14dd5" TargetMode="External"/><Relationship Id="rId244" Type="http://schemas.openxmlformats.org/officeDocument/2006/relationships/hyperlink" Target="https://dzen.ru/media/id/63dd27aac30ab522dcce48b3/64f739776d213b43ba9033e0" TargetMode="External"/><Relationship Id="rId245" Type="http://schemas.openxmlformats.org/officeDocument/2006/relationships/hyperlink" Target="https://dzen.ru/media/id/63dd27aac30ab522dcce48b3/64f8a2e940159a051a665c39" TargetMode="External"/><Relationship Id="rId246" Type="http://schemas.openxmlformats.org/officeDocument/2006/relationships/hyperlink" Target="https://dzen.ru/media/id/63dd27aac30ab522dcce48b3/64f9db5db0453c46849f45b8" TargetMode="External"/><Relationship Id="rId247" Type="http://schemas.openxmlformats.org/officeDocument/2006/relationships/hyperlink" Target="https://dzen.ru/media/id/63dd27aac30ab522dcce48b3/64fb2d1140159a051a09d217" TargetMode="External"/><Relationship Id="rId248" Type="http://schemas.openxmlformats.org/officeDocument/2006/relationships/hyperlink" Target="https://dzen.ru/media/id/63dd27aac30ab522dcce48b3/64fc814872084b0714128f45" TargetMode="External"/><Relationship Id="rId249" Type="http://schemas.openxmlformats.org/officeDocument/2006/relationships/hyperlink" Target="https://dzen.ru/media/id/63dd27aac30ab522dcce48b3/64fde968de44ec2d8efd50f5" TargetMode="External"/><Relationship Id="rId250" Type="http://schemas.openxmlformats.org/officeDocument/2006/relationships/hyperlink" Target="https://dzen.ru/media/id/63dd27aac30ab522dcce48b3/64ff28728b817f3cfdc12faf" TargetMode="External"/><Relationship Id="rId251" Type="http://schemas.openxmlformats.org/officeDocument/2006/relationships/hyperlink" Target="https://dzen.ru/media/id/63dd27aac30ab522dcce48b3/650064acb9751c752dbb6bee" TargetMode="External"/><Relationship Id="rId252" Type="http://schemas.openxmlformats.org/officeDocument/2006/relationships/hyperlink" Target="https://dzen.ru/media/id/63dd27aac30ab522dcce48b3/6501c7bbc66c44161ce0f4bc" TargetMode="External"/><Relationship Id="rId253" Type="http://schemas.openxmlformats.org/officeDocument/2006/relationships/hyperlink" Target="https://dzen.ru/media/id/63dd27aac30ab522dcce48b3/650327514d91f00608e52f32" TargetMode="External"/><Relationship Id="rId254" Type="http://schemas.openxmlformats.org/officeDocument/2006/relationships/hyperlink" Target="https://dzen.ru/media/id/63dd27aac30ab522dcce48b3/65048083ffb3f010e7344d5c" TargetMode="External"/><Relationship Id="rId255" Type="http://schemas.openxmlformats.org/officeDocument/2006/relationships/hyperlink" Target="https://dzen.ru/media/id/63dd27aac30ab522dcce48b3/6505d6e72ed36a089af11bfd" TargetMode="External"/><Relationship Id="rId256" Type="http://schemas.openxmlformats.org/officeDocument/2006/relationships/hyperlink" Target="https://dzen.ru/media/id/63dd27aac30ab522dcce48b3/65071d7d526a462625152131" TargetMode="External"/><Relationship Id="rId257" Type="http://schemas.openxmlformats.org/officeDocument/2006/relationships/hyperlink" Target="https://dzen.ru/media/id/63dd27aac30ab522dcce48b3/6508738888601d1945eefe2a" TargetMode="External"/><Relationship Id="rId258" Type="http://schemas.openxmlformats.org/officeDocument/2006/relationships/hyperlink" Target="https://dzen.ru/media/id/63dd27aac30ab522dcce48b3/6509c1a779a9a41e3a27b3ed" TargetMode="External"/><Relationship Id="rId259" Type="http://schemas.openxmlformats.org/officeDocument/2006/relationships/hyperlink" Target="https://dzen.ru/media/id/63dd27aac30ab522dcce48b3/6509cb90f4f46871466eba0a" TargetMode="External"/><Relationship Id="rId260" Type="http://schemas.openxmlformats.org/officeDocument/2006/relationships/hyperlink" Target="https://dzen.ru/media/id/63dd27aac30ab522dcce48b3/6509f033bfd70e27c33345ee" TargetMode="External"/><Relationship Id="rId261" Type="http://schemas.openxmlformats.org/officeDocument/2006/relationships/hyperlink" Target="https://dzen.ru/media/id/63dd27aac30ab522dcce48b3/650a15c558df0e7be435e098" TargetMode="External"/><Relationship Id="rId262" Type="http://schemas.openxmlformats.org/officeDocument/2006/relationships/hyperlink" Target="https://dzen.ru/media/id/63dd27aac30ab522dcce48b3/650ee6570eaf94272793c5dc" TargetMode="External"/><Relationship Id="rId263" Type="http://schemas.openxmlformats.org/officeDocument/2006/relationships/hyperlink" Target="https://dzen.ru/media/id/63dd27aac30ab522dcce48b3/6510790383b318555a199339" TargetMode="External"/><Relationship Id="rId264" Type="http://schemas.openxmlformats.org/officeDocument/2006/relationships/hyperlink" Target="https://dzen.ru/media/id/63dd27aac30ab522dcce48b3/6511bf2fdfe02a15fac9e841" TargetMode="External"/><Relationship Id="rId265" Type="http://schemas.openxmlformats.org/officeDocument/2006/relationships/hyperlink" Target="https://dzen.ru/media/id/63dd27aac30ab522dcce48b3/6512eebe8773b724c9e86f6f" TargetMode="External"/><Relationship Id="rId266" Type="http://schemas.openxmlformats.org/officeDocument/2006/relationships/hyperlink" Target="https://dzen.ru/media/id/63dd27aac30ab522dcce48b3/651447c6048037517384ff38" TargetMode="External"/><Relationship Id="rId267" Type="http://schemas.openxmlformats.org/officeDocument/2006/relationships/hyperlink" Target="https://dzen.ru/media/id/63dd27aac30ab522dcce48b3/6515a6b471874f01f958f6ff" TargetMode="External"/><Relationship Id="rId268" Type="http://schemas.openxmlformats.org/officeDocument/2006/relationships/hyperlink" Target="https://dzen.ru/media/id/63dd27aac30ab522dcce48b3/6516f73f5dedb62dd54742ff" TargetMode="External"/><Relationship Id="rId269" Type="http://schemas.openxmlformats.org/officeDocument/2006/relationships/hyperlink" Target="https://dzen.ru/media/id/63dd27aac30ab522dcce48b3/65183cb44115d078d18153f9" TargetMode="External"/><Relationship Id="rId270" Type="http://schemas.openxmlformats.org/officeDocument/2006/relationships/hyperlink" Target="https://dzen.ru/media/id/63dd27aac30ab522dcce48b3/6519a2554e191e4a5f6a1e4c" TargetMode="External"/><Relationship Id="rId271" Type="http://schemas.openxmlformats.org/officeDocument/2006/relationships/hyperlink" Target="https://dzen.ru/media/id/63dd27aac30ab522dcce48b3/651af92451b4a948e50004a5" TargetMode="External"/><Relationship Id="rId272" Type="http://schemas.openxmlformats.org/officeDocument/2006/relationships/hyperlink" Target="https://dzen.ru/media/id/63dd27aac30ab522dcce48b3/651c42526b0b253b3632e326" TargetMode="External"/><Relationship Id="rId273" Type="http://schemas.openxmlformats.org/officeDocument/2006/relationships/hyperlink" Target="https://dzen.ru/media/id/63dd27aac30ab522dcce48b3/651d8e60244fa84b56c1b701" TargetMode="External"/><Relationship Id="rId274" Type="http://schemas.openxmlformats.org/officeDocument/2006/relationships/hyperlink" Target="https://dzen.ru/media/id/63dd27aac30ab522dcce48b3/651ee07be069e306034f0166" TargetMode="External"/><Relationship Id="rId275" Type="http://schemas.openxmlformats.org/officeDocument/2006/relationships/hyperlink" Target="https://dzen.ru/media/id/63dd27aac30ab522dcce48b3/6520324a90b03d45f1959f25" TargetMode="External"/><Relationship Id="rId276" Type="http://schemas.openxmlformats.org/officeDocument/2006/relationships/hyperlink" Target="https://dzen.ru/media/id/63dd27aac30ab522dcce48b3/6521761f4372ef46463aec9a" TargetMode="External"/><Relationship Id="rId277" Type="http://schemas.openxmlformats.org/officeDocument/2006/relationships/hyperlink" Target="https://dzen.ru/media/id/63dd27aac30ab522dcce48b3/6522d0154e3fa3646984ff61" TargetMode="External"/><Relationship Id="rId278" Type="http://schemas.openxmlformats.org/officeDocument/2006/relationships/hyperlink" Target="https://dzen.ru/media/id/63dd27aac30ab522dcce48b3/652434ea3a21c739e6ea0a1e" TargetMode="External"/><Relationship Id="rId279" Type="http://schemas.openxmlformats.org/officeDocument/2006/relationships/hyperlink" Target="https://dzen.ru/media/id/63dd27aac30ab522dcce48b3/65258945816f97001317484f" TargetMode="External"/><Relationship Id="rId280" Type="http://schemas.openxmlformats.org/officeDocument/2006/relationships/hyperlink" Target="https://dzen.ru/media/id/63dd27aac30ab522dcce48b3/6526c4b3a93ab309be18d22d" TargetMode="External"/><Relationship Id="rId281" Type="http://schemas.openxmlformats.org/officeDocument/2006/relationships/hyperlink" Target="https://dzen.ru/media/id/63dd27aac30ab522dcce48b3/652812f3c094161c02779c19" TargetMode="External"/><Relationship Id="rId282" Type="http://schemas.openxmlformats.org/officeDocument/2006/relationships/hyperlink" Target="https://dzen.ru/media/id/63dd27aac30ab522dcce48b3/65297a2b6e626e1158418da0" TargetMode="External"/><Relationship Id="rId283" Type="http://schemas.openxmlformats.org/officeDocument/2006/relationships/hyperlink" Target="https://dzen.ru/media/id/63dd27aac30ab522dcce48b3/652b99abab650635f8f70d2c" TargetMode="External"/><Relationship Id="rId284" Type="http://schemas.openxmlformats.org/officeDocument/2006/relationships/hyperlink" Target="https://dzen.ru/media/id/63dd27aac30ab522dcce48b3/652c0ea38365541c39f8078c" TargetMode="External"/><Relationship Id="rId285" Type="http://schemas.openxmlformats.org/officeDocument/2006/relationships/hyperlink" Target="https://dzen.ru/media/id/63dd27aac30ab522dcce48b3/652da2b7762550169a90f657" TargetMode="External"/><Relationship Id="rId286" Type="http://schemas.openxmlformats.org/officeDocument/2006/relationships/hyperlink" Target="https://dzen.ru/media/id/63dd27aac30ab522dcce48b3/652e4b360d874a06ba006d54" TargetMode="External"/><Relationship Id="rId287" Type="http://schemas.openxmlformats.org/officeDocument/2006/relationships/hyperlink" Target="https://dzen.ru/media/id/63dd27aac30ab522dcce48b3/652e5231b0280a1e7c5e4d13" TargetMode="External"/><Relationship Id="rId288" Type="http://schemas.openxmlformats.org/officeDocument/2006/relationships/hyperlink" Target="https://dzen.ru/media/id/63dd27aac30ab522dcce48b3/652f88a901335b6b6d0d5437" TargetMode="External"/><Relationship Id="rId289" Type="http://schemas.openxmlformats.org/officeDocument/2006/relationships/hyperlink" Target="https://dzen.ru/media/id/63dd27aac30ab522dcce48b3/65312b425126c208cc5b3651" TargetMode="External"/><Relationship Id="rId290" Type="http://schemas.openxmlformats.org/officeDocument/2006/relationships/hyperlink" Target="https://dzen.ru/media/id/63dd27aac30ab522dcce48b3/6532b8b16bbf9502d0a67c3f" TargetMode="External"/><Relationship Id="rId291" Type="http://schemas.openxmlformats.org/officeDocument/2006/relationships/hyperlink" Target="https://dzen.ru/media/id/63dd27aac30ab522dcce48b3/65338ca89e3a246608cd4c4f" TargetMode="External"/><Relationship Id="rId292" Type="http://schemas.openxmlformats.org/officeDocument/2006/relationships/hyperlink" Target="https://dzen.ru/media/id/63dd27aac30ab522dcce48b3/6535633251df531a5e46eafc" TargetMode="External"/><Relationship Id="rId293" Type="http://schemas.openxmlformats.org/officeDocument/2006/relationships/hyperlink" Target="https://dzen.ru/media/id/63dd27aac30ab522dcce48b3/653631b82aa46d5701b04664" TargetMode="External"/><Relationship Id="rId294" Type="http://schemas.openxmlformats.org/officeDocument/2006/relationships/hyperlink" Target="https://dzen.ru/media/id/63dd27aac30ab522dcce48b3/6538cd0526db6d14ce36caa1" TargetMode="External"/><Relationship Id="rId295" Type="http://schemas.openxmlformats.org/officeDocument/2006/relationships/hyperlink" Target="https://dzen.ru/media/id/63dd27aac30ab522dcce48b3/6538ed5c923fed279f19b336" TargetMode="External"/><Relationship Id="rId296" Type="http://schemas.openxmlformats.org/officeDocument/2006/relationships/hyperlink" Target="https://dzen.ru/media/id/63dd27aac30ab522dcce48b3/653a90f96c71bb6ca71e41c2" TargetMode="External"/><Relationship Id="rId297" Type="http://schemas.openxmlformats.org/officeDocument/2006/relationships/hyperlink" Target="https://dzen.ru/media/id/63dd27aac30ab522dcce48b3/653bb15915feae0ef4206795" TargetMode="External"/><Relationship Id="rId298" Type="http://schemas.openxmlformats.org/officeDocument/2006/relationships/hyperlink" Target="https://dzen.ru/media/id/63dd27aac30ab522dcce48b3/653e1a47f74f9b38b0ad688b" TargetMode="External"/><Relationship Id="rId299" Type="http://schemas.openxmlformats.org/officeDocument/2006/relationships/hyperlink" Target="https://dzen.ru/media/id/63dd27aac30ab522dcce48b3/6540e21c3461b16f8e75705d" TargetMode="External"/><Relationship Id="rId300" Type="http://schemas.openxmlformats.org/officeDocument/2006/relationships/hyperlink" Target="https://dzen.ru/media/id/63dd27aac30ab522dcce48b3/6543863a9f0fcd51c82252b2" TargetMode="External"/><Relationship Id="rId301" Type="http://schemas.openxmlformats.org/officeDocument/2006/relationships/hyperlink" Target="https://dzen.ru/media/id/63dd27aac30ab522dcce48b3/65461afce87c9226dc8d68b6" TargetMode="External"/><Relationship Id="rId302" Type="http://schemas.openxmlformats.org/officeDocument/2006/relationships/hyperlink" Target="https://dzen.ru/media/id/63dd27aac30ab522dcce48b3/6548be6b47258d523c648d11" TargetMode="External"/><Relationship Id="rId303" Type="http://schemas.openxmlformats.org/officeDocument/2006/relationships/hyperlink" Target="https://dzen.ru/media/id/63dd27aac30ab522dcce48b3/654a13066ce9a451ddf62ce1" TargetMode="External"/><Relationship Id="rId304" Type="http://schemas.openxmlformats.org/officeDocument/2006/relationships/hyperlink" Target="https://dzen.ru/media/id/63dd27aac30ab522dcce48b3/654b754970ee9a58937a0bb0" TargetMode="External"/><Relationship Id="rId305" Type="http://schemas.openxmlformats.org/officeDocument/2006/relationships/hyperlink" Target="https://dzen.ru/media/id/63dd27aac30ab522dcce48b3/654e3d07f7130e15c5498136" TargetMode="External"/><Relationship Id="rId306" Type="http://schemas.openxmlformats.org/officeDocument/2006/relationships/hyperlink" Target="https://dzen.ru/media/id/63dd27aac30ab522dcce48b3/6550c038a8cf6f342a9a5bf3" TargetMode="External"/><Relationship Id="rId307" Type="http://schemas.openxmlformats.org/officeDocument/2006/relationships/hyperlink" Target="https://dzen.ru/media/id/63dd27aac30ab522dcce48b3/655360a57c326f1198974056" TargetMode="External"/><Relationship Id="rId308" Type="http://schemas.openxmlformats.org/officeDocument/2006/relationships/hyperlink" Target="https://dzen.ru/media/id/63dd27aac30ab522dcce48b3/655638fbfd7eb022308087cb" TargetMode="External"/><Relationship Id="rId309" Type="http://schemas.openxmlformats.org/officeDocument/2006/relationships/hyperlink" Target="https://dzen.ru/media/id/63dd27aac30ab522dcce48b3/6558d4ac19a10e7a71f03362" TargetMode="External"/><Relationship Id="rId310" Type="http://schemas.openxmlformats.org/officeDocument/2006/relationships/hyperlink" Target="https://dzen.ru/media/id/63dd27aac30ab522dcce48b3/655b4bda19a10e7a71be589f" TargetMode="External"/><Relationship Id="rId311" Type="http://schemas.openxmlformats.org/officeDocument/2006/relationships/hyperlink" Target="https://dzen.ru/media/id/63dd27aac30ab522dcce48b3/655e2497761ad554b449dec1" TargetMode="External"/><Relationship Id="rId312" Type="http://schemas.openxmlformats.org/officeDocument/2006/relationships/hyperlink" Target="https://dzen.ru/media/id/63dd27aac30ab522dcce48b3/6560d8cbbfa8910d18a63a2e" TargetMode="External"/><Relationship Id="rId313" Type="http://schemas.openxmlformats.org/officeDocument/2006/relationships/hyperlink" Target="https://dzen.ru/media/id/63dd27aac30ab522dcce48b3/65633d6a1579133d0f8068dd" TargetMode="External"/><Relationship Id="rId314" Type="http://schemas.openxmlformats.org/officeDocument/2006/relationships/hyperlink" Target="https://dzen.ru/media/id/63dd27aac30ab522dcce48b3/6565ce7565c11650148c7132" TargetMode="External"/><Relationship Id="rId315" Type="http://schemas.openxmlformats.org/officeDocument/2006/relationships/hyperlink" Target="https://dzen.ru/media/id/63dd27aac30ab522dcce48b3/65688e2ed9b42c2e6b00eafb" TargetMode="External"/><Relationship Id="rId316" Type="http://schemas.openxmlformats.org/officeDocument/2006/relationships/hyperlink" Target="https://dzen.ru/media/id/63dd27aac30ab522dcce48b3/656b1ef5d352075c62beca90" TargetMode="External"/><Relationship Id="rId317" Type="http://schemas.openxmlformats.org/officeDocument/2006/relationships/hyperlink" Target="https://dzen.ru/media/id/63dd27aac30ab522dcce48b3/656d9c90904c575fc9d5d800" TargetMode="External"/><Relationship Id="rId318" Type="http://schemas.openxmlformats.org/officeDocument/2006/relationships/hyperlink" Target="https://dzen.ru/media/id/63dd27aac30ab522dcce48b3/6570a44d4c41d70d9acf85b3" TargetMode="External"/><Relationship Id="rId319" Type="http://schemas.openxmlformats.org/officeDocument/2006/relationships/hyperlink" Target="https://dzen.ru/media/id/63dd27aac30ab522dcce48b3/6572dda909718751205e1ba4" TargetMode="External"/><Relationship Id="rId320" Type="http://schemas.openxmlformats.org/officeDocument/2006/relationships/hyperlink" Target="https://dzen.ru/media/id/63dd27aac30ab522dcce48b3/6575cb959e5faa6d0794f987" TargetMode="External"/><Relationship Id="rId321" Type="http://schemas.openxmlformats.org/officeDocument/2006/relationships/hyperlink" Target="https://dzen.ru/media/id/63dd27aac30ab522dcce48b3/65784fcc0787fe012625116c" TargetMode="External"/><Relationship Id="rId322" Type="http://schemas.openxmlformats.org/officeDocument/2006/relationships/hyperlink" Target="https://dzen.ru/media/id/63dd27aac30ab522dcce48b3/657ad6764c41d70d9a2e3f57" TargetMode="External"/><Relationship Id="rId323" Type="http://schemas.openxmlformats.org/officeDocument/2006/relationships/hyperlink" Target="https://dzen.ru/media/id/63dd27aac30ab522dcce48b3/657d5fbb088c7162e022e9b0" TargetMode="External"/><Relationship Id="rId324" Type="http://schemas.openxmlformats.org/officeDocument/2006/relationships/hyperlink" Target="https://dzen.ru/media/id/63dd27aac30ab522dcce48b3/658029971b53404e3d6d810b" TargetMode="External"/><Relationship Id="rId325" Type="http://schemas.openxmlformats.org/officeDocument/2006/relationships/hyperlink" Target="https://dzen.ru/media/id/63dd27aac30ab522dcce48b3/6582d41901eb972ef69fcdda" TargetMode="External"/><Relationship Id="rId326" Type="http://schemas.openxmlformats.org/officeDocument/2006/relationships/hyperlink" Target="https://dzen.ru/media/id/63dd27aac30ab522dcce48b3/65855ba2270a0108aabda048" TargetMode="External"/><Relationship Id="rId327" Type="http://schemas.openxmlformats.org/officeDocument/2006/relationships/hyperlink" Target="https://dzen.ru/media/id/63dd27aac30ab522dcce48b3/6588038c41d6bb6c24a9710f" TargetMode="External"/><Relationship Id="rId328" Type="http://schemas.openxmlformats.org/officeDocument/2006/relationships/hyperlink" Target="https://dzen.ru/media/id/63dd27aac30ab522dcce48b3/658aa59b67f1d170434002ac" TargetMode="External"/><Relationship Id="rId329" Type="http://schemas.openxmlformats.org/officeDocument/2006/relationships/hyperlink" Target="https://dzen.ru/media/id/63dd27aac30ab522dcce48b3/658da0a3c55a222855ec3ad3" TargetMode="External"/><Relationship Id="rId330" Type="http://schemas.openxmlformats.org/officeDocument/2006/relationships/hyperlink" Target="https://dzen.ru/media/id/63dd27aac30ab522dcce48b3/658fe8aba4afb845b1aae9c8" TargetMode="External"/><Relationship Id="rId331" Type="http://schemas.openxmlformats.org/officeDocument/2006/relationships/hyperlink" Target="https://dzen.ru/media/id/63dd27aac30ab522dcce48b3/6592afaaaa8dfa366d044e57" TargetMode="External"/><Relationship Id="rId332" Type="http://schemas.openxmlformats.org/officeDocument/2006/relationships/hyperlink" Target="https://dzen.ru/media/id/63dd27aac30ab522dcce48b3/659566335c108b68eacac542" TargetMode="External"/><Relationship Id="rId333" Type="http://schemas.openxmlformats.org/officeDocument/2006/relationships/hyperlink" Target="https://dzen.ru/media/id/63dd27aac30ab522dcce48b3/6597ffd392a5031d8271181d" TargetMode="External"/><Relationship Id="rId334" Type="http://schemas.openxmlformats.org/officeDocument/2006/relationships/hyperlink" Target="https://dzen.ru/media/id/63dd27aac30ab522dcce48b3/659aaae8270a0108aa27f17e" TargetMode="External"/><Relationship Id="rId335" Type="http://schemas.openxmlformats.org/officeDocument/2006/relationships/hyperlink" Target="https://dzen.ru/media/id/63dd27aac30ab522dcce48b3/659d2497270a0108aa42e645" TargetMode="External"/><Relationship Id="rId336" Type="http://schemas.openxmlformats.org/officeDocument/2006/relationships/hyperlink" Target="https://dzen.ru/media/id/63dd27aac30ab522dcce48b3/659fbbdc5647dd345050fbb2" TargetMode="External"/><Relationship Id="rId337" Type="http://schemas.openxmlformats.org/officeDocument/2006/relationships/hyperlink" Target="https://dzen.ru/media/id/63dd27aac30ab522dcce48b3/65a25a40b754511ad6fd13aa" TargetMode="External"/><Relationship Id="rId338" Type="http://schemas.openxmlformats.org/officeDocument/2006/relationships/hyperlink" Target="https://dzen.ru/media/id/63dd27aac30ab522dcce48b3/65a505a2ddf1a70e5665545b" TargetMode="External"/><Relationship Id="rId339" Type="http://schemas.openxmlformats.org/officeDocument/2006/relationships/hyperlink" Target="https://dzen.ru/media/id/63dd27aac30ab522dcce48b3/65a7a8e7d6fe4d67bf269e0d" TargetMode="External"/><Relationship Id="rId340" Type="http://schemas.openxmlformats.org/officeDocument/2006/relationships/hyperlink" Target="https://dzen.ru/media/id/63dd27aac30ab522dcce48b3/65aa59382e90f77ee36aea3b" TargetMode="External"/><Relationship Id="rId341" Type="http://schemas.openxmlformats.org/officeDocument/2006/relationships/hyperlink" Target="https://dzen.ru/media/id/63dd27aac30ab522dcce48b3/65aceab245a3d2231603f312" TargetMode="External"/><Relationship Id="rId342" Type="http://schemas.openxmlformats.org/officeDocument/2006/relationships/hyperlink" Target="https://dzen.ru/media/id/63dd27aac30ab522dcce48b3/65af7f9ff710c9537f2f65f6" TargetMode="External"/><Relationship Id="rId343" Type="http://schemas.openxmlformats.org/officeDocument/2006/relationships/hyperlink" Target="https://dzen.ru/media/id/63dd27aac30ab522dcce48b3/65b23e82d071787ab00a0833" TargetMode="External"/><Relationship Id="rId344" Type="http://schemas.openxmlformats.org/officeDocument/2006/relationships/hyperlink" Target="https://dzen.ru/media/id/63dd27aac30ab522dcce48b3/65b4ca86194b0809df129338" TargetMode="External"/><Relationship Id="rId345" Type="http://schemas.openxmlformats.org/officeDocument/2006/relationships/hyperlink" Target="https://dzen.ru/media/id/63dd27aac30ab522dcce48b3/65b7815ef73db3435b0f4b2e" TargetMode="External"/><Relationship Id="rId346" Type="http://schemas.openxmlformats.org/officeDocument/2006/relationships/hyperlink" Target="https://dzen.ru/media/id/63dd27aac30ab522dcce48b3/65ba69679a43927d63990461" TargetMode="External"/><Relationship Id="rId347" Type="http://schemas.openxmlformats.org/officeDocument/2006/relationships/hyperlink" Target="https://dzen.ru/media/id/63dd27aac30ab522dcce48b3/65bce2645dfc3730073dc123" TargetMode="External"/><Relationship Id="rId348" Type="http://schemas.openxmlformats.org/officeDocument/2006/relationships/hyperlink" Target="https://dzen.ru/media/id/63dd27aac30ab522dcce48b3/65bf7288fa9ef6641df97ff4" TargetMode="External"/><Relationship Id="rId349" Type="http://schemas.openxmlformats.org/officeDocument/2006/relationships/hyperlink" Target="https://dzen.ru/media/id/63dd27aac30ab522dcce48b3/65c21a628f4eb37bf0312100" TargetMode="External"/><Relationship Id="rId350" Type="http://schemas.openxmlformats.org/officeDocument/2006/relationships/hyperlink" Target="https://dzen.ru/media/id/63dd27aac30ab522dcce48b3/65c49d95ef3c8b496f86d347" TargetMode="External"/><Relationship Id="rId351" Type="http://schemas.openxmlformats.org/officeDocument/2006/relationships/hyperlink" Target="https://dzen.ru/media/id/63dd27aac30ab522dcce48b3/65c74ce6e13b2434bdeed4df" TargetMode="External"/><Relationship Id="rId352" Type="http://schemas.openxmlformats.org/officeDocument/2006/relationships/hyperlink" Target="https://dzen.ru/media/id/63dd27aac30ab522dcce48b3/65c9df48f30b1462154a9491" TargetMode="External"/><Relationship Id="rId353" Type="http://schemas.openxmlformats.org/officeDocument/2006/relationships/hyperlink" Target="https://dzen.ru/media/id/63dd27aac30ab522dcce48b3/65cca14509606a2c085065ee" TargetMode="External"/><Relationship Id="rId354" Type="http://schemas.openxmlformats.org/officeDocument/2006/relationships/hyperlink" Target="https://dzen.ru/media/id/63dd27aac30ab522dcce48b3/65cf337d762e4434e014f6ea" TargetMode="External"/><Relationship Id="rId355" Type="http://schemas.openxmlformats.org/officeDocument/2006/relationships/hyperlink" Target="https://dzen.ru/media/id/63dd27aac30ab522dcce48b3/65d1d8754f3f3438f6f6ceeb" TargetMode="External"/><Relationship Id="rId356" Type="http://schemas.openxmlformats.org/officeDocument/2006/relationships/hyperlink" Target="https://dzen.ru/media/id/63dd27aac30ab522dcce48b3/65d47866fed65906fa26c0b6" TargetMode="External"/><Relationship Id="rId357" Type="http://schemas.openxmlformats.org/officeDocument/2006/relationships/hyperlink" Target="https://dzen.ru/media/id/63dd27aac30ab522dcce48b3/65d72e3f15e35e7dc7c183e3" TargetMode="External"/><Relationship Id="rId358" Type="http://schemas.openxmlformats.org/officeDocument/2006/relationships/hyperlink" Target="https://dzen.ru/media/id/63dd27aac30ab522dcce48b3/65d9ca3d040cb57dac42e1a0" TargetMode="External"/><Relationship Id="rId359" Type="http://schemas.openxmlformats.org/officeDocument/2006/relationships/hyperlink" Target="https://dzen.ru/media/id/63dd27aac30ab522dcce48b3/65dc5c57a6331c665feba239" TargetMode="External"/><Relationship Id="rId360" Type="http://schemas.openxmlformats.org/officeDocument/2006/relationships/hyperlink" Target="https://dzen.ru/media/id/63dd27aac30ab522dcce48b3/65df063cd81e6e78f431554f" TargetMode="External"/><Relationship Id="rId361" Type="http://schemas.openxmlformats.org/officeDocument/2006/relationships/hyperlink" Target="https://dzen.ru/media/id/63dd27aac30ab522dcce48b3/65e1cf74c904961cd94f8641" TargetMode="External"/><Relationship Id="rId362" Type="http://schemas.openxmlformats.org/officeDocument/2006/relationships/hyperlink" Target="https://dzen.ru/media/id/63dd27aac30ab522dcce48b3/65e45b9e6d6be61b077ead49" TargetMode="External"/><Relationship Id="rId363" Type="http://schemas.openxmlformats.org/officeDocument/2006/relationships/hyperlink" Target="https://dzen.ru/media/id/63dd27aac30ab522dcce48b3/65e727c143aee1520a58fb14" TargetMode="External"/><Relationship Id="rId364" Type="http://schemas.openxmlformats.org/officeDocument/2006/relationships/hyperlink" Target="https://dzen.ru/media/id/63dd27aac30ab522dcce48b3/65e99c1bf0624d1b18ea874d" TargetMode="External"/><Relationship Id="rId365" Type="http://schemas.openxmlformats.org/officeDocument/2006/relationships/hyperlink" Target="https://dzen.ru/media/id/63dd27aac30ab522dcce48b3/65ec45a06f8a3a56474eb880" TargetMode="External"/><Relationship Id="rId366" Type="http://schemas.openxmlformats.org/officeDocument/2006/relationships/hyperlink" Target="https://dzen.ru/media/id/63dd27aac30ab522dcce48b3/65eebe480050982f0798a0bc" TargetMode="External"/><Relationship Id="rId367" Type="http://schemas.openxmlformats.org/officeDocument/2006/relationships/hyperlink" Target="https://dzen.ru/media/id/63dd27aac30ab522dcce48b3/65eec8fbef235c3df9eb42bd" TargetMode="External"/><Relationship Id="rId368" Type="http://schemas.openxmlformats.org/officeDocument/2006/relationships/hyperlink" Target="https://dzen.ru/media/id/63dd27aac30ab522dcce48b3/65eec9660fe2f30fb1e0ce82" TargetMode="External"/><Relationship Id="rId369" Type="http://schemas.openxmlformats.org/officeDocument/2006/relationships/hyperlink" Target="https://dzen.ru/media/id/63dd27aac30ab522dcce48b3/65eec9bf28714c5311bae9d5" TargetMode="External"/><Relationship Id="rId370" Type="http://schemas.openxmlformats.org/officeDocument/2006/relationships/hyperlink" Target="https://dzen.ru/media/id/63dd27aac30ab522dcce48b3/65eeca150149d872efd755e8" TargetMode="External"/><Relationship Id="rId371" Type="http://schemas.openxmlformats.org/officeDocument/2006/relationships/hyperlink" Target="https://dzen.ru/media/id/63dd27aac30ab522dcce48b3/65eeca736ccb0d2f277c8e30" TargetMode="External"/><Relationship Id="rId372" Type="http://schemas.openxmlformats.org/officeDocument/2006/relationships/hyperlink" Target="https://dzen.ru/media/id/63dd27aac30ab522dcce48b3/65eecaac2e34d760b951d495" TargetMode="External"/><Relationship Id="rId373" Type="http://schemas.openxmlformats.org/officeDocument/2006/relationships/hyperlink" Target="https://dzen.ru/media/id/63dd27aac30ab522dcce48b3/65eecadc1a77260ed07ed807" TargetMode="External"/><Relationship Id="rId374" Type="http://schemas.openxmlformats.org/officeDocument/2006/relationships/hyperlink" Target="https://dzen.ru/media/id/63dd27aac30ab522dcce48b3/6603deab637a791332b973f9" TargetMode="External"/><Relationship Id="rId375" Type="http://schemas.openxmlformats.org/officeDocument/2006/relationships/hyperlink" Target="https://dzen.ru/media/id/63dd27aac30ab522dcce48b3/660683353de7862a703e2ddc" TargetMode="External"/><Relationship Id="rId376" Type="http://schemas.openxmlformats.org/officeDocument/2006/relationships/hyperlink" Target="https://dzen.ru/media/id/63dd27aac30ab522dcce48b3/66092218754d4217d4dba1b8" TargetMode="External"/><Relationship Id="rId377" Type="http://schemas.openxmlformats.org/officeDocument/2006/relationships/hyperlink" Target="https://dzen.ru/media/id/63dd27aac30ab522dcce48b3/660bd08c9d47c93154226e8a" TargetMode="External"/><Relationship Id="rId378" Type="http://schemas.openxmlformats.org/officeDocument/2006/relationships/hyperlink" Target="https://dzen.ru/media/id/63dd27aac30ab522dcce48b3/660ddc8855f61733df9d2a8d" TargetMode="External"/><Relationship Id="rId379" Type="http://schemas.openxmlformats.org/officeDocument/2006/relationships/hyperlink" Target="https://dzen.ru/media/id/63dd27aac30ab522dcce48b3/660ddcb9d45a53675bf8eb36" TargetMode="External"/><Relationship Id="rId380" Type="http://schemas.openxmlformats.org/officeDocument/2006/relationships/hyperlink" Target="https://dzen.ru/media/id/63dd27aac30ab522dcce48b3/660ddcfbffcf605250f08ecc" TargetMode="External"/><Relationship Id="rId381" Type="http://schemas.openxmlformats.org/officeDocument/2006/relationships/hyperlink" Target="https://dzen.ru/media/id/63dd27aac30ab522dcce48b3/660ddd242db346567a7b6221" TargetMode="External"/><Relationship Id="rId382" Type="http://schemas.openxmlformats.org/officeDocument/2006/relationships/hyperlink" Target="https://dzen.ru/media/id/63dd27aac30ab522dcce48b3/660ddd4e11e7b24e9e3860c4" TargetMode="External"/><Relationship Id="rId383" Type="http://schemas.openxmlformats.org/officeDocument/2006/relationships/hyperlink" Target="https://dzen.ru/media/id/63dd27aac30ab522dcce48b3/660ddd70f18eec5c864c4b79" TargetMode="External"/><Relationship Id="rId384" Type="http://schemas.openxmlformats.org/officeDocument/2006/relationships/hyperlink" Target="https://dzen.ru/media/id/63dd27aac30ab522dcce48b3/660dddc511e7b24e9e38bad0" TargetMode="External"/><Relationship Id="rId385" Type="http://schemas.openxmlformats.org/officeDocument/2006/relationships/hyperlink" Target="https://dzen.ru/media/id/63dd27aac30ab522dcce48b3/661e51e0dbc1430ad94ce029" TargetMode="External"/><Relationship Id="rId386" Type="http://schemas.openxmlformats.org/officeDocument/2006/relationships/hyperlink" Target="https://dzen.ru/media/id/63dd27aac30ab522dcce48b3/6620df7d590e6441e3b45421" TargetMode="External"/><Relationship Id="rId387" Type="http://schemas.openxmlformats.org/officeDocument/2006/relationships/hyperlink" Target="https://dzen.ru/media/id/63dd27aac30ab522dcce48b3/66238305824b084ed78791e5" TargetMode="External"/><Relationship Id="rId388" Type="http://schemas.openxmlformats.org/officeDocument/2006/relationships/hyperlink" Target="https://dzen.ru/media/id/63dd27aac30ab522dcce48b3/662628f69aebf023f3b66d90" TargetMode="External"/><Relationship Id="rId389" Type="http://schemas.openxmlformats.org/officeDocument/2006/relationships/hyperlink" Target="https://dzen.ru/media/id/63dd27aac30ab522dcce48b3/6628ca9e24f62a3086b60201" TargetMode="External"/><Relationship Id="rId390" Type="http://schemas.openxmlformats.org/officeDocument/2006/relationships/hyperlink" Target="https://dzen.ru/media/id/63dd27aac30ab522dcce48b3/662b6a6f780e086b030777dd" TargetMode="External"/><Relationship Id="rId391" Type="http://schemas.openxmlformats.org/officeDocument/2006/relationships/hyperlink" Target="https://dzen.ru/media/id/63dd27aac30ab522dcce48b3/662e0ecc8bcdab100e7e10f7" TargetMode="External"/><Relationship Id="rId392" Type="http://schemas.openxmlformats.org/officeDocument/2006/relationships/hyperlink" Target="https://dzen.ru/media/id/63dd27aac30ab522dcce48b3/6630c4322ba533362a7293fb" TargetMode="External"/><Relationship Id="rId393" Type="http://schemas.openxmlformats.org/officeDocument/2006/relationships/hyperlink" Target="https://dzen.ru/media/id/63dd27aac30ab522dcce48b3/6633643771b8677f1da29da7" TargetMode="External"/><Relationship Id="rId394" Type="http://schemas.openxmlformats.org/officeDocument/2006/relationships/hyperlink" Target="https://dzen.ru/media/id/63dd27aac30ab522dcce48b3/6635fe6e12d1c34b9c8c39b5" TargetMode="External"/><Relationship Id="rId395" Type="http://schemas.openxmlformats.org/officeDocument/2006/relationships/hyperlink" Target="https://dzen.ru/media/id/63dd27aac30ab522dcce48b3/663895d19a937b6e8fcc4ed4" TargetMode="External"/><Relationship Id="rId396" Type="http://schemas.openxmlformats.org/officeDocument/2006/relationships/hyperlink" Target="https://dzen.ru/media/id/63dd27aac30ab522dcce48b3/663b3e94c4ca42469e93ac11" TargetMode="External"/><Relationship Id="rId397" Type="http://schemas.openxmlformats.org/officeDocument/2006/relationships/hyperlink" Target="https://dzen.ru/media/id/63dd27aac30ab522dcce48b3/663dcfe27e0c9b549840fa6d" TargetMode="External"/><Relationship Id="rId398" Type="http://schemas.openxmlformats.org/officeDocument/2006/relationships/hyperlink" Target="https://dzen.ru/media/id/63dd27aac30ab522dcce48b3/66407ff21d849c75f28a72a8" TargetMode="External"/><Relationship Id="rId399" Type="http://schemas.openxmlformats.org/officeDocument/2006/relationships/hyperlink" Target="https://dzen.ru/media/id/63dd27aac30ab522dcce48b3/6643293dc85fb6083da5c8e8" TargetMode="External"/><Relationship Id="rId400" Type="http://schemas.openxmlformats.org/officeDocument/2006/relationships/hyperlink" Target="https://dzen.ru/media/id/63dd27aac30ab522dcce48b3/6645cf04fb2cf86e21863d29" TargetMode="External"/><Relationship Id="rId401" Type="http://schemas.openxmlformats.org/officeDocument/2006/relationships/hyperlink" Target="https://dzen.ru/media/id/63dd27aac30ab522dcce48b3/66486e6758e5af458ca09e14" TargetMode="External"/><Relationship Id="rId402" Type="http://schemas.openxmlformats.org/officeDocument/2006/relationships/hyperlink" Target="https://dzen.ru/media/id/63dd27aac30ab522dcce48b3/664ab275ddbe90425529520e" TargetMode="External"/><Relationship Id="rId403" Type="http://schemas.openxmlformats.org/officeDocument/2006/relationships/hyperlink" Target="https://dzen.ru/media/id/63dd27aac30ab522dcce48b3/664db78c4e94a95a1fdabae2" TargetMode="External"/><Relationship Id="rId404" Type="http://schemas.openxmlformats.org/officeDocument/2006/relationships/hyperlink" Target="https://dzen.ru/media/id/63dd27aac30ab522dcce48b3/665057567bb4bb4db3329a02" TargetMode="External"/><Relationship Id="rId405" Type="http://schemas.openxmlformats.org/officeDocument/2006/relationships/hyperlink" Target="https://dzen.ru/media/id/63dd27aac30ab522dcce48b3/6652f994633b6e66204ca790" TargetMode="External"/><Relationship Id="rId406" Type="http://schemas.openxmlformats.org/officeDocument/2006/relationships/hyperlink" Target="https://dzen.ru/media/id/63dd27aac30ab522dcce48b3/66559f6e4241dd157f495897" TargetMode="External"/><Relationship Id="rId407" Type="http://schemas.openxmlformats.org/officeDocument/2006/relationships/hyperlink" Target="https://dzen.ru/media/id/63dd27aac30ab522dcce48b3/66583fd14d573e5b6fe8c7d7" TargetMode="External"/><Relationship Id="rId408" Type="http://schemas.openxmlformats.org/officeDocument/2006/relationships/hyperlink" Target="https://dzen.ru/media/id/63dd27aac30ab522dcce48b3/665aeb17c32b1358d0b82a23" TargetMode="External"/><Relationship Id="rId409" Type="http://schemas.openxmlformats.org/officeDocument/2006/relationships/hyperlink" Target="https://dzen.ru/media/id/63dd27aac30ab522dcce48b3/665b0d5a407fdf75c98d8913" TargetMode="External"/><Relationship Id="rId410" Type="http://schemas.openxmlformats.org/officeDocument/2006/relationships/hyperlink" Target="https://dzen.ru/media/id/63dd27aac30ab522dcce48b3/665d86ff32ac0d6e72b8ff88" TargetMode="External"/><Relationship Id="rId411" Type="http://schemas.openxmlformats.org/officeDocument/2006/relationships/hyperlink" Target="https://dzen.ru/media/id/63dd27aac30ab522dcce48b3/66604842bf00ec6cb7c97ec4" TargetMode="External"/><Relationship Id="rId412" Type="http://schemas.openxmlformats.org/officeDocument/2006/relationships/hyperlink" Target="https://dzen.ru/media/id/63dd27aac30ab522dcce48b3/6662e614e8c21b5108515a55" TargetMode="External"/><Relationship Id="rId413" Type="http://schemas.openxmlformats.org/officeDocument/2006/relationships/hyperlink" Target="https://dzen.ru/media/id/63dd27aac30ab522dcce48b3/66651f2585741632ad3e44f9" TargetMode="External"/><Relationship Id="rId414" Type="http://schemas.openxmlformats.org/officeDocument/2006/relationships/hyperlink" Target="https://dzen.ru/media/id/63dd27aac30ab522dcce48b3/666816f96005b730e85dd50b" TargetMode="External"/><Relationship Id="rId415" Type="http://schemas.openxmlformats.org/officeDocument/2006/relationships/hyperlink" Target="https://dzen.ru/media/id/63dd27aac30ab522dcce48b3/666ab6536005b730e8e1b155" TargetMode="External"/><Relationship Id="rId416" Type="http://schemas.openxmlformats.org/officeDocument/2006/relationships/hyperlink" Target="https://dzen.ru/media/id/63dd27aac30ab522dcce48b3/666d589713c25a66aa020428" TargetMode="External"/><Relationship Id="rId417" Type="http://schemas.openxmlformats.org/officeDocument/2006/relationships/hyperlink" Target="https://dzen.ru/media/id/63dd27aac30ab522dcce48b3/666ffa35867ea00009ed651d" TargetMode="External"/><Relationship Id="rId418" Type="http://schemas.openxmlformats.org/officeDocument/2006/relationships/hyperlink" Target="https://dzen.ru/media/id/63dd27aac30ab522dcce48b3/66715619867ea000094e5526" TargetMode="External"/><Relationship Id="rId419" Type="http://schemas.openxmlformats.org/officeDocument/2006/relationships/hyperlink" Target="https://dzen.ru/media/id/63dd27aac30ab522dcce48b3/6671830b6803745e87e9334b" TargetMode="External"/><Relationship Id="rId420" Type="http://schemas.openxmlformats.org/officeDocument/2006/relationships/hyperlink" Target="https://dzen.ru/media/id/63dd27aac30ab522dcce48b3/6674009a2e7e795a686c4b97" TargetMode="External"/><Relationship Id="rId421" Type="http://schemas.openxmlformats.org/officeDocument/2006/relationships/hyperlink" Target="https://dzen.ru/media/id/63dd27aac30ab522dcce48b3/66769b3620832d3e4cdc397b" TargetMode="External"/><Relationship Id="rId422" Type="http://schemas.openxmlformats.org/officeDocument/2006/relationships/hyperlink" Target="https://dzen.ru/media/id/63dd27aac30ab522dcce48b3/667939c9539c5b430a31811a" TargetMode="External"/><Relationship Id="rId423" Type="http://schemas.openxmlformats.org/officeDocument/2006/relationships/hyperlink" Target="https://dzen.ru/media/id/63dd27aac30ab522dcce48b3/667c3f23b1c13b13bbeffce1" TargetMode="External"/><Relationship Id="rId424" Type="http://schemas.openxmlformats.org/officeDocument/2006/relationships/hyperlink" Target="https://dzen.ru/media/id/63dd27aac30ab522dcce48b3/667e8a4e62d21a0b5b9e4fa9" TargetMode="External"/><Relationship Id="rId425" Type="http://schemas.openxmlformats.org/officeDocument/2006/relationships/hyperlink" Target="https://dzen.ru/media/id/63dd27aac30ab522dcce48b3/668127a18b2d81786769743a" TargetMode="External"/><Relationship Id="rId426" Type="http://schemas.openxmlformats.org/officeDocument/2006/relationships/hyperlink" Target="https://dzen.ru/media/id/63dd27aac30ab522dcce48b3/6683df9d20f448515991d37e" TargetMode="External"/><Relationship Id="rId427" Type="http://schemas.openxmlformats.org/officeDocument/2006/relationships/hyperlink" Target="https://dzen.ru/media/id/63dd27aac30ab522dcce48b3/66864d0e4c20c57c76060a08" TargetMode="External"/><Relationship Id="rId428" Type="http://schemas.openxmlformats.org/officeDocument/2006/relationships/hyperlink" Target="https://dzen.ru/media/id/63dd27aac30ab522dcce48b3/6689037c519e875daf640d3d" TargetMode="External"/><Relationship Id="rId429" Type="http://schemas.openxmlformats.org/officeDocument/2006/relationships/hyperlink" Target="https://dzen.ru/media/id/63dd27aac30ab522dcce48b3/668b0de0519e875dafe26e9d" TargetMode="External"/><Relationship Id="rId430" Type="http://schemas.openxmlformats.org/officeDocument/2006/relationships/hyperlink" Target="https://dzen.ru/media/id/63dd27aac30ab522dcce48b3/668e5f910987a136b8556101" TargetMode="External"/><Relationship Id="rId431" Type="http://schemas.openxmlformats.org/officeDocument/2006/relationships/hyperlink" Target="https://dzen.ru/media/id/63dd27aac30ab522dcce48b3/66904e90863a9877f3c7683a" TargetMode="External"/><Relationship Id="rId432" Type="http://schemas.openxmlformats.org/officeDocument/2006/relationships/hyperlink" Target="https://dzen.ru/media/id/63dd27aac30ab522dcce48b3/66939c2a20159c0361db5f08" TargetMode="External"/><Relationship Id="rId433" Type="http://schemas.openxmlformats.org/officeDocument/2006/relationships/hyperlink" Target="https://dzen.ru/media/id/63dd27aac30ab522dcce48b3/6696369d475d6049e1e3bb21" TargetMode="External"/><Relationship Id="rId434" Type="http://schemas.openxmlformats.org/officeDocument/2006/relationships/hyperlink" Target="https://dzen.ru/media/id/63dd27aac30ab522dcce48b3/6698e455ef9cc462936bfdc4" TargetMode="External"/><Relationship Id="rId435" Type="http://schemas.openxmlformats.org/officeDocument/2006/relationships/hyperlink" Target="https://dzen.ru/media/id/63dd27aac30ab522dcce48b3/669b8745a2bd4a2615a115fa" TargetMode="External"/><Relationship Id="rId436" Type="http://schemas.openxmlformats.org/officeDocument/2006/relationships/hyperlink" Target="https://dzen.ru/media/id/63dd27aac30ab522dcce48b3/669e21966cc5d74ec2336a53" TargetMode="External"/><Relationship Id="rId437" Type="http://schemas.openxmlformats.org/officeDocument/2006/relationships/hyperlink" Target="https://dzen.ru/media/id/63dd27aac30ab522dcce48b3/669fcec7654d346a6e9a5a9f" TargetMode="External"/><Relationship Id="rId438" Type="http://schemas.openxmlformats.org/officeDocument/2006/relationships/hyperlink" Target="https://dzen.ru/media/id/63dd27aac30ab522dcce48b3/66a3636a5de5626eddedd2c7" TargetMode="External"/><Relationship Id="rId439" Type="http://schemas.openxmlformats.org/officeDocument/2006/relationships/hyperlink" Target="https://dzen.ru/media/id/63dd27aac30ab522dcce48b3/66a36642c12abc28a0668c75" TargetMode="External"/><Relationship Id="rId440" Type="http://schemas.openxmlformats.org/officeDocument/2006/relationships/hyperlink" Target="https://dzen.ru/media/id/63dd27aac30ab522dcce48b3/66a5fbea1391a411555ff2d4" TargetMode="External"/><Relationship Id="rId441" Type="http://schemas.openxmlformats.org/officeDocument/2006/relationships/hyperlink" Target="https://dzen.ru/media/id/63dd27aac30ab522dcce48b3/66a8aa7487251435a652e016" TargetMode="External"/><Relationship Id="rId442" Type="http://schemas.openxmlformats.org/officeDocument/2006/relationships/hyperlink" Target="https://dzen.ru/media/id/63dd27aac30ab522dcce48b3/66ab316824ef3b53976622a9" TargetMode="External"/><Relationship Id="rId443" Type="http://schemas.openxmlformats.org/officeDocument/2006/relationships/hyperlink" Target="https://dzen.ru/media/id/63dd27aac30ab522dcce48b3/66adf8e88076ef6414ef3751" TargetMode="External"/><Relationship Id="rId444" Type="http://schemas.openxmlformats.org/officeDocument/2006/relationships/hyperlink" Target="https://dzen.ru/media/id/63dd27aac30ab522dcce48b3/66b096928ffd6379ecda70c2" TargetMode="External"/><Relationship Id="rId445" Type="http://schemas.openxmlformats.org/officeDocument/2006/relationships/hyperlink" Target="https://dzen.ru/media/id/63dd27aac30ab522dcce48b3/66b33104f42d0d1d200d5326" TargetMode="External"/><Relationship Id="rId446" Type="http://schemas.openxmlformats.org/officeDocument/2006/relationships/hyperlink" Target="https://dzen.ru/media/id/63dd27aac30ab522dcce48b3/66bf1fa962ce8a4537b2e87a" TargetMode="External"/><Relationship Id="rId447" Type="http://schemas.openxmlformats.org/officeDocument/2006/relationships/hyperlink" Target="https://dzen.ru/media/id/63dd27aac30ab522dcce48b3/66d0321dd507d3247dabfa70" TargetMode="External"/><Relationship Id="rId448" Type="http://schemas.openxmlformats.org/officeDocument/2006/relationships/hyperlink" Target="https://dzen.ru/media/id/63dd27aac30ab522dcce48b3/66f69ed395b87a0c55fc5a8f" TargetMode="External"/><Relationship Id="rId449" Type="http://schemas.openxmlformats.org/officeDocument/2006/relationships/hyperlink" Target="https://dzen.ru/media/id/63dd27aac30ab522dcce48b3/66fcffe24a95863fffaae768" TargetMode="External"/><Relationship Id="rId450" Type="http://schemas.openxmlformats.org/officeDocument/2006/relationships/hyperlink" Target="https://dzen.ru/media/id/63dd27aac30ab522dcce48b3/670e35993673b06ef751377e" TargetMode="External"/><Relationship Id="rId451" Type="http://schemas.openxmlformats.org/officeDocument/2006/relationships/hyperlink" Target="https://dzen.ru/media/id/63dd27aac30ab522dcce48b3/6715efd33e08c16a42f35754" TargetMode="External"/><Relationship Id="rId452" Type="http://schemas.openxmlformats.org/officeDocument/2006/relationships/hyperlink" Target="https://dzen.ru/media/id/63dd27aac30ab522dcce48b3/671a16c83b40e03d0e58260d" TargetMode="External"/><Relationship Id="rId453" Type="http://schemas.openxmlformats.org/officeDocument/2006/relationships/hyperlink" Target="https://dzen.ru/media/id/63dd27aac30ab522dcce48b3/671fb49e7cb4355e1d8de10c" TargetMode="External"/><Relationship Id="rId454" Type="http://schemas.openxmlformats.org/officeDocument/2006/relationships/hyperlink" Target="https://dzen.ru/media/id/63dd27aac30ab522dcce48b3/6729e5e20d936139bfdde2f3" TargetMode="External"/><Relationship Id="rId455" Type="http://schemas.openxmlformats.org/officeDocument/2006/relationships/hyperlink" Target="https://dzen.ru/media/id/63dd27aac30ab522dcce48b3/672c7ba17c58c73067bebef9" TargetMode="External"/><Relationship Id="rId456" Type="http://schemas.openxmlformats.org/officeDocument/2006/relationships/hyperlink" Target="https://dzen.ru/media/id/63dd27aac30ab522dcce48b3/67519305eaccc34dc79f9bc7" TargetMode="External"/><Relationship Id="rId457" Type="http://schemas.openxmlformats.org/officeDocument/2006/relationships/hyperlink" Target="https://dzen.ru/media/id/63dd27aac30ab522dcce48b3/675401c29931853c2f9feadb" TargetMode="External"/><Relationship Id="rId458" Type="http://schemas.openxmlformats.org/officeDocument/2006/relationships/hyperlink" Target="https://dzen.ru/media/id/63dd27aac30ab522dcce48b3/6757e7c880bd6732302cf36a" TargetMode="External"/><Relationship Id="rId459" Type="http://schemas.openxmlformats.org/officeDocument/2006/relationships/hyperlink" Target="https://dzen.ru/media/id/63dd27aac30ab522dcce48b3/675aa95725a9185336de68cb" TargetMode="External"/><Relationship Id="rId460" Type="http://schemas.openxmlformats.org/officeDocument/2006/relationships/hyperlink" Target="https://dzen.ru/media/id/63dd27aac30ab522dcce48b3/675d5648ce410104479790f9" TargetMode="External"/><Relationship Id="rId461" Type="http://schemas.openxmlformats.org/officeDocument/2006/relationships/hyperlink" Target="https://dzen.ru/media/id/63dd27aac30ab522dcce48b3/676141afc41d463742ef0259" TargetMode="External"/><Relationship Id="rId462" Type="http://schemas.openxmlformats.org/officeDocument/2006/relationships/hyperlink" Target="https://dzen.ru/media/id/63dd27aac30ab522dcce48b3/6763c4f96cb0db76f412f795" TargetMode="External"/><Relationship Id="rId463" Type="http://schemas.openxmlformats.org/officeDocument/2006/relationships/hyperlink" Target="https://dzen.ru/media/id/63dd27aac30ab522dcce48b3/6766756b2230c210992111a2" TargetMode="External"/><Relationship Id="rId464" Type="http://schemas.openxmlformats.org/officeDocument/2006/relationships/hyperlink" Target="https://dzen.ru/media/id/63dd27aac30ab522dcce48b3/676a6b6561473f01b5c71199" TargetMode="External"/><Relationship Id="rId465" Type="http://schemas.openxmlformats.org/officeDocument/2006/relationships/hyperlink" Target="https://dzen.ru/media/id/63dd27aac30ab522dcce48b3/676d36bcbdc355605f0ab280" TargetMode="External"/><Relationship Id="rId466" Type="http://schemas.openxmlformats.org/officeDocument/2006/relationships/hyperlink" Target="https://dzen.ru/media/id/63dd27aac30ab522dcce48b3/676ee4d5414c0d15d26ed362" TargetMode="External"/><Relationship Id="rId467" Type="http://schemas.openxmlformats.org/officeDocument/2006/relationships/hyperlink" Target="https://dzen.ru/media/id/63dd27aac30ab522dcce48b3/6772be9b61de3c12de133b0d" TargetMode="External"/><Relationship Id="rId468" Type="http://schemas.openxmlformats.org/officeDocument/2006/relationships/hyperlink" Target="https://dzen.ru/media/id/63dd27aac30ab522dcce48b3/677627d0a240fb562857f9ca" TargetMode="External"/><Relationship Id="rId469" Type="http://schemas.openxmlformats.org/officeDocument/2006/relationships/hyperlink" Target="https://dzen.ru/media/id/63dd27aac30ab522dcce48b3/67764e829f63e44d2d409363" TargetMode="External"/><Relationship Id="rId470" Type="http://schemas.openxmlformats.org/officeDocument/2006/relationships/hyperlink" Target="https://dzen.ru/media/id/63dd27aac30ab522dcce48b3/67764f6d7feaf72a374c902a" TargetMode="External"/><Relationship Id="rId471" Type="http://schemas.openxmlformats.org/officeDocument/2006/relationships/hyperlink" Target="https://dzen.ru/media/id/63dd27aac30ab522dcce48b3/6776504eaeb4d84ef2a8c9df" TargetMode="External"/><Relationship Id="rId472" Type="http://schemas.openxmlformats.org/officeDocument/2006/relationships/hyperlink" Target="https://dzen.ru/media/id/63dd27aac30ab522dcce48b3/677fe4dea240fb5628fd76b2" TargetMode="External"/><Relationship Id="rId473" Type="http://schemas.openxmlformats.org/officeDocument/2006/relationships/hyperlink" Target="https://dzen.ru/media/id/63dd27aac30ab522dcce48b3/677fe652c624b31c3ea47836" TargetMode="External"/><Relationship Id="rId474" Type="http://schemas.openxmlformats.org/officeDocument/2006/relationships/hyperlink" Target="https://dzen.ru/media/id/63dd27aac30ab522dcce48b3/677fe990f11e3b692e379a44" TargetMode="External"/><Relationship Id="rId475" Type="http://schemas.openxmlformats.org/officeDocument/2006/relationships/hyperlink" Target="https://dzen.ru/media/id/63dd27aac30ab522dcce48b3/6782301d892d3847b9dc0888" TargetMode="External"/><Relationship Id="rId476" Type="http://schemas.openxmlformats.org/officeDocument/2006/relationships/hyperlink" Target="https://dzen.ru/media/id/63dd27aac30ab522dcce48b3/678b84e093f8e877baee4882" TargetMode="External"/><Relationship Id="rId477" Type="http://schemas.openxmlformats.org/officeDocument/2006/relationships/hyperlink" Target="https://dzen.ru/media/id/63dd27aac30ab522dcce48b3/678f2e0e49dbc957f7e5d040" TargetMode="External"/><Relationship Id="rId478" Type="http://schemas.openxmlformats.org/officeDocument/2006/relationships/hyperlink" Target="https://dzen.ru/media/id/63dd27aac30ab522dcce48b3/6791df6ce4e10d4e73a0f655" TargetMode="External"/><Relationship Id="rId479" Type="http://schemas.openxmlformats.org/officeDocument/2006/relationships/hyperlink" Target="https://dzen.ru/media/id/63dd27aac30ab522dcce48b3/67979203e0baf86b2c290a41" TargetMode="External"/><Relationship Id="rId480" Type="http://schemas.openxmlformats.org/officeDocument/2006/relationships/hyperlink" Target="https://dzen.ru/media/id/63dd27aac30ab522dcce48b3/679b12c97de63509e76e25ae" TargetMode="External"/><Relationship Id="rId481" Type="http://schemas.openxmlformats.org/officeDocument/2006/relationships/hyperlink" Target="https://dzen.ru/media/id/63dd27aac30ab522dcce48b3/67a1c0ff4d5f4d15d153e189" TargetMode="External"/><Relationship Id="rId482" Type="http://schemas.openxmlformats.org/officeDocument/2006/relationships/hyperlink" Target="https://dzen.ru/media/id/63dd27aac30ab522dcce48b3/67a45f55d50dbe55bfc13c93" TargetMode="External"/><Relationship Id="rId483" Type="http://schemas.openxmlformats.org/officeDocument/2006/relationships/hyperlink" Target="https://dzen.ru/media/id/63dd27aac30ab522dcce48b3/67aaf6f2b1c7015e6febfa57" TargetMode="External"/><Relationship Id="rId484" Type="http://schemas.openxmlformats.org/officeDocument/2006/relationships/hyperlink" Target="https://dzen.ru/media/id/63dd27aac30ab522dcce48b3/67ad9e5da654a83f340468ec" TargetMode="External"/><Relationship Id="rId485" Type="http://schemas.openxmlformats.org/officeDocument/2006/relationships/hyperlink" Target="https://dzen.ru/media/id/63dd27aac30ab522dcce48b3/67b445328157096bf8544f4a" TargetMode="External"/><Relationship Id="rId486" Type="http://schemas.openxmlformats.org/officeDocument/2006/relationships/hyperlink" Target="https://dzen.ru/media/id/63dd27aac30ab522dcce48b3/67b6b4d951a35a1d237eb0df" TargetMode="External"/><Relationship Id="rId487" Type="http://schemas.openxmlformats.org/officeDocument/2006/relationships/hyperlink" Target="https://dzen.ru/media/id/63dd27aac30ab522dcce48b3/67bd5d892e00803ff148ef85" TargetMode="External"/><Relationship Id="rId488" Type="http://schemas.openxmlformats.org/officeDocument/2006/relationships/hyperlink" Target="https://dzen.ru/media/id/63dd27aac30ab522dcce48b3/67bfe18b8aa47105abe2fe04" TargetMode="External"/><Relationship Id="rId489" Type="http://schemas.openxmlformats.org/officeDocument/2006/relationships/hyperlink" Target="https://dzen.ru/media/id/63dd27aac30ab522dcce48b3/67c67df246ac5f15b1f8d869" TargetMode="External"/><Relationship Id="rId490" Type="http://schemas.openxmlformats.org/officeDocument/2006/relationships/hyperlink" Target="https://dzen.ru/media/id/63dd27aac30ab522dcce48b3/67c91720d97b6f7d412f6bd2" TargetMode="External"/><Relationship Id="rId491" Type="http://schemas.openxmlformats.org/officeDocument/2006/relationships/hyperlink" Target="https://dzen.ru/media/id/63dd27aac30ab522dcce48b3/67cfb52488f481026d845efe" TargetMode="External"/><Relationship Id="rId492" Type="http://schemas.openxmlformats.org/officeDocument/2006/relationships/hyperlink" Target="https://dzen.ru/media/id/63dd27aac30ab522dcce48b3/67f7b4fb5b806b3254f7a017" TargetMode="External"/><Relationship Id="rId493" Type="http://schemas.openxmlformats.org/officeDocument/2006/relationships/hyperlink" Target="https://dzen.ru/media/id/63dd27aac30ab522dcce48b3/680ffd610abbb40ac9573181" TargetMode="External"/><Relationship Id="rId494" Type="http://schemas.openxmlformats.org/officeDocument/2006/relationships/hyperlink" Target="https://dzen.ru/media/id/63dd27aac30ab522dcce48b3/68130aab7535b749ada4ccc1" TargetMode="External"/><Relationship Id="rId495" Type="http://schemas.openxmlformats.org/officeDocument/2006/relationships/hyperlink" Target="https://dzen.ru/media/id/63dd27aac30ab522dcce48b3/6819858fc11f387ebfb2547a" TargetMode="External"/><Relationship Id="rId496" Type="http://schemas.openxmlformats.org/officeDocument/2006/relationships/hyperlink" Target="https://dzen.ru/media/id/63dd27aac30ab522dcce48b3/681c3354ce129d3481f1a69c" TargetMode="External"/><Relationship Id="rId497" Type="http://schemas.openxmlformats.org/officeDocument/2006/relationships/hyperlink" Target="https://dzen.ru/media/id/63dd27aac30ab522dcce48b3/68229f3ebfe63923aa654275" TargetMode="External"/><Relationship Id="rId498" Type="http://schemas.openxmlformats.org/officeDocument/2006/relationships/hyperlink" Target="https://dzen.ru/media/id/63dd27aac30ab522dcce48b3/68252e56e64c5a188037b4e8" TargetMode="External"/><Relationship Id="rId499" Type="http://schemas.openxmlformats.org/officeDocument/2006/relationships/hyperlink" Target="https://dzen.ru/media/id/63dd27aac30ab522dcce48b3/682be4e82ca68930077aaa69" TargetMode="External"/><Relationship Id="rId500" Type="http://schemas.openxmlformats.org/officeDocument/2006/relationships/hyperlink" Target="https://dzen.ru/media/id/63dd27aac30ab522dcce48b3/682f24f893f017039fe46c65" TargetMode="External"/><Relationship Id="rId501" Type="http://schemas.openxmlformats.org/officeDocument/2006/relationships/hyperlink" Target="https://dzen.ru/media/id/63dd27aac30ab522dcce48b3/6835246854fbb57705c79ca2" TargetMode="External"/><Relationship Id="rId502" Type="http://schemas.openxmlformats.org/officeDocument/2006/relationships/hyperlink" Target="https://dzen.ru/media/id/63dd27aac30ab522dcce48b3/683886e723ddd33f9a98d64d" TargetMode="External"/><Relationship Id="rId503" Type="http://schemas.openxmlformats.org/officeDocument/2006/relationships/hyperlink" Target="https://dzen.ru/media/id/63dd27aac30ab522dcce48b3/683e1a6c9a6f7d3e3cf676d6" TargetMode="External"/><Relationship Id="rId504" Type="http://schemas.openxmlformats.org/officeDocument/2006/relationships/hyperlink" Target="https://dzen.ru/media/id/63dd27aac30ab522dcce48b3/6840d31152fdab79b6a42a83" TargetMode="External"/><Relationship Id="rId505" Type="http://schemas.openxmlformats.org/officeDocument/2006/relationships/hyperlink" Target="https://dzen.ru/media/id/63dd27aac30ab522dcce48b3/68486a55129ad45762ddb3c8" TargetMode="External"/><Relationship Id="rId506" Type="http://schemas.openxmlformats.org/officeDocument/2006/relationships/hyperlink" Target="https://dzen.ru/media/id/63dd27aac30ab522dcce48b3/684a519ebdb83b4509f357eb" TargetMode="External"/><Relationship Id="rId507" Type="http://schemas.openxmlformats.org/officeDocument/2006/relationships/hyperlink" Target="https://dzen.ru/media/id/63dd27aac30ab522dcce48b3/684f748b4bac1a4b04b7db4b" TargetMode="External"/><Relationship Id="rId508" Type="http://schemas.openxmlformats.org/officeDocument/2006/relationships/hyperlink" Target="https://dzen.ru/media/id/63dd27aac30ab522dcce48b3/684f7570c798ef1f1c4ffc30" TargetMode="External"/><Relationship Id="rId509" Type="http://schemas.openxmlformats.org/officeDocument/2006/relationships/hyperlink" Target="https://dzen.ru/media/id/63dd27aac30ab522dcce48b3/6859d61da2064858f1167e6b" TargetMode="External"/><Relationship Id="rId510" Type="http://schemas.openxmlformats.org/officeDocument/2006/relationships/hyperlink" Target="https://dzen.ru/media/id/63dd27aac30ab522dcce48b3/687cc789e6dd871dfdd3c922" TargetMode="External"/><Relationship Id="rId511" Type="http://schemas.openxmlformats.org/officeDocument/2006/relationships/hyperlink" Target="https://dzen.ru/media/id/63dd27aac30ab522dcce48b3/687f4d3351cdab32176950bd" TargetMode="External"/><Relationship Id="rId512" Type="http://schemas.openxmlformats.org/officeDocument/2006/relationships/hyperlink" Target="https://dzen.ru/media/id/63dd27aac30ab522dcce48b3/6888d60b050a79396eb66cf0" TargetMode="External"/><Relationship Id="rId513" Type="http://schemas.openxmlformats.org/officeDocument/2006/relationships/hyperlink" Target="https://dzen.ru/media/id/63dd27aac30ab522dcce48b3/688a9852af26891504b6a416" TargetMode="External"/><Relationship Id="rId514" Type="http://schemas.openxmlformats.org/officeDocument/2006/relationships/hyperlink" Target="https://dzen.ru/media/id/63dd27aac30ab522dcce48b3/68ad28e659f39475d081cd9a" TargetMode="External"/><Relationship Id="rId515" Type="http://schemas.openxmlformats.org/officeDocument/2006/relationships/hyperlink" Target="https://dzen.ru/media/id/63dd27aac30ab522dcce48b3/68ad818152fbfd6b1684ff34" TargetMode="External"/><Relationship Id="rId516" Type="http://schemas.openxmlformats.org/officeDocument/2006/relationships/hyperlink" Target="https://dzen.ru/media/id/63dd27aac30ab522dcce48b3/68b6a3a1910c7045df648b5e" TargetMode="External"/><Relationship Id="rId517" Type="http://schemas.openxmlformats.org/officeDocument/2006/relationships/hyperlink" Target="https://dzen.ru/media/id/63dd27aac30ab522dcce48b3/68bfeabc2a02b7362f518a0b" TargetMode="External"/><Relationship Id="rId518" Type="http://schemas.openxmlformats.org/officeDocument/2006/relationships/hyperlink" Target="https://dzen.ru/media/id/63dd27aac30ab522dcce48b3/68cb21493a91b21a064052e0" TargetMode="External"/><Relationship Id="rId519" Type="http://schemas.openxmlformats.org/officeDocument/2006/relationships/hyperlink" Target="https://dzen.ru/media/id/63dd27aac30ab522dcce48b3/68ed91d5f784a07f037aae69" TargetMode="External"/><Relationship Id="rId520" Type="http://schemas.openxmlformats.org/officeDocument/2006/relationships/hyperlink" Target="https://dzen.ru/media/id/63dd27aac30ab522dcce48b3/68f66ffb3b3ecd35b5d5291d" TargetMode="External"/><Relationship Id="rId521" Type="http://schemas.openxmlformats.org/officeDocument/2006/relationships/hyperlink" Target="https://dzen.ru/media/id/63dd27aac30ab522dcce48b3/68f8dc96e50c2f095f70e87d" TargetMode="External"/><Relationship Id="rId522" Type="http://schemas.openxmlformats.org/officeDocument/2006/relationships/hyperlink" Target="https://dzen.ru/media/id/63dd27aac30ab522dcce48b3/68fbf6d22c86e33ffc03820c" TargetMode="External"/><Relationship Id="rId523" Type="http://schemas.openxmlformats.org/officeDocument/2006/relationships/hyperlink" Target="https://dzen.ru/media/id/63dd27aac30ab522dcce48b3/68fbf6ee9f0528014afa25ee" TargetMode="External"/><Relationship Id="rId524" Type="http://schemas.openxmlformats.org/officeDocument/2006/relationships/hyperlink" Target="https://dzen.ru/media/id/63dd27aac30ab522dcce48b3/68ff9ea32838d622c73e53b2" TargetMode="External"/><Relationship Id="rId525" Type="http://schemas.openxmlformats.org/officeDocument/2006/relationships/hyperlink" Target="https://dzen.ru/media/id/63dd27aac30ab522dcce48b3/69021b4ce0d30a4d237ba5ff" TargetMode="External"/><Relationship Id="rId526" Type="http://schemas.openxmlformats.org/officeDocument/2006/relationships/hyperlink" Target="https://dzen.ru/media/id/63dd27aac30ab522dcce48b3/69049ad8e0d30a4d232a1bf5" TargetMode="External"/><Relationship Id="rId527" Type="http://schemas.openxmlformats.org/officeDocument/2006/relationships/hyperlink" Target="https://dzen.ru/media/id/63dd27aac30ab522dcce48b3/69062909548acf6c5bbd7252" TargetMode="External"/><Relationship Id="rId528" Type="http://schemas.openxmlformats.org/officeDocument/2006/relationships/hyperlink" Target="https://dzen.ru/media/id/63dd27aac30ab522dcce48b3/6908dea42317255bf337ad8f" TargetMode="External"/><Relationship Id="rId529" Type="http://schemas.openxmlformats.org/officeDocument/2006/relationships/hyperlink" Target="https://dzen.ru/media/id/63dd27aac30ab522dcce48b3/690bad44aabad23d9696de4f" TargetMode="External"/><Relationship Id="rId530" Type="http://schemas.openxmlformats.org/officeDocument/2006/relationships/hyperlink" Target="https://dzen.ru/media/id/63dd27aac30ab522dcce48b3/690badea277e08653b7c8da4" TargetMode="External"/><Relationship Id="rId531" Type="http://schemas.openxmlformats.org/officeDocument/2006/relationships/hyperlink" Target="https://dzen.ru/media/id/63dd27aac30ab522dcce48b3/690d1e65a43d9f7b723c84e0" TargetMode="External"/><Relationship Id="rId532" Type="http://schemas.openxmlformats.org/officeDocument/2006/relationships/hyperlink" Target="https://dzen.ru/media/id/63dd27aac30ab522dcce48b3/690e04e1604acf5b5167bdee" TargetMode="External"/><Relationship Id="rId533" Type="http://schemas.openxmlformats.org/officeDocument/2006/relationships/hyperlink" Target="https://dzen.ru/media/id/63dd27aac30ab522dcce48b3/690fb8e9127d6a6c1d08e3a7" TargetMode="External"/><Relationship Id="rId534" Type="http://schemas.openxmlformats.org/officeDocument/2006/relationships/hyperlink" Target="https://dzen.ru/media/id/63dd27aac30ab522dcce48b3/6911cf1998d2f449b9e44bf4" TargetMode="External"/><Relationship Id="rId535" Type="http://schemas.openxmlformats.org/officeDocument/2006/relationships/hyperlink" Target="https://dzen.ru/media/id/63dd27aac30ab522dcce48b3/691475b61b8336643e1f9352" TargetMode="External"/><Relationship Id="rId536" Type="http://schemas.openxmlformats.org/officeDocument/2006/relationships/hyperlink" Target="https://dzen.ru/media/id/63dd27aac30ab522dcce48b3/6917910b812fde53ca7aa9a3" TargetMode="External"/><Relationship Id="rId537" Type="http://schemas.openxmlformats.org/officeDocument/2006/relationships/hyperlink" Target="https://dzen.ru/media/id/63dd27aac30ab522dcce48b3/6918579cf9ec2b088dd732b5" TargetMode="External"/><Relationship Id="rId538" Type="http://schemas.openxmlformats.org/officeDocument/2006/relationships/hyperlink" Target="https://dzen.ru/media/id/63dd27aac30ab522dcce48b3/691acb35b012c66368bee7f6" TargetMode="External"/><Relationship Id="rId539" Type="http://schemas.openxmlformats.org/officeDocument/2006/relationships/hyperlink" Target="https://dzen.ru/media/id/63dd27aac30ab522dcce48b3/6920aac96be1b7481b792c88" TargetMode="External"/><Relationship Id="rId540" Type="http://schemas.openxmlformats.org/officeDocument/2006/relationships/hyperlink" Target="https://dzen.ru/media/id/63dd27aac30ab522dcce48b3/6921d059f6a4aa2a74e3c8fe" TargetMode="External"/><Relationship Id="rId541" Type="http://schemas.openxmlformats.org/officeDocument/2006/relationships/hyperlink" Target="https://dzen.ru/media/id/63dd27aac30ab522dcce48b3/6926ff4a776c7731a3c964f7" TargetMode="External"/><Relationship Id="rId542" Type="http://schemas.openxmlformats.org/officeDocument/2006/relationships/hyperlink" Target="https://dzen.ru/media/id/63dd27aac30ab522dcce48b3/6929a9c22da13d547a7aa346" TargetMode="External"/><Relationship Id="rId543" Type="http://schemas.openxmlformats.org/officeDocument/2006/relationships/hyperlink" Target="https://dzen.ru/media/id/63dd27aac30ab522dcce48b3/692af90aea542620690caf58" TargetMode="External"/><Relationship Id="rId544" Type="http://schemas.openxmlformats.org/officeDocument/2006/relationships/hyperlink" Target="https://dzen.ru/media/id/63dd27aac30ab522dcce48b3/692d95e2046a752dc67115b1" TargetMode="External"/><Relationship Id="rId545" Type="http://schemas.openxmlformats.org/officeDocument/2006/relationships/hyperlink" Target="https://dzen.ru/media/id/63dd27aac30ab522dcce48b3/693006039fdab026ceb7bfbd" TargetMode="External"/><Relationship Id="rId546" Type="http://schemas.openxmlformats.org/officeDocument/2006/relationships/hyperlink" Target="https://dzen.ru/media/id/63dd27aac30ab522dcce48b3/6932a6755e853a11134ed011" TargetMode="External"/><Relationship Id="rId547" Type="http://schemas.openxmlformats.org/officeDocument/2006/relationships/hyperlink" Target="https://dzen.ru/media/id/63dd27aac30ab522dcce48b3/6932f62d8203693dd4a3f39e" TargetMode="External"/><Relationship Id="rId548" Type="http://schemas.openxmlformats.org/officeDocument/2006/relationships/hyperlink" Target="https://dzen.ru/media/id/63dd27aac30ab522dcce48b3/6933e41c2b4fd22326c3882c" TargetMode="External"/><Relationship Id="rId549" Type="http://schemas.openxmlformats.org/officeDocument/2006/relationships/hyperlink" Target="https://dzen.ru/media/id/63dd27aac30ab522dcce48b3/69369a156760f966a933dc57" TargetMode="External"/><Relationship Id="rId550" Type="http://schemas.openxmlformats.org/officeDocument/2006/relationships/hyperlink" Target="https://dzen.ru/media/id/63dd27aac30ab522dcce48b3/69393aba7784fd0306fdc8bc" TargetMode="External"/><Relationship Id="rId551" Type="http://schemas.openxmlformats.org/officeDocument/2006/relationships/hyperlink" Target="https://dzen.ru/media/id/63dd27aac30ab522dcce48b3/693a8a9c0ca4823a55a740a9" TargetMode="External"/><Relationship Id="rId552" Type="http://schemas.openxmlformats.org/officeDocument/2006/relationships/hyperlink" Target="https://dzen.ru/media/id/63dd27aac30ab522dcce48b3/693bea0020776871e4f41144" TargetMode="External"/><Relationship Id="rId553" Type="http://schemas.openxmlformats.org/officeDocument/2006/relationships/hyperlink" Target="https://dzen.ru/media/id/63dd27aac30ab522dcce48b3/693d37cfc8b62e53cdd904d1" TargetMode="External"/><Relationship Id="rId554" Type="http://schemas.openxmlformats.org/officeDocument/2006/relationships/hyperlink" Target="https://dzen.ru/media/id/63dd27aac30ab522dcce48b3/693fecdc21414b5e73b1ccd7" TargetMode="External"/><Relationship Id="rId555" Type="http://schemas.openxmlformats.org/officeDocument/2006/relationships/hyperlink" Target="https://dzen.ru/media/id/63dd27aac30ab522dcce48b3/69427d1741a09c78097b57ea" TargetMode="External"/><Relationship Id="rId556" Type="http://schemas.openxmlformats.org/officeDocument/2006/relationships/hyperlink" Target="https://dzen.ru/media/id/63dd27aac30ab522dcce48b3/6944674ad92cc24889743636" TargetMode="External"/><Relationship Id="rId557" Type="http://schemas.openxmlformats.org/officeDocument/2006/relationships/hyperlink" Target="https://dzen.ru/media/id/63dd27aac30ab522dcce48b3/6945246fd92cc248890d4f2a" TargetMode="External"/><Relationship Id="rId558" Type="http://schemas.openxmlformats.org/officeDocument/2006/relationships/hyperlink" Target="https://dzen.ru/media/id/63dd27aac30ab522dcce48b3/69469b19fd50136dae8e9f9a" TargetMode="External"/><Relationship Id="rId559" Type="http://schemas.openxmlformats.org/officeDocument/2006/relationships/hyperlink" Target="https://dzen.ru/media/id/63dd27aac30ab522dcce48b3/694931d9b087b0040bafc677" TargetMode="External"/><Relationship Id="rId560" Type="http://schemas.openxmlformats.org/officeDocument/2006/relationships/hyperlink" Target="https://dzen.ru/media/id/63dd27aac30ab522dcce48b3/694b916e7be67d585af0191c" TargetMode="External"/><Relationship Id="rId561" Type="http://schemas.openxmlformats.org/officeDocument/2006/relationships/hyperlink" Target="https://dzen.ru/media/id/63dd27aac30ab522dcce48b3/694bc4473d2424440358fb78" TargetMode="External"/><Relationship Id="rId562" Type="http://schemas.openxmlformats.org/officeDocument/2006/relationships/hyperlink" Target="https://dzen.ru/media/id/63dd27aac30ab522dcce48b3/694e2c7b2806d977323c7dbf" TargetMode="External"/><Relationship Id="rId563" Type="http://schemas.openxmlformats.org/officeDocument/2006/relationships/hyperlink" Target="https://dzen.ru/media/id/63dd27aac30ab522dcce48b3/694f9a4fd2c782440ca94142" TargetMode="External"/><Relationship Id="rId564" Type="http://schemas.openxmlformats.org/officeDocument/2006/relationships/hyperlink" Target="https://dzen.ru/media/id/63dd27aac30ab522dcce48b3/69524624c3623b459e5c9088" TargetMode="External"/><Relationship Id="rId565" Type="http://schemas.openxmlformats.org/officeDocument/2006/relationships/hyperlink" Target="https://dzen.ru/media/id/63dd27aac30ab522dcce48b3/6955113310ea6a3d0c1c87c9" TargetMode="External"/><Relationship Id="rId566" Type="http://schemas.openxmlformats.org/officeDocument/2006/relationships/hyperlink" Target="https://dzen.ru/media/id/63dd27aac30ab522dcce48b3/6957a296589fb14b5892672e" TargetMode="External"/><Relationship Id="rId567" Type="http://schemas.openxmlformats.org/officeDocument/2006/relationships/hyperlink" Target="https://dzen.ru/media/id/63dd27aac30ab522dcce48b3/6964b20f4120ad68e66a0a8b" TargetMode="External"/><Relationship Id="rId568" Type="http://schemas.openxmlformats.org/officeDocument/2006/relationships/hyperlink" Target="https://dzen.ru/media/id/63dd27aac30ab522dcce48b3/6966333b07844a02932efd7e" TargetMode="External"/><Relationship Id="rId569" Type="http://schemas.openxmlformats.org/officeDocument/2006/relationships/hyperlink" Target="https://dzen.ru/media/id/63dd27aac30ab522dcce48b3/696633941a10a369260c7a60" TargetMode="External"/><Relationship Id="rId570" Type="http://schemas.openxmlformats.org/officeDocument/2006/relationships/hyperlink" Target="https://dzen.ru/media/id/63dd27aac30ab522dcce48b3/69677aceb2d5f9209fb7ddae" TargetMode="External"/><Relationship Id="rId571" Type="http://schemas.openxmlformats.org/officeDocument/2006/relationships/hyperlink" Target="https://dzen.ru/media/id/63dd27aac30ab522dcce48b3/696a0c4f9413f0435b6e4082" TargetMode="External"/><Relationship Id="rId572" Type="http://schemas.openxmlformats.org/officeDocument/2006/relationships/hyperlink" Target="https://dzen.ru/media/id/63dd27aac30ab522dcce48b3/696b5b8e84d48664e17a3fd1" TargetMode="External"/><Relationship Id="rId573" Type="http://schemas.openxmlformats.org/officeDocument/2006/relationships/hyperlink" Target="https://dzen.ru/media/id/63dd27aac30ab522dcce48b3/696e1e6435adb34b9103e082" TargetMode="External"/><Relationship Id="rId574" Type="http://schemas.openxmlformats.org/officeDocument/2006/relationships/hyperlink" Target="https://dzen.ru/media/id/63dd27aac30ab522dcce48b3/6970a64f077e8f045f1d649b" TargetMode="External"/><Relationship Id="rId575" Type="http://schemas.openxmlformats.org/officeDocument/2006/relationships/hyperlink" Target="https://dzen.ru/media/id/63dd27aac30ab522dcce48b3/69735a469f2e7939d02b92ef" TargetMode="External"/><Relationship Id="rId576" Type="http://schemas.openxmlformats.org/officeDocument/2006/relationships/hyperlink" Target="https://dzen.ru/media/id/63dd27aac30ab522dcce48b3/6974c81360015736ef75c81a" TargetMode="External"/><Relationship Id="rId577" Type="http://schemas.openxmlformats.org/officeDocument/2006/relationships/hyperlink" Target="https://dzen.ru/media/id/63dd27aac30ab522dcce48b3/69776e894156b1621a0336be" TargetMode="External"/><Relationship Id="rId578" Type="http://schemas.openxmlformats.org/officeDocument/2006/relationships/hyperlink" Target="https://dzen.ru/media/id/63dd27aac30ab522dcce48b3/6979fc504437833b46ebf248" TargetMode="External"/><Relationship Id="rId579" Type="http://schemas.openxmlformats.org/officeDocument/2006/relationships/hyperlink" Target="https://dzen.ru/media/id/63dd27aac30ab522dcce48b3/697ca04277634e37c62ed88f" TargetMode="External"/><Relationship Id="rId580" Type="http://schemas.openxmlformats.org/officeDocument/2006/relationships/hyperlink" Target="https://dzen.ru/media/id/63dd27aac30ab522dcce48b3/697ddadd53d8595caded393a" TargetMode="External"/><Relationship Id="rId581" Type="http://schemas.openxmlformats.org/officeDocument/2006/relationships/hyperlink" Target="https://dzen.ru/media/id/63dd27aac30ab522dcce48b3/69808277c00b4404e07df5aa" TargetMode="External"/><Relationship Id="rId582" Type="http://schemas.openxmlformats.org/officeDocument/2006/relationships/hyperlink" Target="https://dzen.ru/media/id/63dd27aac30ab522dcce48b3/6981ad25ed5bec4bf0ecadab" TargetMode="External"/><Relationship Id="rId583" Type="http://schemas.openxmlformats.org/officeDocument/2006/relationships/hyperlink" Target="https://dzen.ru/media/id/63dd27aac30ab522dcce48b3/6981c4696927e759894b6c16" TargetMode="External"/><Relationship Id="rId584" Type="http://schemas.openxmlformats.org/officeDocument/2006/relationships/hyperlink" Target="https://dzen.ru/media/id/63dd27aac30ab522dcce48b3/69832a80a817b25bc072114e" TargetMode="External"/><Relationship Id="rId585" Type="http://schemas.openxmlformats.org/officeDocument/2006/relationships/hyperlink" Target="https://dzen.ru/media/id/63dd27aac30ab522dcce48b3/6985cb91411702731c667cec" TargetMode="External"/><Relationship Id="rId586" Type="http://schemas.openxmlformats.org/officeDocument/2006/relationships/hyperlink" Target="https://dzen.ru/media/id/63dd27aac30ab522dcce48b3/6987546e6cb80a0df577be72" TargetMode="External"/><Relationship Id="rId587" Type="http://schemas.openxmlformats.org/officeDocument/2006/relationships/hyperlink" Target="https://dzen.ru/media/id/63dd27aac30ab522dcce48b3/6989d2a5d39e2312733770ad" TargetMode="External"/><Relationship Id="rId588" Type="http://schemas.openxmlformats.org/officeDocument/2006/relationships/hyperlink" Target="https://dzen.ru/media/id/63dd27aac30ab522dcce48b3/698c50b7d389c17d75a0d4b9" TargetMode="External"/><Relationship Id="rId589" Type="http://schemas.openxmlformats.org/officeDocument/2006/relationships/hyperlink" Target="https://dzen.ru/media/id/63dd27aac30ab522dcce48b3/698eebddf1a25f22b8874294" TargetMode="External"/><Relationship Id="rId590" Type="http://schemas.openxmlformats.org/officeDocument/2006/relationships/hyperlink" Target="https://dzen.ru/media/id/63dd27aac30ab522dcce48b3/6990237fd4b49760c4af972b" TargetMode="External"/><Relationship Id="rId591" Type="http://schemas.openxmlformats.org/officeDocument/2006/relationships/hyperlink" Target="https://dzen.ru/media/id/63dd27aac30ab522dcce48b3/6992f714f6aad662ec1bb9d9" TargetMode="External"/><Relationship Id="rId592" Type="http://schemas.openxmlformats.org/officeDocument/2006/relationships/hyperlink" Target="https://dzen.ru/media/id/63dd27aac30ab522dcce48b3/69958e1d595bda60a68a82a1" TargetMode="External"/><Relationship Id="rId593" Type="http://schemas.openxmlformats.org/officeDocument/2006/relationships/hyperlink" Target="https://dzen.ru/media/id/63dd27aac30ab522dcce48b3/6998311ea0e1894ffed2542a" TargetMode="External"/><Relationship Id="rId594" Type="http://schemas.openxmlformats.org/officeDocument/2006/relationships/hyperlink" Target="https://dzen.ru/media/id/63dd27aac30ab522dcce48b3/6999a2e62c696269d1e671f1" TargetMode="External"/><Relationship Id="rId595" Type="http://schemas.openxmlformats.org/officeDocument/2006/relationships/hyperlink" Target="https://dzen.ru/media/id/63dd27aac30ab522dcce48b3/699c40f46eadb4419166a3a1" TargetMode="External"/><Relationship Id="rId596" Type="http://schemas.openxmlformats.org/officeDocument/2006/relationships/hyperlink" Target="https://dzen.ru/media/id/63dd27aac30ab522dcce48b3/699c41838b3c9b0e01969820" TargetMode="External"/><Relationship Id="rId597" Type="http://schemas.openxmlformats.org/officeDocument/2006/relationships/hyperlink" Target="https://dzen.ru/media/id/63dd27aac30ab522dcce48b3/699d99e849106433d81c5e01" TargetMode="External"/><Relationship Id="rId598" Type="http://schemas.openxmlformats.org/officeDocument/2006/relationships/hyperlink" Target="https://dzen.ru/media/id/63dd27aac30ab522dcce48b3/699dbfeab9136848053bd6a2" TargetMode="External"/><Relationship Id="rId599" Type="http://schemas.openxmlformats.org/officeDocument/2006/relationships/hyperlink" Target="https://dzen.ru/media/id/63dd27aac30ab522dcce48b3/699ec2a849481823817513fe" TargetMode="External"/><Relationship Id="rId600" Type="http://schemas.openxmlformats.org/officeDocument/2006/relationships/hyperlink" Target="https://dzen.ru/media/id/63dd27aac30ab522dcce48b3/699eff7e2ca7165f88ff4851" TargetMode="External"/><Relationship Id="rId601" Type="http://schemas.openxmlformats.org/officeDocument/2006/relationships/hyperlink" Target="https://dzen.ru/media/id/63dd27aac30ab522dcce48b3/699f71395036c84a97378e35" TargetMode="External"/><Relationship Id="rId602" Type="http://schemas.openxmlformats.org/officeDocument/2006/relationships/hyperlink" Target="https://dzen.ru/media/id/63dd27aac30ab522dcce48b3/699f7bae60ec9a474d41860c" TargetMode="External"/><Relationship Id="rId603" Type="http://schemas.openxmlformats.org/officeDocument/2006/relationships/hyperlink" Target="https://dzen.ru/media/id/63dd27aac30ab522dcce48b3/69a191aa27a6b50c23bae670" TargetMode="External"/><Relationship Id="rId604" Type="http://schemas.openxmlformats.org/officeDocument/2006/relationships/hyperlink" Target="https://dzen.ru/media/id/63dd27aac30ab522dcce48b3/69a2b12fc87e676274f846f7" TargetMode="External"/><Relationship Id="rId605" Type="http://schemas.openxmlformats.org/officeDocument/2006/relationships/hyperlink" Target="https://dzen.ru/media/id/63dd27aac30ab522dcce48b3/69a6919060784765a596a8fb" TargetMode="External"/><Relationship Id="rId606" Type="http://schemas.openxmlformats.org/officeDocument/2006/relationships/hyperlink" Target="https://dzen.ru/media/id/63dd27aac30ab522dcce48b3/69a691f92ca7165f88e1af50" TargetMode="External"/><Relationship Id="rId607" Type="http://schemas.openxmlformats.org/officeDocument/2006/relationships/hyperlink" Target="https://dzen.ru/media/id/63dd27aac30ab522dcce48b3/69a8097fc87e676274ae0b51" TargetMode="External"/><Relationship Id="rId608" Type="http://schemas.openxmlformats.org/officeDocument/2006/relationships/hyperlink" Target="https://dzen.ru/media/id/63dd27aac30ab522dcce48b3/69a935dd54c19f73b9e04545" TargetMode="External"/><Relationship Id="rId609" Type="http://schemas.openxmlformats.org/officeDocument/2006/relationships/hyperlink" Target="https://dzen.ru/media/id/63dd27aac30ab522dcce48b3/69aa9018c21a01225f86ec5b" TargetMode="External"/><Relationship Id="rId610" Type="http://schemas.openxmlformats.org/officeDocument/2006/relationships/hyperlink" Target="https://dzen.ru/media/id/63dd27aac30ab522dcce48b3/69ac066f54c19f73b9003c43" TargetMode="External"/><Relationship Id="rId611" Type="http://schemas.openxmlformats.org/officeDocument/2006/relationships/hyperlink" Target="https://dzen.ru/media/id/63dd27aac30ab522dcce48b3/69aff3a538356039a2a6b315" TargetMode="External"/><Relationship Id="rId612" Type="http://schemas.openxmlformats.org/officeDocument/2006/relationships/hyperlink" Target="https://dzen.ru/media/id/63dd27aac30ab522dcce48b3/69b13acd7121ce0dfc5afbc4" TargetMode="External"/><Relationship Id="rId613" Type="http://schemas.openxmlformats.org/officeDocument/2006/relationships/hyperlink" Target="https://dzen.ru/media/id/63dd27aac30ab522dcce48b3/69b2975eddf44f223391cd85" TargetMode="External"/><Relationship Id="rId614" Type="http://schemas.openxmlformats.org/officeDocument/2006/relationships/hyperlink" Target="https://dzen.ru/media/id/63dd27aac30ab522dcce48b3/69b3f311ac59991cb17661fe" TargetMode="External"/><Relationship Id="rId615" Type="http://schemas.openxmlformats.org/officeDocument/2006/relationships/hyperlink" Target="https://dzen.ru/media/id/63dd27aac30ab522dcce48b3/69b53f7c3914d77836c98d2b" TargetMode="External"/><Relationship Id="rId616" Type="http://schemas.openxmlformats.org/officeDocument/2006/relationships/hyperlink" Target="https://dzen.ru/media/id/63dd27aac30ab522dcce48b3/69b7d3fe3914d778363c7dcb" TargetMode="External"/><Relationship Id="rId617" Type="http://schemas.openxmlformats.org/officeDocument/2006/relationships/hyperlink" Target="https://dzen.ru/media/id/63dd27aac30ab522dcce48b3/69b80bb55a734a0f92b3ac41" TargetMode="External"/><Relationship Id="rId618" Type="http://schemas.openxmlformats.org/officeDocument/2006/relationships/hyperlink" Target="https://dzen.ru/media/id/63dd27aac30ab522dcce48b3/69ba8273140c421ae390e5fe" TargetMode="External"/><Relationship Id="rId619" Type="http://schemas.openxmlformats.org/officeDocument/2006/relationships/hyperlink" Target="https://dzen.ru/media/id/63dd27aac30ab522dcce48b3/69bbca1b81c9275cbcd00d78" TargetMode="External"/><Relationship Id="rId620" Type="http://schemas.openxmlformats.org/officeDocument/2006/relationships/hyperlink" Target="https://dzen.ru/media/id/63dd27aac30ab522dcce48b3/69bd222c2af5b27b2c915c40" TargetMode="External"/><Relationship Id="rId621" Type="http://schemas.openxmlformats.org/officeDocument/2006/relationships/hyperlink" Target="https://dzen.ru/media/id/63dd27aac30ab522dcce48b3/69be570eb813342d3b999119" TargetMode="External"/><Relationship Id="rId622" Type="http://schemas.openxmlformats.org/officeDocument/2006/relationships/hyperlink" Target="https://dzen.ru/media/id/63dd27aac30ab522dcce48b3/69c117d816fa137f929f5ea0" TargetMode="External"/><Relationship Id="rId623" Type="http://schemas.openxmlformats.org/officeDocument/2006/relationships/hyperlink" Target="https://dzen.ru/media/id/63dd27aac30ab522dcce48b3/69c25e0ca4aa3b497ef94b0a" TargetMode="External"/><Relationship Id="rId624" Type="http://schemas.openxmlformats.org/officeDocument/2006/relationships/hyperlink" Target="https://dzen.ru/media/id/63dd27aac30ab522dcce48b3/69c3fa9dc81abe3e2d01c703" TargetMode="External"/><Relationship Id="rId625" Type="http://schemas.openxmlformats.org/officeDocument/2006/relationships/hyperlink" Target="https://dzen.ru/media/id/63dd27aac30ab522dcce48b3/69c4fd99d6cafc6083a9234c" TargetMode="External"/><Relationship Id="rId626" Type="http://schemas.openxmlformats.org/officeDocument/2006/relationships/hyperlink" Target="https://dzen.ru/media/id/63dd27aac30ab522dcce48b3/69c652fad56a431b205b158b" TargetMode="External"/><Relationship Id="rId627" Type="http://schemas.openxmlformats.org/officeDocument/2006/relationships/hyperlink" Target="https://dzen.ru/media/id/63dd27aac30ab522dcce48b3/69c79b8bb247637e15f147e4" TargetMode="External"/><Relationship Id="rId628" Type="http://schemas.openxmlformats.org/officeDocument/2006/relationships/hyperlink" Target="https://dzen.ru/media/id/63dd27aac30ab522dcce48b3/69ca8ee4ea0e9210334ed308" TargetMode="External"/><Relationship Id="rId629" Type="http://schemas.openxmlformats.org/officeDocument/2006/relationships/hyperlink" Target="https://dzen.ru/media/id/63dd27aac30ab522dcce48b3/69cb8687e669ed222cbdcfe0" TargetMode="External"/><Relationship Id="rId630" Type="http://schemas.openxmlformats.org/officeDocument/2006/relationships/hyperlink" Target="https://dzen.ru/media/id/63dd27aac30ab522dcce48b3/69cce11f7a57a606de776a29" TargetMode="External"/><Relationship Id="rId631" Type="http://schemas.openxmlformats.org/officeDocument/2006/relationships/hyperlink" Target="https://dzen.ru/media/id/63dd27aac30ab522dcce48b3/69cba5db68834d7c097c487d" TargetMode="External"/><Relationship Id="rId632" Type="http://schemas.openxmlformats.org/officeDocument/2006/relationships/hyperlink" Target="https://dzen.ru/media/id/63dd27aac30ab522dcce48b3/69cf8ab95cc9da341a51783c" TargetMode="External"/><Relationship Id="rId633" Type="http://schemas.openxmlformats.org/officeDocument/2006/relationships/hyperlink" Target="https://dzen.ru/media/id/63dd27aac30ab522dcce48b3/69d0da14822f9600c8405684" TargetMode="External"/><Relationship Id="rId634" Type="http://schemas.openxmlformats.org/officeDocument/2006/relationships/hyperlink" Target="https://dzen.ru/media/id/63dd27aac30ab522dcce48b3/69d397cba97d8f46a0b4996e" TargetMode="External"/><Relationship Id="rId635" Type="http://schemas.openxmlformats.org/officeDocument/2006/relationships/hyperlink" Target="https://dzen.ru/media/id/63dd27aac30ab522dcce48b3/69d4c54f16c912336e603aa7" TargetMode="External"/><Relationship Id="rId636" Type="http://schemas.openxmlformats.org/officeDocument/2006/relationships/hyperlink" Target="https://dzen.ru/media/id/63dd27aac30ab522dcce48b3/69d6239216c912336efe92b1" TargetMode="External"/><Relationship Id="rId637" Type="http://schemas.openxmlformats.org/officeDocument/2006/relationships/hyperlink" Target="https://dzen.ru/media/id/63dd27aac30ab522dcce48b3/69d91a2a26b14460f249f3ee" TargetMode="External"/><Relationship Id="rId638" Type="http://schemas.openxmlformats.org/officeDocument/2006/relationships/hyperlink" Target="https://dzen.ru/media/id/63dd27aac30ab522dcce48b3/69dccbfccc4ccd7838bee483" TargetMode="External"/><Relationship Id="rId639" Type="http://schemas.openxmlformats.org/officeDocument/2006/relationships/hyperlink" Target="https://dzen.ru/media/id/63dd27aac30ab522dcce48b3/69df6e0e5f2c6700184b081b" TargetMode="External"/><Relationship Id="rId640" Type="http://schemas.openxmlformats.org/officeDocument/2006/relationships/hyperlink" Target="https://dzen.ru/media/id/63dd27aac30ab522dcce48b3/69e22980ff5efd65a7fd01b7" TargetMode="External"/><Relationship Id="rId641" Type="http://schemas.openxmlformats.org/officeDocument/2006/relationships/hyperlink" Target="https://dzen.ru/media/id/63dd27aac30ab522dcce48b3/69e3591b6bb3744fb8b64f8b" TargetMode="External"/><Relationship Id="rId642" Type="http://schemas.openxmlformats.org/officeDocument/2006/relationships/hyperlink" Target="https://dzen.ru/media/id/63dd27aac30ab522dcce48b3/69e69ded6a9454772626ad36" TargetMode="External"/><Relationship Id="rId643" Type="http://schemas.openxmlformats.org/officeDocument/2006/relationships/hyperlink" Target="https://dzen.ru/media/id/63dd27aac30ab522dcce48b3/69e7a1f7504a2d335f657c41" TargetMode="External"/><Relationship Id="rId644" Type="http://schemas.openxmlformats.org/officeDocument/2006/relationships/hyperlink" Target="https://dzen.ru/media/id/63dd27aac30ab522dcce48b3/69e8a675ef10a53c8ef4f647" TargetMode="External"/><Relationship Id="rId645" Type="http://schemas.openxmlformats.org/officeDocument/2006/relationships/hyperlink" Target="https://dzen.ru/media/id/63dd27aac30ab522dcce48b3/69eb5a8cffbebd09e0ad0c42" TargetMode="External"/><Relationship Id="rId646" Type="http://schemas.openxmlformats.org/officeDocument/2006/relationships/hyperlink" Target="https://dzen.ru/media/id/63dd27aac30ab522dcce48b3/69eca20fb328ed76d082d055" TargetMode="External"/><Relationship Id="rId647" Type="http://schemas.openxmlformats.org/officeDocument/2006/relationships/hyperlink" Target="https://dzen.ru/media/id/63dd27aac30ab522dcce48b3/69ef0f245f1565661884433c" TargetMode="External"/><Relationship Id="rId648" Type="http://schemas.openxmlformats.org/officeDocument/2006/relationships/hyperlink" Target="https://dzen.ru/media/id/63dd27aac30ab522dcce48b3/69f1d42d8397d7093fbf7c58" TargetMode="External"/><Relationship Id="rId649" Type="http://schemas.openxmlformats.org/officeDocument/2006/relationships/hyperlink" Target="https://dzen.ru/media/id/63dd27aac30ab522dcce48b3/69f4557c8034f13afe362913" TargetMode="External"/><Relationship Id="rId650" Type="http://schemas.openxmlformats.org/officeDocument/2006/relationships/hyperlink" Target="https://dzen.ru/media/id/63dd27aac30ab522dcce48b3/69f875812464ba6c7863bc82" TargetMode="External"/><Relationship Id="rId651" Type="http://schemas.openxmlformats.org/officeDocument/2006/relationships/hyperlink" Target="https://dzen.ru/media/id/63dd27aac30ab522dcce48b3/69f9f74a49f7d6677082fb82" TargetMode="External"/><Relationship Id="rId652" Type="http://schemas.openxmlformats.org/officeDocument/2006/relationships/hyperlink" Target="https://dzen.ru/media/id/63dd27aac30ab522dcce48b3/6a0309933990ec43f4932ec5" TargetMode="External"/><Relationship Id="rId653" Type="http://schemas.openxmlformats.org/officeDocument/2006/relationships/hyperlink" Target="https://dzen.ru/media/id/63dd27aac30ab522dcce48b3/6a21610e155d32726166e88b" TargetMode="External"/><Relationship Id="rId654" Type="http://schemas.openxmlformats.org/officeDocument/2006/relationships/hyperlink" Target="https://dzen.ru/media/id/63dd27aac30ab522dcce48b3/6a2296d69804be602032b858" TargetMode="External"/><Relationship Id="rId655" Type="http://schemas.openxmlformats.org/officeDocument/2006/relationships/hyperlink" Target="https://dzen.ru/media/id/63dd27aac30ab522dcce48b3/6a24552e9804be6020f7fe02" TargetMode="External"/><Relationship Id="rId656" Type="http://schemas.openxmlformats.org/officeDocument/2006/relationships/hyperlink" Target="https://dzen.ru/media/id/63dd27aac30ab522dcce48b3/6a2c31f00e913e74ec482b60" TargetMode="External"/><Relationship Id="rId657" Type="http://schemas.openxmlformats.org/officeDocument/2006/relationships/hyperlink" Target="https://dzen.ru/media/id/63dd27aac30ab522dcce48b3/6a2e81ddc18d922da71163fa" TargetMode="External"/><Relationship Id="rId658" Type="http://schemas.openxmlformats.org/officeDocument/2006/relationships/hyperlink" Target="https://dzen.ru/media/id/63dd27aac30ab522dcce48b3/6a3106a9f4b6cc41c1c2148f" TargetMode="External"/><Relationship Id="rId659" Type="http://schemas.openxmlformats.org/officeDocument/2006/relationships/hyperlink" Target="https://dzen.ru/media/id/63dd27aac30ab522dcce48b3/6a3e43d02dd9ef51bfa3f5fa" TargetMode="External"/><Relationship Id="rId660" Type="http://schemas.openxmlformats.org/officeDocument/2006/relationships/hyperlink" Target="https://dzen.ru/media/id/63dd27aac30ab522dcce48b3/6a412befd596620ceab10135" TargetMode="External"/><Relationship Id="rId661" Type="http://schemas.openxmlformats.org/officeDocument/2006/relationships/hyperlink" Target="https://dzen.ru/media/id/63dd27aac30ab522dcce48b3/6a61226d73e8c62b83831a34" TargetMode="External"/><Relationship Id="rId662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zen.ru/media/id/63dd27aac30ab522dcce48b3/63f3761929138056e7ede011" TargetMode="External"/><Relationship Id="rId2" Type="http://schemas.openxmlformats.org/officeDocument/2006/relationships/hyperlink" Target="https://dzen.ru/media/id/63dd27aac30ab522dcce48b3/63f5fbadb1006b73606247dd" TargetMode="External"/><Relationship Id="rId3" Type="http://schemas.openxmlformats.org/officeDocument/2006/relationships/hyperlink" Target="https://dzen.ru/media/id/63dd27aac30ab522dcce48b3/6408c50d0728812eb4a14afd" TargetMode="External"/><Relationship Id="rId4" Type="http://schemas.openxmlformats.org/officeDocument/2006/relationships/hyperlink" Target="https://dzen.ru/media/id/63dd27aac30ab522dcce48b3/64195fed3d1e83632eec1d49" TargetMode="External"/><Relationship Id="rId5" Type="http://schemas.openxmlformats.org/officeDocument/2006/relationships/hyperlink" Target="https://dzen.ru/media/id/63dd27aac30ab522dcce48b3/641e15ab3720404be67132d7" TargetMode="External"/><Relationship Id="rId6" Type="http://schemas.openxmlformats.org/officeDocument/2006/relationships/hyperlink" Target="https://dzen.ru/media/id/63dd27aac30ab522dcce48b3/6440ae95e751c96d1eb5d882" TargetMode="External"/><Relationship Id="rId7" Type="http://schemas.openxmlformats.org/officeDocument/2006/relationships/hyperlink" Target="https://dzen.ru/media/id/63dd27aac30ab522dcce48b3/644239017d0ee052d40546e7" TargetMode="External"/><Relationship Id="rId8" Type="http://schemas.openxmlformats.org/officeDocument/2006/relationships/hyperlink" Target="https://dzen.ru/media/id/63dd27aac30ab522dcce48b3/6446250c6195f63c2e841167" TargetMode="External"/><Relationship Id="rId9" Type="http://schemas.openxmlformats.org/officeDocument/2006/relationships/hyperlink" Target="https://dzen.ru/media/id/63dd27aac30ab522dcce48b3/64541c23bb58ab48ce96968e" TargetMode="External"/><Relationship Id="rId10" Type="http://schemas.openxmlformats.org/officeDocument/2006/relationships/hyperlink" Target="https://dzen.ru/media/id/63dd27aac30ab522dcce48b3/64731cfd8294d62b8d8e2d7d" TargetMode="External"/><Relationship Id="rId11" Type="http://schemas.openxmlformats.org/officeDocument/2006/relationships/hyperlink" Target="https://dzen.ru/media/id/63dd27aac30ab522dcce48b3/6475984bffa8bf12a632ad71" TargetMode="External"/><Relationship Id="rId12" Type="http://schemas.openxmlformats.org/officeDocument/2006/relationships/hyperlink" Target="https://dzen.ru/media/id/63dd27aac30ab522dcce48b3/64759935ffa8bf12a6341f1a" TargetMode="External"/><Relationship Id="rId13" Type="http://schemas.openxmlformats.org/officeDocument/2006/relationships/hyperlink" Target="https://dzen.ru/media/id/63dd27aac30ab522dcce48b3/64759c57ee2dd94751a04d48" TargetMode="External"/><Relationship Id="rId14" Type="http://schemas.openxmlformats.org/officeDocument/2006/relationships/hyperlink" Target="https://dzen.ru/media/id/63dd27aac30ab522dcce48b3/64759eb579fc705940ca65b5" TargetMode="External"/><Relationship Id="rId15" Type="http://schemas.openxmlformats.org/officeDocument/2006/relationships/hyperlink" Target="https://dzen.ru/media/id/63dd27aac30ab522dcce48b3/6475a075752a5a6915af8857" TargetMode="External"/><Relationship Id="rId16" Type="http://schemas.openxmlformats.org/officeDocument/2006/relationships/hyperlink" Target="https://dzen.ru/media/id/63dd27aac30ab522dcce48b3/647cfaefc2e4d260fc445a66" TargetMode="External"/><Relationship Id="rId17" Type="http://schemas.openxmlformats.org/officeDocument/2006/relationships/hyperlink" Target="https://dzen.ru/media/id/63dd27aac30ab522dcce48b3/647cfbb8c2e4d260fc452be3" TargetMode="External"/><Relationship Id="rId18" Type="http://schemas.openxmlformats.org/officeDocument/2006/relationships/hyperlink" Target="https://dzen.ru/media/id/63dd27aac30ab522dcce48b3/647cff13398ee614dceb3d31" TargetMode="External"/><Relationship Id="rId19" Type="http://schemas.openxmlformats.org/officeDocument/2006/relationships/hyperlink" Target="https://dzen.ru/media/id/63dd27aac30ab522dcce48b3/647cff8da29d5f26c40a2df0" TargetMode="External"/><Relationship Id="rId20" Type="http://schemas.openxmlformats.org/officeDocument/2006/relationships/hyperlink" Target="https://dzen.ru/media/id/63dd27aac30ab522dcce48b3/647d00611104316e38baf54d" TargetMode="External"/><Relationship Id="rId21" Type="http://schemas.openxmlformats.org/officeDocument/2006/relationships/hyperlink" Target="https://dzen.ru/media/id/63dd27aac30ab522dcce48b3/6482378dab84146e66526fb6" TargetMode="External"/><Relationship Id="rId22" Type="http://schemas.openxmlformats.org/officeDocument/2006/relationships/hyperlink" Target="https://dzen.ru/media/id/63dd27aac30ab522dcce48b3/64823bc259b6ef474c1a9051" TargetMode="External"/><Relationship Id="rId23" Type="http://schemas.openxmlformats.org/officeDocument/2006/relationships/hyperlink" Target="https://dzen.ru/media/id/63dd27aac30ab522dcce48b3/64823c33f205df6eb751347d" TargetMode="External"/><Relationship Id="rId24" Type="http://schemas.openxmlformats.org/officeDocument/2006/relationships/hyperlink" Target="https://dzen.ru/media/id/63dd27aac30ab522dcce48b3/6488734edfaba6448dae8ad2" TargetMode="External"/><Relationship Id="rId25" Type="http://schemas.openxmlformats.org/officeDocument/2006/relationships/hyperlink" Target="https://dzen.ru/media/id/63dd27aac30ab522dcce48b3/648873a1a696de4231d5ac36" TargetMode="External"/><Relationship Id="rId26" Type="http://schemas.openxmlformats.org/officeDocument/2006/relationships/hyperlink" Target="https://dzen.ru/media/id/63dd27aac30ab522dcce48b3/648873e985c3654e55046554" TargetMode="External"/><Relationship Id="rId27" Type="http://schemas.openxmlformats.org/officeDocument/2006/relationships/hyperlink" Target="https://dzen.ru/media/id/63dd27aac30ab522dcce48b3/648ae4d5ff977512751635cc" TargetMode="External"/><Relationship Id="rId28" Type="http://schemas.openxmlformats.org/officeDocument/2006/relationships/hyperlink" Target="https://dzen.ru/media/id/63dd27aac30ab522dcce48b3/648eafa5224f471d4e8e75bb" TargetMode="External"/><Relationship Id="rId29" Type="http://schemas.openxmlformats.org/officeDocument/2006/relationships/hyperlink" Target="https://dzen.ru/media/id/63dd27aac30ab522dcce48b3/648f704648f62c2aa7190d75" TargetMode="External"/><Relationship Id="rId30" Type="http://schemas.openxmlformats.org/officeDocument/2006/relationships/hyperlink" Target="https://dzen.ru/media/id/63dd27aac30ab522dcce48b3/6492d0f5970b3c13362582e8" TargetMode="External"/><Relationship Id="rId31" Type="http://schemas.openxmlformats.org/officeDocument/2006/relationships/hyperlink" Target="https://dzen.ru/media/id/63dd27aac30ab522dcce48b3/649401dfe7ff98692026b9d4" TargetMode="External"/><Relationship Id="rId32" Type="http://schemas.openxmlformats.org/officeDocument/2006/relationships/hyperlink" Target="https://dzen.ru/media/id/63dd27aac30ab522dcce48b3/64958a01f233107ba4605017" TargetMode="External"/><Relationship Id="rId33" Type="http://schemas.openxmlformats.org/officeDocument/2006/relationships/hyperlink" Target="https://dzen.ru/media/id/63dd27aac30ab522dcce48b3/6496c2493899bc664a3c8621" TargetMode="External"/><Relationship Id="rId34" Type="http://schemas.openxmlformats.org/officeDocument/2006/relationships/hyperlink" Target="https://dzen.ru/media/id/63dd27aac30ab522dcce48b3/649810dd791c8560ba8337dc" TargetMode="External"/><Relationship Id="rId35" Type="http://schemas.openxmlformats.org/officeDocument/2006/relationships/hyperlink" Target="https://dzen.ru/media/id/63dd27aac30ab522dcce48b3/64999978d3edc357ce0a7e10" TargetMode="External"/><Relationship Id="rId36" Type="http://schemas.openxmlformats.org/officeDocument/2006/relationships/hyperlink" Target="https://dzen.ru/media/id/63dd27aac30ab522dcce48b3/649aa93114d2890c3da36f4c" TargetMode="External"/><Relationship Id="rId37" Type="http://schemas.openxmlformats.org/officeDocument/2006/relationships/hyperlink" Target="https://dzen.ru/media/id/63dd27aac30ab522dcce48b3/649bf0350d74bf7b02a7af88" TargetMode="External"/><Relationship Id="rId38" Type="http://schemas.openxmlformats.org/officeDocument/2006/relationships/hyperlink" Target="https://dzen.ru/media/id/63dd27aac30ab522dcce48b3/649d58858a478710699d1658" TargetMode="External"/><Relationship Id="rId39" Type="http://schemas.openxmlformats.org/officeDocument/2006/relationships/hyperlink" Target="https://dzen.ru/media/id/63dd27aac30ab522dcce48b3/649eb120c0908348eb4b1132" TargetMode="External"/><Relationship Id="rId40" Type="http://schemas.openxmlformats.org/officeDocument/2006/relationships/hyperlink" Target="https://dzen.ru/media/id/63dd27aac30ab522dcce48b3/64a0046c0d384d3575999028" TargetMode="External"/><Relationship Id="rId41" Type="http://schemas.openxmlformats.org/officeDocument/2006/relationships/hyperlink" Target="https://dzen.ru/media/id/63dd27aac30ab522dcce48b3/64a13aa66eed5102b0fe8333" TargetMode="External"/><Relationship Id="rId42" Type="http://schemas.openxmlformats.org/officeDocument/2006/relationships/hyperlink" Target="https://dzen.ru/media/id/63dd27aac30ab522dcce48b3/64a2a0c3d7aa5d585097e1b9" TargetMode="External"/><Relationship Id="rId43" Type="http://schemas.openxmlformats.org/officeDocument/2006/relationships/hyperlink" Target="https://dzen.ru/media/id/63dd27aac30ab522dcce48b3/64a3e64732bb3c038b6a588f" TargetMode="External"/><Relationship Id="rId44" Type="http://schemas.openxmlformats.org/officeDocument/2006/relationships/hyperlink" Target="https://dzen.ru/media/id/63dd27aac30ab522dcce48b3/64a5404832bb3c038bc6cc7d" TargetMode="External"/><Relationship Id="rId45" Type="http://schemas.openxmlformats.org/officeDocument/2006/relationships/hyperlink" Target="https://dzen.ru/media/id/63dd27aac30ab522dcce48b3/64a678a507997e1f052c3c08" TargetMode="External"/><Relationship Id="rId46" Type="http://schemas.openxmlformats.org/officeDocument/2006/relationships/hyperlink" Target="https://dzen.ru/media/id/63dd27aac30ab522dcce48b3/64a7d7f52d93cb3d5e380a64" TargetMode="External"/><Relationship Id="rId47" Type="http://schemas.openxmlformats.org/officeDocument/2006/relationships/hyperlink" Target="https://dzen.ru/media/id/63dd27aac30ab522dcce48b3/64a97a152531b624fe2dcc23" TargetMode="External"/><Relationship Id="rId48" Type="http://schemas.openxmlformats.org/officeDocument/2006/relationships/hyperlink" Target="https://dzen.ru/media/id/63dd27aac30ab522dcce48b3/64aa74cb03ddb86a9bdd0fa4" TargetMode="External"/><Relationship Id="rId49" Type="http://schemas.openxmlformats.org/officeDocument/2006/relationships/hyperlink" Target="https://dzen.ru/media/id/63dd27aac30ab522dcce48b3/64abb19b6b91d965cf85c88e" TargetMode="External"/><Relationship Id="rId50" Type="http://schemas.openxmlformats.org/officeDocument/2006/relationships/hyperlink" Target="https://dzen.ru/media/id/63dd27aac30ab522dcce48b3/64ad145a91e2d611e9b49540" TargetMode="External"/><Relationship Id="rId51" Type="http://schemas.openxmlformats.org/officeDocument/2006/relationships/hyperlink" Target="https://dzen.ru/media/id/63dd27aac30ab522dcce48b3/64ae5adddc14f93baaf867b8" TargetMode="External"/><Relationship Id="rId52" Type="http://schemas.openxmlformats.org/officeDocument/2006/relationships/hyperlink" Target="https://dzen.ru/media/id/63dd27aac30ab522dcce48b3/64afb3bfb80020411aaf6b4e" TargetMode="External"/><Relationship Id="rId53" Type="http://schemas.openxmlformats.org/officeDocument/2006/relationships/hyperlink" Target="https://dzen.ru/media/id/63dd27aac30ab522dcce48b3/64b113d0682d3d25e1bfaed0" TargetMode="External"/><Relationship Id="rId54" Type="http://schemas.openxmlformats.org/officeDocument/2006/relationships/hyperlink" Target="https://dzen.ru/media/id/63dd27aac30ab522dcce48b3/64b25e0c2162ad30eb89b364" TargetMode="External"/><Relationship Id="rId55" Type="http://schemas.openxmlformats.org/officeDocument/2006/relationships/hyperlink" Target="https://dzen.ru/media/id/63dd27aac30ab522dcce48b3/64b3ad3de2812931d40c756e" TargetMode="External"/><Relationship Id="rId56" Type="http://schemas.openxmlformats.org/officeDocument/2006/relationships/hyperlink" Target="https://dzen.ru/media/id/63dd27aac30ab522dcce48b3/64b50cad25e22b78090a8a03" TargetMode="External"/><Relationship Id="rId57" Type="http://schemas.openxmlformats.org/officeDocument/2006/relationships/hyperlink" Target="https://dzen.ru/media/id/63dd27aac30ab522dcce48b3/64b6554c1fb1a44c158df181" TargetMode="External"/><Relationship Id="rId58" Type="http://schemas.openxmlformats.org/officeDocument/2006/relationships/hyperlink" Target="https://dzen.ru/media/id/63dd27aac30ab522dcce48b3/64b7a104cd666a6fb1839fd9" TargetMode="External"/><Relationship Id="rId59" Type="http://schemas.openxmlformats.org/officeDocument/2006/relationships/hyperlink" Target="https://dzen.ru/media/id/63dd27aac30ab522dcce48b3/64b8fa762955d3653142d94d" TargetMode="External"/><Relationship Id="rId60" Type="http://schemas.openxmlformats.org/officeDocument/2006/relationships/hyperlink" Target="https://dzen.ru/media/id/63dd27aac30ab522dcce48b3/64ba5399fecdf84e5abcc77d" TargetMode="External"/><Relationship Id="rId61" Type="http://schemas.openxmlformats.org/officeDocument/2006/relationships/hyperlink" Target="https://dzen.ru/media/id/63dd27aac30ab522dcce48b3/64bb9b6d57aa952a34677083" TargetMode="External"/><Relationship Id="rId62" Type="http://schemas.openxmlformats.org/officeDocument/2006/relationships/hyperlink" Target="https://dzen.ru/media/id/63dd27aac30ab522dcce48b3/64bcebc3953ef56ce2bf2cd5" TargetMode="External"/><Relationship Id="rId63" Type="http://schemas.openxmlformats.org/officeDocument/2006/relationships/hyperlink" Target="https://dzen.ru/media/id/63dd27aac30ab522dcce48b3/64be35c13183b0639d504f6f" TargetMode="External"/><Relationship Id="rId64" Type="http://schemas.openxmlformats.org/officeDocument/2006/relationships/hyperlink" Target="https://dzen.ru/media/id/63dd27aac30ab522dcce48b3/64bf8752da8d293e7f4d8b04" TargetMode="External"/><Relationship Id="rId65" Type="http://schemas.openxmlformats.org/officeDocument/2006/relationships/hyperlink" Target="https://dzen.ru/media/id/63dd27aac30ab522dcce48b3/64c0d2c30db63957c0d12631" TargetMode="External"/><Relationship Id="rId66" Type="http://schemas.openxmlformats.org/officeDocument/2006/relationships/hyperlink" Target="https://dzen.ru/media/id/63dd27aac30ab522dcce48b3/64c21edc0db63957c0953adf" TargetMode="External"/><Relationship Id="rId67" Type="http://schemas.openxmlformats.org/officeDocument/2006/relationships/hyperlink" Target="https://dzen.ru/media/id/63dd27aac30ab522dcce48b3/64c37a523de597011a2beb64" TargetMode="External"/><Relationship Id="rId68" Type="http://schemas.openxmlformats.org/officeDocument/2006/relationships/hyperlink" Target="https://dzen.ru/media/id/63dd27aac30ab522dcce48b3/64c4bdbc9ab9276d365e5caf" TargetMode="External"/><Relationship Id="rId69" Type="http://schemas.openxmlformats.org/officeDocument/2006/relationships/hyperlink" Target="https://dzen.ru/media/id/63dd27aac30ab522dcce48b3/64c625c9c1a61610b1a781d9" TargetMode="External"/><Relationship Id="rId70" Type="http://schemas.openxmlformats.org/officeDocument/2006/relationships/hyperlink" Target="https://dzen.ru/media/id/63dd27aac30ab522dcce48b3/64c77513e2687c5d7f1120ce" TargetMode="External"/><Relationship Id="rId71" Type="http://schemas.openxmlformats.org/officeDocument/2006/relationships/hyperlink" Target="https://dzen.ru/media/id/63dd27aac30ab522dcce48b3/64c8c3b413dc0b3154dab0d0" TargetMode="External"/><Relationship Id="rId72" Type="http://schemas.openxmlformats.org/officeDocument/2006/relationships/hyperlink" Target="https://dzen.ru/media/id/63dd27aac30ab522dcce48b3/64c96f7f0d620510298848ab" TargetMode="External"/><Relationship Id="rId73" Type="http://schemas.openxmlformats.org/officeDocument/2006/relationships/hyperlink" Target="https://dzen.ru/media/id/63dd27aac30ab522dcce48b3/64cb589855b25f35638bd216" TargetMode="External"/><Relationship Id="rId74" Type="http://schemas.openxmlformats.org/officeDocument/2006/relationships/hyperlink" Target="https://dzen.ru/media/id/63dd27aac30ab522dcce48b3/64cc0c531971f80dcb6bdbbf" TargetMode="External"/><Relationship Id="rId75" Type="http://schemas.openxmlformats.org/officeDocument/2006/relationships/hyperlink" Target="https://dzen.ru/media/id/63dd27aac30ab522dcce48b3/64cde54b4a27621bc29ab62e" TargetMode="External"/><Relationship Id="rId76" Type="http://schemas.openxmlformats.org/officeDocument/2006/relationships/hyperlink" Target="https://dzen.ru/media/id/63dd27aac30ab522dcce48b3/64cf56bb2b4a526efe0305f2" TargetMode="External"/><Relationship Id="rId77" Type="http://schemas.openxmlformats.org/officeDocument/2006/relationships/hyperlink" Target="https://dzen.ru/media/id/63dd27aac30ab522dcce48b3/64d09cfb2f59ab32631b23eb" TargetMode="External"/><Relationship Id="rId78" Type="http://schemas.openxmlformats.org/officeDocument/2006/relationships/hyperlink" Target="https://dzen.ru/media/id/63dd27aac30ab522dcce48b3/64d2071665b8bf655fa22226" TargetMode="External"/><Relationship Id="rId79" Type="http://schemas.openxmlformats.org/officeDocument/2006/relationships/hyperlink" Target="https://dzen.ru/media/id/63dd27aac30ab522dcce48b3/64d35af444a4467cf4d7036a" TargetMode="External"/><Relationship Id="rId80" Type="http://schemas.openxmlformats.org/officeDocument/2006/relationships/hyperlink" Target="https://dzen.ru/media/id/63dd27aac30ab522dcce48b3/64d6021f9d644c02284b7a04" TargetMode="External"/><Relationship Id="rId81" Type="http://schemas.openxmlformats.org/officeDocument/2006/relationships/hyperlink" Target="https://dzen.ru/media/id/63dd27aac30ab522dcce48b3/64d74bfd60b16c687f533426" TargetMode="External"/><Relationship Id="rId82" Type="http://schemas.openxmlformats.org/officeDocument/2006/relationships/hyperlink" Target="https://dzen.ru/media/id/63dd27aac30ab522dcce48b3/64d89b15b761d411a528f612" TargetMode="External"/><Relationship Id="rId83" Type="http://schemas.openxmlformats.org/officeDocument/2006/relationships/hyperlink" Target="https://dzen.ru/media/id/63dd27aac30ab522dcce48b3/64d9ea1bae41ff4d8115bbad" TargetMode="External"/><Relationship Id="rId84" Type="http://schemas.openxmlformats.org/officeDocument/2006/relationships/hyperlink" Target="https://dzen.ru/media/id/63dd27aac30ab522dcce48b3/64db42bed5d9f16516a78f8e" TargetMode="External"/><Relationship Id="rId85" Type="http://schemas.openxmlformats.org/officeDocument/2006/relationships/hyperlink" Target="https://dzen.ru/media/id/63dd27aac30ab522dcce48b3/64dc93c3e4ad755a46e7e158" TargetMode="External"/><Relationship Id="rId86" Type="http://schemas.openxmlformats.org/officeDocument/2006/relationships/hyperlink" Target="https://dzen.ru/media/id/63dd27aac30ab522dcce48b3/64dde2e6df71b80d9e003d2f" TargetMode="External"/><Relationship Id="rId87" Type="http://schemas.openxmlformats.org/officeDocument/2006/relationships/hyperlink" Target="https://dzen.ru/media/id/63dd27aac30ab522dcce48b3/64df32dda4da304bf0867031" TargetMode="External"/><Relationship Id="rId88" Type="http://schemas.openxmlformats.org/officeDocument/2006/relationships/hyperlink" Target="https://dzen.ru/media/id/63dd27aac30ab522dcce48b3/64e1d64d7a2b0a52f3149ee2" TargetMode="External"/><Relationship Id="rId89" Type="http://schemas.openxmlformats.org/officeDocument/2006/relationships/hyperlink" Target="https://dzen.ru/media/id/63dd27aac30ab522dcce48b3/64e3252cf7de121738425e54" TargetMode="External"/><Relationship Id="rId90" Type="http://schemas.openxmlformats.org/officeDocument/2006/relationships/hyperlink" Target="https://dzen.ru/media/id/63dd27aac30ab522dcce48b3/64e4837583d1d11bd5b198fb" TargetMode="External"/><Relationship Id="rId91" Type="http://schemas.openxmlformats.org/officeDocument/2006/relationships/hyperlink" Target="https://dzen.ru/media/id/63dd27aac30ab522dcce48b3/64e5c7938d114068e8518cee" TargetMode="External"/><Relationship Id="rId92" Type="http://schemas.openxmlformats.org/officeDocument/2006/relationships/hyperlink" Target="https://dzen.ru/media/id/63dd27aac30ab522dcce48b3/64e7193026b31e380a6f2f18" TargetMode="External"/><Relationship Id="rId93" Type="http://schemas.openxmlformats.org/officeDocument/2006/relationships/hyperlink" Target="https://dzen.ru/media/id/63dd27aac30ab522dcce48b3/64e868473cce081d2417a571" TargetMode="External"/><Relationship Id="rId94" Type="http://schemas.openxmlformats.org/officeDocument/2006/relationships/hyperlink" Target="https://dzen.ru/media/id/63dd27aac30ab522dcce48b3/64e9c1982c60877b301112d1" TargetMode="External"/><Relationship Id="rId95" Type="http://schemas.openxmlformats.org/officeDocument/2006/relationships/hyperlink" Target="https://dzen.ru/media/id/63dd27aac30ab522dcce48b3/64eb489039814150a4f5bbfb" TargetMode="External"/><Relationship Id="rId96" Type="http://schemas.openxmlformats.org/officeDocument/2006/relationships/hyperlink" Target="https://dzen.ru/media/id/63dd27aac30ab522dcce48b3/64ec5b772c60877b30c76604" TargetMode="External"/><Relationship Id="rId97" Type="http://schemas.openxmlformats.org/officeDocument/2006/relationships/hyperlink" Target="https://dzen.ru/media/id/63dd27aac30ab522dcce48b3/64edbdb440c6e93d6880a593" TargetMode="External"/><Relationship Id="rId98" Type="http://schemas.openxmlformats.org/officeDocument/2006/relationships/hyperlink" Target="https://dzen.ru/media/id/63dd27aac30ab522dcce48b3/64ef05548db65b09823f852c" TargetMode="External"/><Relationship Id="rId99" Type="http://schemas.openxmlformats.org/officeDocument/2006/relationships/hyperlink" Target="https://dzen.ru/media/id/63dd27aac30ab522dcce48b3/64ef7cf3f3fccc3f8be25704" TargetMode="External"/><Relationship Id="rId100" Type="http://schemas.openxmlformats.org/officeDocument/2006/relationships/hyperlink" Target="https://dzen.ru/media/id/63dd27aac30ab522dcce48b3/64f1a5db712ba465339c9e59" TargetMode="External"/><Relationship Id="rId101" Type="http://schemas.openxmlformats.org/officeDocument/2006/relationships/hyperlink" Target="https://dzen.ru/media/id/63dd27aac30ab522dcce48b3/64f2f77c09bb0574c622f143" TargetMode="External"/><Relationship Id="rId102" Type="http://schemas.openxmlformats.org/officeDocument/2006/relationships/hyperlink" Target="https://dzen.ru/media/id/63dd27aac30ab522dcce48b3/64f447f6d643ae46b757f3a0" TargetMode="External"/><Relationship Id="rId103" Type="http://schemas.openxmlformats.org/officeDocument/2006/relationships/hyperlink" Target="https://dzen.ru/media/id/63dd27aac30ab522dcce48b3/64f59dacd643ae46b7f9dd9b" TargetMode="External"/><Relationship Id="rId104" Type="http://schemas.openxmlformats.org/officeDocument/2006/relationships/hyperlink" Target="https://dzen.ru/media/id/63dd27aac30ab522dcce48b3/64f6ed3531101e7f228a38d1" TargetMode="External"/><Relationship Id="rId105" Type="http://schemas.openxmlformats.org/officeDocument/2006/relationships/hyperlink" Target="https://dzen.ru/media/id/63dd27aac30ab522dcce48b3/64f84097fd21dc63e331346f" TargetMode="External"/><Relationship Id="rId106" Type="http://schemas.openxmlformats.org/officeDocument/2006/relationships/hyperlink" Target="https://dzen.ru/media/id/63dd27aac30ab522dcce48b3/64f99243d38fd30539d1bdc3" TargetMode="External"/><Relationship Id="rId107" Type="http://schemas.openxmlformats.org/officeDocument/2006/relationships/hyperlink" Target="https://dzen.ru/media/id/63dd27aac30ab522dcce48b3/64fae62183912c11ae41ae26" TargetMode="External"/><Relationship Id="rId108" Type="http://schemas.openxmlformats.org/officeDocument/2006/relationships/hyperlink" Target="https://dzen.ru/media/id/63dd27aac30ab522dcce48b3/64fc37ba55dc7e5d7a20c986" TargetMode="External"/><Relationship Id="rId109" Type="http://schemas.openxmlformats.org/officeDocument/2006/relationships/hyperlink" Target="https://dzen.ru/media/id/63dd27aac30ab522dcce48b3/64fd95b3f2cb674cb87e13bc" TargetMode="External"/><Relationship Id="rId110" Type="http://schemas.openxmlformats.org/officeDocument/2006/relationships/hyperlink" Target="https://dzen.ru/media/id/63dd27aac30ab522dcce48b3/64fed92add27200ea92eb8a9" TargetMode="External"/><Relationship Id="rId111" Type="http://schemas.openxmlformats.org/officeDocument/2006/relationships/hyperlink" Target="https://dzen.ru/media/id/63dd27aac30ab522dcce48b3/6500206f5cdf5375118fb342" TargetMode="External"/><Relationship Id="rId112" Type="http://schemas.openxmlformats.org/officeDocument/2006/relationships/hyperlink" Target="https://dzen.ru/media/id/63dd27aac30ab522dcce48b3/65017f56defc0363a6e6e111" TargetMode="External"/><Relationship Id="rId113" Type="http://schemas.openxmlformats.org/officeDocument/2006/relationships/hyperlink" Target="https://dzen.ru/media/id/63dd27aac30ab522dcce48b3/6502d1aeffb3f010e7df2f04" TargetMode="External"/><Relationship Id="rId114" Type="http://schemas.openxmlformats.org/officeDocument/2006/relationships/hyperlink" Target="https://dzen.ru/media/id/63dd27aac30ab522dcce48b3/65041b4745c7425c8d48b198" TargetMode="External"/><Relationship Id="rId115" Type="http://schemas.openxmlformats.org/officeDocument/2006/relationships/hyperlink" Target="https://dzen.ru/media/id/63dd27aac30ab522dcce48b3/6505730aa798d0165fcf26b5" TargetMode="External"/><Relationship Id="rId116" Type="http://schemas.openxmlformats.org/officeDocument/2006/relationships/hyperlink" Target="https://dzen.ru/media/id/63dd27aac30ab522dcce48b3/6506cc6aa8d00e387ffe771a" TargetMode="External"/><Relationship Id="rId117" Type="http://schemas.openxmlformats.org/officeDocument/2006/relationships/hyperlink" Target="https://dzen.ru/media/id/63dd27aac30ab522dcce48b3/65080e74c4ab58039ae82e4d" TargetMode="External"/><Relationship Id="rId118" Type="http://schemas.openxmlformats.org/officeDocument/2006/relationships/hyperlink" Target="https://dzen.ru/media/id/63dd27aac30ab522dcce48b3/65096047fa2e4009b0199709" TargetMode="External"/><Relationship Id="rId119" Type="http://schemas.openxmlformats.org/officeDocument/2006/relationships/hyperlink" Target="https://dzen.ru/media/id/63dd27aac30ab522dcce48b3/6509e9b86843aa59248e4a13" TargetMode="External"/><Relationship Id="rId120" Type="http://schemas.openxmlformats.org/officeDocument/2006/relationships/hyperlink" Target="https://dzen.ru/media/id/63dd27aac30ab522dcce48b3/650c01ba983b547919b00010" TargetMode="External"/><Relationship Id="rId121" Type="http://schemas.openxmlformats.org/officeDocument/2006/relationships/hyperlink" Target="https://dzen.ru/media/id/63dd27aac30ab522dcce48b3/650d327c983b547919d9edce" TargetMode="External"/><Relationship Id="rId122" Type="http://schemas.openxmlformats.org/officeDocument/2006/relationships/hyperlink" Target="https://dzen.ru/media/id/63dd27aac30ab522dcce48b3/650a163f052eb173c4520a22" TargetMode="External"/><Relationship Id="rId123" Type="http://schemas.openxmlformats.org/officeDocument/2006/relationships/hyperlink" Target="https://dzen.ru/media/id/63dd27aac30ab522dcce48b3/650e822af9f7c76a23b9a420" TargetMode="External"/><Relationship Id="rId124" Type="http://schemas.openxmlformats.org/officeDocument/2006/relationships/hyperlink" Target="https://dzen.ru/media/id/63dd27aac30ab522dcce48b3/650ffd4e1c1c9016402836dc" TargetMode="External"/><Relationship Id="rId125" Type="http://schemas.openxmlformats.org/officeDocument/2006/relationships/hyperlink" Target="https://dzen.ru/media/id/63dd27aac30ab522dcce48b3/6511543d0292430a0493f13b" TargetMode="External"/><Relationship Id="rId126" Type="http://schemas.openxmlformats.org/officeDocument/2006/relationships/hyperlink" Target="https://dzen.ru/media/id/63dd27aac30ab522dcce48b3/651292b49cc80e392b1fca74" TargetMode="External"/><Relationship Id="rId127" Type="http://schemas.openxmlformats.org/officeDocument/2006/relationships/hyperlink" Target="https://dzen.ru/media/id/63dd27aac30ab522dcce48b3/6513f71fefae0f352fb86dc7" TargetMode="External"/><Relationship Id="rId128" Type="http://schemas.openxmlformats.org/officeDocument/2006/relationships/hyperlink" Target="https://dzen.ru/media/id/63dd27aac30ab522dcce48b3/651527406ac4a614f7799eb3" TargetMode="External"/><Relationship Id="rId129" Type="http://schemas.openxmlformats.org/officeDocument/2006/relationships/hyperlink" Target="https://dzen.ru/media/id/63dd27aac30ab522dcce48b3/65168e8e8f456913c063a118" TargetMode="External"/><Relationship Id="rId130" Type="http://schemas.openxmlformats.org/officeDocument/2006/relationships/hyperlink" Target="https://dzen.ru/media/id/63dd27aac30ab522dcce48b3/6517e92c136d3a1c81d01a3c" TargetMode="External"/><Relationship Id="rId131" Type="http://schemas.openxmlformats.org/officeDocument/2006/relationships/hyperlink" Target="https://dzen.ru/media/id/63dd27aac30ab522dcce48b3/65192e052c7e7e447d1847d1" TargetMode="External"/><Relationship Id="rId132" Type="http://schemas.openxmlformats.org/officeDocument/2006/relationships/hyperlink" Target="https://dzen.ru/media/id/63dd27aac30ab522dcce48b3/651a8d0b6d3e1f56ca32a1b2" TargetMode="External"/><Relationship Id="rId133" Type="http://schemas.openxmlformats.org/officeDocument/2006/relationships/hyperlink" Target="https://dzen.ru/media/id/63dd27aac30ab522dcce48b3/651be9fbc42cd16fead55fc0" TargetMode="External"/><Relationship Id="rId134" Type="http://schemas.openxmlformats.org/officeDocument/2006/relationships/hyperlink" Target="https://dzen.ru/media/id/63dd27aac30ab522dcce48b3/651d2bbe1cf2387b254228ab" TargetMode="External"/><Relationship Id="rId135" Type="http://schemas.openxmlformats.org/officeDocument/2006/relationships/hyperlink" Target="https://dzen.ru/media/id/63dd27aac30ab522dcce48b3/651e7bb68f1af14fe35eb507" TargetMode="External"/><Relationship Id="rId136" Type="http://schemas.openxmlformats.org/officeDocument/2006/relationships/hyperlink" Target="https://dzen.ru/media/id/63dd27aac30ab522dcce48b3/651fcf3bc385843dfe489921" TargetMode="External"/><Relationship Id="rId137" Type="http://schemas.openxmlformats.org/officeDocument/2006/relationships/hyperlink" Target="https://dzen.ru/media/id/63dd27aac30ab522dcce48b3/6521290a82c9f0244503af33" TargetMode="External"/><Relationship Id="rId138" Type="http://schemas.openxmlformats.org/officeDocument/2006/relationships/hyperlink" Target="https://dzen.ru/media/id/63dd27aac30ab522dcce48b3/65226cd2795c3e54b77a318b" TargetMode="External"/><Relationship Id="rId139" Type="http://schemas.openxmlformats.org/officeDocument/2006/relationships/hyperlink" Target="https://dzen.ru/media/id/63dd27aac30ab522dcce48b3/6523c20a80bf663a7f142037" TargetMode="External"/><Relationship Id="rId140" Type="http://schemas.openxmlformats.org/officeDocument/2006/relationships/hyperlink" Target="https://dzen.ru/media/id/63dd27aac30ab522dcce48b3/653508f2900e124de9e97735" TargetMode="External"/><Relationship Id="rId141" Type="http://schemas.openxmlformats.org/officeDocument/2006/relationships/hyperlink" Target="https://dzen.ru/media/id/63dd27aac30ab522dcce48b3/65b389b6a0b15a1344573aea" TargetMode="External"/><Relationship Id="rId142" Type="http://schemas.openxmlformats.org/officeDocument/2006/relationships/hyperlink" Target="https://dzen.ru/media/id/63dd27aac30ab522dcce48b3/67276c3017b8ad1956410fc7" TargetMode="External"/><Relationship Id="rId143" Type="http://schemas.openxmlformats.org/officeDocument/2006/relationships/hyperlink" Target="https://dzen.ru/media/id/63dd27aac30ab522dcce48b3/680ebd2d85ba840132fe3fc0" TargetMode="External"/><Relationship Id="rId144" Type="http://schemas.openxmlformats.org/officeDocument/2006/relationships/hyperlink" Target="https://dzen.ru/media/id/63dd27aac30ab522dcce48b3/680ec2e185ba84013201fc97" TargetMode="External"/><Relationship Id="rId145" Type="http://schemas.openxmlformats.org/officeDocument/2006/relationships/hyperlink" Target="https://dzen.ru/media/id/63dd27aac30ab522dcce48b3/680ec43a3e3ca00ba077e524" TargetMode="External"/><Relationship Id="rId146" Type="http://schemas.openxmlformats.org/officeDocument/2006/relationships/hyperlink" Target="https://dzen.ru/media/id/63dd27aac30ab522dcce48b3/680ec315cbb89444e2c48d62" TargetMode="External"/><Relationship Id="rId147" Type="http://schemas.openxmlformats.org/officeDocument/2006/relationships/hyperlink" Target="https://dzen.ru/media/id/63dd27aac30ab522dcce48b3/680ec46e3e3ca00ba07804df" TargetMode="External"/><Relationship Id="rId148" Type="http://schemas.openxmlformats.org/officeDocument/2006/relationships/hyperlink" Target="https://dzen.ru/media/id/63dd27aac30ab522dcce48b3/680ec4b3cbb89444e2c507ab" TargetMode="External"/><Relationship Id="rId149" Type="http://schemas.openxmlformats.org/officeDocument/2006/relationships/hyperlink" Target="https://dzen.ru/media/id/63dd27aac30ab522dcce48b3/680ec3450abbb40ac9b4d201" TargetMode="External"/><Relationship Id="rId150" Type="http://schemas.openxmlformats.org/officeDocument/2006/relationships/hyperlink" Target="https://dzen.ru/media/id/63dd27aac30ab522dcce48b3/680ec4eb0ca79f7f60a1f6c8" TargetMode="External"/><Relationship Id="rId151" Type="http://schemas.openxmlformats.org/officeDocument/2006/relationships/hyperlink" Target="https://dzen.ru/media/id/63dd27aac30ab522dcce48b3/680ec3987535b749add7590c" TargetMode="External"/><Relationship Id="rId152" Type="http://schemas.openxmlformats.org/officeDocument/2006/relationships/hyperlink" Target="https://dzen.ru/media/id/63dd27aac30ab522dcce48b3/680ec52405dc266c297a193e" TargetMode="External"/><Relationship Id="rId153" Type="http://schemas.openxmlformats.org/officeDocument/2006/relationships/hyperlink" Target="https://dzen.ru/media/id/63dd27aac30ab522dcce48b3/680ec3c0c11f387ebfef8dfe" TargetMode="External"/><Relationship Id="rId154" Type="http://schemas.openxmlformats.org/officeDocument/2006/relationships/hyperlink" Target="https://dzen.ru/media/id/63dd27aac30ab522dcce48b3/680ec5778e7f922adc3a4486" TargetMode="External"/><Relationship Id="rId155" Type="http://schemas.openxmlformats.org/officeDocument/2006/relationships/hyperlink" Target="https://dzen.ru/media/id/63dd27aac30ab522dcce48b3/680ec5e125aa725f3bf92407" TargetMode="External"/><Relationship Id="rId156" Type="http://schemas.openxmlformats.org/officeDocument/2006/relationships/hyperlink" Target="https://dzen.ru/media/id/63dd27aac30ab522dcce48b3/681cd8b2e1a3d3033259ec19" TargetMode="External"/><Relationship Id="rId157" Type="http://schemas.openxmlformats.org/officeDocument/2006/relationships/hyperlink" Target="https://dzen.ru/media/id/63dd27aac30ab522dcce48b3/680ec6776a4c6418ea9d404d" TargetMode="External"/><Relationship Id="rId158" Type="http://schemas.openxmlformats.org/officeDocument/2006/relationships/hyperlink" Target="https://dzen.ru/media/id/63dd27aac30ab522dcce48b3/681cd911d591cc0563089df4" TargetMode="External"/><Relationship Id="rId159" Type="http://schemas.openxmlformats.org/officeDocument/2006/relationships/hyperlink" Target="https://dzen.ru/media/id/63dd27aac30ab522dcce48b3/681cdb03956287149704d222" TargetMode="External"/><Relationship Id="rId160" Type="http://schemas.openxmlformats.org/officeDocument/2006/relationships/hyperlink" Target="https://dzen.ru/media/id/63dd27aac30ab522dcce48b3/681cd93b7d335f0d5db100cb" TargetMode="External"/><Relationship Id="rId161" Type="http://schemas.openxmlformats.org/officeDocument/2006/relationships/hyperlink" Target="https://dzen.ru/media/id/63dd27aac30ab522dcce48b3/681cdb2b327559527275040b" TargetMode="External"/><Relationship Id="rId162" Type="http://schemas.openxmlformats.org/officeDocument/2006/relationships/hyperlink" Target="https://dzen.ru/media/id/63dd27aac30ab522dcce48b3/681cdb4bc5d774122c2ade8c" TargetMode="External"/><Relationship Id="rId163" Type="http://schemas.openxmlformats.org/officeDocument/2006/relationships/hyperlink" Target="https://dzen.ru/media/id/63dd27aac30ab522dcce48b3/681cd96a7d335f0d5db14103" TargetMode="External"/><Relationship Id="rId164" Type="http://schemas.openxmlformats.org/officeDocument/2006/relationships/hyperlink" Target="https://dzen.ru/media/id/63dd27aac30ab522dcce48b3/681cdbc2e5686b5ff04ac691" TargetMode="External"/><Relationship Id="rId165" Type="http://schemas.openxmlformats.org/officeDocument/2006/relationships/hyperlink" Target="https://dzen.ru/media/id/63dd27aac30ab522dcce48b3/681cd996de94cb1cf54ac58a" TargetMode="External"/><Relationship Id="rId166" Type="http://schemas.openxmlformats.org/officeDocument/2006/relationships/hyperlink" Target="https://dzen.ru/media/id/63dd27aac30ab522dcce48b3/681cdbf7a358da2cc0c06586" TargetMode="External"/><Relationship Id="rId167" Type="http://schemas.openxmlformats.org/officeDocument/2006/relationships/hyperlink" Target="https://dzen.ru/media/id/63dd27aac30ab522dcce48b3/681cd9bbd591cc05630978b1" TargetMode="External"/><Relationship Id="rId168" Type="http://schemas.openxmlformats.org/officeDocument/2006/relationships/hyperlink" Target="https://dzen.ru/media/id/63dd27aac30ab522dcce48b3/681cdc20f95c6a564745b7f0" TargetMode="External"/><Relationship Id="rId169" Type="http://schemas.openxmlformats.org/officeDocument/2006/relationships/hyperlink" Target="https://dzen.ru/media/id/63dd27aac30ab522dcce48b3/681cdc68a35d207dcd99e8a2" TargetMode="External"/><Relationship Id="rId170" Type="http://schemas.openxmlformats.org/officeDocument/2006/relationships/hyperlink" Target="https://dzen.ru/media/id/63dd27aac30ab522dcce48b3/681cd9fafeea8a091db76400" TargetMode="External"/><Relationship Id="rId171" Type="http://schemas.openxmlformats.org/officeDocument/2006/relationships/hyperlink" Target="https://dzen.ru/media/id/63dd27aac30ab522dcce48b3/681cdc95e5686b5ff04bdb31" TargetMode="External"/><Relationship Id="rId172" Type="http://schemas.openxmlformats.org/officeDocument/2006/relationships/hyperlink" Target="https://dzen.ru/media/id/63dd27aac30ab522dcce48b3/681cda19e1a3d303325bd137" TargetMode="External"/><Relationship Id="rId173" Type="http://schemas.openxmlformats.org/officeDocument/2006/relationships/hyperlink" Target="https://dzen.ru/media/id/63dd27aac30ab522dcce48b3/681cdcbf537e41644471230a" TargetMode="External"/><Relationship Id="rId174" Type="http://schemas.openxmlformats.org/officeDocument/2006/relationships/hyperlink" Target="https://dzen.ru/media/id/63dd27aac30ab522dcce48b3/681cda35bc03304eb913bde4" TargetMode="External"/><Relationship Id="rId175" Type="http://schemas.openxmlformats.org/officeDocument/2006/relationships/hyperlink" Target="https://dzen.ru/media/id/63dd27aac30ab522dcce48b3/681cdceae1a3d303325f938d" TargetMode="External"/><Relationship Id="rId176" Type="http://schemas.openxmlformats.org/officeDocument/2006/relationships/hyperlink" Target="https://dzen.ru/media/id/63dd27aac30ab522dcce48b3/681cdd16f95c6a564746ff19" TargetMode="External"/><Relationship Id="rId177" Type="http://schemas.openxmlformats.org/officeDocument/2006/relationships/hyperlink" Target="https://dzen.ru/media/id/63dd27aac30ab522dcce48b3/681cda5c7d335f0d5db27db5" TargetMode="External"/><Relationship Id="rId178" Type="http://schemas.openxmlformats.org/officeDocument/2006/relationships/hyperlink" Target="https://dzen.ru/media/id/63dd27aac30ab522dcce48b3/683bb2ca96145b7264e36896" TargetMode="External"/><Relationship Id="rId179" Type="http://schemas.openxmlformats.org/officeDocument/2006/relationships/hyperlink" Target="https://dzen.ru/media/id/63dd27aac30ab522dcce48b3/681cda7cc964c7115e7ec44a" TargetMode="External"/><Relationship Id="rId180" Type="http://schemas.openxmlformats.org/officeDocument/2006/relationships/hyperlink" Target="https://dzen.ru/media/id/63dd27aac30ab522dcce48b3/683bd0bbf5d1245ade282ac1" TargetMode="External"/><Relationship Id="rId181" Type="http://schemas.openxmlformats.org/officeDocument/2006/relationships/hyperlink" Target="https://dzen.ru/media/id/63dd27aac30ab522dcce48b3/683bceb497651c0a16a770ca" TargetMode="External"/><Relationship Id="rId182" Type="http://schemas.openxmlformats.org/officeDocument/2006/relationships/hyperlink" Target="https://dzen.ru/media/id/63dd27aac30ab522dcce48b3/683bd0e715e49e52259d5718" TargetMode="External"/><Relationship Id="rId183" Type="http://schemas.openxmlformats.org/officeDocument/2006/relationships/hyperlink" Target="https://dzen.ru/media/id/63dd27aac30ab522dcce48b3/683bcf21646fbb1360aefbc5" TargetMode="External"/><Relationship Id="rId184" Type="http://schemas.openxmlformats.org/officeDocument/2006/relationships/hyperlink" Target="https://dzen.ru/media/id/63dd27aac30ab522dcce48b3/683bb3bd646fbb1360a0c497" TargetMode="External"/><Relationship Id="rId185" Type="http://schemas.openxmlformats.org/officeDocument/2006/relationships/hyperlink" Target="https://dzen.ru/media/id/63dd27aac30ab522dcce48b3/683cd210586a484ddea139b8" TargetMode="External"/><Relationship Id="rId186" Type="http://schemas.openxmlformats.org/officeDocument/2006/relationships/hyperlink" Target="https://dzen.ru/media/id/63dd27aac30ab522dcce48b3/683bb4a84a232500bb71ecd3" TargetMode="External"/><Relationship Id="rId187" Type="http://schemas.openxmlformats.org/officeDocument/2006/relationships/hyperlink" Target="https://dzen.ru/media/id/63dd27aac30ab522dcce48b3/683cd23e4c6efb6089bd8c73" TargetMode="External"/><Relationship Id="rId188" Type="http://schemas.openxmlformats.org/officeDocument/2006/relationships/hyperlink" Target="https://dzen.ru/media/id/63dd27aac30ab522dcce48b3/683bb4d893d34b02e80a03c9" TargetMode="External"/><Relationship Id="rId189" Type="http://schemas.openxmlformats.org/officeDocument/2006/relationships/hyperlink" Target="https://dzen.ru/media/id/63dd27aac30ab522dcce48b3/683cd269f5d1245ade5c8523" TargetMode="External"/><Relationship Id="rId190" Type="http://schemas.openxmlformats.org/officeDocument/2006/relationships/hyperlink" Target="https://dzen.ru/media/id/63dd27aac30ab522dcce48b3/683cd2956a52081ccfe622e0" TargetMode="External"/><Relationship Id="rId191" Type="http://schemas.openxmlformats.org/officeDocument/2006/relationships/hyperlink" Target="https://dzen.ru/media/id/63dd27aac30ab522dcce48b3/683bb51180e8847bc0bae6cf" TargetMode="External"/><Relationship Id="rId192" Type="http://schemas.openxmlformats.org/officeDocument/2006/relationships/hyperlink" Target="https://dzen.ru/media/id/63dd27aac30ab522dcce48b3/683cd2bc54d8e7385cc45174" TargetMode="External"/><Relationship Id="rId193" Type="http://schemas.openxmlformats.org/officeDocument/2006/relationships/hyperlink" Target="https://dzen.ru/media/id/63dd27aac30ab522dcce48b3/683bc99896145b7264ee31f9" TargetMode="External"/><Relationship Id="rId194" Type="http://schemas.openxmlformats.org/officeDocument/2006/relationships/hyperlink" Target="https://dzen.ru/media/id/63dd27aac30ab522dcce48b3/683cd2df6a52081ccfe65056" TargetMode="External"/><Relationship Id="rId195" Type="http://schemas.openxmlformats.org/officeDocument/2006/relationships/hyperlink" Target="https://dzen.ru/media/id/63dd27aac30ab522dcce48b3/683bc9dfa5a6734bd4c93b31" TargetMode="External"/><Relationship Id="rId196" Type="http://schemas.openxmlformats.org/officeDocument/2006/relationships/hyperlink" Target="https://dzen.ru/media/id/63dd27aac30ab522dcce48b3/683cd304e2eb173008e4bf20" TargetMode="External"/><Relationship Id="rId197" Type="http://schemas.openxmlformats.org/officeDocument/2006/relationships/hyperlink" Target="https://dzen.ru/media/id/63dd27aac30ab522dcce48b3/683cd32b93d34b02e84d63bc" TargetMode="External"/><Relationship Id="rId198" Type="http://schemas.openxmlformats.org/officeDocument/2006/relationships/hyperlink" Target="https://dzen.ru/media/id/63dd27aac30ab522dcce48b3/683bca1916dc514cdb0b601a" TargetMode="External"/><Relationship Id="rId199" Type="http://schemas.openxmlformats.org/officeDocument/2006/relationships/hyperlink" Target="https://dzen.ru/media/id/63dd27aac30ab522dcce48b3/683cd34f586a484ddea1eb8b" TargetMode="External"/><Relationship Id="rId200" Type="http://schemas.openxmlformats.org/officeDocument/2006/relationships/hyperlink" Target="https://dzen.ru/media/id/63dd27aac30ab522dcce48b3/683bca3c7d244b470176fea6" TargetMode="External"/><Relationship Id="rId201" Type="http://schemas.openxmlformats.org/officeDocument/2006/relationships/hyperlink" Target="https://dzen.ru/media/id/63dd27aac30ab522dcce48b3/683cd3720d1aca2006bd459e" TargetMode="External"/><Relationship Id="rId202" Type="http://schemas.openxmlformats.org/officeDocument/2006/relationships/hyperlink" Target="https://dzen.ru/media/id/63dd27aac30ab522dcce48b3/683bca6195eee80f6c47a1a1" TargetMode="External"/><Relationship Id="rId203" Type="http://schemas.openxmlformats.org/officeDocument/2006/relationships/hyperlink" Target="https://dzen.ru/media/id/63dd27aac30ab522dcce48b3/683cd3940d1aca2006bd5c39" TargetMode="External"/><Relationship Id="rId204" Type="http://schemas.openxmlformats.org/officeDocument/2006/relationships/hyperlink" Target="https://dzen.ru/media/id/63dd27aac30ab522dcce48b3/683cd3d2b6edec095bf43a7e" TargetMode="External"/><Relationship Id="rId205" Type="http://schemas.openxmlformats.org/officeDocument/2006/relationships/hyperlink" Target="https://dzen.ru/media/id/63dd27aac30ab522dcce48b3/683bca85ad897966ace85f0d" TargetMode="External"/><Relationship Id="rId206" Type="http://schemas.openxmlformats.org/officeDocument/2006/relationships/hyperlink" Target="https://dzen.ru/media/id/63dd27aac30ab522dcce48b3/683cd4074a232500bbb4e188" TargetMode="External"/><Relationship Id="rId207" Type="http://schemas.openxmlformats.org/officeDocument/2006/relationships/hyperlink" Target="https://dzen.ru/media/id/63dd27aac30ab522dcce48b3/683bcaa7e305007b6a77bbea" TargetMode="External"/><Relationship Id="rId208" Type="http://schemas.openxmlformats.org/officeDocument/2006/relationships/hyperlink" Target="https://dzen.ru/media/id/63dd27aac30ab522dcce48b3/683cd43a5e872744ad950770" TargetMode="External"/><Relationship Id="rId209" Type="http://schemas.openxmlformats.org/officeDocument/2006/relationships/hyperlink" Target="https://dzen.ru/media/id/63dd27aac30ab522dcce48b3/683bcac84a232500bb7d2269" TargetMode="External"/><Relationship Id="rId210" Type="http://schemas.openxmlformats.org/officeDocument/2006/relationships/hyperlink" Target="https://dzen.ru/media/id/63dd27aac30ab522dcce48b3/683cd46e4c6efb6089beed90" TargetMode="External"/><Relationship Id="rId211" Type="http://schemas.openxmlformats.org/officeDocument/2006/relationships/hyperlink" Target="https://dzen.ru/media/id/63dd27aac30ab522dcce48b3/683cd49cb6edec095bf4b7ec" TargetMode="External"/><Relationship Id="rId212" Type="http://schemas.openxmlformats.org/officeDocument/2006/relationships/hyperlink" Target="https://dzen.ru/media/id/63dd27aac30ab522dcce48b3/683bcaeb97651c0a16a54613" TargetMode="External"/><Relationship Id="rId213" Type="http://schemas.openxmlformats.org/officeDocument/2006/relationships/hyperlink" Target="https://dzen.ru/media/id/63dd27aac30ab522dcce48b3/683cd4ed0d1aca2006be332c" TargetMode="External"/><Relationship Id="rId214" Type="http://schemas.openxmlformats.org/officeDocument/2006/relationships/hyperlink" Target="https://dzen.ru/media/id/63dd27aac30ab522dcce48b3/683bcb1493d34b02e81542d6" TargetMode="External"/><Relationship Id="rId215" Type="http://schemas.openxmlformats.org/officeDocument/2006/relationships/hyperlink" Target="https://dzen.ru/media/id/63dd27aac30ab522dcce48b3/683cd52b15e49e5225ea8239" TargetMode="External"/><Relationship Id="rId216" Type="http://schemas.openxmlformats.org/officeDocument/2006/relationships/hyperlink" Target="https://dzen.ru/media/id/63dd27aac30ab522dcce48b3/683bcbe1e2eb173008acba30" TargetMode="External"/><Relationship Id="rId217" Type="http://schemas.openxmlformats.org/officeDocument/2006/relationships/hyperlink" Target="https://dzen.ru/media/id/63dd27aac30ab522dcce48b3/683cd5628a59c727c1dcaf9f" TargetMode="External"/><Relationship Id="rId218" Type="http://schemas.openxmlformats.org/officeDocument/2006/relationships/hyperlink" Target="https://dzen.ru/media/id/63dd27aac30ab522dcce48b3/683cd5a50d1aca2006bea73a" TargetMode="External"/><Relationship Id="rId219" Type="http://schemas.openxmlformats.org/officeDocument/2006/relationships/hyperlink" Target="https://dzen.ru/media/id/63dd27aac30ab522dcce48b3/683bcc4f610de85547de2d99" TargetMode="External"/><Relationship Id="rId220" Type="http://schemas.openxmlformats.org/officeDocument/2006/relationships/hyperlink" Target="https://dzen.ru/media/id/63dd27aac30ab522dcce48b3/683cd5cb610de85547175034" TargetMode="External"/><Relationship Id="rId221" Type="http://schemas.openxmlformats.org/officeDocument/2006/relationships/hyperlink" Target="https://dzen.ru/media/id/63dd27aac30ab522dcce48b3/683bcc78660f913bf6819f60" TargetMode="External"/><Relationship Id="rId222" Type="http://schemas.openxmlformats.org/officeDocument/2006/relationships/hyperlink" Target="https://dzen.ru/media/id/63dd27aac30ab522dcce48b3/683cd5f4e2eb173008e681d5" TargetMode="External"/><Relationship Id="rId223" Type="http://schemas.openxmlformats.org/officeDocument/2006/relationships/hyperlink" Target="https://dzen.ru/media/id/63dd27aac30ab522dcce48b3/683bccab6d416c54898add95" TargetMode="External"/><Relationship Id="rId224" Type="http://schemas.openxmlformats.org/officeDocument/2006/relationships/hyperlink" Target="https://dzen.ru/media/id/63dd27aac30ab522dcce48b3/683cd65d6a52081ccfe8688e" TargetMode="External"/><Relationship Id="rId225" Type="http://schemas.openxmlformats.org/officeDocument/2006/relationships/hyperlink" Target="https://dzen.ru/media/id/63dd27aac30ab522dcce48b3/683cd685a5a6734bd4f355f0" TargetMode="External"/><Relationship Id="rId226" Type="http://schemas.openxmlformats.org/officeDocument/2006/relationships/hyperlink" Target="https://dzen.ru/media/id/63dd27aac30ab522dcce48b3/683bccdf96145b7264eff22a" TargetMode="External"/><Relationship Id="rId227" Type="http://schemas.openxmlformats.org/officeDocument/2006/relationships/hyperlink" Target="https://dzen.ru/media/id/63dd27aac30ab522dcce48b3/683bcd4fe2eb173008ad8994" TargetMode="External"/><Relationship Id="rId228" Type="http://schemas.openxmlformats.org/officeDocument/2006/relationships/hyperlink" Target="https://dzen.ru/media/id/63dd27aac30ab522dcce48b3/683bcd7096145b7264f04a19" TargetMode="External"/><Relationship Id="rId229" Type="http://schemas.openxmlformats.org/officeDocument/2006/relationships/hyperlink" Target="https://dzen.ru/media/id/63dd27aac30ab522dcce48b3/683bcd9c06f2745f3db1d721" TargetMode="External"/><Relationship Id="rId230" Type="http://schemas.openxmlformats.org/officeDocument/2006/relationships/hyperlink" Target="https://dzen.ru/media/id/63dd27aac30ab522dcce48b3/688107ec5c2e7921efdbcbd9" TargetMode="External"/><Relationship Id="rId231" Type="http://schemas.openxmlformats.org/officeDocument/2006/relationships/hyperlink" Target="https://dzen.ru/media/id/63dd27aac30ab522dcce48b3/6881053b8d1c2d59102fc418" TargetMode="External"/><Relationship Id="rId232" Type="http://schemas.openxmlformats.org/officeDocument/2006/relationships/hyperlink" Target="https://dzen.ru/media/id/63dd27aac30ab522dcce48b3/6881056d51cdab3217699ed6" TargetMode="External"/><Relationship Id="rId233" Type="http://schemas.openxmlformats.org/officeDocument/2006/relationships/hyperlink" Target="https://dzen.ru/media/id/63dd27aac30ab522dcce48b3/6881058d11d5b23895200d68" TargetMode="External"/><Relationship Id="rId234" Type="http://schemas.openxmlformats.org/officeDocument/2006/relationships/hyperlink" Target="https://dzen.ru/media/id/63dd27aac30ab522dcce48b3/688105b311d5b238952043e5" TargetMode="External"/><Relationship Id="rId235" Type="http://schemas.openxmlformats.org/officeDocument/2006/relationships/hyperlink" Target="https://dzen.ru/media/id/63dd27aac30ab522dcce48b3/688106378d1c2d591030fac0" TargetMode="External"/><Relationship Id="rId236" Type="http://schemas.openxmlformats.org/officeDocument/2006/relationships/hyperlink" Target="https://dzen.ru/media/id/63dd27aac30ab522dcce48b3/6881065fff15683da713ca01" TargetMode="External"/><Relationship Id="rId237" Type="http://schemas.openxmlformats.org/officeDocument/2006/relationships/hyperlink" Target="https://dzen.ru/media/id/63dd27aac30ab522dcce48b3/688106848c5df05227d1b6c8" TargetMode="External"/><Relationship Id="rId238" Type="http://schemas.openxmlformats.org/officeDocument/2006/relationships/hyperlink" Target="https://dzen.ru/media/id/63dd27aac30ab522dcce48b3/688106b1ac422d50dbf79858" TargetMode="External"/><Relationship Id="rId239" Type="http://schemas.openxmlformats.org/officeDocument/2006/relationships/hyperlink" Target="https://dzen.ru/media/id/63dd27aac30ab522dcce48b3/6881070551cdab32176ba8fc" TargetMode="External"/><Relationship Id="rId240" Type="http://schemas.openxmlformats.org/officeDocument/2006/relationships/hyperlink" Target="https://dzen.ru/media/id/63dd27aac30ab522dcce48b3/68810726cc660b6d18963195" TargetMode="External"/><Relationship Id="rId241" Type="http://schemas.openxmlformats.org/officeDocument/2006/relationships/hyperlink" Target="https://dzen.ru/media/id/63dd27aac30ab522dcce48b3/688107512d585408fd0caf88" TargetMode="External"/><Relationship Id="rId242" Type="http://schemas.openxmlformats.org/officeDocument/2006/relationships/hyperlink" Target="https://dzen.ru/media/id/63dd27aac30ab522dcce48b3/688107a511d5b2389522be8d" TargetMode="External"/><Relationship Id="rId243" Type="http://schemas.openxmlformats.org/officeDocument/2006/relationships/hyperlink" Target="https://dzen.ru/media/id/63dd27aac30ab522dcce48b3/688107cacc660b6d1896fc86" TargetMode="External"/><Relationship Id="rId244" Type="http://schemas.openxmlformats.org/officeDocument/2006/relationships/hyperlink" Target="https://dzen.ru/media/id/63dd27aac30ab522dcce48b3/6881080daa91dc6c3287ea8e" TargetMode="External"/><Relationship Id="rId245" Type="http://schemas.openxmlformats.org/officeDocument/2006/relationships/hyperlink" Target="https://dzen.ru/media/id/63dd27aac30ab522dcce48b3/688108368c5df05227d3cc6b" TargetMode="External"/><Relationship Id="rId246" Type="http://schemas.openxmlformats.org/officeDocument/2006/relationships/hyperlink" Target="https://dzen.ru/media/id/63dd27aac30ab522dcce48b3/68810852aa91dc6c328841cb" TargetMode="External"/><Relationship Id="rId247" Type="http://schemas.openxmlformats.org/officeDocument/2006/relationships/hyperlink" Target="https://dzen.ru/media/id/63dd27aac30ab522dcce48b3/6881088906a06523c5b5c044" TargetMode="External"/><Relationship Id="rId248" Type="http://schemas.openxmlformats.org/officeDocument/2006/relationships/hyperlink" Target="https://dzen.ru/media/id/63dd27aac30ab522dcce48b3/688108b04c9cc30092a44dcb" TargetMode="External"/><Relationship Id="rId249" Type="http://schemas.openxmlformats.org/officeDocument/2006/relationships/hyperlink" Target="https://dzen.ru/media/id/63dd27aac30ab522dcce48b3/688108d6bdfd25299662437b" TargetMode="External"/><Relationship Id="rId250" Type="http://schemas.openxmlformats.org/officeDocument/2006/relationships/hyperlink" Target="https://dzen.ru/media/id/63dd27aac30ab522dcce48b3/6881091e2d585408fd0ef070" TargetMode="External"/><Relationship Id="rId251" Type="http://schemas.openxmlformats.org/officeDocument/2006/relationships/hyperlink" Target="https://dzen.ru/media/id/63dd27aac30ab522dcce48b3/6881094e11d5b2389524d261" TargetMode="External"/><Relationship Id="rId252" Type="http://schemas.openxmlformats.org/officeDocument/2006/relationships/hyperlink" Target="https://dzen.ru/media/id/63dd27aac30ab522dcce48b3/68cf3badc7cf380a13c870a7" TargetMode="External"/><Relationship Id="rId253" Type="http://schemas.openxmlformats.org/officeDocument/2006/relationships/hyperlink" Target="https://dzen.ru/media/id/63dd27aac30ab522dcce48b3/68cf3bdf90b25a0ab3c48e09" TargetMode="External"/><Relationship Id="rId254" Type="http://schemas.openxmlformats.org/officeDocument/2006/relationships/hyperlink" Target="https://dzen.ru/media/id/63dd27aac30ab522dcce48b3/68cf3c22ca5aca73203f7a48" TargetMode="External"/><Relationship Id="rId255" Type="http://schemas.openxmlformats.org/officeDocument/2006/relationships/hyperlink" Target="https://dzen.ru/media/id/63dd27aac30ab522dcce48b3/68cf3c59e73c4076d4facaa5" TargetMode="External"/><Relationship Id="rId256" Type="http://schemas.openxmlformats.org/officeDocument/2006/relationships/hyperlink" Target="https://dzen.ru/media/id/63dd27aac30ab522dcce48b3/68cf3c8c374d7b55b4737252" TargetMode="External"/><Relationship Id="rId257" Type="http://schemas.openxmlformats.org/officeDocument/2006/relationships/hyperlink" Target="https://dzen.ru/media/id/63dd27aac30ab522dcce48b3/68cf3caa90b25a0ab3c4d39b" TargetMode="External"/><Relationship Id="rId258" Type="http://schemas.openxmlformats.org/officeDocument/2006/relationships/hyperlink" Target="https://dzen.ru/media/id/63dd27aac30ab522dcce48b3/68cf3cd0e2917800907dbb58" TargetMode="External"/><Relationship Id="rId259" Type="http://schemas.openxmlformats.org/officeDocument/2006/relationships/hyperlink" Target="https://dzen.ru/media/id/63dd27aac30ab522dcce48b3/68cf3cf4b1808e0427ec9723" TargetMode="External"/><Relationship Id="rId260" Type="http://schemas.openxmlformats.org/officeDocument/2006/relationships/hyperlink" Target="https://dzen.ru/media/id/63dd27aac30ab522dcce48b3/68cf3d144f779e33f551641f" TargetMode="External"/><Relationship Id="rId261" Type="http://schemas.openxmlformats.org/officeDocument/2006/relationships/hyperlink" Target="https://dzen.ru/media/id/63dd27aac30ab522dcce48b3/68cf3d3f90b25a0ab3c50d3b" TargetMode="External"/><Relationship Id="rId262" Type="http://schemas.openxmlformats.org/officeDocument/2006/relationships/hyperlink" Target="https://dzen.ru/media/id/63dd27aac30ab522dcce48b3/68cf3d5fee218233f6e3cd77" TargetMode="External"/><Relationship Id="rId263" Type="http://schemas.openxmlformats.org/officeDocument/2006/relationships/hyperlink" Target="https://dzen.ru/media/id/63dd27aac30ab522dcce48b3/68cf3d8512e1b53b4e232183" TargetMode="External"/><Relationship Id="rId264" Type="http://schemas.openxmlformats.org/officeDocument/2006/relationships/hyperlink" Target="https://dzen.ru/media/id/63dd27aac30ab522dcce48b3/68cf3da6a9d7265e3365957a" TargetMode="External"/><Relationship Id="rId265" Type="http://schemas.openxmlformats.org/officeDocument/2006/relationships/hyperlink" Target="https://dzen.ru/media/id/63dd27aac30ab522dcce48b3/68cf3dc83f692457da30991c" TargetMode="External"/><Relationship Id="rId266" Type="http://schemas.openxmlformats.org/officeDocument/2006/relationships/hyperlink" Target="https://dzen.ru/media/id/63dd27aac30ab522dcce48b3/68cf3ded9091fc28b662911c" TargetMode="External"/><Relationship Id="rId267" Type="http://schemas.openxmlformats.org/officeDocument/2006/relationships/hyperlink" Target="https://dzen.ru/media/id/63dd27aac30ab522dcce48b3/68cf3e0d10bc4b12269b6485" TargetMode="External"/><Relationship Id="rId268" Type="http://schemas.openxmlformats.org/officeDocument/2006/relationships/hyperlink" Target="https://dzen.ru/media/id/63dd27aac30ab522dcce48b3/6904b161e3f4ad741b8baa34" TargetMode="External"/><Relationship Id="rId269" Type="http://schemas.openxmlformats.org/officeDocument/2006/relationships/hyperlink" Target="https://dzen.ru/media/id/63dd27aac30ab522dcce48b3/6904b1f962893c637497f95e" TargetMode="External"/><Relationship Id="rId270" Type="http://schemas.openxmlformats.org/officeDocument/2006/relationships/hyperlink" Target="https://dzen.ru/media/id/63dd27aac30ab522dcce48b3/6904b21dac78f246b0bb29f1" TargetMode="External"/><Relationship Id="rId271" Type="http://schemas.openxmlformats.org/officeDocument/2006/relationships/hyperlink" Target="https://dzen.ru/media/id/63dd27aac30ab522dcce48b3/6904b242548acf6c5b80a64c" TargetMode="External"/><Relationship Id="rId272" Type="http://schemas.openxmlformats.org/officeDocument/2006/relationships/hyperlink" Target="https://dzen.ru/media/id/63dd27aac30ab522dcce48b3/6904b26b6cf4fc74bfb5ef29" TargetMode="External"/><Relationship Id="rId273" Type="http://schemas.openxmlformats.org/officeDocument/2006/relationships/hyperlink" Target="https://dzen.ru/media/id/63dd27aac30ab522dcce48b3/6904b28d024cd672bb334c89" TargetMode="External"/><Relationship Id="rId274" Type="http://schemas.openxmlformats.org/officeDocument/2006/relationships/hyperlink" Target="https://dzen.ru/media/id/63dd27aac30ab522dcce48b3/6904b2ad63c1542864be5a7b" TargetMode="External"/><Relationship Id="rId275" Type="http://schemas.openxmlformats.org/officeDocument/2006/relationships/hyperlink" Target="https://dzen.ru/media/id/63dd27aac30ab522dcce48b3/6904b2d6123bca62f455134b" TargetMode="External"/><Relationship Id="rId276" Type="http://schemas.openxmlformats.org/officeDocument/2006/relationships/hyperlink" Target="https://dzen.ru/media/id/63dd27aac30ab522dcce48b3/6904b2fa2e906c2a4ad60951" TargetMode="External"/><Relationship Id="rId277" Type="http://schemas.openxmlformats.org/officeDocument/2006/relationships/hyperlink" Target="https://dzen.ru/media/id/63dd27aac30ab522dcce48b3/6904b31619d76106dec5274b" TargetMode="External"/><Relationship Id="rId278" Type="http://schemas.openxmlformats.org/officeDocument/2006/relationships/hyperlink" Target="https://dzen.ru/media/id/63dd27aac30ab522dcce48b3/6904b33c24ac9a0692bf813a" TargetMode="External"/><Relationship Id="rId279" Type="http://schemas.openxmlformats.org/officeDocument/2006/relationships/hyperlink" Target="https://dzen.ru/media/id/63dd27aac30ab522dcce48b3/6904b38eca24586098d1fedd" TargetMode="External"/><Relationship Id="rId280" Type="http://schemas.openxmlformats.org/officeDocument/2006/relationships/hyperlink" Target="https://dzen.ru/media/id/63dd27aac30ab522dcce48b3/6904b3b76ff13e38331f20ef" TargetMode="External"/><Relationship Id="rId281" Type="http://schemas.openxmlformats.org/officeDocument/2006/relationships/hyperlink" Target="https://dzen.ru/media/id/63dd27aac30ab522dcce48b3/6904b3d4024cd672bb350c10" TargetMode="External"/><Relationship Id="rId282" Type="http://schemas.openxmlformats.org/officeDocument/2006/relationships/hyperlink" Target="https://dzen.ru/media/id/63dd27aac30ab522dcce48b3/6904b3f36c1a137a0728d20c" TargetMode="External"/><Relationship Id="rId283" Type="http://schemas.openxmlformats.org/officeDocument/2006/relationships/hyperlink" Target="https://dzen.ru/media/id/63dd27aac30ab522dcce48b3/6904b413e3f4ad741b8f44b2" TargetMode="External"/><Relationship Id="rId284" Type="http://schemas.openxmlformats.org/officeDocument/2006/relationships/hyperlink" Target="https://dzen.ru/media/id/63dd27aac30ab522dcce48b3/6904b4829834884e10d99a9f" TargetMode="External"/><Relationship Id="rId285" Type="http://schemas.openxmlformats.org/officeDocument/2006/relationships/hyperlink" Target="https://dzen.ru/media/id/63dd27aac30ab522dcce48b3/6904b4362317255bf334f9e8" TargetMode="External"/><Relationship Id="rId286" Type="http://schemas.openxmlformats.org/officeDocument/2006/relationships/hyperlink" Target="https://dzen.ru/media/id/63dd27aac30ab522dcce48b3/6904b4d5ca24586098d38ee3" TargetMode="External"/><Relationship Id="rId287" Type="http://schemas.openxmlformats.org/officeDocument/2006/relationships/hyperlink" Target="https://dzen.ru/media/id/63dd27aac30ab522dcce48b3/6904b4f3024cd672bb3678f8" TargetMode="External"/><Relationship Id="rId288" Type="http://schemas.openxmlformats.org/officeDocument/2006/relationships/hyperlink" Target="https://dzen.ru/media/id/63dd27aac30ab522dcce48b3/6904b517aa1cda1cc19847dd" TargetMode="External"/><Relationship Id="rId289" Type="http://schemas.openxmlformats.org/officeDocument/2006/relationships/hyperlink" Target="https://dzen.ru/media/id/63dd27aac30ab522dcce48b3/6904b533e0d30a4d23665e3d" TargetMode="External"/><Relationship Id="rId290" Type="http://schemas.openxmlformats.org/officeDocument/2006/relationships/hyperlink" Target="https://dzen.ru/media/id/63dd27aac30ab522dcce48b3/6904b54e8fbc6a38a8057442" TargetMode="External"/><Relationship Id="rId291" Type="http://schemas.openxmlformats.org/officeDocument/2006/relationships/hyperlink" Target="https://dzen.ru/media/id/63dd27aac30ab522dcce48b3/6904b574548acf6c5b84eb4d" TargetMode="External"/><Relationship Id="rId292" Type="http://schemas.openxmlformats.org/officeDocument/2006/relationships/hyperlink" Target="https://dzen.ru/media/id/63dd27aac30ab522dcce48b3/6904b58f19d76106dec87c74" TargetMode="External"/><Relationship Id="rId293" Type="http://schemas.openxmlformats.org/officeDocument/2006/relationships/hyperlink" Target="https://dzen.ru/media/id/63dd27aac30ab522dcce48b3/6904b5ac2317255bf3382a33" TargetMode="External"/><Relationship Id="rId294" Type="http://schemas.openxmlformats.org/officeDocument/2006/relationships/hyperlink" Target="https://dzen.ru/media/id/63dd27aac30ab522dcce48b3/6904b5cc93cc0216e16d7e18" TargetMode="External"/><Relationship Id="rId295" Type="http://schemas.openxmlformats.org/officeDocument/2006/relationships/hyperlink" Target="https://dzen.ru/media/id/63dd27aac30ab522dcce48b3/6904b5f9548acf6c5b8593ea" TargetMode="External"/><Relationship Id="rId296" Type="http://schemas.openxmlformats.org/officeDocument/2006/relationships/hyperlink" Target="https://dzen.ru/media/id/63dd27aac30ab522dcce48b3/6904b61c9aff1145263e5cbe" TargetMode="External"/><Relationship Id="rId297" Type="http://schemas.openxmlformats.org/officeDocument/2006/relationships/hyperlink" Target="https://dzen.ru/media/id/63dd27aac30ab522dcce48b3/6904b66a123bca62f459d11f" TargetMode="External"/><Relationship Id="rId298" Type="http://schemas.openxmlformats.org/officeDocument/2006/relationships/hyperlink" Target="https://dzen.ru/media/id/63dd27aac30ab522dcce48b3/6904b69793cc0216e16e7937" TargetMode="External"/><Relationship Id="rId299" Type="http://schemas.openxmlformats.org/officeDocument/2006/relationships/hyperlink" Target="https://dzen.ru/media/id/63dd27aac30ab522dcce48b3/6904b6b6d065d075f4abf906" TargetMode="External"/><Relationship Id="rId300" Type="http://schemas.openxmlformats.org/officeDocument/2006/relationships/hyperlink" Target="https://dzen.ru/media/id/63dd27aac30ab522dcce48b3/6964b2be179b5741ac3f6fd7" TargetMode="External"/><Relationship Id="rId301" Type="http://schemas.openxmlformats.org/officeDocument/2006/relationships/hyperlink" Target="https://dzen.ru/media/id/63dd27aac30ab522dcce48b3/6964b2d8d2c782440cb351c6" TargetMode="External"/><Relationship Id="rId302" Type="http://schemas.openxmlformats.org/officeDocument/2006/relationships/hyperlink" Target="https://dzen.ru/media/id/63dd27aac30ab522dcce48b3/696e0dc40a1aed76303cd366" TargetMode="External"/><Relationship Id="rId303" Type="http://schemas.openxmlformats.org/officeDocument/2006/relationships/hyperlink" Target="https://dzen.ru/media/id/63dd27aac30ab522dcce48b3/696e0e10b632f679a79c8168" TargetMode="External"/><Relationship Id="rId304" Type="http://schemas.openxmlformats.org/officeDocument/2006/relationships/hyperlink" Target="https://dzen.ru/media/id/63dd27aac30ab522dcce48b3/696e0e3e400a107e967e9a6e" TargetMode="External"/><Relationship Id="rId305" Type="http://schemas.openxmlformats.org/officeDocument/2006/relationships/hyperlink" Target="https://dzen.ru/media/id/63dd27aac30ab522dcce48b3/696e0e6dbb9ec867fe84e4ea" TargetMode="External"/><Relationship Id="rId306" Type="http://schemas.openxmlformats.org/officeDocument/2006/relationships/hyperlink" Target="https://dzen.ru/media/id/63dd27aac30ab522dcce48b3/696e0e89bb9ec867fe8510ef" TargetMode="External"/><Relationship Id="rId307" Type="http://schemas.openxmlformats.org/officeDocument/2006/relationships/hyperlink" Target="https://dzen.ru/media/id/63dd27aac30ab522dcce48b3/696e0ea23d68b13fe6b8aca1" TargetMode="External"/><Relationship Id="rId308" Type="http://schemas.openxmlformats.org/officeDocument/2006/relationships/hyperlink" Target="https://dzen.ru/media/id/63dd27aac30ab522dcce48b3/696e0ec3f09bc01c098d71d5" TargetMode="External"/><Relationship Id="rId309" Type="http://schemas.openxmlformats.org/officeDocument/2006/relationships/hyperlink" Target="https://dzen.ru/media/id/63dd27aac30ab522dcce48b3/696e0ee6b632f679a79ddd1d" TargetMode="External"/><Relationship Id="rId310" Type="http://schemas.openxmlformats.org/officeDocument/2006/relationships/hyperlink" Target="https://dzen.ru/media/id/63dd27aac30ab522dcce48b3/696e0f019b84530cdb9d1d0c" TargetMode="External"/><Relationship Id="rId311" Type="http://schemas.openxmlformats.org/officeDocument/2006/relationships/hyperlink" Target="https://dzen.ru/media/id/63dd27aac30ab522dcce48b3/696e0f2f3d3d4e360bdfd7d0" TargetMode="External"/><Relationship Id="rId312" Type="http://schemas.openxmlformats.org/officeDocument/2006/relationships/hyperlink" Target="https://dzen.ru/media/id/63dd27aac30ab522dcce48b3/698c5b21107fca43014671e1" TargetMode="External"/><Relationship Id="rId313" Type="http://schemas.openxmlformats.org/officeDocument/2006/relationships/hyperlink" Target="https://dzen.ru/media/id/63dd27aac30ab522dcce48b3/698c5b544763ed472114cb08" TargetMode="External"/><Relationship Id="rId314" Type="http://schemas.openxmlformats.org/officeDocument/2006/relationships/hyperlink" Target="https://dzen.ru/media/id/63dd27aac30ab522dcce48b3/698c5b864763ed4721152382" TargetMode="External"/><Relationship Id="rId315" Type="http://schemas.openxmlformats.org/officeDocument/2006/relationships/hyperlink" Target="https://dzen.ru/media/id/63dd27aac30ab522dcce48b3/698c5bb1d389c17d75b3223a" TargetMode="External"/><Relationship Id="rId316" Type="http://schemas.openxmlformats.org/officeDocument/2006/relationships/hyperlink" Target="https://dzen.ru/media/id/63dd27aac30ab522dcce48b3/699721a514e0ee0d5d9ef97e" TargetMode="External"/><Relationship Id="rId317" Type="http://schemas.openxmlformats.org/officeDocument/2006/relationships/hyperlink" Target="https://dzen.ru/media/id/63dd27aac30ab522dcce48b3/698c5bd06c1dd34f5348b496" TargetMode="External"/><Relationship Id="rId318" Type="http://schemas.openxmlformats.org/officeDocument/2006/relationships/hyperlink" Target="https://dzen.ru/media/id/63dd27aac30ab522dcce48b3/698c5bf22205cc4a1d98a17f" TargetMode="External"/><Relationship Id="rId319" Type="http://schemas.openxmlformats.org/officeDocument/2006/relationships/hyperlink" Target="https://dzen.ru/media/id/63dd27aac30ab522dcce48b3/698c5c19f7e3821023e2d328" TargetMode="External"/><Relationship Id="rId320" Type="http://schemas.openxmlformats.org/officeDocument/2006/relationships/hyperlink" Target="https://dzen.ru/media/id/63dd27aac30ab522dcce48b3/698c5c34f3d91d439b2e1dc5" TargetMode="External"/><Relationship Id="rId321" Type="http://schemas.openxmlformats.org/officeDocument/2006/relationships/hyperlink" Target="https://dzen.ru/media/id/63dd27aac30ab522dcce48b3/69a6d90560ec9a474d04aa61" TargetMode="External"/><Relationship Id="rId322" Type="http://schemas.openxmlformats.org/officeDocument/2006/relationships/hyperlink" Target="https://dzen.ru/media/id/63dd27aac30ab522dcce48b3/69a97d80ba9d78754a6aa89b" TargetMode="External"/><Relationship Id="rId323" Type="http://schemas.openxmlformats.org/officeDocument/2006/relationships/hyperlink" Target="https://dzen.ru/media/id/63dd27aac30ab522dcce48b3/69ad801077454b59acf1ecb7" TargetMode="External"/><Relationship Id="rId324" Type="http://schemas.openxmlformats.org/officeDocument/2006/relationships/hyperlink" Target="https://dzen.ru/media/id/63dd27aac30ab522dcce48b3/69b058dd88f7be6f168160a2" TargetMode="External"/><Relationship Id="rId325" Type="http://schemas.openxmlformats.org/officeDocument/2006/relationships/hyperlink" Target="https://dzen.ru/media/id/63dd27aac30ab522dcce48b3/69b2d6e325b6be7de42686e1" TargetMode="External"/><Relationship Id="rId326" Type="http://schemas.openxmlformats.org/officeDocument/2006/relationships/hyperlink" Target="https://dzen.ru/media/id/63dd27aac30ab522dcce48b3/69b6c523aaaac8519b5b68e2" TargetMode="External"/><Relationship Id="rId327" Type="http://schemas.openxmlformats.org/officeDocument/2006/relationships/hyperlink" Target="https://dzen.ru/media/id/63dd27aac30ab522dcce48b3/69b96ba5d4fb5a00b19db17a" TargetMode="External"/><Relationship Id="rId328" Type="http://schemas.openxmlformats.org/officeDocument/2006/relationships/hyperlink" Target="https://dzen.ru/media/id/63dd27aac30ab522dcce48b3/69c034eeb0b692716e70fca7" TargetMode="External"/><Relationship Id="rId329" Type="http://schemas.openxmlformats.org/officeDocument/2006/relationships/hyperlink" Target="https://dzen.ru/media/id/63dd27aac30ab522dcce48b3/69c29aa2f6bc5b6e4bb06178" TargetMode="External"/><Relationship Id="rId330" Type="http://schemas.openxmlformats.org/officeDocument/2006/relationships/hyperlink" Target="https://dzen.ru/media/id/63dd27aac30ab522dcce48b3/69c50529f8d5ac7dcbd65bdc" TargetMode="External"/><Relationship Id="rId331" Type="http://schemas.openxmlformats.org/officeDocument/2006/relationships/hyperlink" Target="https://dzen.ru/media/id/63dd27aac30ab522dcce48b3/69c8feaad0adae769c3c01c1" TargetMode="External"/><Relationship Id="rId332" Type="http://schemas.openxmlformats.org/officeDocument/2006/relationships/hyperlink" Target="https://dzen.ru/media/id/63dd27aac30ab522dcce48b3/69cb8a827d40780dfe6ca57f" TargetMode="External"/><Relationship Id="rId333" Type="http://schemas.openxmlformats.org/officeDocument/2006/relationships/hyperlink" Target="https://dzen.ru/media/id/63dd27aac30ab522dcce48b3/69cfd8cd185afb3db372f220" TargetMode="External"/><Relationship Id="rId334" Type="http://schemas.openxmlformats.org/officeDocument/2006/relationships/hyperlink" Target="https://dzen.ru/media/id/63dd27aac30ab522dcce48b3/69d235474180aa4d14f052b8" TargetMode="External"/><Relationship Id="rId335" Type="http://schemas.openxmlformats.org/officeDocument/2006/relationships/hyperlink" Target="https://dzen.ru/media/id/63dd27aac30ab522dcce48b3/69d77edb08c3724d83e04a7a" TargetMode="External"/><Relationship Id="rId336" Type="http://schemas.openxmlformats.org/officeDocument/2006/relationships/hyperlink" Target="https://dzen.ru/media/id/63dd27aac30ab522dcce48b3/69dc3344d1f9754398fd3260" TargetMode="External"/><Relationship Id="rId337" Type="http://schemas.openxmlformats.org/officeDocument/2006/relationships/hyperlink" Target="https://dzen.ru/media/id/63dd27aac30ab522dcce48b3/69de2a55bda1c0290345a4b9" TargetMode="External"/><Relationship Id="rId338" Type="http://schemas.openxmlformats.org/officeDocument/2006/relationships/hyperlink" Target="https://dzen.ru/media/id/63dd27aac30ab522dcce48b3/69e0b903fb7866792b9313b1" TargetMode="External"/><Relationship Id="rId339" Type="http://schemas.openxmlformats.org/officeDocument/2006/relationships/hyperlink" Target="https://dzen.ru/media/id/63dd27aac30ab522dcce48b3/69e750e2823b066ea19eca6e" TargetMode="External"/><Relationship Id="rId340" Type="http://schemas.openxmlformats.org/officeDocument/2006/relationships/hyperlink" Target="https://dzen.ru/media/id/63dd27aac30ab522dcce48b3/69e9f4098647392ded4a691e" TargetMode="External"/><Relationship Id="rId341" Type="http://schemas.openxmlformats.org/officeDocument/2006/relationships/hyperlink" Target="https://dzen.ru/media/id/63dd27aac30ab522dcce48b3/69f096128397d7093f5a4c61" TargetMode="External"/><Relationship Id="rId342" Type="http://schemas.openxmlformats.org/officeDocument/2006/relationships/hyperlink" Target="https://dzen.ru/media/id/63dd27aac30ab522dcce48b3/69f314211ea6905d078768d9" TargetMode="External"/><Relationship Id="rId343" Type="http://schemas.openxmlformats.org/officeDocument/2006/relationships/hyperlink" Target="https://dzen.ru/media/id/63dd27aac30ab522dcce48b3/69f71620ef3f37622d3d45fb" TargetMode="External"/><Relationship Id="rId344" Type="http://schemas.openxmlformats.org/officeDocument/2006/relationships/hyperlink" Target="https://dzen.ru/media/id/63dd27aac30ab522dcce48b3/69f9a0a7ef3f37622db74384" TargetMode="External"/><Relationship Id="rId345" Type="http://schemas.openxmlformats.org/officeDocument/2006/relationships/hyperlink" Target="https://dzen.ru/media/id/63dd27aac30ab522dcce48b3/69fc43d7db22e333c4556834" TargetMode="External"/><Relationship Id="rId346" Type="http://schemas.openxmlformats.org/officeDocument/2006/relationships/hyperlink" Target="https://dzen.ru/media/id/63dd27aac30ab522dcce48b3/6a0062b12de3e96ec57af27c" TargetMode="External"/><Relationship Id="rId347" Type="http://schemas.openxmlformats.org/officeDocument/2006/relationships/hyperlink" Target="https://dzen.ru/media/id/63dd27aac30ab522dcce48b3/6a03050b0547961f67b34980" TargetMode="External"/><Relationship Id="rId348" Type="http://schemas.openxmlformats.org/officeDocument/2006/relationships/hyperlink" Target="https://dzen.ru/media/id/63dd27aac30ab522dcce48b3/6a058e48570c2d44d933524e" TargetMode="External"/><Relationship Id="rId349" Type="http://schemas.openxmlformats.org/officeDocument/2006/relationships/hyperlink" Target="https://dzen.ru/media/id/63dd27aac30ab522dcce48b3/6a0982f2208c506aa8645ddb" TargetMode="External"/><Relationship Id="rId350" Type="http://schemas.openxmlformats.org/officeDocument/2006/relationships/hyperlink" Target="https://dzen.ru/media/id/63dd27aac30ab522dcce48b3/6a0eca9085386764292b76f0" TargetMode="External"/><Relationship Id="rId351" Type="http://schemas.openxmlformats.org/officeDocument/2006/relationships/hyperlink" Target="https://dzen.ru/media/id/63dd27aac30ab522dcce48b3/6a12d98b151aa43afccc1b77" TargetMode="External"/><Relationship Id="rId352" Type="http://schemas.openxmlformats.org/officeDocument/2006/relationships/hyperlink" Target="https://dzen.ru/media/id/63dd27aac30ab522dcce48b3/6a157988d34c44374f48ca55" TargetMode="External"/><Relationship Id="rId353" Type="http://schemas.openxmlformats.org/officeDocument/2006/relationships/hyperlink" Target="https://dzen.ru/media/id/63dd27aac30ab522dcce48b3/6a181b2013059a59703b6883" TargetMode="External"/><Relationship Id="rId354" Type="http://schemas.openxmlformats.org/officeDocument/2006/relationships/hyperlink" Target="https://dzen.ru/media/id/63dd27aac30ab522dcce48b3/6a1c18f23e1fbd3eea3a0584" TargetMode="External"/><Relationship Id="rId355" Type="http://schemas.openxmlformats.org/officeDocument/2006/relationships/hyperlink" Target="https://dzen.ru/media/id/63dd27aac30ab522dcce48b3/6a1eaa143dd46c7a182688bb" TargetMode="External"/><Relationship Id="rId356" Type="http://schemas.openxmlformats.org/officeDocument/2006/relationships/hyperlink" Target="https://dzen.ru/media/id/63dd27aac30ab522dcce48b3/6a254ca3e5acfd1a99fdab3e" TargetMode="External"/><Relationship Id="rId357" Type="http://schemas.openxmlformats.org/officeDocument/2006/relationships/hyperlink" Target="https://dzen.ru/media/id/63dd27aac30ab522dcce48b3/6a27f9d1e8f787617076a5bf" TargetMode="External"/><Relationship Id="rId358" Type="http://schemas.openxmlformats.org/officeDocument/2006/relationships/hyperlink" Target="https://dzen.ru/media/id/63dd27aac30ab522dcce48b3/6a2a8ae02f5ff92a02cfe0e8" TargetMode="External"/><Relationship Id="rId359" Type="http://schemas.openxmlformats.org/officeDocument/2006/relationships/hyperlink" Target="https://dzen.ru/media/id/63dd27aac30ab522dcce48b3/6a33afaf5ebf3519ec7f7305" TargetMode="External"/><Relationship Id="rId360" Type="http://schemas.openxmlformats.org/officeDocument/2006/relationships/hyperlink" Target="https://dzen.ru/media/id/63dd27aac30ab522dcce48b3/6a379da2556d2031226f52fb" TargetMode="External"/><Relationship Id="rId361" Type="http://schemas.openxmlformats.org/officeDocument/2006/relationships/hyperlink" Target="https://dzen.ru/media/id/63dd27aac30ab522dcce48b3/6a3a6048665bf6072b478d32" TargetMode="External"/><Relationship Id="rId362" Type="http://schemas.openxmlformats.org/officeDocument/2006/relationships/hyperlink" Target="https://dzen.ru/media/id/63dd27aac30ab522dcce48b3/6a3cf3915526c776bc89d2fd" TargetMode="External"/><Relationship Id="rId363" Type="http://schemas.openxmlformats.org/officeDocument/2006/relationships/hyperlink" Target="https://dzen.ru/media/id/63dd27aac30ab522dcce48b3/6a40e0fc97a40b07bfd68992" TargetMode="External"/><Relationship Id="rId364" Type="http://schemas.openxmlformats.org/officeDocument/2006/relationships/hyperlink" Target="https://dzen.ru/media/id/63dd27aac30ab522dcce48b3/6a43a4ac67311d429529556b" TargetMode="External"/><Relationship Id="rId365" Type="http://schemas.openxmlformats.org/officeDocument/2006/relationships/hyperlink" Target="https://dzen.ru/media/id/63dd27aac30ab522dcce48b3/6a4611aa3b71c42b8bdf782e" TargetMode="External"/><Relationship Id="rId366" Type="http://schemas.openxmlformats.org/officeDocument/2006/relationships/hyperlink" Target="https://dzen.ru/media/id/63dd27aac30ab522dcce48b3/6a4a4883b912b9327f63a244" TargetMode="External"/><Relationship Id="rId367" Type="http://schemas.openxmlformats.org/officeDocument/2006/relationships/hyperlink" Target="https://dzen.ru/media/id/63dd27aac30ab522dcce48b3/6a4cf276f134a535fdad3d22" TargetMode="External"/><Relationship Id="rId368" Type="http://schemas.openxmlformats.org/officeDocument/2006/relationships/hyperlink" Target="https://dzen.ru/media/id/63dd27aac30ab522dcce48b3/6a4f688a98fe8b6afee639d0" TargetMode="External"/><Relationship Id="rId369" Type="http://schemas.openxmlformats.org/officeDocument/2006/relationships/hyperlink" Target="https://dzen.ru/media/id/63dd27aac30ab522dcce48b3/6a535e50012b75611d2fee95" TargetMode="External"/><Relationship Id="rId370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zen.ru/media/id/63dd27aac30ab522dcce48b3/648f78d03923b316d6df706a" TargetMode="External"/><Relationship Id="rId2" Type="http://schemas.openxmlformats.org/officeDocument/2006/relationships/hyperlink" Target="https://dzen.ru/media/id/63dd27aac30ab522dcce48b3/64908e91bbd7002cb5fe2603" TargetMode="External"/><Relationship Id="rId3" Type="http://schemas.openxmlformats.org/officeDocument/2006/relationships/hyperlink" Target="https://dzen.ru/media/id/63dd27aac30ab522dcce48b3/64c974cfd21c8d352caad12a" TargetMode="External"/><Relationship Id="rId4" Type="http://schemas.openxmlformats.org/officeDocument/2006/relationships/hyperlink" Target="https://dzen.ru/media/id/63dd27aac30ab522dcce48b3/651c4b1068e47d3a58a9dc7b" TargetMode="External"/><Relationship Id="rId5" Type="http://schemas.openxmlformats.org/officeDocument/2006/relationships/hyperlink" Target="https://dzen.ru/media/id/63dd27aac30ab522dcce48b3/652ee2ea8378885611da99aa" TargetMode="External"/><Relationship Id="rId6" Type="http://schemas.openxmlformats.org/officeDocument/2006/relationships/hyperlink" Target="https://dzen.ru/media/id/63dd27aac30ab522dcce48b3/654686832469372a53552037" TargetMode="External"/><Relationship Id="rId7" Type="http://schemas.openxmlformats.org/officeDocument/2006/relationships/hyperlink" Target="https://dzen.ru/media/id/63dd27aac30ab522dcce48b3/65746b262f3b64165194ce00" TargetMode="External"/><Relationship Id="rId8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4"/>
      <c r="B5" s="3"/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35.0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4"/>
      <c r="B13" s="3"/>
    </row>
    <row r="14" customFormat="false" ht="23.85" hidden="false" customHeight="false" outlineLevel="0" collapsed="false">
      <c r="A14" s="2" t="s">
        <v>19</v>
      </c>
      <c r="B14" s="3" t="s">
        <v>20</v>
      </c>
    </row>
    <row r="15" customFormat="false" ht="23.85" hidden="false" customHeight="false" outlineLevel="0" collapsed="false">
      <c r="A15" s="2" t="s">
        <v>21</v>
      </c>
      <c r="B15" s="3" t="s">
        <v>22</v>
      </c>
    </row>
    <row r="16" customFormat="false" ht="15" hidden="false" customHeight="false" outlineLevel="0" collapsed="false">
      <c r="A16" s="2" t="s">
        <v>23</v>
      </c>
      <c r="B16" s="3" t="s">
        <v>24</v>
      </c>
    </row>
    <row r="17" customFormat="false" ht="35.05" hidden="false" customHeight="false" outlineLevel="0" collapsed="false">
      <c r="A17" s="2" t="s">
        <v>25</v>
      </c>
      <c r="B17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3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5" t="s">
        <v>28</v>
      </c>
    </row>
    <row r="4" customFormat="false" ht="23.85" hidden="false" customHeight="false" outlineLevel="0" collapsed="false">
      <c r="A4" s="6" t="s">
        <v>29</v>
      </c>
      <c r="B4" s="6" t="s">
        <v>30</v>
      </c>
      <c r="C4" s="6" t="s">
        <v>5</v>
      </c>
      <c r="D4" s="6" t="s">
        <v>7</v>
      </c>
      <c r="E4" s="6" t="s">
        <v>9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</row>
    <row r="5" customFormat="false" ht="15" hidden="false" customHeight="false" outlineLevel="0" collapsed="false">
      <c r="A5" s="7" t="s">
        <v>37</v>
      </c>
      <c r="B5" s="8" t="n">
        <f aca="false">COUNT(Статьи!$F$5:$F$627)</f>
        <v>623</v>
      </c>
      <c r="C5" s="9" t="n">
        <f aca="false">IFERROR(MEDIAN(Статьи!$F$5:$F$627),"")</f>
        <v>140440</v>
      </c>
      <c r="D5" s="9" t="n">
        <f aca="false">IFERROR(MEDIAN(Статьи!$G$5:$G$627),"")</f>
        <v>10787</v>
      </c>
      <c r="E5" s="9" t="n">
        <f aca="false">IFERROR(MEDIAN(Статьи!$H$5:$H$627),"")</f>
        <v>5339</v>
      </c>
      <c r="F5" s="10" t="n">
        <f aca="false">IFERROR(MEDIAN(Статьи!$M$5:$M$627),"")</f>
        <v>0.0544425625123133</v>
      </c>
      <c r="G5" s="10" t="n">
        <f aca="false">IFERROR(MEDIAN(Статьи!$N$5:$N$627),"")</f>
        <v>0.53613515779329</v>
      </c>
      <c r="H5" s="11" t="n">
        <f aca="false">IFERROR(MEDIAN(Статьи!$O$5:$O$627),"")</f>
        <v>0.973201462331897</v>
      </c>
      <c r="I5" s="10" t="n">
        <f aca="false">IFERROR(MEDIAN(Статьи!$P$5:$P$627),"")</f>
        <v>0.0552045122036609</v>
      </c>
      <c r="J5" s="10" t="n">
        <f aca="false">IFERROR(MEDIAN(Статьи!$Q$5:$Q$627),"")</f>
        <v>0.0101796445631713</v>
      </c>
      <c r="K5" s="10" t="n">
        <f aca="false">IFERROR(MEDIAN(Статьи!$R$5:$R$627),"")</f>
        <v>0.00400313825494022</v>
      </c>
    </row>
    <row r="6" customFormat="false" ht="15" hidden="false" customHeight="false" outlineLevel="0" collapsed="false">
      <c r="A6" s="7" t="s">
        <v>38</v>
      </c>
      <c r="B6" s="8" t="n">
        <f aca="false">COUNT(Ролики!$F$5:$F$665)</f>
        <v>661</v>
      </c>
      <c r="C6" s="9" t="n">
        <f aca="false">IFERROR(MEDIAN(Ролики!$F$5:$F$665),"")</f>
        <v>46418</v>
      </c>
      <c r="D6" s="9" t="n">
        <f aca="false">IFERROR(MEDIAN(Ролики!$G$5:$G$665),"")</f>
        <v>14153</v>
      </c>
      <c r="E6" s="9" t="n">
        <f aca="false">IFERROR(MEDIAN(Ролики!$H$5:$H$665),"")</f>
        <v>12724</v>
      </c>
      <c r="F6" s="10" t="n">
        <f aca="false">IFERROR(MEDIAN(Ролики!$M$5:$M$665),"")</f>
        <v>0.29702809944125</v>
      </c>
      <c r="G6" s="10" t="n">
        <f aca="false">IFERROR(MEDIAN(Ролики!$N$5:$N$665),"")</f>
        <v>0.999913567868543</v>
      </c>
      <c r="H6" s="11" t="n">
        <f aca="false">IFERROR(MEDIAN(Ролики!$O$5:$O$665),"")</f>
        <v>0.00405487671205156</v>
      </c>
      <c r="I6" s="10" t="n">
        <f aca="false">IFERROR(MEDIAN(Ролики!$P$5:$P$665),"")</f>
        <v>0.0126065038642245</v>
      </c>
      <c r="J6" s="10" t="n">
        <f aca="false">IFERROR(MEDIAN(Ролики!$Q$5:$Q$665),"")</f>
        <v>0.000672496172831969</v>
      </c>
      <c r="K6" s="10" t="n">
        <f aca="false">IFERROR(MEDIAN(Ролики!$R$5:$R$665),"")</f>
        <v>0.000687296625027049</v>
      </c>
    </row>
    <row r="7" customFormat="false" ht="15" hidden="false" customHeight="false" outlineLevel="0" collapsed="false">
      <c r="A7" s="7" t="s">
        <v>39</v>
      </c>
      <c r="B7" s="8" t="n">
        <f aca="false">COUNT(Посты!$F$5:$F$373)</f>
        <v>369</v>
      </c>
      <c r="C7" s="9" t="n">
        <f aca="false">IFERROR(MEDIAN(Посты!$F$5:$F$373),"")</f>
        <v>3102</v>
      </c>
      <c r="D7" s="9" t="n">
        <f aca="false">IFERROR(MEDIAN(Посты!$G$5:$G$373),"")</f>
        <v>222</v>
      </c>
      <c r="E7" s="9" t="n">
        <f aca="false">IFERROR(MEDIAN(Посты!$H$5:$H$373),"")</f>
        <v>233</v>
      </c>
      <c r="F7" s="10" t="n">
        <f aca="false">IFERROR(MEDIAN(Посты!$M$5:$M$373),"")</f>
        <v>0.0696310312204352</v>
      </c>
      <c r="G7" s="10" t="n">
        <f aca="false">IFERROR(MEDIAN(Посты!$N$5:$N$373),"")</f>
        <v>0.996466431095406</v>
      </c>
      <c r="H7" s="11" t="n">
        <f aca="false">IFERROR(MEDIAN(Посты!$O$5:$O$373),"")</f>
        <v>0.544117647058824</v>
      </c>
      <c r="I7" s="10" t="n">
        <f aca="false">IFERROR(MEDIAN(Посты!$P$5:$P$373),"")</f>
        <v>0.133663366336634</v>
      </c>
      <c r="J7" s="10" t="n">
        <f aca="false">IFERROR(MEDIAN(Посты!$Q$5:$Q$373),"")</f>
        <v>0.0201342281879195</v>
      </c>
      <c r="K7" s="10" t="n">
        <f aca="false">IFERROR(MEDIAN(Посты!$R$5:$R$373),"")</f>
        <v>0</v>
      </c>
    </row>
    <row r="8" customFormat="false" ht="15" hidden="false" customHeight="false" outlineLevel="0" collapsed="false">
      <c r="A8" s="8" t="s">
        <v>40</v>
      </c>
      <c r="B8" s="8" t="n">
        <f aca="false">COUNT(Статьи!$F$5:$F$56)</f>
        <v>52</v>
      </c>
      <c r="C8" s="9" t="n">
        <f aca="false">IFERROR(MEDIAN(Статьи!$F$5:$F$56),"")</f>
        <v>74706.5</v>
      </c>
      <c r="D8" s="9" t="n">
        <f aca="false">IFERROR(MEDIAN(Статьи!$G$5:$G$56),"")</f>
        <v>3369.5</v>
      </c>
      <c r="E8" s="9" t="n">
        <f aca="false">IFERROR(MEDIAN(Статьи!$H$5:$H$56),"")</f>
        <v>1915</v>
      </c>
      <c r="F8" s="10" t="n">
        <f aca="false">IFERROR(MEDIAN(Статьи!$M$5:$M$56),"")</f>
        <v>0.0402723550669996</v>
      </c>
      <c r="G8" s="10" t="n">
        <f aca="false">IFERROR(MEDIAN(Статьи!$N$5:$N$56),"")</f>
        <v>0.586206896551724</v>
      </c>
      <c r="H8" s="11" t="n">
        <f aca="false">IFERROR(MEDIAN(Статьи!$O$5:$O$56),"")</f>
        <v>0.969407265774379</v>
      </c>
      <c r="I8" s="10" t="n">
        <f aca="false">IFERROR(MEDIAN(Статьи!$P$5:$P$56),"")</f>
        <v>0.0535815002820079</v>
      </c>
      <c r="J8" s="10" t="n">
        <f aca="false">IFERROR(MEDIAN(Статьи!$Q$5:$Q$56),"")</f>
        <v>0.00622154779969651</v>
      </c>
      <c r="K8" s="10" t="n">
        <f aca="false">IFERROR(MEDIAN(Статьи!$R$5:$R$56),"")</f>
        <v>0.00626748740906547</v>
      </c>
    </row>
    <row r="9" customFormat="false" ht="15" hidden="false" customHeight="false" outlineLevel="0" collapsed="false">
      <c r="A9" s="8" t="s">
        <v>41</v>
      </c>
      <c r="B9" s="8" t="n">
        <f aca="false">COUNT(Статьи!$F$57:$F$225)</f>
        <v>169</v>
      </c>
      <c r="C9" s="9" t="n">
        <f aca="false">IFERROR(MEDIAN(Статьи!$F$57:$F$225),"")</f>
        <v>166341</v>
      </c>
      <c r="D9" s="9" t="n">
        <f aca="false">IFERROR(MEDIAN(Статьи!$G$57:$G$225),"")</f>
        <v>11208</v>
      </c>
      <c r="E9" s="9" t="n">
        <f aca="false">IFERROR(MEDIAN(Статьи!$H$57:$H$225),"")</f>
        <v>6076</v>
      </c>
      <c r="F9" s="10" t="n">
        <f aca="false">IFERROR(MEDIAN(Статьи!$M$57:$M$225),"")</f>
        <v>0.0477012468597321</v>
      </c>
      <c r="G9" s="10" t="n">
        <f aca="false">IFERROR(MEDIAN(Статьи!$N$57:$N$225),"")</f>
        <v>0.547007277587999</v>
      </c>
      <c r="H9" s="11" t="n">
        <f aca="false">IFERROR(MEDIAN(Статьи!$O$57:$O$225),"")</f>
        <v>0.938095238095238</v>
      </c>
      <c r="I9" s="10" t="n">
        <f aca="false">IFERROR(MEDIAN(Статьи!$P$57:$P$225),"")</f>
        <v>0.0494350282485876</v>
      </c>
      <c r="J9" s="10" t="n">
        <f aca="false">IFERROR(MEDIAN(Статьи!$Q$57:$Q$225),"")</f>
        <v>0.00985595147839272</v>
      </c>
      <c r="K9" s="10" t="n">
        <f aca="false">IFERROR(MEDIAN(Статьи!$R$57:$R$225),"")</f>
        <v>0.00450266066311912</v>
      </c>
    </row>
    <row r="10" customFormat="false" ht="15" hidden="false" customHeight="false" outlineLevel="0" collapsed="false">
      <c r="A10" s="8" t="s">
        <v>42</v>
      </c>
      <c r="B10" s="8" t="n">
        <f aca="false">COUNT(Статьи!$F$226:$F$465)</f>
        <v>240</v>
      </c>
      <c r="C10" s="9" t="n">
        <f aca="false">IFERROR(MEDIAN(Статьи!$F$226:$F$465),"")</f>
        <v>327575</v>
      </c>
      <c r="D10" s="9" t="n">
        <f aca="false">IFERROR(MEDIAN(Статьи!$G$226:$G$465),"")</f>
        <v>25099</v>
      </c>
      <c r="E10" s="9" t="n">
        <f aca="false">IFERROR(MEDIAN(Статьи!$H$226:$H$465),"")</f>
        <v>12304.5</v>
      </c>
      <c r="F10" s="10" t="n">
        <f aca="false">IFERROR(MEDIAN(Статьи!$M$226:$M$465),"")</f>
        <v>0.063563111844195</v>
      </c>
      <c r="G10" s="10" t="n">
        <f aca="false">IFERROR(MEDIAN(Статьи!$N$226:$N$465),"")</f>
        <v>0.534876485431972</v>
      </c>
      <c r="H10" s="11" t="n">
        <f aca="false">IFERROR(MEDIAN(Статьи!$O$226:$O$465),"")</f>
        <v>1.01908260868</v>
      </c>
      <c r="I10" s="10" t="n">
        <f aca="false">IFERROR(MEDIAN(Статьи!$P$226:$P$465),"")</f>
        <v>0.0481119123593716</v>
      </c>
      <c r="J10" s="10" t="n">
        <f aca="false">IFERROR(MEDIAN(Статьи!$Q$226:$Q$465),"")</f>
        <v>0.00988041998401982</v>
      </c>
      <c r="K10" s="10" t="n">
        <f aca="false">IFERROR(MEDIAN(Статьи!$R$226:$R$465),"")</f>
        <v>0.00385356745137258</v>
      </c>
    </row>
    <row r="11" customFormat="false" ht="15" hidden="false" customHeight="false" outlineLevel="0" collapsed="false">
      <c r="A11" s="8" t="s">
        <v>43</v>
      </c>
      <c r="B11" s="8" t="n">
        <f aca="false">COUNT(Статьи!$F$466:$F$627)</f>
        <v>162</v>
      </c>
      <c r="C11" s="9" t="n">
        <f aca="false">IFERROR(MEDIAN(Статьи!$F$466:$F$627),"")</f>
        <v>53200.5</v>
      </c>
      <c r="D11" s="9" t="n">
        <f aca="false">IFERROR(MEDIAN(Статьи!$G$466:$G$627),"")</f>
        <v>2069.5</v>
      </c>
      <c r="E11" s="9" t="n">
        <f aca="false">IFERROR(MEDIAN(Статьи!$H$466:$H$627),"")</f>
        <v>954.5</v>
      </c>
      <c r="F11" s="10" t="n">
        <f aca="false">IFERROR(MEDIAN(Статьи!$M$466:$M$627),"")</f>
        <v>0.0565788463478611</v>
      </c>
      <c r="G11" s="10" t="n">
        <f aca="false">IFERROR(MEDIAN(Статьи!$N$466:$N$627),"")</f>
        <v>0.518488483257838</v>
      </c>
      <c r="H11" s="11" t="n">
        <f aca="false">IFERROR(MEDIAN(Статьи!$O$466:$O$627),"")</f>
        <v>0.971334971334971</v>
      </c>
      <c r="I11" s="10" t="n">
        <f aca="false">IFERROR(MEDIAN(Статьи!$P$466:$P$627),"")</f>
        <v>0.0754501347708895</v>
      </c>
      <c r="J11" s="10" t="n">
        <f aca="false">IFERROR(MEDIAN(Статьи!$Q$466:$Q$627),"")</f>
        <v>0.0178437065905232</v>
      </c>
      <c r="K11" s="10" t="n">
        <f aca="false">IFERROR(MEDIAN(Статьи!$R$466:$R$627),"")</f>
        <v>0.00373247102227817</v>
      </c>
    </row>
    <row r="13" customFormat="false" ht="15" hidden="false" customHeight="false" outlineLevel="0" collapsed="false">
      <c r="A13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9" min="13" style="0" width="13"/>
    <col collapsed="false" customWidth="true" hidden="false" outlineLevel="0" max="21" min="20" style="0" width="15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5" t="s">
        <v>46</v>
      </c>
    </row>
    <row r="4" customFormat="false" ht="46.25" hidden="false" customHeight="false" outlineLevel="0" collapsed="false">
      <c r="A4" s="12" t="s">
        <v>47</v>
      </c>
      <c r="B4" s="12" t="s">
        <v>48</v>
      </c>
      <c r="C4" s="12" t="s">
        <v>49</v>
      </c>
      <c r="D4" s="12" t="s">
        <v>50</v>
      </c>
      <c r="E4" s="12" t="s">
        <v>51</v>
      </c>
      <c r="F4" s="12" t="s">
        <v>5</v>
      </c>
      <c r="G4" s="12" t="s">
        <v>7</v>
      </c>
      <c r="H4" s="12" t="s">
        <v>9</v>
      </c>
      <c r="I4" s="12" t="s">
        <v>52</v>
      </c>
      <c r="J4" s="12" t="s">
        <v>53</v>
      </c>
      <c r="K4" s="12" t="s">
        <v>54</v>
      </c>
      <c r="L4" s="12" t="s">
        <v>55</v>
      </c>
      <c r="M4" s="12" t="s">
        <v>56</v>
      </c>
      <c r="N4" s="12" t="s">
        <v>32</v>
      </c>
      <c r="O4" s="12" t="s">
        <v>57</v>
      </c>
      <c r="P4" s="12" t="s">
        <v>58</v>
      </c>
      <c r="Q4" s="12" t="s">
        <v>59</v>
      </c>
      <c r="R4" s="12" t="s">
        <v>60</v>
      </c>
      <c r="S4" s="12" t="s">
        <v>61</v>
      </c>
      <c r="T4" s="12" t="s">
        <v>62</v>
      </c>
      <c r="U4" s="12" t="s">
        <v>63</v>
      </c>
    </row>
    <row r="5" customFormat="false" ht="15" hidden="false" customHeight="false" outlineLevel="0" collapsed="false">
      <c r="A5" s="13" t="n">
        <v>45013.5007059144</v>
      </c>
      <c r="B5" s="8" t="n">
        <v>12</v>
      </c>
      <c r="C5" s="8" t="s">
        <v>64</v>
      </c>
      <c r="D5" s="8" t="s">
        <v>65</v>
      </c>
      <c r="E5" s="14" t="s">
        <v>66</v>
      </c>
      <c r="F5" s="9" t="n">
        <v>10922</v>
      </c>
      <c r="G5" s="9" t="n">
        <v>215</v>
      </c>
      <c r="H5" s="9" t="n">
        <v>154</v>
      </c>
      <c r="I5" s="9" t="n">
        <v>10</v>
      </c>
      <c r="J5" s="9" t="n">
        <v>25</v>
      </c>
      <c r="K5" s="9" t="n">
        <v>2</v>
      </c>
      <c r="L5" s="9" t="n">
        <v>1</v>
      </c>
      <c r="M5" s="10" t="n">
        <f aca="false">IFERROR(G5/F5,"")</f>
        <v>0.0196850393700787</v>
      </c>
      <c r="N5" s="10" t="n">
        <f aca="false">IFERROR(H5/G5,"")</f>
        <v>0.716279069767442</v>
      </c>
      <c r="O5" s="11" t="n">
        <f aca="false">IFERROR(I5/H5,"")</f>
        <v>0.0649350649350649</v>
      </c>
      <c r="P5" s="10" t="n">
        <f aca="false">IFERROR(J5/H5,"")</f>
        <v>0.162337662337662</v>
      </c>
      <c r="Q5" s="10" t="n">
        <f aca="false">IFERROR(K5/H5,"")</f>
        <v>0.012987012987013</v>
      </c>
      <c r="R5" s="10" t="n">
        <f aca="false">IFERROR(L5/H5,"")</f>
        <v>0.00649350649350649</v>
      </c>
      <c r="S5" s="11" t="str">
        <f aca="false">IFERROR(M5/MEDIAN(INDEX($M$5:$M$627,MATCH($A5-90,$A$5:$A$627,1)):INDEX($M$5:$M$627,MATCH($A5+90,$A$5:$A$627,1))),"")</f>
        <v/>
      </c>
      <c r="T5" s="11" t="str">
        <f aca="false">IFERROR(N5/MEDIAN(INDEX($N$5:$N$627,MATCH($A5-90,$A$5:$A$627,1)):INDEX($N$5:$N$627,MATCH($A5+90,$A$5:$A$627,1))),"")</f>
        <v/>
      </c>
      <c r="U5" s="11" t="str">
        <f aca="false">IFERROR(Q5/MEDIAN(INDEX($Q$5:$Q$627,MATCH($A5-90,$A$5:$A$627,1)):INDEX($Q$5:$Q$627,MATCH($A5+90,$A$5:$A$627,1))),"")</f>
        <v/>
      </c>
    </row>
    <row r="6" customFormat="false" ht="15" hidden="false" customHeight="false" outlineLevel="0" collapsed="false">
      <c r="A6" s="13" t="n">
        <v>45020.7498284028</v>
      </c>
      <c r="B6" s="8" t="n">
        <v>17</v>
      </c>
      <c r="C6" s="8" t="s">
        <v>64</v>
      </c>
      <c r="D6" s="8" t="s">
        <v>67</v>
      </c>
      <c r="E6" s="14" t="s">
        <v>66</v>
      </c>
      <c r="F6" s="9" t="n">
        <v>371572</v>
      </c>
      <c r="G6" s="9" t="n">
        <v>22787</v>
      </c>
      <c r="H6" s="9" t="n">
        <v>13180</v>
      </c>
      <c r="I6" s="9" t="n">
        <v>7251</v>
      </c>
      <c r="J6" s="9" t="n">
        <v>1029</v>
      </c>
      <c r="K6" s="9" t="n">
        <v>82</v>
      </c>
      <c r="L6" s="9" t="n">
        <v>210</v>
      </c>
      <c r="M6" s="10" t="n">
        <f aca="false">IFERROR(G6/F6,"")</f>
        <v>0.0613259341392785</v>
      </c>
      <c r="N6" s="10" t="n">
        <f aca="false">IFERROR(H6/G6,"")</f>
        <v>0.578399964892263</v>
      </c>
      <c r="O6" s="11" t="n">
        <f aca="false">IFERROR(I6/H6,"")</f>
        <v>0.550151745068285</v>
      </c>
      <c r="P6" s="10" t="n">
        <f aca="false">IFERROR(J6/H6,"")</f>
        <v>0.0780728376327769</v>
      </c>
      <c r="Q6" s="10" t="n">
        <f aca="false">IFERROR(K6/H6,"")</f>
        <v>0.00622154779969651</v>
      </c>
      <c r="R6" s="10" t="n">
        <f aca="false">IFERROR(L6/H6,"")</f>
        <v>0.0159332321699545</v>
      </c>
      <c r="S6" s="11" t="str">
        <f aca="false">IFERROR(M6/MEDIAN(INDEX($M$5:$M$627,MATCH($A6-90,$A$5:$A$627,1)):INDEX($M$5:$M$627,MATCH($A6+90,$A$5:$A$627,1))),"")</f>
        <v/>
      </c>
      <c r="T6" s="11" t="str">
        <f aca="false">IFERROR(N6/MEDIAN(INDEX($N$5:$N$627,MATCH($A6-90,$A$5:$A$627,1)):INDEX($N$5:$N$627,MATCH($A6+90,$A$5:$A$627,1))),"")</f>
        <v/>
      </c>
      <c r="U6" s="11" t="str">
        <f aca="false">IFERROR(Q6/MEDIAN(INDEX($Q$5:$Q$627,MATCH($A6-90,$A$5:$A$627,1)):INDEX($Q$5:$Q$627,MATCH($A6+90,$A$5:$A$627,1))),"")</f>
        <v/>
      </c>
    </row>
    <row r="7" customFormat="false" ht="15" hidden="false" customHeight="false" outlineLevel="0" collapsed="false">
      <c r="A7" s="13" t="n">
        <v>45038.4805319329</v>
      </c>
      <c r="B7" s="8" t="n">
        <v>11</v>
      </c>
      <c r="C7" s="8" t="s">
        <v>68</v>
      </c>
      <c r="D7" s="8" t="s">
        <v>69</v>
      </c>
      <c r="E7" s="14" t="s">
        <v>66</v>
      </c>
      <c r="F7" s="9" t="n">
        <v>40126</v>
      </c>
      <c r="G7" s="9" t="n">
        <v>1754</v>
      </c>
      <c r="H7" s="9" t="n">
        <v>1205</v>
      </c>
      <c r="I7" s="9" t="n">
        <v>495</v>
      </c>
      <c r="J7" s="9" t="n">
        <v>183</v>
      </c>
      <c r="K7" s="9" t="n">
        <v>3</v>
      </c>
      <c r="L7" s="9" t="n">
        <v>13</v>
      </c>
      <c r="M7" s="10" t="n">
        <f aca="false">IFERROR(G7/F7,"")</f>
        <v>0.0437123062353586</v>
      </c>
      <c r="N7" s="10" t="n">
        <f aca="false">IFERROR(H7/G7,"")</f>
        <v>0.687001140250855</v>
      </c>
      <c r="O7" s="11" t="n">
        <f aca="false">IFERROR(I7/H7,"")</f>
        <v>0.410788381742739</v>
      </c>
      <c r="P7" s="10" t="n">
        <f aca="false">IFERROR(J7/H7,"")</f>
        <v>0.151867219917012</v>
      </c>
      <c r="Q7" s="10" t="n">
        <f aca="false">IFERROR(K7/H7,"")</f>
        <v>0.0024896265560166</v>
      </c>
      <c r="R7" s="10" t="n">
        <f aca="false">IFERROR(L7/H7,"")</f>
        <v>0.0107883817427386</v>
      </c>
      <c r="S7" s="11" t="str">
        <f aca="false">IFERROR(M7/MEDIAN(INDEX($M$5:$M$627,MATCH($A7-90,$A$5:$A$627,1)):INDEX($M$5:$M$627,MATCH($A7+90,$A$5:$A$627,1))),"")</f>
        <v/>
      </c>
      <c r="T7" s="11" t="str">
        <f aca="false">IFERROR(N7/MEDIAN(INDEX($N$5:$N$627,MATCH($A7-90,$A$5:$A$627,1)):INDEX($N$5:$N$627,MATCH($A7+90,$A$5:$A$627,1))),"")</f>
        <v/>
      </c>
      <c r="U7" s="11" t="str">
        <f aca="false">IFERROR(Q7/MEDIAN(INDEX($Q$5:$Q$627,MATCH($A7-90,$A$5:$A$627,1)):INDEX($Q$5:$Q$627,MATCH($A7+90,$A$5:$A$627,1))),"")</f>
        <v/>
      </c>
    </row>
    <row r="8" customFormat="false" ht="15" hidden="false" customHeight="false" outlineLevel="0" collapsed="false">
      <c r="A8" s="13" t="n">
        <v>45073.7231473032</v>
      </c>
      <c r="B8" s="8" t="n">
        <v>17</v>
      </c>
      <c r="C8" s="8" t="s">
        <v>68</v>
      </c>
      <c r="D8" s="8" t="s">
        <v>70</v>
      </c>
      <c r="E8" s="14" t="s">
        <v>66</v>
      </c>
      <c r="F8" s="9" t="n">
        <v>219296</v>
      </c>
      <c r="G8" s="9" t="n">
        <v>9471</v>
      </c>
      <c r="H8" s="9" t="n">
        <v>5271</v>
      </c>
      <c r="I8" s="9" t="n">
        <v>5471</v>
      </c>
      <c r="J8" s="9" t="n">
        <v>164</v>
      </c>
      <c r="K8" s="9" t="n">
        <v>15</v>
      </c>
      <c r="L8" s="9" t="n">
        <v>37</v>
      </c>
      <c r="M8" s="10" t="n">
        <f aca="false">IFERROR(G8/F8,"")</f>
        <v>0.043188202247191</v>
      </c>
      <c r="N8" s="10" t="n">
        <f aca="false">IFERROR(H8/G8,"")</f>
        <v>0.556541019955654</v>
      </c>
      <c r="O8" s="11" t="n">
        <f aca="false">IFERROR(I8/H8,"")</f>
        <v>1.03794346423829</v>
      </c>
      <c r="P8" s="10" t="n">
        <f aca="false">IFERROR(J8/H8,"")</f>
        <v>0.0311136406753937</v>
      </c>
      <c r="Q8" s="10" t="n">
        <f aca="false">IFERROR(K8/H8,"")</f>
        <v>0.00284575981787137</v>
      </c>
      <c r="R8" s="10" t="n">
        <f aca="false">IFERROR(L8/H8,"")</f>
        <v>0.00701954088408272</v>
      </c>
      <c r="S8" s="11" t="str">
        <f aca="false">IFERROR(M8/MEDIAN(INDEX($M$5:$M$627,MATCH($A8-90,$A$5:$A$627,1)):INDEX($M$5:$M$627,MATCH($A8+90,$A$5:$A$627,1))),"")</f>
        <v/>
      </c>
      <c r="T8" s="11" t="str">
        <f aca="false">IFERROR(N8/MEDIAN(INDEX($N$5:$N$627,MATCH($A8-90,$A$5:$A$627,1)):INDEX($N$5:$N$627,MATCH($A8+90,$A$5:$A$627,1))),"")</f>
        <v/>
      </c>
      <c r="U8" s="11" t="str">
        <f aca="false">IFERROR(Q8/MEDIAN(INDEX($Q$5:$Q$627,MATCH($A8-90,$A$5:$A$627,1)):INDEX($Q$5:$Q$627,MATCH($A8+90,$A$5:$A$627,1))),"")</f>
        <v/>
      </c>
    </row>
    <row r="9" customFormat="false" ht="15" hidden="false" customHeight="false" outlineLevel="0" collapsed="false">
      <c r="A9" s="13" t="n">
        <v>45147.6643445949</v>
      </c>
      <c r="B9" s="8" t="n">
        <v>15</v>
      </c>
      <c r="C9" s="8" t="s">
        <v>71</v>
      </c>
      <c r="D9" s="8" t="s">
        <v>72</v>
      </c>
      <c r="E9" s="14" t="s">
        <v>66</v>
      </c>
      <c r="F9" s="9" t="n">
        <v>12515</v>
      </c>
      <c r="G9" s="9" t="n">
        <v>451</v>
      </c>
      <c r="H9" s="9" t="n">
        <v>288</v>
      </c>
      <c r="I9" s="9" t="n">
        <v>315</v>
      </c>
      <c r="J9" s="9" t="n">
        <v>77</v>
      </c>
      <c r="K9" s="9" t="n">
        <v>3</v>
      </c>
      <c r="L9" s="9" t="n">
        <v>5</v>
      </c>
      <c r="M9" s="10" t="n">
        <f aca="false">IFERROR(G9/F9,"")</f>
        <v>0.0360367558929285</v>
      </c>
      <c r="N9" s="10" t="n">
        <f aca="false">IFERROR(H9/G9,"")</f>
        <v>0.638580931263858</v>
      </c>
      <c r="O9" s="11" t="n">
        <f aca="false">IFERROR(I9/H9,"")</f>
        <v>1.09375</v>
      </c>
      <c r="P9" s="10" t="n">
        <f aca="false">IFERROR(J9/H9,"")</f>
        <v>0.267361111111111</v>
      </c>
      <c r="Q9" s="10" t="n">
        <f aca="false">IFERROR(K9/H9,"")</f>
        <v>0.0104166666666667</v>
      </c>
      <c r="R9" s="10" t="n">
        <f aca="false">IFERROR(L9/H9,"")</f>
        <v>0.0173611111111111</v>
      </c>
      <c r="S9" s="11" t="n">
        <f aca="false">IFERROR(M9/MEDIAN(INDEX($M$5:$M$627,MATCH($A9-90,$A$5:$A$627,1)):INDEX($M$5:$M$627,MATCH($A9+90,$A$5:$A$627,1))),"")</f>
        <v>0.893275607351235</v>
      </c>
      <c r="T9" s="11" t="n">
        <f aca="false">IFERROR(N9/MEDIAN(INDEX($N$5:$N$627,MATCH($A9-90,$A$5:$A$627,1)):INDEX($N$5:$N$627,MATCH($A9+90,$A$5:$A$627,1))),"")</f>
        <v>1.19460126719281</v>
      </c>
      <c r="U9" s="11" t="n">
        <f aca="false">IFERROR(Q9/MEDIAN(INDEX($Q$5:$Q$627,MATCH($A9-90,$A$5:$A$627,1)):INDEX($Q$5:$Q$627,MATCH($A9+90,$A$5:$A$627,1))),"")</f>
        <v>3.63239734299517</v>
      </c>
    </row>
    <row r="10" customFormat="false" ht="15" hidden="false" customHeight="false" outlineLevel="0" collapsed="false">
      <c r="A10" s="13" t="n">
        <v>45148.4815271644</v>
      </c>
      <c r="B10" s="8" t="n">
        <v>11</v>
      </c>
      <c r="C10" s="8" t="s">
        <v>73</v>
      </c>
      <c r="D10" s="8" t="s">
        <v>74</v>
      </c>
      <c r="E10" s="14" t="s">
        <v>66</v>
      </c>
      <c r="F10" s="9" t="n">
        <v>199045</v>
      </c>
      <c r="G10" s="9" t="n">
        <v>11970</v>
      </c>
      <c r="H10" s="9" t="n">
        <v>5406</v>
      </c>
      <c r="I10" s="9" t="n">
        <v>6001</v>
      </c>
      <c r="J10" s="9" t="n">
        <v>281</v>
      </c>
      <c r="K10" s="9" t="n">
        <v>21</v>
      </c>
      <c r="L10" s="9" t="n">
        <v>33</v>
      </c>
      <c r="M10" s="10" t="n">
        <f aca="false">IFERROR(G10/F10,"")</f>
        <v>0.0601371549147178</v>
      </c>
      <c r="N10" s="10" t="n">
        <f aca="false">IFERROR(H10/G10,"")</f>
        <v>0.451629072681704</v>
      </c>
      <c r="O10" s="11" t="n">
        <f aca="false">IFERROR(I10/H10,"")</f>
        <v>1.11006289308176</v>
      </c>
      <c r="P10" s="10" t="n">
        <f aca="false">IFERROR(J10/H10,"")</f>
        <v>0.0519792822789493</v>
      </c>
      <c r="Q10" s="10" t="n">
        <f aca="false">IFERROR(K10/H10,"")</f>
        <v>0.00388457269700333</v>
      </c>
      <c r="R10" s="10" t="n">
        <f aca="false">IFERROR(L10/H10,"")</f>
        <v>0.00610432852386238</v>
      </c>
      <c r="S10" s="11" t="n">
        <f aca="false">IFERROR(M10/MEDIAN(INDEX($M$5:$M$627,MATCH($A10-90,$A$5:$A$627,1)):INDEX($M$5:$M$627,MATCH($A10+90,$A$5:$A$627,1))),"")</f>
        <v>1.49380174127513</v>
      </c>
      <c r="T10" s="11" t="n">
        <f aca="false">IFERROR(N10/MEDIAN(INDEX($N$5:$N$627,MATCH($A10-90,$A$5:$A$627,1)):INDEX($N$5:$N$627,MATCH($A10+90,$A$5:$A$627,1))),"")</f>
        <v>0.837204222501804</v>
      </c>
      <c r="U10" s="11" t="n">
        <f aca="false">IFERROR(Q10/MEDIAN(INDEX($Q$5:$Q$627,MATCH($A10-90,$A$5:$A$627,1)):INDEX($Q$5:$Q$627,MATCH($A10+90,$A$5:$A$627,1))),"")</f>
        <v>1.15059518726624</v>
      </c>
    </row>
    <row r="11" customFormat="false" ht="15" hidden="false" customHeight="false" outlineLevel="0" collapsed="false">
      <c r="A11" s="13" t="n">
        <v>45154.5700393171</v>
      </c>
      <c r="B11" s="8" t="n">
        <v>13</v>
      </c>
      <c r="C11" s="8" t="s">
        <v>71</v>
      </c>
      <c r="D11" s="8" t="s">
        <v>75</v>
      </c>
      <c r="E11" s="14" t="s">
        <v>66</v>
      </c>
      <c r="F11" s="9" t="n">
        <v>132789</v>
      </c>
      <c r="G11" s="9" t="n">
        <v>4838</v>
      </c>
      <c r="H11" s="9" t="n">
        <v>2057</v>
      </c>
      <c r="I11" s="9" t="n">
        <v>2047</v>
      </c>
      <c r="J11" s="9" t="n">
        <v>118</v>
      </c>
      <c r="K11" s="9" t="n">
        <v>5</v>
      </c>
      <c r="L11" s="9" t="n">
        <v>18</v>
      </c>
      <c r="M11" s="10" t="n">
        <f aca="false">IFERROR(G11/F11,"")</f>
        <v>0.036433740746598</v>
      </c>
      <c r="N11" s="10" t="n">
        <f aca="false">IFERROR(H11/G11,"")</f>
        <v>0.42517569243489</v>
      </c>
      <c r="O11" s="11" t="n">
        <f aca="false">IFERROR(I11/H11,"")</f>
        <v>0.995138551288284</v>
      </c>
      <c r="P11" s="10" t="n">
        <f aca="false">IFERROR(J11/H11,"")</f>
        <v>0.0573650947982499</v>
      </c>
      <c r="Q11" s="10" t="n">
        <f aca="false">IFERROR(K11/H11,"")</f>
        <v>0.00243072435585805</v>
      </c>
      <c r="R11" s="10" t="n">
        <f aca="false">IFERROR(L11/H11,"")</f>
        <v>0.00875060768108897</v>
      </c>
      <c r="S11" s="11" t="n">
        <f aca="false">IFERROR(M11/MEDIAN(INDEX($M$5:$M$627,MATCH($A11-90,$A$5:$A$627,1)):INDEX($M$5:$M$627,MATCH($A11+90,$A$5:$A$627,1))),"")</f>
        <v>0.906913894935107</v>
      </c>
      <c r="T11" s="11" t="n">
        <f aca="false">IFERROR(N11/MEDIAN(INDEX($N$5:$N$627,MATCH($A11-90,$A$5:$A$627,1)):INDEX($N$5:$N$627,MATCH($A11+90,$A$5:$A$627,1))),"")</f>
        <v>0.781081187787692</v>
      </c>
      <c r="U11" s="11" t="n">
        <f aca="false">IFERROR(Q11/MEDIAN(INDEX($Q$5:$Q$627,MATCH($A11-90,$A$5:$A$627,1)):INDEX($Q$5:$Q$627,MATCH($A11+90,$A$5:$A$627,1))),"")</f>
        <v>0.625737898465171</v>
      </c>
    </row>
    <row r="12" customFormat="false" ht="15" hidden="false" customHeight="false" outlineLevel="0" collapsed="false">
      <c r="A12" s="13" t="n">
        <v>45157.5376681366</v>
      </c>
      <c r="B12" s="8" t="n">
        <v>12</v>
      </c>
      <c r="C12" s="8" t="s">
        <v>68</v>
      </c>
      <c r="D12" s="8" t="s">
        <v>76</v>
      </c>
      <c r="E12" s="14" t="s">
        <v>66</v>
      </c>
      <c r="F12" s="9" t="n">
        <v>19075</v>
      </c>
      <c r="G12" s="9" t="n">
        <v>709</v>
      </c>
      <c r="H12" s="9" t="n">
        <v>379</v>
      </c>
      <c r="I12" s="9" t="n">
        <v>347</v>
      </c>
      <c r="J12" s="9" t="n">
        <v>98</v>
      </c>
      <c r="K12" s="9" t="n">
        <v>16</v>
      </c>
      <c r="L12" s="9" t="n">
        <v>4</v>
      </c>
      <c r="M12" s="10" t="n">
        <f aca="false">IFERROR(G12/F12,"")</f>
        <v>0.0371690694626475</v>
      </c>
      <c r="N12" s="10" t="n">
        <f aca="false">IFERROR(H12/G12,"")</f>
        <v>0.534555712270804</v>
      </c>
      <c r="O12" s="11" t="n">
        <f aca="false">IFERROR(I12/H12,"")</f>
        <v>0.9155672823219</v>
      </c>
      <c r="P12" s="10" t="n">
        <f aca="false">IFERROR(J12/H12,"")</f>
        <v>0.258575197889182</v>
      </c>
      <c r="Q12" s="10" t="n">
        <f aca="false">IFERROR(K12/H12,"")</f>
        <v>0.0422163588390501</v>
      </c>
      <c r="R12" s="10" t="n">
        <f aca="false">IFERROR(L12/H12,"")</f>
        <v>0.0105540897097625</v>
      </c>
      <c r="S12" s="11" t="n">
        <f aca="false">IFERROR(M12/MEDIAN(INDEX($M$5:$M$627,MATCH($A12-90,$A$5:$A$627,1)):INDEX($M$5:$M$627,MATCH($A12+90,$A$5:$A$627,1))),"")</f>
        <v>0.957919430853586</v>
      </c>
      <c r="T12" s="11" t="n">
        <f aca="false">IFERROR(N12/MEDIAN(INDEX($N$5:$N$627,MATCH($A12-90,$A$5:$A$627,1)):INDEX($N$5:$N$627,MATCH($A12+90,$A$5:$A$627,1))),"")</f>
        <v>0.990928898394867</v>
      </c>
      <c r="U12" s="11" t="n">
        <f aca="false">IFERROR(Q12/MEDIAN(INDEX($Q$5:$Q$627,MATCH($A12-90,$A$5:$A$627,1)):INDEX($Q$5:$Q$627,MATCH($A12+90,$A$5:$A$627,1))),"")</f>
        <v>10.6613126167277</v>
      </c>
    </row>
    <row r="13" customFormat="false" ht="15" hidden="false" customHeight="false" outlineLevel="0" collapsed="false">
      <c r="A13" s="13" t="n">
        <v>45209.697251794</v>
      </c>
      <c r="B13" s="8" t="n">
        <v>16</v>
      </c>
      <c r="C13" s="8" t="s">
        <v>64</v>
      </c>
      <c r="D13" s="8" t="s">
        <v>77</v>
      </c>
      <c r="E13" s="14" t="s">
        <v>66</v>
      </c>
      <c r="F13" s="9" t="n">
        <v>279905</v>
      </c>
      <c r="G13" s="9" t="n">
        <v>11292</v>
      </c>
      <c r="H13" s="9" t="n">
        <v>4480</v>
      </c>
      <c r="I13" s="9" t="n">
        <v>6461</v>
      </c>
      <c r="J13" s="9" t="n">
        <v>122</v>
      </c>
      <c r="K13" s="9" t="n">
        <v>32</v>
      </c>
      <c r="L13" s="9" t="n">
        <v>83</v>
      </c>
      <c r="M13" s="10" t="n">
        <f aca="false">IFERROR(G13/F13,"")</f>
        <v>0.0403422589807256</v>
      </c>
      <c r="N13" s="10" t="n">
        <f aca="false">IFERROR(H13/G13,"")</f>
        <v>0.396741055614594</v>
      </c>
      <c r="O13" s="11" t="n">
        <f aca="false">IFERROR(I13/H13,"")</f>
        <v>1.4421875</v>
      </c>
      <c r="P13" s="10" t="n">
        <f aca="false">IFERROR(J13/H13,"")</f>
        <v>0.0272321428571429</v>
      </c>
      <c r="Q13" s="10" t="n">
        <f aca="false">IFERROR(K13/H13,"")</f>
        <v>0.00714285714285714</v>
      </c>
      <c r="R13" s="10" t="n">
        <f aca="false">IFERROR(L13/H13,"")</f>
        <v>0.0185267857142857</v>
      </c>
      <c r="S13" s="11" t="n">
        <f aca="false">IFERROR(M13/MEDIAN(INDEX($M$5:$M$627,MATCH($A13-90,$A$5:$A$627,1)):INDEX($M$5:$M$627,MATCH($A13+90,$A$5:$A$627,1))),"")</f>
        <v>1.00296901488019</v>
      </c>
      <c r="T13" s="11" t="n">
        <f aca="false">IFERROR(N13/MEDIAN(INDEX($N$5:$N$627,MATCH($A13-90,$A$5:$A$627,1)):INDEX($N$5:$N$627,MATCH($A13+90,$A$5:$A$627,1))),"")</f>
        <v>0.67518202843513</v>
      </c>
      <c r="U13" s="11" t="n">
        <f aca="false">IFERROR(Q13/MEDIAN(INDEX($Q$5:$Q$627,MATCH($A13-90,$A$5:$A$627,1)):INDEX($Q$5:$Q$627,MATCH($A13+90,$A$5:$A$627,1))),"")</f>
        <v>1.10051968616095</v>
      </c>
    </row>
    <row r="14" customFormat="false" ht="15" hidden="false" customHeight="false" outlineLevel="0" collapsed="false">
      <c r="A14" s="13" t="n">
        <v>45211.736469213</v>
      </c>
      <c r="B14" s="8" t="n">
        <v>17</v>
      </c>
      <c r="C14" s="8" t="s">
        <v>73</v>
      </c>
      <c r="D14" s="8" t="s">
        <v>78</v>
      </c>
      <c r="E14" s="14" t="s">
        <v>66</v>
      </c>
      <c r="F14" s="9" t="n">
        <v>761072</v>
      </c>
      <c r="G14" s="9" t="n">
        <v>21093</v>
      </c>
      <c r="H14" s="9" t="n">
        <v>8935</v>
      </c>
      <c r="I14" s="9" t="n">
        <v>5393</v>
      </c>
      <c r="J14" s="9" t="n">
        <v>334</v>
      </c>
      <c r="K14" s="9" t="n">
        <v>75</v>
      </c>
      <c r="L14" s="9" t="n">
        <v>56</v>
      </c>
      <c r="M14" s="10" t="n">
        <f aca="false">IFERROR(G14/F14,"")</f>
        <v>0.0277148548363361</v>
      </c>
      <c r="N14" s="10" t="n">
        <f aca="false">IFERROR(H14/G14,"")</f>
        <v>0.423600246527284</v>
      </c>
      <c r="O14" s="11" t="n">
        <f aca="false">IFERROR(I14/H14,"")</f>
        <v>0.603581421376609</v>
      </c>
      <c r="P14" s="10" t="n">
        <f aca="false">IFERROR(J14/H14,"")</f>
        <v>0.0373810856183548</v>
      </c>
      <c r="Q14" s="10" t="n">
        <f aca="false">IFERROR(K14/H14,"")</f>
        <v>0.00839395635142697</v>
      </c>
      <c r="R14" s="10" t="n">
        <f aca="false">IFERROR(L14/H14,"")</f>
        <v>0.00626748740906547</v>
      </c>
      <c r="S14" s="11" t="n">
        <f aca="false">IFERROR(M14/MEDIAN(INDEX($M$5:$M$627,MATCH($A14-90,$A$5:$A$627,1)):INDEX($M$5:$M$627,MATCH($A14+90,$A$5:$A$627,1))),"")</f>
        <v>0.688185600028307</v>
      </c>
      <c r="T14" s="11" t="n">
        <f aca="false">IFERROR(N14/MEDIAN(INDEX($N$5:$N$627,MATCH($A14-90,$A$5:$A$627,1)):INDEX($N$5:$N$627,MATCH($A14+90,$A$5:$A$627,1))),"")</f>
        <v>0.719179085215211</v>
      </c>
      <c r="U14" s="11" t="n">
        <f aca="false">IFERROR(Q14/MEDIAN(INDEX($Q$5:$Q$627,MATCH($A14-90,$A$5:$A$627,1)):INDEX($Q$5:$Q$627,MATCH($A14+90,$A$5:$A$627,1))),"")</f>
        <v>1.30858885051039</v>
      </c>
    </row>
    <row r="15" customFormat="false" ht="15" hidden="false" customHeight="false" outlineLevel="0" collapsed="false">
      <c r="A15" s="13" t="n">
        <v>45213.8266036458</v>
      </c>
      <c r="B15" s="8" t="n">
        <v>19</v>
      </c>
      <c r="C15" s="8" t="s">
        <v>68</v>
      </c>
      <c r="D15" s="8" t="s">
        <v>79</v>
      </c>
      <c r="E15" s="14" t="s">
        <v>66</v>
      </c>
      <c r="F15" s="9" t="n">
        <v>1359452</v>
      </c>
      <c r="G15" s="9" t="n">
        <v>91932</v>
      </c>
      <c r="H15" s="9" t="n">
        <v>68014</v>
      </c>
      <c r="I15" s="9" t="n">
        <v>47005</v>
      </c>
      <c r="J15" s="9" t="n">
        <v>2202</v>
      </c>
      <c r="K15" s="9" t="n">
        <v>150</v>
      </c>
      <c r="L15" s="9" t="n">
        <v>243</v>
      </c>
      <c r="M15" s="10" t="n">
        <f aca="false">IFERROR(G15/F15,"")</f>
        <v>0.0676243074415279</v>
      </c>
      <c r="N15" s="10" t="n">
        <f aca="false">IFERROR(H15/G15,"")</f>
        <v>0.739829439150677</v>
      </c>
      <c r="O15" s="11" t="n">
        <f aca="false">IFERROR(I15/H15,"")</f>
        <v>0.691107713117888</v>
      </c>
      <c r="P15" s="10" t="n">
        <f aca="false">IFERROR(J15/H15,"")</f>
        <v>0.032375687358485</v>
      </c>
      <c r="Q15" s="10" t="n">
        <f aca="false">IFERROR(K15/H15,"")</f>
        <v>0.00220542829417473</v>
      </c>
      <c r="R15" s="10" t="n">
        <f aca="false">IFERROR(L15/H15,"")</f>
        <v>0.00357279383656306</v>
      </c>
      <c r="S15" s="11" t="n">
        <f aca="false">IFERROR(M15/MEDIAN(INDEX($M$5:$M$627,MATCH($A15-90,$A$5:$A$627,1)):INDEX($M$5:$M$627,MATCH($A15+90,$A$5:$A$627,1))),"")</f>
        <v>1.68124162429747</v>
      </c>
      <c r="T15" s="11" t="n">
        <f aca="false">IFERROR(N15/MEDIAN(INDEX($N$5:$N$627,MATCH($A15-90,$A$5:$A$627,1)):INDEX($N$5:$N$627,MATCH($A15+90,$A$5:$A$627,1))),"")</f>
        <v>1.25905684413721</v>
      </c>
      <c r="U15" s="11" t="n">
        <f aca="false">IFERROR(Q15/MEDIAN(INDEX($Q$5:$Q$627,MATCH($A15-90,$A$5:$A$627,1)):INDEX($Q$5:$Q$627,MATCH($A15+90,$A$5:$A$627,1))),"")</f>
        <v>0.35286311724173</v>
      </c>
    </row>
    <row r="16" customFormat="false" ht="15" hidden="false" customHeight="false" outlineLevel="0" collapsed="false">
      <c r="A16" s="13" t="n">
        <v>45215.858457581</v>
      </c>
      <c r="B16" s="8" t="n">
        <v>20</v>
      </c>
      <c r="C16" s="8" t="s">
        <v>80</v>
      </c>
      <c r="D16" s="8" t="s">
        <v>81</v>
      </c>
      <c r="E16" s="14" t="s">
        <v>66</v>
      </c>
      <c r="F16" s="9" t="n">
        <v>0</v>
      </c>
      <c r="G16" s="9" t="n">
        <v>0</v>
      </c>
      <c r="H16" s="9" t="n">
        <v>0</v>
      </c>
      <c r="I16" s="9" t="n">
        <v>4</v>
      </c>
      <c r="J16" s="9" t="n">
        <v>0</v>
      </c>
      <c r="K16" s="9" t="n">
        <v>0</v>
      </c>
      <c r="L16" s="9" t="n">
        <v>0</v>
      </c>
      <c r="M16" s="10" t="str">
        <f aca="false">IFERROR(G16/F16,"")</f>
        <v/>
      </c>
      <c r="N16" s="10" t="str">
        <f aca="false">IFERROR(H16/G16,"")</f>
        <v/>
      </c>
      <c r="O16" s="11" t="str">
        <f aca="false">IFERROR(I16/H16,"")</f>
        <v/>
      </c>
      <c r="P16" s="10" t="str">
        <f aca="false">IFERROR(J16/H16,"")</f>
        <v/>
      </c>
      <c r="Q16" s="10" t="str">
        <f aca="false">IFERROR(K16/H16,"")</f>
        <v/>
      </c>
      <c r="R16" s="10" t="str">
        <f aca="false">IFERROR(L16/H16,"")</f>
        <v/>
      </c>
      <c r="S16" s="11" t="str">
        <f aca="false">IFERROR(M16/MEDIAN(INDEX($M$5:$M$627,MATCH($A16-90,$A$5:$A$627,1)):INDEX($M$5:$M$627,MATCH($A16+90,$A$5:$A$627,1))),"")</f>
        <v/>
      </c>
      <c r="T16" s="11" t="str">
        <f aca="false">IFERROR(N16/MEDIAN(INDEX($N$5:$N$627,MATCH($A16-90,$A$5:$A$627,1)):INDEX($N$5:$N$627,MATCH($A16+90,$A$5:$A$627,1))),"")</f>
        <v/>
      </c>
      <c r="U16" s="11" t="str">
        <f aca="false">IFERROR(Q16/MEDIAN(INDEX($Q$5:$Q$627,MATCH($A16-90,$A$5:$A$627,1)):INDEX($Q$5:$Q$627,MATCH($A16+90,$A$5:$A$627,1))),"")</f>
        <v/>
      </c>
    </row>
    <row r="17" customFormat="false" ht="15" hidden="false" customHeight="false" outlineLevel="0" collapsed="false">
      <c r="A17" s="13" t="n">
        <v>45215.9518122685</v>
      </c>
      <c r="B17" s="8" t="n">
        <v>22</v>
      </c>
      <c r="C17" s="8" t="s">
        <v>80</v>
      </c>
      <c r="D17" s="8" t="s">
        <v>81</v>
      </c>
      <c r="E17" s="14" t="s">
        <v>66</v>
      </c>
      <c r="F17" s="9" t="n">
        <v>86586</v>
      </c>
      <c r="G17" s="9" t="n">
        <v>5435</v>
      </c>
      <c r="H17" s="9" t="n">
        <v>3364</v>
      </c>
      <c r="I17" s="9" t="n">
        <v>3118</v>
      </c>
      <c r="J17" s="9" t="n">
        <v>167</v>
      </c>
      <c r="K17" s="9" t="n">
        <v>15</v>
      </c>
      <c r="L17" s="9" t="n">
        <v>14</v>
      </c>
      <c r="M17" s="10" t="n">
        <f aca="false">IFERROR(G17/F17,"")</f>
        <v>0.06276996281154</v>
      </c>
      <c r="N17" s="10" t="n">
        <f aca="false">IFERROR(H17/G17,"")</f>
        <v>0.618951241950322</v>
      </c>
      <c r="O17" s="11" t="n">
        <f aca="false">IFERROR(I17/H17,"")</f>
        <v>0.926872770511296</v>
      </c>
      <c r="P17" s="10" t="n">
        <f aca="false">IFERROR(J17/H17,"")</f>
        <v>0.0496432818073722</v>
      </c>
      <c r="Q17" s="10" t="n">
        <f aca="false">IFERROR(K17/H17,"")</f>
        <v>0.0044589774078478</v>
      </c>
      <c r="R17" s="10" t="n">
        <f aca="false">IFERROR(L17/H17,"")</f>
        <v>0.00416171224732461</v>
      </c>
      <c r="S17" s="11" t="n">
        <f aca="false">IFERROR(M17/MEDIAN(INDEX($M$5:$M$627,MATCH($A17-90,$A$5:$A$627,1)):INDEX($M$5:$M$627,MATCH($A17+90,$A$5:$A$627,1))),"")</f>
        <v>1.55863650653437</v>
      </c>
      <c r="T17" s="11" t="n">
        <f aca="false">IFERROR(N17/MEDIAN(INDEX($N$5:$N$627,MATCH($A17-90,$A$5:$A$627,1)):INDEX($N$5:$N$627,MATCH($A17+90,$A$5:$A$627,1))),"")</f>
        <v>1.05084166411121</v>
      </c>
      <c r="U17" s="11" t="n">
        <f aca="false">IFERROR(Q17/MEDIAN(INDEX($Q$5:$Q$627,MATCH($A17-90,$A$5:$A$627,1)):INDEX($Q$5:$Q$627,MATCH($A17+90,$A$5:$A$627,1))),"")</f>
        <v>0.732699756301433</v>
      </c>
    </row>
    <row r="18" customFormat="false" ht="15" hidden="false" customHeight="false" outlineLevel="0" collapsed="false">
      <c r="A18" s="13" t="n">
        <v>45216.7988566551</v>
      </c>
      <c r="B18" s="8" t="n">
        <v>19</v>
      </c>
      <c r="C18" s="8" t="s">
        <v>64</v>
      </c>
      <c r="D18" s="8" t="s">
        <v>82</v>
      </c>
      <c r="E18" s="14" t="s">
        <v>66</v>
      </c>
      <c r="F18" s="9" t="n">
        <v>152171</v>
      </c>
      <c r="G18" s="9" t="n">
        <v>7857</v>
      </c>
      <c r="H18" s="9" t="n">
        <v>2974</v>
      </c>
      <c r="I18" s="9" t="n">
        <v>1955</v>
      </c>
      <c r="J18" s="9" t="n">
        <v>55</v>
      </c>
      <c r="K18" s="9" t="n">
        <v>12</v>
      </c>
      <c r="L18" s="9" t="n">
        <v>16</v>
      </c>
      <c r="M18" s="10" t="n">
        <f aca="false">IFERROR(G18/F18,"")</f>
        <v>0.0516327026831657</v>
      </c>
      <c r="N18" s="10" t="n">
        <f aca="false">IFERROR(H18/G18,"")</f>
        <v>0.378515973017691</v>
      </c>
      <c r="O18" s="11" t="n">
        <f aca="false">IFERROR(I18/H18,"")</f>
        <v>0.657363819771352</v>
      </c>
      <c r="P18" s="10" t="n">
        <f aca="false">IFERROR(J18/H18,"")</f>
        <v>0.0184936112979153</v>
      </c>
      <c r="Q18" s="10" t="n">
        <f aca="false">IFERROR(K18/H18,"")</f>
        <v>0.00403496973772697</v>
      </c>
      <c r="R18" s="10" t="n">
        <f aca="false">IFERROR(L18/H18,"")</f>
        <v>0.00537995965030262</v>
      </c>
      <c r="S18" s="11" t="n">
        <f aca="false">IFERROR(M18/MEDIAN(INDEX($M$5:$M$627,MATCH($A18-90,$A$5:$A$627,1)):INDEX($M$5:$M$627,MATCH($A18+90,$A$5:$A$627,1))),"")</f>
        <v>1.28208798808181</v>
      </c>
      <c r="T18" s="11" t="n">
        <f aca="false">IFERROR(N18/MEDIAN(INDEX($N$5:$N$627,MATCH($A18-90,$A$5:$A$627,1)):INDEX($N$5:$N$627,MATCH($A18+90,$A$5:$A$627,1))),"")</f>
        <v>0.642636007523369</v>
      </c>
      <c r="U18" s="11" t="n">
        <f aca="false">IFERROR(Q18/MEDIAN(INDEX($Q$5:$Q$627,MATCH($A18-90,$A$5:$A$627,1)):INDEX($Q$5:$Q$627,MATCH($A18+90,$A$5:$A$627,1))),"")</f>
        <v>0.663026759972568</v>
      </c>
    </row>
    <row r="19" customFormat="false" ht="15" hidden="false" customHeight="false" outlineLevel="0" collapsed="false">
      <c r="A19" s="13" t="n">
        <v>45217.869985162</v>
      </c>
      <c r="B19" s="8" t="n">
        <v>20</v>
      </c>
      <c r="C19" s="8" t="s">
        <v>71</v>
      </c>
      <c r="D19" s="8" t="s">
        <v>83</v>
      </c>
      <c r="E19" s="14" t="s">
        <v>66</v>
      </c>
      <c r="F19" s="9" t="n">
        <v>11383</v>
      </c>
      <c r="G19" s="9" t="n">
        <v>185</v>
      </c>
      <c r="H19" s="9" t="n">
        <v>74</v>
      </c>
      <c r="I19" s="9" t="n">
        <v>139</v>
      </c>
      <c r="J19" s="9" t="n">
        <v>14</v>
      </c>
      <c r="K19" s="9" t="n">
        <v>0</v>
      </c>
      <c r="L19" s="9" t="n">
        <v>0</v>
      </c>
      <c r="M19" s="10" t="n">
        <f aca="false">IFERROR(G19/F19,"")</f>
        <v>0.0162523060704559</v>
      </c>
      <c r="N19" s="10" t="n">
        <f aca="false">IFERROR(H19/G19,"")</f>
        <v>0.4</v>
      </c>
      <c r="O19" s="11" t="n">
        <f aca="false">IFERROR(I19/H19,"")</f>
        <v>1.87837837837838</v>
      </c>
      <c r="P19" s="10" t="n">
        <f aca="false">IFERROR(J19/H19,"")</f>
        <v>0.189189189189189</v>
      </c>
      <c r="Q19" s="10" t="n">
        <f aca="false">IFERROR(K19/H19,"")</f>
        <v>0</v>
      </c>
      <c r="R19" s="10" t="n">
        <f aca="false">IFERROR(L19/H19,"")</f>
        <v>0</v>
      </c>
      <c r="S19" s="11" t="n">
        <f aca="false">IFERROR(M19/MEDIAN(INDEX($M$5:$M$627,MATCH($A19-90,$A$5:$A$627,1)):INDEX($M$5:$M$627,MATCH($A19+90,$A$5:$A$627,1))),"")</f>
        <v>0.403209920743014</v>
      </c>
      <c r="T19" s="11" t="n">
        <f aca="false">IFERROR(N19/MEDIAN(INDEX($N$5:$N$627,MATCH($A19-90,$A$5:$A$627,1)):INDEX($N$5:$N$627,MATCH($A19+90,$A$5:$A$627,1))),"")</f>
        <v>0.680728166525847</v>
      </c>
      <c r="U19" s="11" t="n">
        <f aca="false">IFERROR(Q19/MEDIAN(INDEX($Q$5:$Q$627,MATCH($A19-90,$A$5:$A$627,1)):INDEX($Q$5:$Q$627,MATCH($A19+90,$A$5:$A$627,1))),"")</f>
        <v>0</v>
      </c>
    </row>
    <row r="20" customFormat="false" ht="15" hidden="false" customHeight="false" outlineLevel="0" collapsed="false">
      <c r="A20" s="13" t="n">
        <v>45219.5243008565</v>
      </c>
      <c r="B20" s="8" t="n">
        <v>12</v>
      </c>
      <c r="C20" s="8" t="s">
        <v>84</v>
      </c>
      <c r="D20" s="8" t="s">
        <v>85</v>
      </c>
      <c r="E20" s="14" t="s">
        <v>66</v>
      </c>
      <c r="F20" s="9" t="n">
        <v>125780</v>
      </c>
      <c r="G20" s="9" t="n">
        <v>5053</v>
      </c>
      <c r="H20" s="9" t="n">
        <v>2328</v>
      </c>
      <c r="I20" s="9" t="n">
        <v>1932</v>
      </c>
      <c r="J20" s="9" t="n">
        <v>34</v>
      </c>
      <c r="K20" s="9" t="n">
        <v>4</v>
      </c>
      <c r="L20" s="9" t="n">
        <v>9</v>
      </c>
      <c r="M20" s="10" t="n">
        <f aca="false">IFERROR(G20/F20,"")</f>
        <v>0.0401733184926061</v>
      </c>
      <c r="N20" s="10" t="n">
        <f aca="false">IFERROR(H20/G20,"")</f>
        <v>0.460716406095389</v>
      </c>
      <c r="O20" s="11" t="n">
        <f aca="false">IFERROR(I20/H20,"")</f>
        <v>0.829896907216495</v>
      </c>
      <c r="P20" s="10" t="n">
        <f aca="false">IFERROR(J20/H20,"")</f>
        <v>0.0146048109965636</v>
      </c>
      <c r="Q20" s="10" t="n">
        <f aca="false">IFERROR(K20/H20,"")</f>
        <v>0.00171821305841924</v>
      </c>
      <c r="R20" s="10" t="n">
        <f aca="false">IFERROR(L20/H20,"")</f>
        <v>0.0038659793814433</v>
      </c>
      <c r="S20" s="11" t="n">
        <f aca="false">IFERROR(M20/MEDIAN(INDEX($M$5:$M$627,MATCH($A20-90,$A$5:$A$627,1)):INDEX($M$5:$M$627,MATCH($A20+90,$A$5:$A$627,1))),"")</f>
        <v>0.99667582527463</v>
      </c>
      <c r="T20" s="11" t="n">
        <f aca="false">IFERROR(N20/MEDIAN(INDEX($N$5:$N$627,MATCH($A20-90,$A$5:$A$627,1)):INDEX($N$5:$N$627,MATCH($A20+90,$A$5:$A$627,1))),"")</f>
        <v>0.784056586024229</v>
      </c>
      <c r="U20" s="11" t="n">
        <f aca="false">IFERROR(Q20/MEDIAN(INDEX($Q$5:$Q$627,MATCH($A20-90,$A$5:$A$627,1)):INDEX($Q$5:$Q$627,MATCH($A20+90,$A$5:$A$627,1))),"")</f>
        <v>0.27490987464008</v>
      </c>
    </row>
    <row r="21" customFormat="false" ht="15" hidden="false" customHeight="false" outlineLevel="0" collapsed="false">
      <c r="A21" s="13" t="n">
        <v>45221.4759122222</v>
      </c>
      <c r="B21" s="8" t="n">
        <v>11</v>
      </c>
      <c r="C21" s="8" t="s">
        <v>86</v>
      </c>
      <c r="D21" s="8" t="s">
        <v>87</v>
      </c>
      <c r="E21" s="14" t="s">
        <v>66</v>
      </c>
      <c r="F21" s="9" t="n">
        <v>354144</v>
      </c>
      <c r="G21" s="9" t="n">
        <v>21688</v>
      </c>
      <c r="H21" s="9" t="n">
        <v>8695</v>
      </c>
      <c r="I21" s="9" t="n">
        <v>5764</v>
      </c>
      <c r="J21" s="9" t="n">
        <v>218</v>
      </c>
      <c r="K21" s="9" t="n">
        <v>47</v>
      </c>
      <c r="L21" s="9" t="n">
        <v>48</v>
      </c>
      <c r="M21" s="10" t="n">
        <f aca="false">IFERROR(G21/F21,"")</f>
        <v>0.061240625282371</v>
      </c>
      <c r="N21" s="10" t="n">
        <f aca="false">IFERROR(H21/G21,"")</f>
        <v>0.400912947251937</v>
      </c>
      <c r="O21" s="11" t="n">
        <f aca="false">IFERROR(I21/H21,"")</f>
        <v>0.662909718228867</v>
      </c>
      <c r="P21" s="10" t="n">
        <f aca="false">IFERROR(J21/H21,"")</f>
        <v>0.0250718803910293</v>
      </c>
      <c r="Q21" s="10" t="n">
        <f aca="false">IFERROR(K21/H21,"")</f>
        <v>0.00540540540540541</v>
      </c>
      <c r="R21" s="10" t="n">
        <f aca="false">IFERROR(L21/H21,"")</f>
        <v>0.00552041403105233</v>
      </c>
      <c r="S21" s="11" t="n">
        <f aca="false">IFERROR(M21/MEDIAN(INDEX($M$5:$M$627,MATCH($A21-90,$A$5:$A$627,1)):INDEX($M$5:$M$627,MATCH($A21+90,$A$5:$A$627,1))),"")</f>
        <v>1.51802667549257</v>
      </c>
      <c r="T21" s="11" t="n">
        <f aca="false">IFERROR(N21/MEDIAN(INDEX($N$5:$N$627,MATCH($A21-90,$A$5:$A$627,1)):INDEX($N$5:$N$627,MATCH($A21+90,$A$5:$A$627,1))),"")</f>
        <v>0.680661092667732</v>
      </c>
      <c r="U21" s="11" t="n">
        <f aca="false">IFERROR(Q21/MEDIAN(INDEX($Q$5:$Q$627,MATCH($A21-90,$A$5:$A$627,1)):INDEX($Q$5:$Q$627,MATCH($A21+90,$A$5:$A$627,1))),"")</f>
        <v>0.842684063373719</v>
      </c>
    </row>
    <row r="22" customFormat="false" ht="15" hidden="false" customHeight="false" outlineLevel="0" collapsed="false">
      <c r="A22" s="13" t="n">
        <v>45223.6492350579</v>
      </c>
      <c r="B22" s="8" t="n">
        <v>15</v>
      </c>
      <c r="C22" s="8" t="s">
        <v>64</v>
      </c>
      <c r="D22" s="8" t="s">
        <v>88</v>
      </c>
      <c r="E22" s="14" t="s">
        <v>66</v>
      </c>
      <c r="F22" s="9" t="n">
        <v>40375</v>
      </c>
      <c r="G22" s="9" t="n">
        <v>2732</v>
      </c>
      <c r="H22" s="9" t="n">
        <v>1773</v>
      </c>
      <c r="I22" s="9" t="n">
        <v>1989</v>
      </c>
      <c r="J22" s="9" t="n">
        <v>95</v>
      </c>
      <c r="K22" s="9" t="n">
        <v>4</v>
      </c>
      <c r="L22" s="9" t="n">
        <v>19</v>
      </c>
      <c r="M22" s="10" t="n">
        <f aca="false">IFERROR(G22/F22,"")</f>
        <v>0.0676656346749226</v>
      </c>
      <c r="N22" s="10" t="n">
        <f aca="false">IFERROR(H22/G22,"")</f>
        <v>0.648975109809663</v>
      </c>
      <c r="O22" s="11" t="n">
        <f aca="false">IFERROR(I22/H22,"")</f>
        <v>1.12182741116751</v>
      </c>
      <c r="P22" s="10" t="n">
        <f aca="false">IFERROR(J22/H22,"")</f>
        <v>0.0535815002820079</v>
      </c>
      <c r="Q22" s="10" t="n">
        <f aca="false">IFERROR(K22/H22,"")</f>
        <v>0.00225606316976875</v>
      </c>
      <c r="R22" s="10" t="n">
        <f aca="false">IFERROR(L22/H22,"")</f>
        <v>0.0107163000564016</v>
      </c>
      <c r="S22" s="11" t="n">
        <f aca="false">IFERROR(M22/MEDIAN(INDEX($M$5:$M$627,MATCH($A22-90,$A$5:$A$627,1)):INDEX($M$5:$M$627,MATCH($A22+90,$A$5:$A$627,1))),"")</f>
        <v>1.67728918470459</v>
      </c>
      <c r="T22" s="11" t="n">
        <f aca="false">IFERROR(N22/MEDIAN(INDEX($N$5:$N$627,MATCH($A22-90,$A$5:$A$627,1)):INDEX($N$5:$N$627,MATCH($A22+90,$A$5:$A$627,1))),"")</f>
        <v>1.10181551976574</v>
      </c>
      <c r="U22" s="11" t="n">
        <f aca="false">IFERROR(Q22/MEDIAN(INDEX($Q$5:$Q$627,MATCH($A22-90,$A$5:$A$627,1)):INDEX($Q$5:$Q$627,MATCH($A22+90,$A$5:$A$627,1))),"")</f>
        <v>0.351712468638777</v>
      </c>
    </row>
    <row r="23" customFormat="false" ht="15" hidden="false" customHeight="false" outlineLevel="0" collapsed="false">
      <c r="A23" s="13" t="n">
        <v>45225.4330009259</v>
      </c>
      <c r="B23" s="8" t="n">
        <v>10</v>
      </c>
      <c r="C23" s="8" t="s">
        <v>73</v>
      </c>
      <c r="D23" s="8" t="s">
        <v>89</v>
      </c>
      <c r="E23" s="14" t="s">
        <v>66</v>
      </c>
      <c r="F23" s="9" t="n">
        <v>605326</v>
      </c>
      <c r="G23" s="9" t="n">
        <v>31962</v>
      </c>
      <c r="H23" s="9" t="n">
        <v>24061</v>
      </c>
      <c r="I23" s="9" t="n">
        <v>26062</v>
      </c>
      <c r="J23" s="9" t="n">
        <v>416</v>
      </c>
      <c r="K23" s="9" t="n">
        <v>69</v>
      </c>
      <c r="L23" s="9" t="n">
        <v>97</v>
      </c>
      <c r="M23" s="10" t="n">
        <f aca="false">IFERROR(G23/F23,"")</f>
        <v>0.0528013004562831</v>
      </c>
      <c r="N23" s="10" t="n">
        <f aca="false">IFERROR(H23/G23,"")</f>
        <v>0.752800200237782</v>
      </c>
      <c r="O23" s="11" t="n">
        <f aca="false">IFERROR(I23/H23,"")</f>
        <v>1.08316362578446</v>
      </c>
      <c r="P23" s="10" t="n">
        <f aca="false">IFERROR(J23/H23,"")</f>
        <v>0.0172893894684344</v>
      </c>
      <c r="Q23" s="10" t="n">
        <f aca="false">IFERROR(K23/H23,"")</f>
        <v>0.00286771123394705</v>
      </c>
      <c r="R23" s="10" t="n">
        <f aca="false">IFERROR(L23/H23,"")</f>
        <v>0.00403142014047629</v>
      </c>
      <c r="S23" s="11" t="n">
        <f aca="false">IFERROR(M23/MEDIAN(INDEX($M$5:$M$627,MATCH($A23-90,$A$5:$A$627,1)):INDEX($M$5:$M$627,MATCH($A23+90,$A$5:$A$627,1))),"")</f>
        <v>1.30883351082323</v>
      </c>
      <c r="T23" s="11" t="n">
        <f aca="false">IFERROR(N23/MEDIAN(INDEX($N$5:$N$627,MATCH($A23-90,$A$5:$A$627,1)):INDEX($N$5:$N$627,MATCH($A23+90,$A$5:$A$627,1))),"")</f>
        <v>1.27808745107037</v>
      </c>
      <c r="U23" s="11" t="n">
        <f aca="false">IFERROR(Q23/MEDIAN(INDEX($Q$5:$Q$627,MATCH($A23-90,$A$5:$A$627,1)):INDEX($Q$5:$Q$627,MATCH($A23+90,$A$5:$A$627,1))),"")</f>
        <v>0.447066292712918</v>
      </c>
    </row>
    <row r="24" customFormat="false" ht="15" hidden="false" customHeight="false" outlineLevel="0" collapsed="false">
      <c r="A24" s="13" t="n">
        <v>45227.4435240046</v>
      </c>
      <c r="B24" s="8" t="n">
        <v>10</v>
      </c>
      <c r="C24" s="8" t="s">
        <v>68</v>
      </c>
      <c r="D24" s="8" t="s">
        <v>90</v>
      </c>
      <c r="E24" s="14" t="s">
        <v>66</v>
      </c>
      <c r="F24" s="9" t="n">
        <v>18268</v>
      </c>
      <c r="G24" s="9" t="n">
        <v>327</v>
      </c>
      <c r="H24" s="9" t="n">
        <v>178</v>
      </c>
      <c r="I24" s="9" t="n">
        <v>215</v>
      </c>
      <c r="J24" s="9" t="n">
        <v>38</v>
      </c>
      <c r="K24" s="9" t="n">
        <v>5</v>
      </c>
      <c r="L24" s="9" t="n">
        <v>4</v>
      </c>
      <c r="M24" s="10" t="n">
        <f aca="false">IFERROR(G24/F24,"")</f>
        <v>0.0179001532734837</v>
      </c>
      <c r="N24" s="10" t="n">
        <f aca="false">IFERROR(H24/G24,"")</f>
        <v>0.54434250764526</v>
      </c>
      <c r="O24" s="11" t="n">
        <f aca="false">IFERROR(I24/H24,"")</f>
        <v>1.20786516853933</v>
      </c>
      <c r="P24" s="10" t="n">
        <f aca="false">IFERROR(J24/H24,"")</f>
        <v>0.213483146067416</v>
      </c>
      <c r="Q24" s="10" t="n">
        <f aca="false">IFERROR(K24/H24,"")</f>
        <v>0.0280898876404494</v>
      </c>
      <c r="R24" s="10" t="n">
        <f aca="false">IFERROR(L24/H24,"")</f>
        <v>0.0224719101123596</v>
      </c>
      <c r="S24" s="11" t="n">
        <f aca="false">IFERROR(M24/MEDIAN(INDEX($M$5:$M$627,MATCH($A24-90,$A$5:$A$627,1)):INDEX($M$5:$M$627,MATCH($A24+90,$A$5:$A$627,1))),"")</f>
        <v>0.444092016935949</v>
      </c>
      <c r="T24" s="11" t="n">
        <f aca="false">IFERROR(N24/MEDIAN(INDEX($N$5:$N$627,MATCH($A24-90,$A$5:$A$627,1)):INDEX($N$5:$N$627,MATCH($A24+90,$A$5:$A$627,1))),"")</f>
        <v>0.920465183767555</v>
      </c>
      <c r="U24" s="11" t="n">
        <f aca="false">IFERROR(Q24/MEDIAN(INDEX($Q$5:$Q$627,MATCH($A24-90,$A$5:$A$627,1)):INDEX($Q$5:$Q$627,MATCH($A24+90,$A$5:$A$627,1))),"")</f>
        <v>4.32788640625093</v>
      </c>
    </row>
    <row r="25" customFormat="false" ht="15" hidden="false" customHeight="false" outlineLevel="0" collapsed="false">
      <c r="A25" s="13" t="n">
        <v>45229.6489516667</v>
      </c>
      <c r="B25" s="8" t="n">
        <v>15</v>
      </c>
      <c r="C25" s="8" t="s">
        <v>80</v>
      </c>
      <c r="D25" s="8" t="s">
        <v>91</v>
      </c>
      <c r="E25" s="14" t="s">
        <v>66</v>
      </c>
      <c r="F25" s="9" t="n">
        <v>62827</v>
      </c>
      <c r="G25" s="9" t="n">
        <v>2110</v>
      </c>
      <c r="H25" s="9" t="n">
        <v>1170</v>
      </c>
      <c r="I25" s="9" t="n">
        <v>1065</v>
      </c>
      <c r="J25" s="9" t="n">
        <v>73</v>
      </c>
      <c r="K25" s="9" t="n">
        <v>5</v>
      </c>
      <c r="L25" s="9" t="n">
        <v>13</v>
      </c>
      <c r="M25" s="10" t="n">
        <f aca="false">IFERROR(G25/F25,"")</f>
        <v>0.0335842870103618</v>
      </c>
      <c r="N25" s="10" t="n">
        <f aca="false">IFERROR(H25/G25,"")</f>
        <v>0.554502369668246</v>
      </c>
      <c r="O25" s="11" t="n">
        <f aca="false">IFERROR(I25/H25,"")</f>
        <v>0.91025641025641</v>
      </c>
      <c r="P25" s="10" t="n">
        <f aca="false">IFERROR(J25/H25,"")</f>
        <v>0.0623931623931624</v>
      </c>
      <c r="Q25" s="10" t="n">
        <f aca="false">IFERROR(K25/H25,"")</f>
        <v>0.00427350427350427</v>
      </c>
      <c r="R25" s="10" t="n">
        <f aca="false">IFERROR(L25/H25,"")</f>
        <v>0.0111111111111111</v>
      </c>
      <c r="S25" s="11" t="n">
        <f aca="false">IFERROR(M25/MEDIAN(INDEX($M$5:$M$627,MATCH($A25-90,$A$5:$A$627,1)):INDEX($M$5:$M$627,MATCH($A25+90,$A$5:$A$627,1))),"")</f>
        <v>0.833205924436464</v>
      </c>
      <c r="T25" s="11" t="n">
        <f aca="false">IFERROR(N25/MEDIAN(INDEX($N$5:$N$627,MATCH($A25-90,$A$5:$A$627,1)):INDEX($N$5:$N$627,MATCH($A25+90,$A$5:$A$627,1))),"")</f>
        <v>0.943663453596257</v>
      </c>
      <c r="U25" s="11" t="n">
        <f aca="false">IFERROR(Q25/MEDIAN(INDEX($Q$5:$Q$627,MATCH($A25-90,$A$5:$A$627,1)):INDEX($Q$5:$Q$627,MATCH($A25+90,$A$5:$A$627,1))),"")</f>
        <v>0.632604973528629</v>
      </c>
    </row>
    <row r="26" customFormat="false" ht="15" hidden="false" customHeight="false" outlineLevel="0" collapsed="false">
      <c r="A26" s="13" t="n">
        <v>45231.6195698727</v>
      </c>
      <c r="B26" s="8" t="n">
        <v>14</v>
      </c>
      <c r="C26" s="8" t="s">
        <v>71</v>
      </c>
      <c r="D26" s="8" t="s">
        <v>92</v>
      </c>
      <c r="E26" s="14" t="s">
        <v>66</v>
      </c>
      <c r="F26" s="9" t="n">
        <v>1835986</v>
      </c>
      <c r="G26" s="9" t="n">
        <v>58001</v>
      </c>
      <c r="H26" s="9" t="n">
        <v>44271</v>
      </c>
      <c r="I26" s="9" t="n">
        <v>48079</v>
      </c>
      <c r="J26" s="9" t="n">
        <v>904</v>
      </c>
      <c r="K26" s="9" t="n">
        <v>48</v>
      </c>
      <c r="L26" s="9" t="n">
        <v>194</v>
      </c>
      <c r="M26" s="10" t="n">
        <f aca="false">IFERROR(G26/F26,"")</f>
        <v>0.0315911994971639</v>
      </c>
      <c r="N26" s="10" t="n">
        <f aca="false">IFERROR(H26/G26,"")</f>
        <v>0.763279943449251</v>
      </c>
      <c r="O26" s="11" t="n">
        <f aca="false">IFERROR(I26/H26,"")</f>
        <v>1.08601567617628</v>
      </c>
      <c r="P26" s="10" t="n">
        <f aca="false">IFERROR(J26/H26,"")</f>
        <v>0.0204196878317635</v>
      </c>
      <c r="Q26" s="10" t="n">
        <f aca="false">IFERROR(K26/H26,"")</f>
        <v>0.00108423121230602</v>
      </c>
      <c r="R26" s="10" t="n">
        <f aca="false">IFERROR(L26/H26,"")</f>
        <v>0.00438210114973685</v>
      </c>
      <c r="S26" s="11" t="n">
        <f aca="false">IFERROR(M26/MEDIAN(INDEX($M$5:$M$627,MATCH($A26-90,$A$5:$A$627,1)):INDEX($M$5:$M$627,MATCH($A26+90,$A$5:$A$627,1))),"")</f>
        <v>0.784438840107733</v>
      </c>
      <c r="T26" s="11" t="n">
        <f aca="false">IFERROR(N26/MEDIAN(INDEX($N$5:$N$627,MATCH($A26-90,$A$5:$A$627,1)):INDEX($N$5:$N$627,MATCH($A26+90,$A$5:$A$627,1))),"")</f>
        <v>1.30206578588402</v>
      </c>
      <c r="U26" s="11" t="n">
        <f aca="false">IFERROR(Q26/MEDIAN(INDEX($Q$5:$Q$627,MATCH($A26-90,$A$5:$A$627,1)):INDEX($Q$5:$Q$627,MATCH($A26+90,$A$5:$A$627,1))),"")</f>
        <v>0.1651188065222</v>
      </c>
    </row>
    <row r="27" customFormat="false" ht="15" hidden="false" customHeight="false" outlineLevel="0" collapsed="false">
      <c r="A27" s="13" t="n">
        <v>45233.8050419213</v>
      </c>
      <c r="B27" s="8" t="n">
        <v>19</v>
      </c>
      <c r="C27" s="8" t="s">
        <v>84</v>
      </c>
      <c r="D27" s="8" t="s">
        <v>93</v>
      </c>
      <c r="E27" s="14" t="s">
        <v>66</v>
      </c>
      <c r="F27" s="9" t="n">
        <v>51028</v>
      </c>
      <c r="G27" s="9" t="n">
        <v>1910</v>
      </c>
      <c r="H27" s="9" t="n">
        <v>591</v>
      </c>
      <c r="I27" s="9" t="n">
        <v>571</v>
      </c>
      <c r="J27" s="9" t="n">
        <v>38</v>
      </c>
      <c r="K27" s="9" t="n">
        <v>1</v>
      </c>
      <c r="L27" s="9" t="n">
        <v>6</v>
      </c>
      <c r="M27" s="10" t="n">
        <f aca="false">IFERROR(G27/F27,"")</f>
        <v>0.0374304303519636</v>
      </c>
      <c r="N27" s="10" t="n">
        <f aca="false">IFERROR(H27/G27,"")</f>
        <v>0.309424083769634</v>
      </c>
      <c r="O27" s="11" t="n">
        <f aca="false">IFERROR(I27/H27,"")</f>
        <v>0.966159052453469</v>
      </c>
      <c r="P27" s="10" t="n">
        <f aca="false">IFERROR(J27/H27,"")</f>
        <v>0.0642978003384095</v>
      </c>
      <c r="Q27" s="10" t="n">
        <f aca="false">IFERROR(K27/H27,"")</f>
        <v>0.00169204737732657</v>
      </c>
      <c r="R27" s="10" t="n">
        <f aca="false">IFERROR(L27/H27,"")</f>
        <v>0.0101522842639594</v>
      </c>
      <c r="S27" s="11" t="n">
        <f aca="false">IFERROR(M27/MEDIAN(INDEX($M$5:$M$627,MATCH($A27-90,$A$5:$A$627,1)):INDEX($M$5:$M$627,MATCH($A27+90,$A$5:$A$627,1))),"")</f>
        <v>0.930576591523714</v>
      </c>
      <c r="T27" s="11" t="n">
        <f aca="false">IFERROR(N27/MEDIAN(INDEX($N$5:$N$627,MATCH($A27-90,$A$5:$A$627,1)):INDEX($N$5:$N$627,MATCH($A27+90,$A$5:$A$627,1))),"")</f>
        <v>0.526584223058607</v>
      </c>
      <c r="U27" s="11" t="n">
        <f aca="false">IFERROR(Q27/MEDIAN(INDEX($Q$5:$Q$627,MATCH($A27-90,$A$5:$A$627,1)):INDEX($Q$5:$Q$627,MATCH($A27+90,$A$5:$A$627,1))),"")</f>
        <v>0.250473035204229</v>
      </c>
    </row>
    <row r="28" customFormat="false" ht="15" hidden="false" customHeight="false" outlineLevel="0" collapsed="false">
      <c r="A28" s="13" t="n">
        <v>45235.7947047917</v>
      </c>
      <c r="B28" s="8" t="n">
        <v>19</v>
      </c>
      <c r="C28" s="8" t="s">
        <v>86</v>
      </c>
      <c r="D28" s="8" t="s">
        <v>94</v>
      </c>
      <c r="E28" s="14" t="s">
        <v>66</v>
      </c>
      <c r="F28" s="9" t="n">
        <v>15139</v>
      </c>
      <c r="G28" s="9" t="n">
        <v>834</v>
      </c>
      <c r="H28" s="9" t="n">
        <v>396</v>
      </c>
      <c r="I28" s="9" t="n">
        <v>165</v>
      </c>
      <c r="J28" s="9" t="n">
        <v>25</v>
      </c>
      <c r="K28" s="9" t="n">
        <v>1</v>
      </c>
      <c r="L28" s="9" t="n">
        <v>3</v>
      </c>
      <c r="M28" s="10" t="n">
        <f aca="false">IFERROR(G28/F28,"")</f>
        <v>0.0550895039302464</v>
      </c>
      <c r="N28" s="10" t="n">
        <f aca="false">IFERROR(H28/G28,"")</f>
        <v>0.474820143884892</v>
      </c>
      <c r="O28" s="11" t="n">
        <f aca="false">IFERROR(I28/H28,"")</f>
        <v>0.416666666666667</v>
      </c>
      <c r="P28" s="10" t="n">
        <f aca="false">IFERROR(J28/H28,"")</f>
        <v>0.0631313131313131</v>
      </c>
      <c r="Q28" s="10" t="n">
        <f aca="false">IFERROR(K28/H28,"")</f>
        <v>0.00252525252525253</v>
      </c>
      <c r="R28" s="10" t="n">
        <f aca="false">IFERROR(L28/H28,"")</f>
        <v>0.00757575757575758</v>
      </c>
      <c r="S28" s="11" t="n">
        <f aca="false">IFERROR(M28/MEDIAN(INDEX($M$5:$M$627,MATCH($A28-90,$A$5:$A$627,1)):INDEX($M$5:$M$627,MATCH($A28+90,$A$5:$A$627,1))),"")</f>
        <v>1.37129582512297</v>
      </c>
      <c r="T28" s="11" t="n">
        <f aca="false">IFERROR(N28/MEDIAN(INDEX($N$5:$N$627,MATCH($A28-90,$A$5:$A$627,1)):INDEX($N$5:$N$627,MATCH($A28+90,$A$5:$A$627,1))),"")</f>
        <v>0.809987304274228</v>
      </c>
      <c r="U28" s="11" t="n">
        <f aca="false">IFERROR(Q28/MEDIAN(INDEX($Q$5:$Q$627,MATCH($A28-90,$A$5:$A$627,1)):INDEX($Q$5:$Q$627,MATCH($A28+90,$A$5:$A$627,1))),"")</f>
        <v>0.363636363636364</v>
      </c>
    </row>
    <row r="29" customFormat="false" ht="15" hidden="false" customHeight="false" outlineLevel="0" collapsed="false">
      <c r="A29" s="13" t="n">
        <v>45237.7386498495</v>
      </c>
      <c r="B29" s="8" t="n">
        <v>17</v>
      </c>
      <c r="C29" s="8" t="s">
        <v>64</v>
      </c>
      <c r="D29" s="8" t="s">
        <v>95</v>
      </c>
      <c r="E29" s="14" t="s">
        <v>66</v>
      </c>
      <c r="F29" s="9" t="n">
        <v>7646</v>
      </c>
      <c r="G29" s="9" t="n">
        <v>237</v>
      </c>
      <c r="H29" s="9" t="n">
        <v>144</v>
      </c>
      <c r="I29" s="9" t="n">
        <v>165</v>
      </c>
      <c r="J29" s="9" t="n">
        <v>32</v>
      </c>
      <c r="K29" s="9" t="n">
        <v>1</v>
      </c>
      <c r="L29" s="9" t="n">
        <v>2</v>
      </c>
      <c r="M29" s="10" t="n">
        <f aca="false">IFERROR(G29/F29,"")</f>
        <v>0.0309965995291656</v>
      </c>
      <c r="N29" s="10" t="n">
        <f aca="false">IFERROR(H29/G29,"")</f>
        <v>0.607594936708861</v>
      </c>
      <c r="O29" s="11" t="n">
        <f aca="false">IFERROR(I29/H29,"")</f>
        <v>1.14583333333333</v>
      </c>
      <c r="P29" s="10" t="n">
        <f aca="false">IFERROR(J29/H29,"")</f>
        <v>0.222222222222222</v>
      </c>
      <c r="Q29" s="10" t="n">
        <f aca="false">IFERROR(K29/H29,"")</f>
        <v>0.00694444444444444</v>
      </c>
      <c r="R29" s="10" t="n">
        <f aca="false">IFERROR(L29/H29,"")</f>
        <v>0.0138888888888889</v>
      </c>
      <c r="S29" s="11" t="n">
        <f aca="false">IFERROR(M29/MEDIAN(INDEX($M$5:$M$627,MATCH($A29-90,$A$5:$A$627,1)):INDEX($M$5:$M$627,MATCH($A29+90,$A$5:$A$627,1))),"")</f>
        <v>0.771571796710557</v>
      </c>
      <c r="T29" s="11" t="n">
        <f aca="false">IFERROR(N29/MEDIAN(INDEX($N$5:$N$627,MATCH($A29-90,$A$5:$A$627,1)):INDEX($N$5:$N$627,MATCH($A29+90,$A$5:$A$627,1))),"")</f>
        <v>1.0315611814346</v>
      </c>
      <c r="U29" s="11" t="n">
        <f aca="false">IFERROR(Q29/MEDIAN(INDEX($Q$5:$Q$627,MATCH($A29-90,$A$5:$A$627,1)):INDEX($Q$5:$Q$627,MATCH($A29+90,$A$5:$A$627,1))),"")</f>
        <v>1</v>
      </c>
    </row>
    <row r="30" customFormat="false" ht="15" hidden="false" customHeight="false" outlineLevel="0" collapsed="false">
      <c r="A30" s="13" t="n">
        <v>45239.7665113773</v>
      </c>
      <c r="B30" s="8" t="n">
        <v>18</v>
      </c>
      <c r="C30" s="8" t="s">
        <v>73</v>
      </c>
      <c r="D30" s="8" t="s">
        <v>96</v>
      </c>
      <c r="E30" s="14" t="s">
        <v>66</v>
      </c>
      <c r="F30" s="9" t="n">
        <v>9154</v>
      </c>
      <c r="G30" s="9" t="n">
        <v>288</v>
      </c>
      <c r="H30" s="9" t="n">
        <v>125</v>
      </c>
      <c r="I30" s="9" t="n">
        <v>93</v>
      </c>
      <c r="J30" s="9" t="n">
        <v>39</v>
      </c>
      <c r="K30" s="9" t="n">
        <v>4</v>
      </c>
      <c r="L30" s="9" t="n">
        <v>1</v>
      </c>
      <c r="M30" s="10" t="n">
        <f aca="false">IFERROR(G30/F30,"")</f>
        <v>0.0314616561066201</v>
      </c>
      <c r="N30" s="10" t="n">
        <f aca="false">IFERROR(H30/G30,"")</f>
        <v>0.434027777777778</v>
      </c>
      <c r="O30" s="11" t="n">
        <f aca="false">IFERROR(I30/H30,"")</f>
        <v>0.744</v>
      </c>
      <c r="P30" s="10" t="n">
        <f aca="false">IFERROR(J30/H30,"")</f>
        <v>0.312</v>
      </c>
      <c r="Q30" s="10" t="n">
        <f aca="false">IFERROR(K30/H30,"")</f>
        <v>0.032</v>
      </c>
      <c r="R30" s="10" t="n">
        <f aca="false">IFERROR(L30/H30,"")</f>
        <v>0.008</v>
      </c>
      <c r="S30" s="11" t="n">
        <f aca="false">IFERROR(M30/MEDIAN(INDEX($M$5:$M$627,MATCH($A30-90,$A$5:$A$627,1)):INDEX($M$5:$M$627,MATCH($A30+90,$A$5:$A$627,1))),"")</f>
        <v>0.781222157340402</v>
      </c>
      <c r="T30" s="11" t="n">
        <f aca="false">IFERROR(N30/MEDIAN(INDEX($N$5:$N$627,MATCH($A30-90,$A$5:$A$627,1)):INDEX($N$5:$N$627,MATCH($A30+90,$A$5:$A$627,1))),"")</f>
        <v>0.740400326797386</v>
      </c>
      <c r="U30" s="11" t="n">
        <f aca="false">IFERROR(Q30/MEDIAN(INDEX($Q$5:$Q$627,MATCH($A30-90,$A$5:$A$627,1)):INDEX($Q$5:$Q$627,MATCH($A30+90,$A$5:$A$627,1))),"")</f>
        <v>4.608</v>
      </c>
    </row>
    <row r="31" customFormat="false" ht="15" hidden="false" customHeight="false" outlineLevel="0" collapsed="false">
      <c r="A31" s="13" t="n">
        <v>45241.6591602315</v>
      </c>
      <c r="B31" s="8" t="n">
        <v>15</v>
      </c>
      <c r="C31" s="8" t="s">
        <v>68</v>
      </c>
      <c r="D31" s="8" t="s">
        <v>97</v>
      </c>
      <c r="E31" s="14" t="s">
        <v>66</v>
      </c>
      <c r="F31" s="9" t="n">
        <v>1099976</v>
      </c>
      <c r="G31" s="9" t="n">
        <v>73652</v>
      </c>
      <c r="H31" s="9" t="n">
        <v>49789</v>
      </c>
      <c r="I31" s="9" t="n">
        <v>54679</v>
      </c>
      <c r="J31" s="9" t="n">
        <v>1262</v>
      </c>
      <c r="K31" s="9" t="n">
        <v>303</v>
      </c>
      <c r="L31" s="9" t="n">
        <v>194</v>
      </c>
      <c r="M31" s="10" t="n">
        <f aca="false">IFERROR(G31/F31,"")</f>
        <v>0.0669578245343535</v>
      </c>
      <c r="N31" s="10" t="n">
        <f aca="false">IFERROR(H31/G31,"")</f>
        <v>0.676003367186227</v>
      </c>
      <c r="O31" s="11" t="n">
        <f aca="false">IFERROR(I31/H31,"")</f>
        <v>1.09821446504248</v>
      </c>
      <c r="P31" s="10" t="n">
        <f aca="false">IFERROR(J31/H31,"")</f>
        <v>0.0253469641888771</v>
      </c>
      <c r="Q31" s="10" t="n">
        <f aca="false">IFERROR(K31/H31,"")</f>
        <v>0.00608568157625178</v>
      </c>
      <c r="R31" s="10" t="n">
        <f aca="false">IFERROR(L31/H31,"")</f>
        <v>0.00389644298941533</v>
      </c>
      <c r="S31" s="11" t="n">
        <f aca="false">IFERROR(M31/MEDIAN(INDEX($M$5:$M$627,MATCH($A31-90,$A$5:$A$627,1)):INDEX($M$5:$M$627,MATCH($A31+90,$A$5:$A$627,1))),"")</f>
        <v>1.66467186043862</v>
      </c>
      <c r="T31" s="11" t="n">
        <f aca="false">IFERROR(N31/MEDIAN(INDEX($N$5:$N$627,MATCH($A31-90,$A$5:$A$627,1)):INDEX($N$5:$N$627,MATCH($A31+90,$A$5:$A$627,1))),"")</f>
        <v>1.15382476202073</v>
      </c>
      <c r="U31" s="11" t="n">
        <f aca="false">IFERROR(Q31/MEDIAN(INDEX($Q$5:$Q$627,MATCH($A31-90,$A$5:$A$627,1)):INDEX($Q$5:$Q$627,MATCH($A31+90,$A$5:$A$627,1))),"")</f>
        <v>0.863995356177718</v>
      </c>
    </row>
    <row r="32" customFormat="false" ht="15" hidden="false" customHeight="false" outlineLevel="0" collapsed="false">
      <c r="A32" s="13" t="n">
        <v>45243.799935544</v>
      </c>
      <c r="B32" s="8" t="n">
        <v>19</v>
      </c>
      <c r="C32" s="8" t="s">
        <v>80</v>
      </c>
      <c r="D32" s="8" t="s">
        <v>98</v>
      </c>
      <c r="E32" s="14" t="s">
        <v>66</v>
      </c>
      <c r="F32" s="9" t="n">
        <v>117444</v>
      </c>
      <c r="G32" s="9" t="n">
        <v>1426</v>
      </c>
      <c r="H32" s="9" t="n">
        <v>835</v>
      </c>
      <c r="I32" s="9" t="n">
        <v>462</v>
      </c>
      <c r="J32" s="9" t="n">
        <v>37</v>
      </c>
      <c r="K32" s="9" t="n">
        <v>2</v>
      </c>
      <c r="L32" s="9" t="n">
        <v>5</v>
      </c>
      <c r="M32" s="10" t="n">
        <f aca="false">IFERROR(G32/F32,"")</f>
        <v>0.0121419570178127</v>
      </c>
      <c r="N32" s="10" t="n">
        <f aca="false">IFERROR(H32/G32,"")</f>
        <v>0.585553997194951</v>
      </c>
      <c r="O32" s="11" t="n">
        <f aca="false">IFERROR(I32/H32,"")</f>
        <v>0.553293413173653</v>
      </c>
      <c r="P32" s="10" t="n">
        <f aca="false">IFERROR(J32/H32,"")</f>
        <v>0.044311377245509</v>
      </c>
      <c r="Q32" s="10" t="n">
        <f aca="false">IFERROR(K32/H32,"")</f>
        <v>0.00239520958083832</v>
      </c>
      <c r="R32" s="10" t="n">
        <f aca="false">IFERROR(L32/H32,"")</f>
        <v>0.00598802395209581</v>
      </c>
      <c r="S32" s="11" t="n">
        <f aca="false">IFERROR(M32/MEDIAN(INDEX($M$5:$M$627,MATCH($A32-90,$A$5:$A$627,1)):INDEX($M$5:$M$627,MATCH($A32+90,$A$5:$A$627,1))),"")</f>
        <v>0.301496075846884</v>
      </c>
      <c r="T32" s="11" t="n">
        <f aca="false">IFERROR(N32/MEDIAN(INDEX($N$5:$N$627,MATCH($A32-90,$A$5:$A$627,1)):INDEX($N$5:$N$627,MATCH($A32+90,$A$5:$A$627,1))),"")</f>
        <v>1</v>
      </c>
      <c r="U32" s="11" t="n">
        <f aca="false">IFERROR(Q32/MEDIAN(INDEX($Q$5:$Q$627,MATCH($A32-90,$A$5:$A$627,1)):INDEX($Q$5:$Q$627,MATCH($A32+90,$A$5:$A$627,1))),"")</f>
        <v>0.335329341317365</v>
      </c>
    </row>
    <row r="33" customFormat="false" ht="15" hidden="false" customHeight="false" outlineLevel="0" collapsed="false">
      <c r="A33" s="13" t="n">
        <v>45245.8173445718</v>
      </c>
      <c r="B33" s="8" t="n">
        <v>19</v>
      </c>
      <c r="C33" s="8" t="s">
        <v>71</v>
      </c>
      <c r="D33" s="8" t="s">
        <v>99</v>
      </c>
      <c r="E33" s="14" t="s">
        <v>66</v>
      </c>
      <c r="F33" s="9" t="n">
        <v>8239</v>
      </c>
      <c r="G33" s="9" t="n">
        <v>226</v>
      </c>
      <c r="H33" s="9" t="n">
        <v>111</v>
      </c>
      <c r="I33" s="9" t="n">
        <v>91</v>
      </c>
      <c r="J33" s="9" t="n">
        <v>30</v>
      </c>
      <c r="K33" s="9" t="n">
        <v>4</v>
      </c>
      <c r="L33" s="9" t="n">
        <v>1</v>
      </c>
      <c r="M33" s="10" t="n">
        <f aca="false">IFERROR(G33/F33,"")</f>
        <v>0.0274305134118218</v>
      </c>
      <c r="N33" s="10" t="n">
        <f aca="false">IFERROR(H33/G33,"")</f>
        <v>0.491150442477876</v>
      </c>
      <c r="O33" s="11" t="n">
        <f aca="false">IFERROR(I33/H33,"")</f>
        <v>0.81981981981982</v>
      </c>
      <c r="P33" s="10" t="n">
        <f aca="false">IFERROR(J33/H33,"")</f>
        <v>0.27027027027027</v>
      </c>
      <c r="Q33" s="10" t="n">
        <f aca="false">IFERROR(K33/H33,"")</f>
        <v>0.036036036036036</v>
      </c>
      <c r="R33" s="10" t="n">
        <f aca="false">IFERROR(L33/H33,"")</f>
        <v>0.00900900900900901</v>
      </c>
      <c r="S33" s="11" t="n">
        <f aca="false">IFERROR(M33/MEDIAN(INDEX($M$5:$M$627,MATCH($A33-90,$A$5:$A$627,1)):INDEX($M$5:$M$627,MATCH($A33+90,$A$5:$A$627,1))),"")</f>
        <v>0.68280427012447</v>
      </c>
      <c r="T33" s="11" t="n">
        <f aca="false">IFERROR(N33/MEDIAN(INDEX($N$5:$N$627,MATCH($A33-90,$A$5:$A$627,1)):INDEX($N$5:$N$627,MATCH($A33+90,$A$5:$A$627,1))),"")</f>
        <v>0.838779079010121</v>
      </c>
      <c r="U33" s="11" t="n">
        <f aca="false">IFERROR(Q33/MEDIAN(INDEX($Q$5:$Q$627,MATCH($A33-90,$A$5:$A$627,1)):INDEX($Q$5:$Q$627,MATCH($A33+90,$A$5:$A$627,1))),"")</f>
        <v>4.9009009009009</v>
      </c>
    </row>
    <row r="34" customFormat="false" ht="15" hidden="false" customHeight="false" outlineLevel="0" collapsed="false">
      <c r="A34" s="13" t="n">
        <v>45247.7455730787</v>
      </c>
      <c r="B34" s="8" t="n">
        <v>17</v>
      </c>
      <c r="C34" s="8" t="s">
        <v>84</v>
      </c>
      <c r="D34" s="8" t="s">
        <v>100</v>
      </c>
      <c r="E34" s="14" t="s">
        <v>66</v>
      </c>
      <c r="F34" s="9" t="n">
        <v>22626</v>
      </c>
      <c r="G34" s="9" t="n">
        <v>4007</v>
      </c>
      <c r="H34" s="9" t="n">
        <v>2685</v>
      </c>
      <c r="I34" s="9" t="n">
        <v>2306</v>
      </c>
      <c r="J34" s="9" t="n">
        <v>112</v>
      </c>
      <c r="K34" s="9" t="n">
        <v>21</v>
      </c>
      <c r="L34" s="9" t="n">
        <v>5</v>
      </c>
      <c r="M34" s="10" t="n">
        <f aca="false">IFERROR(G34/F34,"")</f>
        <v>0.177097144877574</v>
      </c>
      <c r="N34" s="10" t="n">
        <f aca="false">IFERROR(H34/G34,"")</f>
        <v>0.670077364611929</v>
      </c>
      <c r="O34" s="11" t="n">
        <f aca="false">IFERROR(I34/H34,"")</f>
        <v>0.858845437616387</v>
      </c>
      <c r="P34" s="10" t="n">
        <f aca="false">IFERROR(J34/H34,"")</f>
        <v>0.0417132216014898</v>
      </c>
      <c r="Q34" s="10" t="n">
        <f aca="false">IFERROR(K34/H34,"")</f>
        <v>0.00782122905027933</v>
      </c>
      <c r="R34" s="10" t="n">
        <f aca="false">IFERROR(L34/H34,"")</f>
        <v>0.00186219739292365</v>
      </c>
      <c r="S34" s="11" t="n">
        <f aca="false">IFERROR(M34/MEDIAN(INDEX($M$5:$M$627,MATCH($A34-90,$A$5:$A$627,1)):INDEX($M$5:$M$627,MATCH($A34+90,$A$5:$A$627,1))),"")</f>
        <v>4.39748667747254</v>
      </c>
      <c r="T34" s="11" t="n">
        <f aca="false">IFERROR(N34/MEDIAN(INDEX($N$5:$N$627,MATCH($A34-90,$A$5:$A$627,1)):INDEX($N$5:$N$627,MATCH($A34+90,$A$5:$A$627,1))),"")</f>
        <v>1.14434769094205</v>
      </c>
      <c r="U34" s="11" t="n">
        <f aca="false">IFERROR(Q34/MEDIAN(INDEX($Q$5:$Q$627,MATCH($A34-90,$A$5:$A$627,1)):INDEX($Q$5:$Q$627,MATCH($A34+90,$A$5:$A$627,1))),"")</f>
        <v>1.01291544361329</v>
      </c>
    </row>
    <row r="35" customFormat="false" ht="15" hidden="false" customHeight="false" outlineLevel="0" collapsed="false">
      <c r="A35" s="13" t="n">
        <v>45249.6866221644</v>
      </c>
      <c r="B35" s="8" t="n">
        <v>16</v>
      </c>
      <c r="C35" s="8" t="s">
        <v>86</v>
      </c>
      <c r="D35" s="8" t="s">
        <v>101</v>
      </c>
      <c r="E35" s="14" t="s">
        <v>66</v>
      </c>
      <c r="F35" s="9" t="n">
        <v>21497</v>
      </c>
      <c r="G35" s="9" t="n">
        <v>859</v>
      </c>
      <c r="H35" s="9" t="n">
        <v>523</v>
      </c>
      <c r="I35" s="9" t="n">
        <v>507</v>
      </c>
      <c r="J35" s="9" t="n">
        <v>69</v>
      </c>
      <c r="K35" s="9" t="n">
        <v>5</v>
      </c>
      <c r="L35" s="9" t="n">
        <v>7</v>
      </c>
      <c r="M35" s="10" t="n">
        <f aca="false">IFERROR(G35/F35,"")</f>
        <v>0.0399590640554496</v>
      </c>
      <c r="N35" s="10" t="n">
        <f aca="false">IFERROR(H35/G35,"")</f>
        <v>0.608847497089639</v>
      </c>
      <c r="O35" s="11" t="n">
        <f aca="false">IFERROR(I35/H35,"")</f>
        <v>0.969407265774379</v>
      </c>
      <c r="P35" s="10" t="n">
        <f aca="false">IFERROR(J35/H35,"")</f>
        <v>0.131931166347992</v>
      </c>
      <c r="Q35" s="10" t="n">
        <f aca="false">IFERROR(K35/H35,"")</f>
        <v>0.00956022944550669</v>
      </c>
      <c r="R35" s="10" t="n">
        <f aca="false">IFERROR(L35/H35,"")</f>
        <v>0.0133843212237094</v>
      </c>
      <c r="S35" s="11" t="n">
        <f aca="false">IFERROR(M35/MEDIAN(INDEX($M$5:$M$627,MATCH($A35-90,$A$5:$A$627,1)):INDEX($M$5:$M$627,MATCH($A35+90,$A$5:$A$627,1))),"")</f>
        <v>0.993442214784669</v>
      </c>
      <c r="T35" s="11" t="n">
        <f aca="false">IFERROR(N35/MEDIAN(INDEX($N$5:$N$627,MATCH($A35-90,$A$5:$A$627,1)):INDEX($N$5:$N$627,MATCH($A35+90,$A$5:$A$627,1))),"")</f>
        <v>1.04059586365053</v>
      </c>
      <c r="U35" s="11" t="n">
        <f aca="false">IFERROR(Q35/MEDIAN(INDEX($Q$5:$Q$627,MATCH($A35-90,$A$5:$A$627,1)):INDEX($Q$5:$Q$627,MATCH($A35+90,$A$5:$A$627,1))),"")</f>
        <v>1.23541302975648</v>
      </c>
    </row>
    <row r="36" customFormat="false" ht="15" hidden="false" customHeight="false" outlineLevel="0" collapsed="false">
      <c r="A36" s="13" t="n">
        <v>45251.5613969445</v>
      </c>
      <c r="B36" s="8" t="n">
        <v>13</v>
      </c>
      <c r="C36" s="8" t="s">
        <v>64</v>
      </c>
      <c r="D36" s="8" t="s">
        <v>102</v>
      </c>
      <c r="E36" s="14" t="s">
        <v>66</v>
      </c>
      <c r="F36" s="9" t="n">
        <v>1006263</v>
      </c>
      <c r="G36" s="9" t="n">
        <v>77588</v>
      </c>
      <c r="H36" s="9" t="n">
        <v>47089</v>
      </c>
      <c r="I36" s="9" t="n">
        <v>58070</v>
      </c>
      <c r="J36" s="9" t="n">
        <v>1247</v>
      </c>
      <c r="K36" s="9" t="n">
        <v>232</v>
      </c>
      <c r="L36" s="9" t="n">
        <v>293</v>
      </c>
      <c r="M36" s="10" t="n">
        <f aca="false">IFERROR(G36/F36,"")</f>
        <v>0.077105090816218</v>
      </c>
      <c r="N36" s="10" t="n">
        <f aca="false">IFERROR(H36/G36,"")</f>
        <v>0.606910862504511</v>
      </c>
      <c r="O36" s="11" t="n">
        <f aca="false">IFERROR(I36/H36,"")</f>
        <v>1.23319671260804</v>
      </c>
      <c r="P36" s="10" t="n">
        <f aca="false">IFERROR(J36/H36,"")</f>
        <v>0.0264817685659071</v>
      </c>
      <c r="Q36" s="10" t="n">
        <f aca="false">IFERROR(K36/H36,"")</f>
        <v>0.00492684066342458</v>
      </c>
      <c r="R36" s="10" t="n">
        <f aca="false">IFERROR(L36/H36,"")</f>
        <v>0.00622225997579053</v>
      </c>
      <c r="S36" s="11" t="n">
        <f aca="false">IFERROR(M36/MEDIAN(INDEX($M$5:$M$627,MATCH($A36-90,$A$5:$A$627,1)):INDEX($M$5:$M$627,MATCH($A36+90,$A$5:$A$627,1))),"")</f>
        <v>1.91931096830871</v>
      </c>
      <c r="T36" s="11" t="n">
        <f aca="false">IFERROR(N36/MEDIAN(INDEX($N$5:$N$627,MATCH($A36-90,$A$5:$A$627,1)):INDEX($N$5:$N$627,MATCH($A36+90,$A$5:$A$627,1))),"")</f>
        <v>1.03810018436687</v>
      </c>
      <c r="U36" s="11" t="n">
        <f aca="false">IFERROR(Q36/MEDIAN(INDEX($Q$5:$Q$627,MATCH($A36-90,$A$5:$A$627,1)):INDEX($Q$5:$Q$627,MATCH($A36+90,$A$5:$A$627,1))),"")</f>
        <v>0.635272631425099</v>
      </c>
    </row>
    <row r="37" customFormat="false" ht="15" hidden="false" customHeight="false" outlineLevel="0" collapsed="false">
      <c r="A37" s="13" t="n">
        <v>45253.7519781134</v>
      </c>
      <c r="B37" s="8" t="n">
        <v>18</v>
      </c>
      <c r="C37" s="8" t="s">
        <v>73</v>
      </c>
      <c r="D37" s="8" t="s">
        <v>103</v>
      </c>
      <c r="E37" s="14" t="s">
        <v>66</v>
      </c>
      <c r="F37" s="9" t="n">
        <v>2220</v>
      </c>
      <c r="G37" s="9" t="n">
        <v>108</v>
      </c>
      <c r="H37" s="9" t="n">
        <v>80</v>
      </c>
      <c r="I37" s="9" t="n">
        <v>69</v>
      </c>
      <c r="J37" s="9" t="n">
        <v>21</v>
      </c>
      <c r="K37" s="9" t="n">
        <v>0</v>
      </c>
      <c r="L37" s="9" t="n">
        <v>0</v>
      </c>
      <c r="M37" s="10" t="n">
        <f aca="false">IFERROR(G37/F37,"")</f>
        <v>0.0486486486486487</v>
      </c>
      <c r="N37" s="10" t="n">
        <f aca="false">IFERROR(H37/G37,"")</f>
        <v>0.740740740740741</v>
      </c>
      <c r="O37" s="11" t="n">
        <f aca="false">IFERROR(I37/H37,"")</f>
        <v>0.8625</v>
      </c>
      <c r="P37" s="10" t="n">
        <f aca="false">IFERROR(J37/H37,"")</f>
        <v>0.2625</v>
      </c>
      <c r="Q37" s="10" t="n">
        <f aca="false">IFERROR(K37/H37,"")</f>
        <v>0</v>
      </c>
      <c r="R37" s="10" t="n">
        <f aca="false">IFERROR(L37/H37,"")</f>
        <v>0</v>
      </c>
      <c r="S37" s="11" t="n">
        <f aca="false">IFERROR(M37/MEDIAN(INDEX($M$5:$M$627,MATCH($A37-90,$A$5:$A$627,1)):INDEX($M$5:$M$627,MATCH($A37+90,$A$5:$A$627,1))),"")</f>
        <v>1.20947830992061</v>
      </c>
      <c r="T37" s="11" t="n">
        <f aca="false">IFERROR(N37/MEDIAN(INDEX($N$5:$N$627,MATCH($A37-90,$A$5:$A$627,1)):INDEX($N$5:$N$627,MATCH($A37+90,$A$5:$A$627,1))),"")</f>
        <v>1.26601777052023</v>
      </c>
      <c r="U37" s="11" t="n">
        <f aca="false">IFERROR(Q37/MEDIAN(INDEX($Q$5:$Q$627,MATCH($A37-90,$A$5:$A$627,1)):INDEX($Q$5:$Q$627,MATCH($A37+90,$A$5:$A$627,1))),"")</f>
        <v>0</v>
      </c>
    </row>
    <row r="38" customFormat="false" ht="15" hidden="false" customHeight="false" outlineLevel="0" collapsed="false">
      <c r="A38" s="13" t="n">
        <v>45255.5222126042</v>
      </c>
      <c r="B38" s="8" t="n">
        <v>12</v>
      </c>
      <c r="C38" s="8" t="s">
        <v>68</v>
      </c>
      <c r="D38" s="8" t="s">
        <v>104</v>
      </c>
      <c r="E38" s="14" t="s">
        <v>66</v>
      </c>
      <c r="F38" s="9" t="n">
        <v>22790</v>
      </c>
      <c r="G38" s="9" t="n">
        <v>650</v>
      </c>
      <c r="H38" s="9" t="n">
        <v>365</v>
      </c>
      <c r="I38" s="9" t="n">
        <v>366</v>
      </c>
      <c r="J38" s="9" t="n">
        <v>60</v>
      </c>
      <c r="K38" s="9" t="n">
        <v>3</v>
      </c>
      <c r="L38" s="9" t="n">
        <v>9</v>
      </c>
      <c r="M38" s="10" t="n">
        <f aca="false">IFERROR(G38/F38,"")</f>
        <v>0.0285212812637122</v>
      </c>
      <c r="N38" s="10" t="n">
        <f aca="false">IFERROR(H38/G38,"")</f>
        <v>0.561538461538462</v>
      </c>
      <c r="O38" s="11" t="n">
        <f aca="false">IFERROR(I38/H38,"")</f>
        <v>1.0027397260274</v>
      </c>
      <c r="P38" s="10" t="n">
        <f aca="false">IFERROR(J38/H38,"")</f>
        <v>0.164383561643836</v>
      </c>
      <c r="Q38" s="10" t="n">
        <f aca="false">IFERROR(K38/H38,"")</f>
        <v>0.00821917808219178</v>
      </c>
      <c r="R38" s="10" t="n">
        <f aca="false">IFERROR(L38/H38,"")</f>
        <v>0.0246575342465753</v>
      </c>
      <c r="S38" s="11" t="n">
        <f aca="false">IFERROR(M38/MEDIAN(INDEX($M$5:$M$627,MATCH($A38-90,$A$5:$A$627,1)):INDEX($M$5:$M$627,MATCH($A38+90,$A$5:$A$627,1))),"")</f>
        <v>0.709081794002992</v>
      </c>
      <c r="T38" s="11" t="n">
        <f aca="false">IFERROR(N38/MEDIAN(INDEX($N$5:$N$627,MATCH($A38-90,$A$5:$A$627,1)):INDEX($N$5:$N$627,MATCH($A38+90,$A$5:$A$627,1))),"")</f>
        <v>0.959738856036679</v>
      </c>
      <c r="U38" s="11" t="n">
        <f aca="false">IFERROR(Q38/MEDIAN(INDEX($Q$5:$Q$627,MATCH($A38-90,$A$5:$A$627,1)):INDEX($Q$5:$Q$627,MATCH($A38+90,$A$5:$A$627,1))),"")</f>
        <v>1.06211673626735</v>
      </c>
    </row>
    <row r="39" customFormat="false" ht="15" hidden="false" customHeight="false" outlineLevel="0" collapsed="false">
      <c r="A39" s="13" t="n">
        <v>45257.5577349306</v>
      </c>
      <c r="B39" s="8" t="n">
        <v>13</v>
      </c>
      <c r="C39" s="8" t="s">
        <v>80</v>
      </c>
      <c r="D39" s="8" t="s">
        <v>105</v>
      </c>
      <c r="E39" s="14" t="s">
        <v>66</v>
      </c>
      <c r="F39" s="9" t="n">
        <v>1125944</v>
      </c>
      <c r="G39" s="9" t="n">
        <v>99629</v>
      </c>
      <c r="H39" s="9" t="n">
        <v>66488</v>
      </c>
      <c r="I39" s="9" t="n">
        <v>57393</v>
      </c>
      <c r="J39" s="9" t="n">
        <v>1197</v>
      </c>
      <c r="K39" s="9" t="n">
        <v>665</v>
      </c>
      <c r="L39" s="9" t="n">
        <v>134</v>
      </c>
      <c r="M39" s="10" t="n">
        <f aca="false">IFERROR(G39/F39,"")</f>
        <v>0.0884848624798391</v>
      </c>
      <c r="N39" s="10" t="n">
        <f aca="false">IFERROR(H39/G39,"")</f>
        <v>0.66735589035321</v>
      </c>
      <c r="O39" s="11" t="n">
        <f aca="false">IFERROR(I39/H39,"")</f>
        <v>0.863208398508002</v>
      </c>
      <c r="P39" s="10" t="n">
        <f aca="false">IFERROR(J39/H39,"")</f>
        <v>0.0180032487065335</v>
      </c>
      <c r="Q39" s="10" t="n">
        <f aca="false">IFERROR(K39/H39,"")</f>
        <v>0.0100018048369631</v>
      </c>
      <c r="R39" s="10" t="n">
        <f aca="false">IFERROR(L39/H39,"")</f>
        <v>0.00201540127541812</v>
      </c>
      <c r="S39" s="11" t="n">
        <f aca="false">IFERROR(M39/MEDIAN(INDEX($M$5:$M$627,MATCH($A39-90,$A$5:$A$627,1)):INDEX($M$5:$M$627,MATCH($A39+90,$A$5:$A$627,1))),"")</f>
        <v>2.20257787506712</v>
      </c>
      <c r="T39" s="11" t="n">
        <f aca="false">IFERROR(N39/MEDIAN(INDEX($N$5:$N$627,MATCH($A39-90,$A$5:$A$627,1)):INDEX($N$5:$N$627,MATCH($A39+90,$A$5:$A$627,1))),"")</f>
        <v>1.13969999957327</v>
      </c>
      <c r="U39" s="11" t="n">
        <f aca="false">IFERROR(Q39/MEDIAN(INDEX($Q$5:$Q$627,MATCH($A39-90,$A$5:$A$627,1)):INDEX($Q$5:$Q$627,MATCH($A39+90,$A$5:$A$627,1))),"")</f>
        <v>1.29531848744466</v>
      </c>
    </row>
    <row r="40" customFormat="false" ht="15" hidden="false" customHeight="false" outlineLevel="0" collapsed="false">
      <c r="A40" s="13" t="n">
        <v>45259.6945616088</v>
      </c>
      <c r="B40" s="8" t="n">
        <v>16</v>
      </c>
      <c r="C40" s="8" t="s">
        <v>71</v>
      </c>
      <c r="D40" s="8" t="s">
        <v>106</v>
      </c>
      <c r="E40" s="14" t="s">
        <v>66</v>
      </c>
      <c r="F40" s="9" t="n">
        <v>4358</v>
      </c>
      <c r="G40" s="9" t="n">
        <v>102</v>
      </c>
      <c r="H40" s="9" t="n">
        <v>47</v>
      </c>
      <c r="I40" s="9" t="n">
        <v>41</v>
      </c>
      <c r="J40" s="9" t="n">
        <v>15</v>
      </c>
      <c r="K40" s="9" t="n">
        <v>1</v>
      </c>
      <c r="L40" s="9" t="n">
        <v>1</v>
      </c>
      <c r="M40" s="10" t="n">
        <f aca="false">IFERROR(G40/F40,"")</f>
        <v>0.023405231757687</v>
      </c>
      <c r="N40" s="10" t="n">
        <f aca="false">IFERROR(H40/G40,"")</f>
        <v>0.46078431372549</v>
      </c>
      <c r="O40" s="11" t="n">
        <f aca="false">IFERROR(I40/H40,"")</f>
        <v>0.872340425531915</v>
      </c>
      <c r="P40" s="10" t="n">
        <f aca="false">IFERROR(J40/H40,"")</f>
        <v>0.319148936170213</v>
      </c>
      <c r="Q40" s="10" t="n">
        <f aca="false">IFERROR(K40/H40,"")</f>
        <v>0.0212765957446809</v>
      </c>
      <c r="R40" s="10" t="n">
        <f aca="false">IFERROR(L40/H40,"")</f>
        <v>0.0212765957446809</v>
      </c>
      <c r="S40" s="11" t="n">
        <f aca="false">IFERROR(M40/MEDIAN(INDEX($M$5:$M$627,MATCH($A40-90,$A$5:$A$627,1)):INDEX($M$5:$M$627,MATCH($A40+90,$A$5:$A$627,1))),"")</f>
        <v>0.582606382442484</v>
      </c>
      <c r="T40" s="11" t="n">
        <f aca="false">IFERROR(N40/MEDIAN(INDEX($N$5:$N$627,MATCH($A40-90,$A$5:$A$627,1)):INDEX($N$5:$N$627,MATCH($A40+90,$A$5:$A$627,1))),"")</f>
        <v>0.786920277092873</v>
      </c>
      <c r="U40" s="11" t="n">
        <f aca="false">IFERROR(Q40/MEDIAN(INDEX($Q$5:$Q$627,MATCH($A40-90,$A$5:$A$627,1)):INDEX($Q$5:$Q$627,MATCH($A40+90,$A$5:$A$627,1))),"")</f>
        <v>2.7554994590696</v>
      </c>
    </row>
    <row r="41" customFormat="false" ht="15" hidden="false" customHeight="false" outlineLevel="0" collapsed="false">
      <c r="A41" s="13" t="n">
        <v>45261.8212661574</v>
      </c>
      <c r="B41" s="8" t="n">
        <v>19</v>
      </c>
      <c r="C41" s="8" t="s">
        <v>84</v>
      </c>
      <c r="D41" s="8" t="s">
        <v>107</v>
      </c>
      <c r="E41" s="14" t="s">
        <v>66</v>
      </c>
      <c r="F41" s="9" t="n">
        <v>387211</v>
      </c>
      <c r="G41" s="9" t="n">
        <v>19516</v>
      </c>
      <c r="H41" s="9" t="n">
        <v>12031</v>
      </c>
      <c r="I41" s="9" t="n">
        <v>11245</v>
      </c>
      <c r="J41" s="9" t="n">
        <v>331</v>
      </c>
      <c r="K41" s="9" t="n">
        <v>79</v>
      </c>
      <c r="L41" s="9" t="n">
        <v>25</v>
      </c>
      <c r="M41" s="10" t="n">
        <f aca="false">IFERROR(G41/F41,"")</f>
        <v>0.0504014607023044</v>
      </c>
      <c r="N41" s="10" t="n">
        <f aca="false">IFERROR(H41/G41,"")</f>
        <v>0.616468538634966</v>
      </c>
      <c r="O41" s="11" t="n">
        <f aca="false">IFERROR(I41/H41,"")</f>
        <v>0.934668772338127</v>
      </c>
      <c r="P41" s="10" t="n">
        <f aca="false">IFERROR(J41/H41,"")</f>
        <v>0.0275122599950129</v>
      </c>
      <c r="Q41" s="10" t="n">
        <f aca="false">IFERROR(K41/H41,"")</f>
        <v>0.00656637021029008</v>
      </c>
      <c r="R41" s="10" t="n">
        <f aca="false">IFERROR(L41/H41,"")</f>
        <v>0.00207796525642091</v>
      </c>
      <c r="S41" s="11" t="n">
        <f aca="false">IFERROR(M41/MEDIAN(INDEX($M$5:$M$627,MATCH($A41-90,$A$5:$A$627,1)):INDEX($M$5:$M$627,MATCH($A41+90,$A$5:$A$627,1))),"")</f>
        <v>1.25795487665872</v>
      </c>
      <c r="T41" s="11" t="n">
        <f aca="false">IFERROR(N41/MEDIAN(INDEX($N$5:$N$627,MATCH($A41-90,$A$5:$A$627,1)):INDEX($N$5:$N$627,MATCH($A41+90,$A$5:$A$627,1))),"")</f>
        <v>1.05362116858598</v>
      </c>
      <c r="U41" s="11" t="n">
        <f aca="false">IFERROR(Q41/MEDIAN(INDEX($Q$5:$Q$627,MATCH($A41-90,$A$5:$A$627,1)):INDEX($Q$5:$Q$627,MATCH($A41+90,$A$5:$A$627,1))),"")</f>
        <v>0.848533956453303</v>
      </c>
    </row>
    <row r="42" customFormat="false" ht="15" hidden="false" customHeight="false" outlineLevel="0" collapsed="false">
      <c r="A42" s="13" t="n">
        <v>45263.7992494445</v>
      </c>
      <c r="B42" s="8" t="n">
        <v>19</v>
      </c>
      <c r="C42" s="8" t="s">
        <v>86</v>
      </c>
      <c r="D42" s="8" t="s">
        <v>108</v>
      </c>
      <c r="E42" s="14" t="s">
        <v>66</v>
      </c>
      <c r="F42" s="9" t="n">
        <v>393040</v>
      </c>
      <c r="G42" s="9" t="n">
        <v>21787</v>
      </c>
      <c r="H42" s="9" t="n">
        <v>13967</v>
      </c>
      <c r="I42" s="9" t="n">
        <v>11581</v>
      </c>
      <c r="J42" s="9" t="n">
        <v>93</v>
      </c>
      <c r="K42" s="9" t="n">
        <v>12</v>
      </c>
      <c r="L42" s="9" t="n">
        <v>27</v>
      </c>
      <c r="M42" s="10" t="n">
        <f aca="false">IFERROR(G42/F42,"")</f>
        <v>0.0554320170974964</v>
      </c>
      <c r="N42" s="10" t="n">
        <f aca="false">IFERROR(H42/G42,"")</f>
        <v>0.641070363060541</v>
      </c>
      <c r="O42" s="11" t="n">
        <f aca="false">IFERROR(I42/H42,"")</f>
        <v>0.829168754922317</v>
      </c>
      <c r="P42" s="10" t="n">
        <f aca="false">IFERROR(J42/H42,"")</f>
        <v>0.00665855230185437</v>
      </c>
      <c r="Q42" s="10" t="n">
        <f aca="false">IFERROR(K42/H42,"")</f>
        <v>0.000859168038948951</v>
      </c>
      <c r="R42" s="10" t="n">
        <f aca="false">IFERROR(L42/H42,"")</f>
        <v>0.00193312808763514</v>
      </c>
      <c r="S42" s="11" t="n">
        <f aca="false">IFERROR(M42/MEDIAN(INDEX($M$5:$M$627,MATCH($A42-90,$A$5:$A$627,1)):INDEX($M$5:$M$627,MATCH($A42+90,$A$5:$A$627,1))),"")</f>
        <v>1.37982171195787</v>
      </c>
      <c r="T42" s="11" t="n">
        <f aca="false">IFERROR(N42/MEDIAN(INDEX($N$5:$N$627,MATCH($A42-90,$A$5:$A$627,1)):INDEX($N$5:$N$627,MATCH($A42+90,$A$5:$A$627,1))),"")</f>
        <v>1.0948099852986</v>
      </c>
      <c r="U42" s="11" t="n">
        <f aca="false">IFERROR(Q42/MEDIAN(INDEX($Q$5:$Q$627,MATCH($A42-90,$A$5:$A$627,1)):INDEX($Q$5:$Q$627,MATCH($A42+90,$A$5:$A$627,1))),"")</f>
        <v>0.111269542128965</v>
      </c>
    </row>
    <row r="43" customFormat="false" ht="15" hidden="false" customHeight="false" outlineLevel="0" collapsed="false">
      <c r="A43" s="13" t="n">
        <v>45265.8368668982</v>
      </c>
      <c r="B43" s="8" t="n">
        <v>20</v>
      </c>
      <c r="C43" s="8" t="s">
        <v>64</v>
      </c>
      <c r="D43" s="8" t="s">
        <v>109</v>
      </c>
      <c r="E43" s="14" t="s">
        <v>66</v>
      </c>
      <c r="F43" s="9" t="n">
        <v>1644192</v>
      </c>
      <c r="G43" s="9" t="n">
        <v>67905</v>
      </c>
      <c r="H43" s="9" t="n">
        <v>42225</v>
      </c>
      <c r="I43" s="9" t="n">
        <v>48636</v>
      </c>
      <c r="J43" s="9" t="n">
        <v>1512</v>
      </c>
      <c r="K43" s="9" t="n">
        <v>466</v>
      </c>
      <c r="L43" s="9" t="n">
        <v>292</v>
      </c>
      <c r="M43" s="10" t="n">
        <f aca="false">IFERROR(G43/F43,"")</f>
        <v>0.0412999211770888</v>
      </c>
      <c r="N43" s="10" t="n">
        <f aca="false">IFERROR(H43/G43,"")</f>
        <v>0.621824607908107</v>
      </c>
      <c r="O43" s="11" t="n">
        <f aca="false">IFERROR(I43/H43,"")</f>
        <v>1.15182948490231</v>
      </c>
      <c r="P43" s="10" t="n">
        <f aca="false">IFERROR(J43/H43,"")</f>
        <v>0.0358081705150977</v>
      </c>
      <c r="Q43" s="10" t="n">
        <f aca="false">IFERROR(K43/H43,"")</f>
        <v>0.011036116044997</v>
      </c>
      <c r="R43" s="10" t="n">
        <f aca="false">IFERROR(L43/H43,"")</f>
        <v>0.00691533451746596</v>
      </c>
      <c r="S43" s="11" t="n">
        <f aca="false">IFERROR(M43/MEDIAN(INDEX($M$5:$M$627,MATCH($A43-90,$A$5:$A$627,1)):INDEX($M$5:$M$627,MATCH($A43+90,$A$5:$A$627,1))),"")</f>
        <v>1.03079229304885</v>
      </c>
      <c r="T43" s="11" t="n">
        <f aca="false">IFERROR(N43/MEDIAN(INDEX($N$5:$N$627,MATCH($A43-90,$A$5:$A$627,1)):INDEX($N$5:$N$627,MATCH($A43+90,$A$5:$A$627,1))),"")</f>
        <v>1.06277535507389</v>
      </c>
      <c r="U43" s="11" t="n">
        <f aca="false">IFERROR(Q43/MEDIAN(INDEX($Q$5:$Q$627,MATCH($A43-90,$A$5:$A$627,1)):INDEX($Q$5:$Q$627,MATCH($A43+90,$A$5:$A$627,1))),"")</f>
        <v>1.4261332991649</v>
      </c>
    </row>
    <row r="44" customFormat="false" ht="15" hidden="false" customHeight="false" outlineLevel="0" collapsed="false">
      <c r="A44" s="13" t="n">
        <v>45267.8009998611</v>
      </c>
      <c r="B44" s="8" t="n">
        <v>19</v>
      </c>
      <c r="C44" s="8" t="s">
        <v>73</v>
      </c>
      <c r="D44" s="8" t="s">
        <v>110</v>
      </c>
      <c r="E44" s="14" t="s">
        <v>66</v>
      </c>
      <c r="F44" s="9" t="n">
        <v>10091</v>
      </c>
      <c r="G44" s="9" t="n">
        <v>436</v>
      </c>
      <c r="H44" s="9" t="n">
        <v>236</v>
      </c>
      <c r="I44" s="9" t="n">
        <v>341</v>
      </c>
      <c r="J44" s="9" t="n">
        <v>56</v>
      </c>
      <c r="K44" s="9" t="n">
        <v>3</v>
      </c>
      <c r="L44" s="9" t="n">
        <v>3</v>
      </c>
      <c r="M44" s="10" t="n">
        <f aca="false">IFERROR(G44/F44,"")</f>
        <v>0.043206817956595</v>
      </c>
      <c r="N44" s="10" t="n">
        <f aca="false">IFERROR(H44/G44,"")</f>
        <v>0.541284403669725</v>
      </c>
      <c r="O44" s="11" t="n">
        <f aca="false">IFERROR(I44/H44,"")</f>
        <v>1.44491525423729</v>
      </c>
      <c r="P44" s="10" t="n">
        <f aca="false">IFERROR(J44/H44,"")</f>
        <v>0.23728813559322</v>
      </c>
      <c r="Q44" s="10" t="n">
        <f aca="false">IFERROR(K44/H44,"")</f>
        <v>0.0127118644067797</v>
      </c>
      <c r="R44" s="10" t="n">
        <f aca="false">IFERROR(L44/H44,"")</f>
        <v>0.0127118644067797</v>
      </c>
      <c r="S44" s="11" t="n">
        <f aca="false">IFERROR(M44/MEDIAN(INDEX($M$5:$M$627,MATCH($A44-90,$A$5:$A$627,1)):INDEX($M$5:$M$627,MATCH($A44+90,$A$5:$A$627,1))),"")</f>
        <v>1.07551030330111</v>
      </c>
      <c r="T44" s="11" t="n">
        <f aca="false">IFERROR(N44/MEDIAN(INDEX($N$5:$N$627,MATCH($A44-90,$A$5:$A$627,1)):INDEX($N$5:$N$627,MATCH($A44+90,$A$5:$A$627,1))),"")</f>
        <v>0.924397077404823</v>
      </c>
      <c r="U44" s="11" t="n">
        <f aca="false">IFERROR(Q44/MEDIAN(INDEX($Q$5:$Q$627,MATCH($A44-90,$A$5:$A$627,1)):INDEX($Q$5:$Q$627,MATCH($A44+90,$A$5:$A$627,1))),"")</f>
        <v>1.63908275174477</v>
      </c>
    </row>
    <row r="45" customFormat="false" ht="15" hidden="false" customHeight="false" outlineLevel="0" collapsed="false">
      <c r="A45" s="13" t="n">
        <v>45269.7492961227</v>
      </c>
      <c r="B45" s="8" t="n">
        <v>17</v>
      </c>
      <c r="C45" s="8" t="s">
        <v>68</v>
      </c>
      <c r="D45" s="8" t="s">
        <v>111</v>
      </c>
      <c r="E45" s="14" t="s">
        <v>66</v>
      </c>
      <c r="F45" s="9" t="n">
        <v>1714152</v>
      </c>
      <c r="G45" s="9" t="n">
        <v>62611</v>
      </c>
      <c r="H45" s="9" t="n">
        <v>44092</v>
      </c>
      <c r="I45" s="9" t="n">
        <v>66491</v>
      </c>
      <c r="J45" s="9" t="n">
        <v>1946</v>
      </c>
      <c r="K45" s="9" t="n">
        <v>609</v>
      </c>
      <c r="L45" s="9" t="n">
        <v>317</v>
      </c>
      <c r="M45" s="10" t="n">
        <f aca="false">IFERROR(G45/F45,"")</f>
        <v>0.0365259323560571</v>
      </c>
      <c r="N45" s="10" t="n">
        <f aca="false">IFERROR(H45/G45,"")</f>
        <v>0.704221302965933</v>
      </c>
      <c r="O45" s="11" t="n">
        <f aca="false">IFERROR(I45/H45,"")</f>
        <v>1.50800598748072</v>
      </c>
      <c r="P45" s="10" t="n">
        <f aca="false">IFERROR(J45/H45,"")</f>
        <v>0.0441349904744625</v>
      </c>
      <c r="Q45" s="10" t="n">
        <f aca="false">IFERROR(K45/H45,"")</f>
        <v>0.0138120293930872</v>
      </c>
      <c r="R45" s="10" t="n">
        <f aca="false">IFERROR(L45/H45,"")</f>
        <v>0.00718951283679579</v>
      </c>
      <c r="S45" s="11" t="n">
        <f aca="false">IFERROR(M45/MEDIAN(INDEX($M$5:$M$627,MATCH($A45-90,$A$5:$A$627,1)):INDEX($M$5:$M$627,MATCH($A45+90,$A$5:$A$627,1))),"")</f>
        <v>0.911639743998685</v>
      </c>
      <c r="T45" s="11" t="n">
        <f aca="false">IFERROR(N45/MEDIAN(INDEX($N$5:$N$627,MATCH($A45-90,$A$5:$A$627,1)):INDEX($N$5:$N$627,MATCH($A45+90,$A$5:$A$627,1))),"")</f>
        <v>1.20198806211087</v>
      </c>
      <c r="U45" s="11" t="n">
        <f aca="false">IFERROR(Q45/MEDIAN(INDEX($Q$5:$Q$627,MATCH($A45-90,$A$5:$A$627,1)):INDEX($Q$5:$Q$627,MATCH($A45+90,$A$5:$A$627,1))),"")</f>
        <v>1.7734213648702</v>
      </c>
    </row>
    <row r="46" customFormat="false" ht="15" hidden="false" customHeight="false" outlineLevel="0" collapsed="false">
      <c r="A46" s="13" t="n">
        <v>45271.8051205903</v>
      </c>
      <c r="B46" s="8" t="n">
        <v>19</v>
      </c>
      <c r="C46" s="8" t="s">
        <v>80</v>
      </c>
      <c r="D46" s="8" t="s">
        <v>112</v>
      </c>
      <c r="E46" s="14" t="s">
        <v>66</v>
      </c>
      <c r="F46" s="9" t="n">
        <v>970562</v>
      </c>
      <c r="G46" s="9" t="n">
        <v>39773</v>
      </c>
      <c r="H46" s="9" t="n">
        <v>27868</v>
      </c>
      <c r="I46" s="9" t="n">
        <v>36840</v>
      </c>
      <c r="J46" s="9" t="n">
        <v>611</v>
      </c>
      <c r="K46" s="9" t="n">
        <v>111</v>
      </c>
      <c r="L46" s="9" t="n">
        <v>96</v>
      </c>
      <c r="M46" s="10" t="n">
        <f aca="false">IFERROR(G46/F46,"")</f>
        <v>0.0409793501084938</v>
      </c>
      <c r="N46" s="10" t="n">
        <f aca="false">IFERROR(H46/G46,"")</f>
        <v>0.700676338219395</v>
      </c>
      <c r="O46" s="11" t="n">
        <f aca="false">IFERROR(I46/H46,"")</f>
        <v>1.32194631835797</v>
      </c>
      <c r="P46" s="10" t="n">
        <f aca="false">IFERROR(J46/H46,"")</f>
        <v>0.0219247882876417</v>
      </c>
      <c r="Q46" s="10" t="n">
        <f aca="false">IFERROR(K46/H46,"")</f>
        <v>0.00398306301133917</v>
      </c>
      <c r="R46" s="10" t="n">
        <f aca="false">IFERROR(L46/H46,"")</f>
        <v>0.00344481125305009</v>
      </c>
      <c r="S46" s="11" t="n">
        <f aca="false">IFERROR(M46/MEDIAN(INDEX($M$5:$M$627,MATCH($A46-90,$A$5:$A$627,1)):INDEX($M$5:$M$627,MATCH($A46+90,$A$5:$A$627,1))),"")</f>
        <v>1.02553328205156</v>
      </c>
      <c r="T46" s="11" t="n">
        <f aca="false">IFERROR(N46/MEDIAN(INDEX($N$5:$N$627,MATCH($A46-90,$A$5:$A$627,1)):INDEX($N$5:$N$627,MATCH($A46+90,$A$5:$A$627,1))),"")</f>
        <v>1.19660414167767</v>
      </c>
      <c r="U46" s="11" t="n">
        <f aca="false">IFERROR(Q46/MEDIAN(INDEX($Q$5:$Q$627,MATCH($A46-90,$A$5:$A$627,1)):INDEX($Q$5:$Q$627,MATCH($A46+90,$A$5:$A$627,1))),"")</f>
        <v>0.509263056449794</v>
      </c>
    </row>
    <row r="47" customFormat="false" ht="15" hidden="false" customHeight="false" outlineLevel="0" collapsed="false">
      <c r="A47" s="13" t="n">
        <v>45273.5824960764</v>
      </c>
      <c r="B47" s="8" t="n">
        <v>13</v>
      </c>
      <c r="C47" s="8" t="s">
        <v>71</v>
      </c>
      <c r="D47" s="8" t="s">
        <v>113</v>
      </c>
      <c r="E47" s="14" t="s">
        <v>66</v>
      </c>
      <c r="F47" s="9" t="n">
        <v>875035</v>
      </c>
      <c r="G47" s="9" t="n">
        <v>33209</v>
      </c>
      <c r="H47" s="9" t="n">
        <v>23110</v>
      </c>
      <c r="I47" s="9" t="n">
        <v>28651</v>
      </c>
      <c r="J47" s="9" t="n">
        <v>256</v>
      </c>
      <c r="K47" s="9" t="n">
        <v>291</v>
      </c>
      <c r="L47" s="9" t="n">
        <v>79</v>
      </c>
      <c r="M47" s="10" t="n">
        <f aca="false">IFERROR(G47/F47,"")</f>
        <v>0.0379516247921512</v>
      </c>
      <c r="N47" s="10" t="n">
        <f aca="false">IFERROR(H47/G47,"")</f>
        <v>0.695895690927158</v>
      </c>
      <c r="O47" s="11" t="n">
        <f aca="false">IFERROR(I47/H47,"")</f>
        <v>1.23976633491995</v>
      </c>
      <c r="P47" s="10" t="n">
        <f aca="false">IFERROR(J47/H47,"")</f>
        <v>0.0110774556469061</v>
      </c>
      <c r="Q47" s="10" t="n">
        <f aca="false">IFERROR(K47/H47,"")</f>
        <v>0.0125919515361315</v>
      </c>
      <c r="R47" s="10" t="n">
        <f aca="false">IFERROR(L47/H47,"")</f>
        <v>0.00341843357853743</v>
      </c>
      <c r="S47" s="11" t="n">
        <f aca="false">IFERROR(M47/MEDIAN(INDEX($M$5:$M$627,MATCH($A47-90,$A$5:$A$627,1)):INDEX($M$5:$M$627,MATCH($A47+90,$A$5:$A$627,1))),"")</f>
        <v>0.949762605537688</v>
      </c>
      <c r="T47" s="11" t="n">
        <f aca="false">IFERROR(N47/MEDIAN(INDEX($N$5:$N$627,MATCH($A47-90,$A$5:$A$627,1)):INDEX($N$5:$N$627,MATCH($A47+90,$A$5:$A$627,1))),"")</f>
        <v>1.18843982666123</v>
      </c>
      <c r="U47" s="11" t="n">
        <f aca="false">IFERROR(Q47/MEDIAN(INDEX($Q$5:$Q$627,MATCH($A47-90,$A$5:$A$627,1)):INDEX($Q$5:$Q$627,MATCH($A47+90,$A$5:$A$627,1))),"")</f>
        <v>1.60997094640539</v>
      </c>
    </row>
    <row r="48" customFormat="false" ht="15" hidden="false" customHeight="false" outlineLevel="0" collapsed="false">
      <c r="A48" s="13" t="n">
        <v>45275.5523587732</v>
      </c>
      <c r="B48" s="8" t="n">
        <v>13</v>
      </c>
      <c r="C48" s="8" t="s">
        <v>84</v>
      </c>
      <c r="D48" s="8" t="s">
        <v>114</v>
      </c>
      <c r="E48" s="14" t="s">
        <v>66</v>
      </c>
      <c r="F48" s="9" t="n">
        <v>5490</v>
      </c>
      <c r="G48" s="9" t="n">
        <v>290</v>
      </c>
      <c r="H48" s="9" t="n">
        <v>170</v>
      </c>
      <c r="I48" s="9" t="n">
        <v>133</v>
      </c>
      <c r="J48" s="9" t="n">
        <v>25</v>
      </c>
      <c r="K48" s="9" t="n">
        <v>2</v>
      </c>
      <c r="L48" s="9" t="n">
        <v>0</v>
      </c>
      <c r="M48" s="10" t="n">
        <f aca="false">IFERROR(G48/F48,"")</f>
        <v>0.0528233151183971</v>
      </c>
      <c r="N48" s="10" t="n">
        <f aca="false">IFERROR(H48/G48,"")</f>
        <v>0.586206896551724</v>
      </c>
      <c r="O48" s="11" t="n">
        <f aca="false">IFERROR(I48/H48,"")</f>
        <v>0.782352941176471</v>
      </c>
      <c r="P48" s="10" t="n">
        <f aca="false">IFERROR(J48/H48,"")</f>
        <v>0.147058823529412</v>
      </c>
      <c r="Q48" s="10" t="n">
        <f aca="false">IFERROR(K48/H48,"")</f>
        <v>0.0117647058823529</v>
      </c>
      <c r="R48" s="10" t="n">
        <f aca="false">IFERROR(L48/H48,"")</f>
        <v>0</v>
      </c>
      <c r="S48" s="11" t="n">
        <f aca="false">IFERROR(M48/MEDIAN(INDEX($M$5:$M$627,MATCH($A48-90,$A$5:$A$627,1)):INDEX($M$5:$M$627,MATCH($A48+90,$A$5:$A$627,1))),"")</f>
        <v>1.35599661355128</v>
      </c>
      <c r="T48" s="11" t="n">
        <f aca="false">IFERROR(N48/MEDIAN(INDEX($N$5:$N$627,MATCH($A48-90,$A$5:$A$627,1)):INDEX($N$5:$N$627,MATCH($A48+90,$A$5:$A$627,1))),"")</f>
        <v>1.0005571950389</v>
      </c>
      <c r="U48" s="11" t="n">
        <f aca="false">IFERROR(Q48/MEDIAN(INDEX($Q$5:$Q$627,MATCH($A48-90,$A$5:$A$627,1)):INDEX($Q$5:$Q$627,MATCH($A48+90,$A$5:$A$627,1))),"")</f>
        <v>1.51055143088683</v>
      </c>
    </row>
    <row r="49" customFormat="false" ht="15" hidden="false" customHeight="false" outlineLevel="0" collapsed="false">
      <c r="A49" s="13" t="n">
        <v>45277.5129404514</v>
      </c>
      <c r="B49" s="8" t="n">
        <v>12</v>
      </c>
      <c r="C49" s="8" t="s">
        <v>86</v>
      </c>
      <c r="D49" s="8" t="s">
        <v>115</v>
      </c>
      <c r="E49" s="14" t="s">
        <v>66</v>
      </c>
      <c r="F49" s="9" t="n">
        <v>358062</v>
      </c>
      <c r="G49" s="9" t="n">
        <v>14420</v>
      </c>
      <c r="H49" s="9" t="n">
        <v>10015</v>
      </c>
      <c r="I49" s="9" t="n">
        <v>7260</v>
      </c>
      <c r="J49" s="9" t="n">
        <v>190</v>
      </c>
      <c r="K49" s="9" t="n">
        <v>19</v>
      </c>
      <c r="L49" s="9" t="n">
        <v>27</v>
      </c>
      <c r="M49" s="10" t="n">
        <f aca="false">IFERROR(G49/F49,"")</f>
        <v>0.0402723550669996</v>
      </c>
      <c r="N49" s="10" t="n">
        <f aca="false">IFERROR(H49/G49,"")</f>
        <v>0.694521497919556</v>
      </c>
      <c r="O49" s="11" t="n">
        <f aca="false">IFERROR(I49/H49,"")</f>
        <v>0.72491263105342</v>
      </c>
      <c r="P49" s="10" t="n">
        <f aca="false">IFERROR(J49/H49,"")</f>
        <v>0.018971542685971</v>
      </c>
      <c r="Q49" s="10" t="n">
        <f aca="false">IFERROR(K49/H49,"")</f>
        <v>0.0018971542685971</v>
      </c>
      <c r="R49" s="10" t="n">
        <f aca="false">IFERROR(L49/H49,"")</f>
        <v>0.00269595606590115</v>
      </c>
      <c r="S49" s="11" t="n">
        <f aca="false">IFERROR(M49/MEDIAN(INDEX($M$5:$M$627,MATCH($A49-90,$A$5:$A$627,1)):INDEX($M$5:$M$627,MATCH($A49+90,$A$5:$A$627,1))),"")</f>
        <v>1.06114969484332</v>
      </c>
      <c r="T49" s="11" t="n">
        <f aca="false">IFERROR(N49/MEDIAN(INDEX($N$5:$N$627,MATCH($A49-90,$A$5:$A$627,1)):INDEX($N$5:$N$627,MATCH($A49+90,$A$5:$A$627,1))),"")</f>
        <v>1.18609300123747</v>
      </c>
      <c r="U49" s="11" t="n">
        <f aca="false">IFERROR(Q49/MEDIAN(INDEX($Q$5:$Q$627,MATCH($A49-90,$A$5:$A$627,1)):INDEX($Q$5:$Q$627,MATCH($A49+90,$A$5:$A$627,1))),"")</f>
        <v>0.242564724342058</v>
      </c>
    </row>
    <row r="50" customFormat="false" ht="15" hidden="false" customHeight="false" outlineLevel="0" collapsed="false">
      <c r="A50" s="13" t="n">
        <v>45279.5650416435</v>
      </c>
      <c r="B50" s="8" t="n">
        <v>13</v>
      </c>
      <c r="C50" s="8" t="s">
        <v>64</v>
      </c>
      <c r="D50" s="8" t="s">
        <v>116</v>
      </c>
      <c r="E50" s="14" t="s">
        <v>66</v>
      </c>
      <c r="F50" s="9" t="n">
        <v>1010120</v>
      </c>
      <c r="G50" s="9" t="n">
        <v>26263</v>
      </c>
      <c r="H50" s="9" t="n">
        <v>13563</v>
      </c>
      <c r="I50" s="9" t="n">
        <v>20496</v>
      </c>
      <c r="J50" s="9" t="n">
        <v>405</v>
      </c>
      <c r="K50" s="9" t="n">
        <v>87</v>
      </c>
      <c r="L50" s="9" t="n">
        <v>142</v>
      </c>
      <c r="M50" s="10" t="n">
        <f aca="false">IFERROR(G50/F50,"")</f>
        <v>0.0259998812022334</v>
      </c>
      <c r="N50" s="10" t="n">
        <f aca="false">IFERROR(H50/G50,"")</f>
        <v>0.516429958496744</v>
      </c>
      <c r="O50" s="11" t="n">
        <f aca="false">IFERROR(I50/H50,"")</f>
        <v>1.5111700951117</v>
      </c>
      <c r="P50" s="10" t="n">
        <f aca="false">IFERROR(J50/H50,"")</f>
        <v>0.0298606502986065</v>
      </c>
      <c r="Q50" s="10" t="n">
        <f aca="false">IFERROR(K50/H50,"")</f>
        <v>0.0064145100641451</v>
      </c>
      <c r="R50" s="10" t="n">
        <f aca="false">IFERROR(L50/H50,"")</f>
        <v>0.0104696601046966</v>
      </c>
      <c r="S50" s="11" t="n">
        <f aca="false">IFERROR(M50/MEDIAN(INDEX($M$5:$M$627,MATCH($A50-90,$A$5:$A$627,1)):INDEX($M$5:$M$627,MATCH($A50+90,$A$5:$A$627,1))),"")</f>
        <v>0.685079528073604</v>
      </c>
      <c r="T50" s="11" t="n">
        <f aca="false">IFERROR(N50/MEDIAN(INDEX($N$5:$N$627,MATCH($A50-90,$A$5:$A$627,1)):INDEX($N$5:$N$627,MATCH($A50+90,$A$5:$A$627,1))),"")</f>
        <v>0.883335705865801</v>
      </c>
      <c r="U50" s="11" t="n">
        <f aca="false">IFERROR(Q50/MEDIAN(INDEX($Q$5:$Q$627,MATCH($A50-90,$A$5:$A$627,1)):INDEX($Q$5:$Q$627,MATCH($A50+90,$A$5:$A$627,1))),"")</f>
        <v>0.820140929629981</v>
      </c>
    </row>
    <row r="51" customFormat="false" ht="15" hidden="false" customHeight="false" outlineLevel="0" collapsed="false">
      <c r="A51" s="13" t="n">
        <v>45281.536012963</v>
      </c>
      <c r="B51" s="8" t="n">
        <v>12</v>
      </c>
      <c r="C51" s="8" t="s">
        <v>73</v>
      </c>
      <c r="D51" s="8" t="s">
        <v>117</v>
      </c>
      <c r="E51" s="14" t="s">
        <v>66</v>
      </c>
      <c r="F51" s="9" t="n">
        <v>4982</v>
      </c>
      <c r="G51" s="9" t="n">
        <v>160</v>
      </c>
      <c r="H51" s="9" t="n">
        <v>95</v>
      </c>
      <c r="I51" s="9" t="n">
        <v>103</v>
      </c>
      <c r="J51" s="9" t="n">
        <v>18</v>
      </c>
      <c r="K51" s="9" t="n">
        <v>3</v>
      </c>
      <c r="L51" s="9" t="n">
        <v>1</v>
      </c>
      <c r="M51" s="10" t="n">
        <f aca="false">IFERROR(G51/F51,"")</f>
        <v>0.0321156162183862</v>
      </c>
      <c r="N51" s="10" t="n">
        <f aca="false">IFERROR(H51/G51,"")</f>
        <v>0.59375</v>
      </c>
      <c r="O51" s="11" t="n">
        <f aca="false">IFERROR(I51/H51,"")</f>
        <v>1.08421052631579</v>
      </c>
      <c r="P51" s="10" t="n">
        <f aca="false">IFERROR(J51/H51,"")</f>
        <v>0.189473684210526</v>
      </c>
      <c r="Q51" s="10" t="n">
        <f aca="false">IFERROR(K51/H51,"")</f>
        <v>0.0315789473684211</v>
      </c>
      <c r="R51" s="10" t="n">
        <f aca="false">IFERROR(L51/H51,"")</f>
        <v>0.0105263157894737</v>
      </c>
      <c r="S51" s="11" t="n">
        <f aca="false">IFERROR(M51/MEDIAN(INDEX($M$5:$M$627,MATCH($A51-90,$A$5:$A$627,1)):INDEX($M$5:$M$627,MATCH($A51+90,$A$5:$A$627,1))),"")</f>
        <v>0.847845582932865</v>
      </c>
      <c r="T51" s="11" t="n">
        <f aca="false">IFERROR(N51/MEDIAN(INDEX($N$5:$N$627,MATCH($A51-90,$A$5:$A$627,1)):INDEX($N$5:$N$627,MATCH($A51+90,$A$5:$A$627,1))),"")</f>
        <v>1.01621962333544</v>
      </c>
      <c r="U51" s="11" t="n">
        <f aca="false">IFERROR(Q51/MEDIAN(INDEX($Q$5:$Q$627,MATCH($A51-90,$A$5:$A$627,1)):INDEX($Q$5:$Q$627,MATCH($A51+90,$A$5:$A$627,1))),"")</f>
        <v>4.02415529943366</v>
      </c>
    </row>
    <row r="52" customFormat="false" ht="15" hidden="false" customHeight="false" outlineLevel="0" collapsed="false">
      <c r="A52" s="13" t="n">
        <v>45283.5409077546</v>
      </c>
      <c r="B52" s="8" t="n">
        <v>12</v>
      </c>
      <c r="C52" s="8" t="s">
        <v>68</v>
      </c>
      <c r="D52" s="8" t="s">
        <v>118</v>
      </c>
      <c r="E52" s="14" t="s">
        <v>66</v>
      </c>
      <c r="F52" s="9" t="n">
        <v>7490</v>
      </c>
      <c r="G52" s="9" t="n">
        <v>219</v>
      </c>
      <c r="H52" s="9" t="n">
        <v>145</v>
      </c>
      <c r="I52" s="9" t="n">
        <v>191</v>
      </c>
      <c r="J52" s="9" t="n">
        <v>23</v>
      </c>
      <c r="K52" s="9" t="n">
        <v>9</v>
      </c>
      <c r="L52" s="9" t="n">
        <v>3</v>
      </c>
      <c r="M52" s="10" t="n">
        <f aca="false">IFERROR(G52/F52,"")</f>
        <v>0.0292389853137517</v>
      </c>
      <c r="N52" s="10" t="n">
        <f aca="false">IFERROR(H52/G52,"")</f>
        <v>0.662100456621005</v>
      </c>
      <c r="O52" s="11" t="n">
        <f aca="false">IFERROR(I52/H52,"")</f>
        <v>1.31724137931034</v>
      </c>
      <c r="P52" s="10" t="n">
        <f aca="false">IFERROR(J52/H52,"")</f>
        <v>0.158620689655172</v>
      </c>
      <c r="Q52" s="10" t="n">
        <f aca="false">IFERROR(K52/H52,"")</f>
        <v>0.0620689655172414</v>
      </c>
      <c r="R52" s="10" t="n">
        <f aca="false">IFERROR(L52/H52,"")</f>
        <v>0.0206896551724138</v>
      </c>
      <c r="S52" s="11" t="n">
        <f aca="false">IFERROR(M52/MEDIAN(INDEX($M$5:$M$627,MATCH($A52-90,$A$5:$A$627,1)):INDEX($M$5:$M$627,MATCH($A52+90,$A$5:$A$627,1))),"")</f>
        <v>0.77190312585411</v>
      </c>
      <c r="T52" s="11" t="n">
        <f aca="false">IFERROR(N52/MEDIAN(INDEX($N$5:$N$627,MATCH($A52-90,$A$5:$A$627,1)):INDEX($N$5:$N$627,MATCH($A52+90,$A$5:$A$627,1))),"")</f>
        <v>1.13320332907389</v>
      </c>
      <c r="U52" s="11" t="n">
        <f aca="false">IFERROR(Q52/MEDIAN(INDEX($Q$5:$Q$627,MATCH($A52-90,$A$5:$A$627,1)):INDEX($Q$5:$Q$627,MATCH($A52+90,$A$5:$A$627,1))),"")</f>
        <v>7.90954662302478</v>
      </c>
    </row>
    <row r="53" customFormat="false" ht="15" hidden="false" customHeight="false" outlineLevel="0" collapsed="false">
      <c r="A53" s="13" t="n">
        <v>45285.6446551968</v>
      </c>
      <c r="B53" s="8" t="n">
        <v>15</v>
      </c>
      <c r="C53" s="8" t="s">
        <v>80</v>
      </c>
      <c r="D53" s="8" t="s">
        <v>119</v>
      </c>
      <c r="E53" s="14" t="s">
        <v>66</v>
      </c>
      <c r="F53" s="9" t="n">
        <v>2231</v>
      </c>
      <c r="G53" s="9" t="n">
        <v>44</v>
      </c>
      <c r="H53" s="9" t="n">
        <v>21</v>
      </c>
      <c r="I53" s="9" t="n">
        <v>25</v>
      </c>
      <c r="J53" s="9" t="n">
        <v>13</v>
      </c>
      <c r="K53" s="9" t="n">
        <v>8</v>
      </c>
      <c r="L53" s="9" t="n">
        <v>0</v>
      </c>
      <c r="M53" s="10" t="n">
        <f aca="false">IFERROR(G53/F53,"")</f>
        <v>0.0197220977140296</v>
      </c>
      <c r="N53" s="10" t="n">
        <f aca="false">IFERROR(H53/G53,"")</f>
        <v>0.477272727272727</v>
      </c>
      <c r="O53" s="11" t="n">
        <f aca="false">IFERROR(I53/H53,"")</f>
        <v>1.19047619047619</v>
      </c>
      <c r="P53" s="10" t="n">
        <f aca="false">IFERROR(J53/H53,"")</f>
        <v>0.619047619047619</v>
      </c>
      <c r="Q53" s="10" t="n">
        <f aca="false">IFERROR(K53/H53,"")</f>
        <v>0.380952380952381</v>
      </c>
      <c r="R53" s="10" t="n">
        <f aca="false">IFERROR(L53/H53,"")</f>
        <v>0</v>
      </c>
      <c r="S53" s="11" t="n">
        <f aca="false">IFERROR(M53/MEDIAN(INDEX($M$5:$M$627,MATCH($A53-90,$A$5:$A$627,1)):INDEX($M$5:$M$627,MATCH($A53+90,$A$5:$A$627,1))),"")</f>
        <v>0.524266074062208</v>
      </c>
      <c r="T53" s="11" t="n">
        <f aca="false">IFERROR(N53/MEDIAN(INDEX($N$5:$N$627,MATCH($A53-90,$A$5:$A$627,1)):INDEX($N$5:$N$627,MATCH($A53+90,$A$5:$A$627,1))),"")</f>
        <v>0.81686553454715</v>
      </c>
      <c r="U53" s="11" t="n">
        <f aca="false">IFERROR(Q53/MEDIAN(INDEX($Q$5:$Q$627,MATCH($A53-90,$A$5:$A$627,1)):INDEX($Q$5:$Q$627,MATCH($A53+90,$A$5:$A$627,1))),"")</f>
        <v>48.9130939525259</v>
      </c>
    </row>
    <row r="54" customFormat="false" ht="15" hidden="false" customHeight="false" outlineLevel="0" collapsed="false">
      <c r="A54" s="13" t="n">
        <v>45287.5469532176</v>
      </c>
      <c r="B54" s="8" t="n">
        <v>13</v>
      </c>
      <c r="C54" s="8" t="s">
        <v>71</v>
      </c>
      <c r="D54" s="8" t="s">
        <v>120</v>
      </c>
      <c r="E54" s="14" t="s">
        <v>66</v>
      </c>
      <c r="F54" s="9" t="n">
        <v>3560</v>
      </c>
      <c r="G54" s="9" t="n">
        <v>62</v>
      </c>
      <c r="H54" s="9" t="n">
        <v>33</v>
      </c>
      <c r="I54" s="9" t="n">
        <v>24</v>
      </c>
      <c r="J54" s="9" t="n">
        <v>18</v>
      </c>
      <c r="K54" s="9" t="n">
        <v>0</v>
      </c>
      <c r="L54" s="9" t="n">
        <v>0</v>
      </c>
      <c r="M54" s="10" t="n">
        <f aca="false">IFERROR(G54/F54,"")</f>
        <v>0.0174157303370787</v>
      </c>
      <c r="N54" s="10" t="n">
        <f aca="false">IFERROR(H54/G54,"")</f>
        <v>0.532258064516129</v>
      </c>
      <c r="O54" s="11" t="n">
        <f aca="false">IFERROR(I54/H54,"")</f>
        <v>0.727272727272727</v>
      </c>
      <c r="P54" s="10" t="n">
        <f aca="false">IFERROR(J54/H54,"")</f>
        <v>0.545454545454545</v>
      </c>
      <c r="Q54" s="10" t="n">
        <f aca="false">IFERROR(K54/H54,"")</f>
        <v>0</v>
      </c>
      <c r="R54" s="10" t="n">
        <f aca="false">IFERROR(L54/H54,"")</f>
        <v>0</v>
      </c>
      <c r="S54" s="11" t="n">
        <f aca="false">IFERROR(M54/MEDIAN(INDEX($M$5:$M$627,MATCH($A54-90,$A$5:$A$627,1)):INDEX($M$5:$M$627,MATCH($A54+90,$A$5:$A$627,1))),"")</f>
        <v>0.460653805094964</v>
      </c>
      <c r="T54" s="11" t="n">
        <f aca="false">IFERROR(N54/MEDIAN(INDEX($N$5:$N$627,MATCH($A54-90,$A$5:$A$627,1)):INDEX($N$5:$N$627,MATCH($A54+90,$A$5:$A$627,1))),"")</f>
        <v>0.911540499175889</v>
      </c>
      <c r="U54" s="11" t="n">
        <f aca="false">IFERROR(Q54/MEDIAN(INDEX($Q$5:$Q$627,MATCH($A54-90,$A$5:$A$627,1)):INDEX($Q$5:$Q$627,MATCH($A54+90,$A$5:$A$627,1))),"")</f>
        <v>0</v>
      </c>
    </row>
    <row r="55" customFormat="false" ht="15" hidden="false" customHeight="false" outlineLevel="0" collapsed="false">
      <c r="A55" s="13" t="n">
        <v>45289.5229610301</v>
      </c>
      <c r="B55" s="8" t="n">
        <v>12</v>
      </c>
      <c r="C55" s="8" t="s">
        <v>84</v>
      </c>
      <c r="D55" s="8" t="s">
        <v>121</v>
      </c>
      <c r="E55" s="14" t="s">
        <v>66</v>
      </c>
      <c r="F55" s="9" t="n">
        <v>1294592</v>
      </c>
      <c r="G55" s="9" t="n">
        <v>97308</v>
      </c>
      <c r="H55" s="9" t="n">
        <v>62133</v>
      </c>
      <c r="I55" s="9" t="n">
        <v>85501</v>
      </c>
      <c r="J55" s="9" t="n">
        <v>1113</v>
      </c>
      <c r="K55" s="9" t="n">
        <v>294</v>
      </c>
      <c r="L55" s="9" t="n">
        <v>278</v>
      </c>
      <c r="M55" s="10" t="n">
        <f aca="false">IFERROR(G55/F55,"")</f>
        <v>0.075164994067629</v>
      </c>
      <c r="N55" s="10" t="n">
        <f aca="false">IFERROR(H55/G55,"")</f>
        <v>0.638518929584412</v>
      </c>
      <c r="O55" s="11" t="n">
        <f aca="false">IFERROR(I55/H55,"")</f>
        <v>1.37609643828561</v>
      </c>
      <c r="P55" s="10" t="n">
        <f aca="false">IFERROR(J55/H55,"")</f>
        <v>0.0179131862295399</v>
      </c>
      <c r="Q55" s="10" t="n">
        <f aca="false">IFERROR(K55/H55,"")</f>
        <v>0.00473178504176525</v>
      </c>
      <c r="R55" s="10" t="n">
        <f aca="false">IFERROR(L55/H55,"")</f>
        <v>0.00447427293064877</v>
      </c>
      <c r="S55" s="11" t="n">
        <f aca="false">IFERROR(M55/MEDIAN(INDEX($M$5:$M$627,MATCH($A55-90,$A$5:$A$627,1)):INDEX($M$5:$M$627,MATCH($A55+90,$A$5:$A$627,1))),"")</f>
        <v>1.98814748833564</v>
      </c>
      <c r="T55" s="11" t="n">
        <f aca="false">IFERROR(N55/MEDIAN(INDEX($N$5:$N$627,MATCH($A55-90,$A$5:$A$627,1)):INDEX($N$5:$N$627,MATCH($A55+90,$A$5:$A$627,1))),"")</f>
        <v>1.09352192593973</v>
      </c>
      <c r="U55" s="11" t="n">
        <f aca="false">IFERROR(Q55/MEDIAN(INDEX($Q$5:$Q$627,MATCH($A55-90,$A$5:$A$627,1)):INDEX($Q$5:$Q$627,MATCH($A55+90,$A$5:$A$627,1))),"")</f>
        <v>0.604992516054271</v>
      </c>
    </row>
    <row r="56" customFormat="false" ht="15" hidden="false" customHeight="false" outlineLevel="0" collapsed="false">
      <c r="A56" s="13" t="n">
        <v>45291.5754837269</v>
      </c>
      <c r="B56" s="8" t="n">
        <v>13</v>
      </c>
      <c r="C56" s="8" t="s">
        <v>86</v>
      </c>
      <c r="D56" s="8" t="s">
        <v>122</v>
      </c>
      <c r="E56" s="14" t="s">
        <v>66</v>
      </c>
      <c r="F56" s="9" t="n">
        <v>10070</v>
      </c>
      <c r="G56" s="9" t="n">
        <v>507</v>
      </c>
      <c r="H56" s="9" t="n">
        <v>227</v>
      </c>
      <c r="I56" s="9" t="n">
        <v>287</v>
      </c>
      <c r="J56" s="9" t="n">
        <v>34</v>
      </c>
      <c r="K56" s="9" t="n">
        <v>12</v>
      </c>
      <c r="L56" s="9" t="n">
        <v>1</v>
      </c>
      <c r="M56" s="10" t="n">
        <f aca="false">IFERROR(G56/F56,"")</f>
        <v>0.0503475670307845</v>
      </c>
      <c r="N56" s="10" t="n">
        <f aca="false">IFERROR(H56/G56,"")</f>
        <v>0.447731755424063</v>
      </c>
      <c r="O56" s="11" t="n">
        <f aca="false">IFERROR(I56/H56,"")</f>
        <v>1.26431718061674</v>
      </c>
      <c r="P56" s="10" t="n">
        <f aca="false">IFERROR(J56/H56,"")</f>
        <v>0.149779735682819</v>
      </c>
      <c r="Q56" s="10" t="n">
        <f aca="false">IFERROR(K56/H56,"")</f>
        <v>0.052863436123348</v>
      </c>
      <c r="R56" s="10" t="n">
        <f aca="false">IFERROR(L56/H56,"")</f>
        <v>0.00440528634361234</v>
      </c>
      <c r="S56" s="11" t="n">
        <f aca="false">IFERROR(M56/MEDIAN(INDEX($M$5:$M$627,MATCH($A56-90,$A$5:$A$627,1)):INDEX($M$5:$M$627,MATCH($A56+90,$A$5:$A$627,1))),"")</f>
        <v>1.3341962036966</v>
      </c>
      <c r="T56" s="11" t="n">
        <f aca="false">IFERROR(N56/MEDIAN(INDEX($N$5:$N$627,MATCH($A56-90,$A$5:$A$627,1)):INDEX($N$5:$N$627,MATCH($A56+90,$A$5:$A$627,1))),"")</f>
        <v>0.766305340382919</v>
      </c>
      <c r="U56" s="11" t="n">
        <f aca="false">IFERROR(Q56/MEDIAN(INDEX($Q$5:$Q$627,MATCH($A56-90,$A$5:$A$627,1)):INDEX($Q$5:$Q$627,MATCH($A56+90,$A$5:$A$627,1))),"")</f>
        <v>6.78749982160601</v>
      </c>
    </row>
    <row r="57" customFormat="false" ht="15" hidden="false" customHeight="false" outlineLevel="0" collapsed="false">
      <c r="A57" s="13" t="n">
        <v>45293.5773819676</v>
      </c>
      <c r="B57" s="8" t="n">
        <v>13</v>
      </c>
      <c r="C57" s="8" t="s">
        <v>64</v>
      </c>
      <c r="D57" s="8" t="s">
        <v>123</v>
      </c>
      <c r="E57" s="14" t="s">
        <v>66</v>
      </c>
      <c r="F57" s="9" t="n">
        <v>13345</v>
      </c>
      <c r="G57" s="9" t="n">
        <v>410</v>
      </c>
      <c r="H57" s="9" t="n">
        <v>275</v>
      </c>
      <c r="I57" s="9" t="n">
        <v>478</v>
      </c>
      <c r="J57" s="9" t="n">
        <v>55</v>
      </c>
      <c r="K57" s="9" t="n">
        <v>3</v>
      </c>
      <c r="L57" s="9" t="n">
        <v>2</v>
      </c>
      <c r="M57" s="10" t="n">
        <f aca="false">IFERROR(G57/F57,"")</f>
        <v>0.0307231172723867</v>
      </c>
      <c r="N57" s="10" t="n">
        <f aca="false">IFERROR(H57/G57,"")</f>
        <v>0.670731707317073</v>
      </c>
      <c r="O57" s="11" t="n">
        <f aca="false">IFERROR(I57/H57,"")</f>
        <v>1.73818181818182</v>
      </c>
      <c r="P57" s="10" t="n">
        <f aca="false">IFERROR(J57/H57,"")</f>
        <v>0.2</v>
      </c>
      <c r="Q57" s="10" t="n">
        <f aca="false">IFERROR(K57/H57,"")</f>
        <v>0.0109090909090909</v>
      </c>
      <c r="R57" s="10" t="n">
        <f aca="false">IFERROR(L57/H57,"")</f>
        <v>0.00727272727272727</v>
      </c>
      <c r="S57" s="11" t="n">
        <f aca="false">IFERROR(M57/MEDIAN(INDEX($M$5:$M$627,MATCH($A57-90,$A$5:$A$627,1)):INDEX($M$5:$M$627,MATCH($A57+90,$A$5:$A$627,1))),"")</f>
        <v>0.814153867762473</v>
      </c>
      <c r="T57" s="11" t="n">
        <f aca="false">IFERROR(N57/MEDIAN(INDEX($N$5:$N$627,MATCH($A57-90,$A$5:$A$627,1)):INDEX($N$5:$N$627,MATCH($A57+90,$A$5:$A$627,1))),"")</f>
        <v>1.14797595447393</v>
      </c>
      <c r="U57" s="11" t="n">
        <f aca="false">IFERROR(Q57/MEDIAN(INDEX($Q$5:$Q$627,MATCH($A57-90,$A$5:$A$627,1)):INDEX($Q$5:$Q$627,MATCH($A57+90,$A$5:$A$627,1))),"")</f>
        <v>1.40069314500415</v>
      </c>
    </row>
    <row r="58" customFormat="false" ht="15" hidden="false" customHeight="false" outlineLevel="0" collapsed="false">
      <c r="A58" s="13" t="n">
        <v>45295.5566806713</v>
      </c>
      <c r="B58" s="8" t="n">
        <v>13</v>
      </c>
      <c r="C58" s="8" t="s">
        <v>73</v>
      </c>
      <c r="D58" s="8" t="s">
        <v>124</v>
      </c>
      <c r="E58" s="14" t="s">
        <v>66</v>
      </c>
      <c r="F58" s="9" t="n">
        <v>26140</v>
      </c>
      <c r="G58" s="9" t="n">
        <v>1472</v>
      </c>
      <c r="H58" s="9" t="n">
        <v>353</v>
      </c>
      <c r="I58" s="9" t="n">
        <v>376</v>
      </c>
      <c r="J58" s="9" t="n">
        <v>31</v>
      </c>
      <c r="K58" s="9" t="n">
        <v>4</v>
      </c>
      <c r="L58" s="9" t="n">
        <v>3</v>
      </c>
      <c r="M58" s="10" t="n">
        <f aca="false">IFERROR(G58/F58,"")</f>
        <v>0.0563121652639633</v>
      </c>
      <c r="N58" s="10" t="n">
        <f aca="false">IFERROR(H58/G58,"")</f>
        <v>0.239809782608696</v>
      </c>
      <c r="O58" s="11" t="n">
        <f aca="false">IFERROR(I58/H58,"")</f>
        <v>1.06515580736544</v>
      </c>
      <c r="P58" s="10" t="n">
        <f aca="false">IFERROR(J58/H58,"")</f>
        <v>0.0878186968838527</v>
      </c>
      <c r="Q58" s="10" t="n">
        <f aca="false">IFERROR(K58/H58,"")</f>
        <v>0.0113314447592068</v>
      </c>
      <c r="R58" s="10" t="n">
        <f aca="false">IFERROR(L58/H58,"")</f>
        <v>0.0084985835694051</v>
      </c>
      <c r="S58" s="11" t="n">
        <f aca="false">IFERROR(M58/MEDIAN(INDEX($M$5:$M$627,MATCH($A58-90,$A$5:$A$627,1)):INDEX($M$5:$M$627,MATCH($A58+90,$A$5:$A$627,1))),"")</f>
        <v>1.4894817903073</v>
      </c>
      <c r="T58" s="11" t="n">
        <f aca="false">IFERROR(N58/MEDIAN(INDEX($N$5:$N$627,MATCH($A58-90,$A$5:$A$627,1)):INDEX($N$5:$N$627,MATCH($A58+90,$A$5:$A$627,1))),"")</f>
        <v>0.410186396255538</v>
      </c>
      <c r="U58" s="11" t="n">
        <f aca="false">IFERROR(Q58/MEDIAN(INDEX($Q$5:$Q$627,MATCH($A58-90,$A$5:$A$627,1)):INDEX($Q$5:$Q$627,MATCH($A58+90,$A$5:$A$627,1))),"")</f>
        <v>1.44880615135573</v>
      </c>
    </row>
    <row r="59" customFormat="false" ht="15" hidden="false" customHeight="false" outlineLevel="0" collapsed="false">
      <c r="A59" s="13" t="n">
        <v>45297.497830081</v>
      </c>
      <c r="B59" s="8" t="n">
        <v>11</v>
      </c>
      <c r="C59" s="8" t="s">
        <v>68</v>
      </c>
      <c r="D59" s="8" t="s">
        <v>125</v>
      </c>
      <c r="E59" s="14" t="s">
        <v>66</v>
      </c>
      <c r="F59" s="9" t="n">
        <v>14844</v>
      </c>
      <c r="G59" s="9" t="n">
        <v>382</v>
      </c>
      <c r="H59" s="9" t="n">
        <v>225</v>
      </c>
      <c r="I59" s="9" t="n">
        <v>236</v>
      </c>
      <c r="J59" s="9" t="n">
        <v>29</v>
      </c>
      <c r="K59" s="9" t="n">
        <v>1</v>
      </c>
      <c r="L59" s="9" t="n">
        <v>2</v>
      </c>
      <c r="M59" s="10" t="n">
        <f aca="false">IFERROR(G59/F59,"")</f>
        <v>0.0257343034222582</v>
      </c>
      <c r="N59" s="10" t="n">
        <f aca="false">IFERROR(H59/G59,"")</f>
        <v>0.589005235602094</v>
      </c>
      <c r="O59" s="11" t="n">
        <f aca="false">IFERROR(I59/H59,"")</f>
        <v>1.04888888888889</v>
      </c>
      <c r="P59" s="10" t="n">
        <f aca="false">IFERROR(J59/H59,"")</f>
        <v>0.128888888888889</v>
      </c>
      <c r="Q59" s="10" t="n">
        <f aca="false">IFERROR(K59/H59,"")</f>
        <v>0.00444444444444444</v>
      </c>
      <c r="R59" s="10" t="n">
        <f aca="false">IFERROR(L59/H59,"")</f>
        <v>0.00888888888888889</v>
      </c>
      <c r="S59" s="11" t="n">
        <f aca="false">IFERROR(M59/MEDIAN(INDEX($M$5:$M$627,MATCH($A59-90,$A$5:$A$627,1)):INDEX($M$5:$M$627,MATCH($A59+90,$A$5:$A$627,1))),"")</f>
        <v>0.680683759078007</v>
      </c>
      <c r="T59" s="11" t="n">
        <f aca="false">IFERROR(N59/MEDIAN(INDEX($N$5:$N$627,MATCH($A59-90,$A$5:$A$627,1)):INDEX($N$5:$N$627,MATCH($A59+90,$A$5:$A$627,1))),"")</f>
        <v>1.00747322456605</v>
      </c>
      <c r="U59" s="11" t="n">
        <f aca="false">IFERROR(Q59/MEDIAN(INDEX($Q$5:$Q$627,MATCH($A59-90,$A$5:$A$627,1)):INDEX($Q$5:$Q$627,MATCH($A59+90,$A$5:$A$627,1))),"")</f>
        <v>0.568253968253968</v>
      </c>
    </row>
    <row r="60" customFormat="false" ht="15" hidden="false" customHeight="false" outlineLevel="0" collapsed="false">
      <c r="A60" s="13" t="n">
        <v>45299.4929062153</v>
      </c>
      <c r="B60" s="8" t="n">
        <v>11</v>
      </c>
      <c r="C60" s="8" t="s">
        <v>80</v>
      </c>
      <c r="D60" s="8" t="s">
        <v>126</v>
      </c>
      <c r="E60" s="14" t="s">
        <v>66</v>
      </c>
      <c r="F60" s="9" t="n">
        <v>545516</v>
      </c>
      <c r="G60" s="9" t="n">
        <v>62401</v>
      </c>
      <c r="H60" s="9" t="n">
        <v>45846</v>
      </c>
      <c r="I60" s="9" t="n">
        <v>53647</v>
      </c>
      <c r="J60" s="9" t="n">
        <v>843</v>
      </c>
      <c r="K60" s="9" t="n">
        <v>354</v>
      </c>
      <c r="L60" s="9" t="n">
        <v>169</v>
      </c>
      <c r="M60" s="10" t="n">
        <f aca="false">IFERROR(G60/F60,"")</f>
        <v>0.114388945512139</v>
      </c>
      <c r="N60" s="10" t="n">
        <f aca="false">IFERROR(H60/G60,"")</f>
        <v>0.734699764426852</v>
      </c>
      <c r="O60" s="11" t="n">
        <f aca="false">IFERROR(I60/H60,"")</f>
        <v>1.1701566112638</v>
      </c>
      <c r="P60" s="10" t="n">
        <f aca="false">IFERROR(J60/H60,"")</f>
        <v>0.0183876455961262</v>
      </c>
      <c r="Q60" s="10" t="n">
        <f aca="false">IFERROR(K60/H60,"")</f>
        <v>0.00772150242114906</v>
      </c>
      <c r="R60" s="10" t="n">
        <f aca="false">IFERROR(L60/H60,"")</f>
        <v>0.00368625398071806</v>
      </c>
      <c r="S60" s="11" t="n">
        <f aca="false">IFERROR(M60/MEDIAN(INDEX($M$5:$M$627,MATCH($A60-90,$A$5:$A$627,1)):INDEX($M$5:$M$627,MATCH($A60+90,$A$5:$A$627,1))),"")</f>
        <v>3.03127451528762</v>
      </c>
      <c r="T60" s="11" t="n">
        <f aca="false">IFERROR(N60/MEDIAN(INDEX($N$5:$N$627,MATCH($A60-90,$A$5:$A$627,1)):INDEX($N$5:$N$627,MATCH($A60+90,$A$5:$A$627,1))),"")</f>
        <v>1.25569299297792</v>
      </c>
      <c r="U60" s="11" t="n">
        <f aca="false">IFERROR(Q60/MEDIAN(INDEX($Q$5:$Q$627,MATCH($A60-90,$A$5:$A$627,1)):INDEX($Q$5:$Q$627,MATCH($A60+90,$A$5:$A$627,1))),"")</f>
        <v>0.991416755123341</v>
      </c>
    </row>
    <row r="61" customFormat="false" ht="15" hidden="false" customHeight="false" outlineLevel="0" collapsed="false">
      <c r="A61" s="13" t="n">
        <v>45301.5251657292</v>
      </c>
      <c r="B61" s="8" t="n">
        <v>12</v>
      </c>
      <c r="C61" s="8" t="s">
        <v>71</v>
      </c>
      <c r="D61" s="8" t="s">
        <v>127</v>
      </c>
      <c r="E61" s="14" t="s">
        <v>66</v>
      </c>
      <c r="F61" s="9" t="n">
        <v>1649422</v>
      </c>
      <c r="G61" s="9" t="n">
        <v>123911</v>
      </c>
      <c r="H61" s="9" t="n">
        <v>87332</v>
      </c>
      <c r="I61" s="9" t="n">
        <v>130682</v>
      </c>
      <c r="J61" s="9" t="n">
        <v>2253</v>
      </c>
      <c r="K61" s="9" t="n">
        <v>348</v>
      </c>
      <c r="L61" s="9" t="n">
        <v>382</v>
      </c>
      <c r="M61" s="10" t="n">
        <f aca="false">IFERROR(G61/F61,"")</f>
        <v>0.0751238918845511</v>
      </c>
      <c r="N61" s="10" t="n">
        <f aca="false">IFERROR(H61/G61,"")</f>
        <v>0.704796184358128</v>
      </c>
      <c r="O61" s="11" t="n">
        <f aca="false">IFERROR(I61/H61,"")</f>
        <v>1.49638162414693</v>
      </c>
      <c r="P61" s="10" t="n">
        <f aca="false">IFERROR(J61/H61,"")</f>
        <v>0.0257981037878441</v>
      </c>
      <c r="Q61" s="10" t="n">
        <f aca="false">IFERROR(K61/H61,"")</f>
        <v>0.00398479366097192</v>
      </c>
      <c r="R61" s="10" t="n">
        <f aca="false">IFERROR(L61/H61,"")</f>
        <v>0.00437411258187148</v>
      </c>
      <c r="S61" s="11" t="n">
        <f aca="false">IFERROR(M61/MEDIAN(INDEX($M$5:$M$627,MATCH($A61-90,$A$5:$A$627,1)):INDEX($M$5:$M$627,MATCH($A61+90,$A$5:$A$627,1))),"")</f>
        <v>1.98325510785554</v>
      </c>
      <c r="T61" s="11" t="n">
        <f aca="false">IFERROR(N61/MEDIAN(INDEX($N$5:$N$627,MATCH($A61-90,$A$5:$A$627,1)):INDEX($N$5:$N$627,MATCH($A61+90,$A$5:$A$627,1))),"")</f>
        <v>1.20458406688952</v>
      </c>
      <c r="U61" s="11" t="n">
        <f aca="false">IFERROR(Q61/MEDIAN(INDEX($Q$5:$Q$627,MATCH($A61-90,$A$5:$A$627,1)):INDEX($Q$5:$Q$627,MATCH($A61+90,$A$5:$A$627,1))),"")</f>
        <v>0.51493178460999</v>
      </c>
    </row>
    <row r="62" customFormat="false" ht="15" hidden="false" customHeight="false" outlineLevel="0" collapsed="false">
      <c r="A62" s="13" t="n">
        <v>45303.765682581</v>
      </c>
      <c r="B62" s="8" t="n">
        <v>18</v>
      </c>
      <c r="C62" s="8" t="s">
        <v>84</v>
      </c>
      <c r="D62" s="8" t="s">
        <v>128</v>
      </c>
      <c r="E62" s="14" t="s">
        <v>66</v>
      </c>
      <c r="F62" s="9" t="n">
        <v>67893</v>
      </c>
      <c r="G62" s="9" t="n">
        <v>2305</v>
      </c>
      <c r="H62" s="9" t="n">
        <v>1121</v>
      </c>
      <c r="I62" s="9" t="n">
        <v>870</v>
      </c>
      <c r="J62" s="9" t="n">
        <v>69</v>
      </c>
      <c r="K62" s="9" t="n">
        <v>5</v>
      </c>
      <c r="L62" s="9" t="n">
        <v>19</v>
      </c>
      <c r="M62" s="10" t="n">
        <f aca="false">IFERROR(G62/F62,"")</f>
        <v>0.0339504809037751</v>
      </c>
      <c r="N62" s="10" t="n">
        <f aca="false">IFERROR(H62/G62,"")</f>
        <v>0.486334056399132</v>
      </c>
      <c r="O62" s="11" t="n">
        <f aca="false">IFERROR(I62/H62,"")</f>
        <v>0.776092774308653</v>
      </c>
      <c r="P62" s="10" t="n">
        <f aca="false">IFERROR(J62/H62,"")</f>
        <v>0.0615521855486173</v>
      </c>
      <c r="Q62" s="10" t="n">
        <f aca="false">IFERROR(K62/H62,"")</f>
        <v>0.00446030330062444</v>
      </c>
      <c r="R62" s="10" t="n">
        <f aca="false">IFERROR(L62/H62,"")</f>
        <v>0.0169491525423729</v>
      </c>
      <c r="S62" s="11" t="n">
        <f aca="false">IFERROR(M62/MEDIAN(INDEX($M$5:$M$627,MATCH($A62-90,$A$5:$A$627,1)):INDEX($M$5:$M$627,MATCH($A62+90,$A$5:$A$627,1))),"")</f>
        <v>0.894572527255708</v>
      </c>
      <c r="T62" s="11" t="n">
        <f aca="false">IFERROR(N62/MEDIAN(INDEX($N$5:$N$627,MATCH($A62-90,$A$5:$A$627,1)):INDEX($N$5:$N$627,MATCH($A62+90,$A$5:$A$627,1))),"")</f>
        <v>0.831857699050614</v>
      </c>
      <c r="U62" s="11" t="n">
        <f aca="false">IFERROR(Q62/MEDIAN(INDEX($Q$5:$Q$627,MATCH($A62-90,$A$5:$A$627,1)):INDEX($Q$5:$Q$627,MATCH($A62+90,$A$5:$A$627,1))),"")</f>
        <v>0.570281636294125</v>
      </c>
    </row>
    <row r="63" customFormat="false" ht="15" hidden="false" customHeight="false" outlineLevel="0" collapsed="false">
      <c r="A63" s="13" t="n">
        <v>45305.4940514699</v>
      </c>
      <c r="B63" s="8" t="n">
        <v>11</v>
      </c>
      <c r="C63" s="8" t="s">
        <v>86</v>
      </c>
      <c r="D63" s="8" t="s">
        <v>129</v>
      </c>
      <c r="E63" s="14" t="s">
        <v>66</v>
      </c>
      <c r="F63" s="9" t="n">
        <v>3916793</v>
      </c>
      <c r="G63" s="9" t="n">
        <v>345827</v>
      </c>
      <c r="H63" s="9" t="n">
        <v>242185</v>
      </c>
      <c r="I63" s="9" t="n">
        <v>338491</v>
      </c>
      <c r="J63" s="9" t="n">
        <v>5758</v>
      </c>
      <c r="K63" s="9" t="n">
        <v>1041</v>
      </c>
      <c r="L63" s="9" t="n">
        <v>1219</v>
      </c>
      <c r="M63" s="10" t="n">
        <f aca="false">IFERROR(G63/F63,"")</f>
        <v>0.0882934073871149</v>
      </c>
      <c r="N63" s="10" t="n">
        <f aca="false">IFERROR(H63/G63,"")</f>
        <v>0.700306800799244</v>
      </c>
      <c r="O63" s="11" t="n">
        <f aca="false">IFERROR(I63/H63,"")</f>
        <v>1.39765468546772</v>
      </c>
      <c r="P63" s="10" t="n">
        <f aca="false">IFERROR(J63/H63,"")</f>
        <v>0.0237752131634907</v>
      </c>
      <c r="Q63" s="10" t="n">
        <f aca="false">IFERROR(K63/H63,"")</f>
        <v>0.00429836695088465</v>
      </c>
      <c r="R63" s="10" t="n">
        <f aca="false">IFERROR(L63/H63,"")</f>
        <v>0.00503334227966224</v>
      </c>
      <c r="S63" s="11" t="n">
        <f aca="false">IFERROR(M63/MEDIAN(INDEX($M$5:$M$627,MATCH($A63-90,$A$5:$A$627,1)):INDEX($M$5:$M$627,MATCH($A63+90,$A$5:$A$627,1))),"")</f>
        <v>2.26765086233636</v>
      </c>
      <c r="T63" s="11" t="n">
        <f aca="false">IFERROR(N63/MEDIAN(INDEX($N$5:$N$627,MATCH($A63-90,$A$5:$A$627,1)):INDEX($N$5:$N$627,MATCH($A63+90,$A$5:$A$627,1))),"")</f>
        <v>1.19691115374781</v>
      </c>
      <c r="U63" s="11" t="n">
        <f aca="false">IFERROR(Q63/MEDIAN(INDEX($Q$5:$Q$627,MATCH($A63-90,$A$5:$A$627,1)):INDEX($Q$5:$Q$627,MATCH($A63+90,$A$5:$A$627,1))),"")</f>
        <v>0.551896869591515</v>
      </c>
    </row>
    <row r="64" customFormat="false" ht="15" hidden="false" customHeight="false" outlineLevel="0" collapsed="false">
      <c r="A64" s="13" t="n">
        <v>45307.525285787</v>
      </c>
      <c r="B64" s="8" t="n">
        <v>12</v>
      </c>
      <c r="C64" s="8" t="s">
        <v>64</v>
      </c>
      <c r="D64" s="8" t="s">
        <v>130</v>
      </c>
      <c r="E64" s="14" t="s">
        <v>66</v>
      </c>
      <c r="F64" s="9" t="n">
        <v>8878</v>
      </c>
      <c r="G64" s="9" t="n">
        <v>449</v>
      </c>
      <c r="H64" s="9" t="n">
        <v>195</v>
      </c>
      <c r="I64" s="9" t="n">
        <v>174</v>
      </c>
      <c r="J64" s="9" t="n">
        <v>41</v>
      </c>
      <c r="K64" s="9" t="n">
        <v>3</v>
      </c>
      <c r="L64" s="9" t="n">
        <v>2</v>
      </c>
      <c r="M64" s="10" t="n">
        <f aca="false">IFERROR(G64/F64,"")</f>
        <v>0.0505744537057896</v>
      </c>
      <c r="N64" s="10" t="n">
        <f aca="false">IFERROR(H64/G64,"")</f>
        <v>0.434298440979955</v>
      </c>
      <c r="O64" s="11" t="n">
        <f aca="false">IFERROR(I64/H64,"")</f>
        <v>0.892307692307692</v>
      </c>
      <c r="P64" s="10" t="n">
        <f aca="false">IFERROR(J64/H64,"")</f>
        <v>0.21025641025641</v>
      </c>
      <c r="Q64" s="10" t="n">
        <f aca="false">IFERROR(K64/H64,"")</f>
        <v>0.0153846153846154</v>
      </c>
      <c r="R64" s="10" t="n">
        <f aca="false">IFERROR(L64/H64,"")</f>
        <v>0.0102564102564103</v>
      </c>
      <c r="S64" s="11" t="n">
        <f aca="false">IFERROR(M64/MEDIAN(INDEX($M$5:$M$627,MATCH($A64-90,$A$5:$A$627,1)):INDEX($M$5:$M$627,MATCH($A64+90,$A$5:$A$627,1))),"")</f>
        <v>1.29891015594513</v>
      </c>
      <c r="T64" s="11" t="n">
        <f aca="false">IFERROR(N64/MEDIAN(INDEX($N$5:$N$627,MATCH($A64-90,$A$5:$A$627,1)):INDEX($N$5:$N$627,MATCH($A64+90,$A$5:$A$627,1))),"")</f>
        <v>0.74331384944475</v>
      </c>
      <c r="U64" s="11" t="n">
        <f aca="false">IFERROR(Q64/MEDIAN(INDEX($Q$5:$Q$627,MATCH($A64-90,$A$5:$A$627,1)):INDEX($Q$5:$Q$627,MATCH($A64+90,$A$5:$A$627,1))),"")</f>
        <v>1.96048591510871</v>
      </c>
    </row>
    <row r="65" customFormat="false" ht="15" hidden="false" customHeight="false" outlineLevel="0" collapsed="false">
      <c r="A65" s="13" t="n">
        <v>45309.6019166667</v>
      </c>
      <c r="B65" s="8" t="n">
        <v>14</v>
      </c>
      <c r="C65" s="8" t="s">
        <v>73</v>
      </c>
      <c r="D65" s="8" t="s">
        <v>131</v>
      </c>
      <c r="E65" s="14" t="s">
        <v>66</v>
      </c>
      <c r="F65" s="9" t="n">
        <v>8709</v>
      </c>
      <c r="G65" s="9" t="n">
        <v>504</v>
      </c>
      <c r="H65" s="9" t="n">
        <v>324</v>
      </c>
      <c r="I65" s="9" t="n">
        <v>275</v>
      </c>
      <c r="J65" s="9" t="n">
        <v>49</v>
      </c>
      <c r="K65" s="9" t="n">
        <v>7</v>
      </c>
      <c r="L65" s="9" t="n">
        <v>2</v>
      </c>
      <c r="M65" s="10" t="n">
        <f aca="false">IFERROR(G65/F65,"")</f>
        <v>0.0578711677574923</v>
      </c>
      <c r="N65" s="10" t="n">
        <f aca="false">IFERROR(H65/G65,"")</f>
        <v>0.642857142857143</v>
      </c>
      <c r="O65" s="11" t="n">
        <f aca="false">IFERROR(I65/H65,"")</f>
        <v>0.848765432098765</v>
      </c>
      <c r="P65" s="10" t="n">
        <f aca="false">IFERROR(J65/H65,"")</f>
        <v>0.151234567901235</v>
      </c>
      <c r="Q65" s="10" t="n">
        <f aca="false">IFERROR(K65/H65,"")</f>
        <v>0.0216049382716049</v>
      </c>
      <c r="R65" s="10" t="n">
        <f aca="false">IFERROR(L65/H65,"")</f>
        <v>0.00617283950617284</v>
      </c>
      <c r="S65" s="11" t="n">
        <f aca="false">IFERROR(M65/MEDIAN(INDEX($M$5:$M$627,MATCH($A65-90,$A$5:$A$627,1)):INDEX($M$5:$M$627,MATCH($A65+90,$A$5:$A$627,1))),"")</f>
        <v>1.52486667104331</v>
      </c>
      <c r="T65" s="11" t="n">
        <f aca="false">IFERROR(N65/MEDIAN(INDEX($N$5:$N$627,MATCH($A65-90,$A$5:$A$627,1)):INDEX($N$5:$N$627,MATCH($A65+90,$A$5:$A$627,1))),"")</f>
        <v>1.09786142001711</v>
      </c>
      <c r="U65" s="11" t="n">
        <f aca="false">IFERROR(Q65/MEDIAN(INDEX($Q$5:$Q$627,MATCH($A65-90,$A$5:$A$627,1)):INDEX($Q$5:$Q$627,MATCH($A65+90,$A$5:$A$627,1))),"")</f>
        <v>2.62860082304527</v>
      </c>
    </row>
    <row r="66" customFormat="false" ht="15" hidden="false" customHeight="false" outlineLevel="0" collapsed="false">
      <c r="A66" s="13" t="n">
        <v>45311.5195589815</v>
      </c>
      <c r="B66" s="8" t="n">
        <v>12</v>
      </c>
      <c r="C66" s="8" t="s">
        <v>68</v>
      </c>
      <c r="D66" s="8" t="s">
        <v>132</v>
      </c>
      <c r="E66" s="14" t="s">
        <v>66</v>
      </c>
      <c r="F66" s="9" t="n">
        <v>48184</v>
      </c>
      <c r="G66" s="9" t="n">
        <v>882</v>
      </c>
      <c r="H66" s="9" t="n">
        <v>500</v>
      </c>
      <c r="I66" s="9" t="n">
        <v>393</v>
      </c>
      <c r="J66" s="9" t="n">
        <v>93</v>
      </c>
      <c r="K66" s="9" t="n">
        <v>6</v>
      </c>
      <c r="L66" s="9" t="n">
        <v>8</v>
      </c>
      <c r="M66" s="10" t="n">
        <f aca="false">IFERROR(G66/F66,"")</f>
        <v>0.0183048314793292</v>
      </c>
      <c r="N66" s="10" t="n">
        <f aca="false">IFERROR(H66/G66,"")</f>
        <v>0.566893424036281</v>
      </c>
      <c r="O66" s="11" t="n">
        <f aca="false">IFERROR(I66/H66,"")</f>
        <v>0.786</v>
      </c>
      <c r="P66" s="10" t="n">
        <f aca="false">IFERROR(J66/H66,"")</f>
        <v>0.186</v>
      </c>
      <c r="Q66" s="10" t="n">
        <f aca="false">IFERROR(K66/H66,"")</f>
        <v>0.012</v>
      </c>
      <c r="R66" s="10" t="n">
        <f aca="false">IFERROR(L66/H66,"")</f>
        <v>0.016</v>
      </c>
      <c r="S66" s="11" t="n">
        <f aca="false">IFERROR(M66/MEDIAN(INDEX($M$5:$M$627,MATCH($A66-90,$A$5:$A$627,1)):INDEX($M$5:$M$627,MATCH($A66+90,$A$5:$A$627,1))),"")</f>
        <v>0.483243740694433</v>
      </c>
      <c r="T66" s="11" t="n">
        <f aca="false">IFERROR(N66/MEDIAN(INDEX($N$5:$N$627,MATCH($A66-90,$A$5:$A$627,1)):INDEX($N$5:$N$627,MATCH($A66+90,$A$5:$A$627,1))),"")</f>
        <v>0.967592325467791</v>
      </c>
      <c r="U66" s="11" t="n">
        <f aca="false">IFERROR(Q66/MEDIAN(INDEX($Q$5:$Q$627,MATCH($A66-90,$A$5:$A$627,1)):INDEX($Q$5:$Q$627,MATCH($A66+90,$A$5:$A$627,1))),"")</f>
        <v>1.44382271468144</v>
      </c>
    </row>
    <row r="67" customFormat="false" ht="15" hidden="false" customHeight="false" outlineLevel="0" collapsed="false">
      <c r="A67" s="13" t="n">
        <v>45313.5287210764</v>
      </c>
      <c r="B67" s="8" t="n">
        <v>12</v>
      </c>
      <c r="C67" s="8" t="s">
        <v>80</v>
      </c>
      <c r="D67" s="8" t="s">
        <v>133</v>
      </c>
      <c r="E67" s="14" t="s">
        <v>66</v>
      </c>
      <c r="F67" s="9" t="n">
        <v>560608</v>
      </c>
      <c r="G67" s="9" t="n">
        <v>31452</v>
      </c>
      <c r="H67" s="9" t="n">
        <v>22072</v>
      </c>
      <c r="I67" s="9" t="n">
        <v>26342</v>
      </c>
      <c r="J67" s="9" t="n">
        <v>285</v>
      </c>
      <c r="K67" s="9" t="n">
        <v>131</v>
      </c>
      <c r="L67" s="9" t="n">
        <v>58</v>
      </c>
      <c r="M67" s="10" t="n">
        <f aca="false">IFERROR(G67/F67,"")</f>
        <v>0.0561033734802215</v>
      </c>
      <c r="N67" s="10" t="n">
        <f aca="false">IFERROR(H67/G67,"")</f>
        <v>0.701767773114587</v>
      </c>
      <c r="O67" s="11" t="n">
        <f aca="false">IFERROR(I67/H67,"")</f>
        <v>1.193457774556</v>
      </c>
      <c r="P67" s="10" t="n">
        <f aca="false">IFERROR(J67/H67,"")</f>
        <v>0.0129122870605292</v>
      </c>
      <c r="Q67" s="10" t="n">
        <f aca="false">IFERROR(K67/H67,"")</f>
        <v>0.00593512142080464</v>
      </c>
      <c r="R67" s="10" t="n">
        <f aca="false">IFERROR(L67/H67,"")</f>
        <v>0.00262776368249366</v>
      </c>
      <c r="S67" s="11" t="n">
        <f aca="false">IFERROR(M67/MEDIAN(INDEX($M$5:$M$627,MATCH($A67-90,$A$5:$A$627,1)):INDEX($M$5:$M$627,MATCH($A67+90,$A$5:$A$627,1))),"")</f>
        <v>1.48111738131951</v>
      </c>
      <c r="T67" s="11" t="n">
        <f aca="false">IFERROR(N67/MEDIAN(INDEX($N$5:$N$627,MATCH($A67-90,$A$5:$A$627,1)):INDEX($N$5:$N$627,MATCH($A67+90,$A$5:$A$627,1))),"")</f>
        <v>1.19940813658099</v>
      </c>
      <c r="U67" s="11" t="n">
        <f aca="false">IFERROR(Q67/MEDIAN(INDEX($Q$5:$Q$627,MATCH($A67-90,$A$5:$A$627,1)):INDEX($Q$5:$Q$627,MATCH($A67+90,$A$5:$A$627,1))),"")</f>
        <v>0.714105260145844</v>
      </c>
    </row>
    <row r="68" customFormat="false" ht="15" hidden="false" customHeight="false" outlineLevel="0" collapsed="false">
      <c r="A68" s="13" t="n">
        <v>45315.5079436227</v>
      </c>
      <c r="B68" s="8" t="n">
        <v>12</v>
      </c>
      <c r="C68" s="8" t="s">
        <v>71</v>
      </c>
      <c r="D68" s="8" t="s">
        <v>134</v>
      </c>
      <c r="E68" s="14" t="s">
        <v>66</v>
      </c>
      <c r="F68" s="9" t="n">
        <v>17921</v>
      </c>
      <c r="G68" s="9" t="n">
        <v>358</v>
      </c>
      <c r="H68" s="9" t="n">
        <v>245</v>
      </c>
      <c r="I68" s="9" t="n">
        <v>178</v>
      </c>
      <c r="J68" s="9" t="n">
        <v>33</v>
      </c>
      <c r="K68" s="9" t="n">
        <v>11</v>
      </c>
      <c r="L68" s="9" t="n">
        <v>3</v>
      </c>
      <c r="M68" s="10" t="n">
        <f aca="false">IFERROR(G68/F68,"")</f>
        <v>0.0199765638078232</v>
      </c>
      <c r="N68" s="10" t="n">
        <f aca="false">IFERROR(H68/G68,"")</f>
        <v>0.684357541899441</v>
      </c>
      <c r="O68" s="11" t="n">
        <f aca="false">IFERROR(I68/H68,"")</f>
        <v>0.726530612244898</v>
      </c>
      <c r="P68" s="10" t="n">
        <f aca="false">IFERROR(J68/H68,"")</f>
        <v>0.13469387755102</v>
      </c>
      <c r="Q68" s="10" t="n">
        <f aca="false">IFERROR(K68/H68,"")</f>
        <v>0.0448979591836735</v>
      </c>
      <c r="R68" s="10" t="n">
        <f aca="false">IFERROR(L68/H68,"")</f>
        <v>0.0122448979591837</v>
      </c>
      <c r="S68" s="11" t="n">
        <f aca="false">IFERROR(M68/MEDIAN(INDEX($M$5:$M$627,MATCH($A68-90,$A$5:$A$627,1)):INDEX($M$5:$M$627,MATCH($A68+90,$A$5:$A$627,1))),"")</f>
        <v>0.529373258076285</v>
      </c>
      <c r="T68" s="11" t="n">
        <f aca="false">IFERROR(N68/MEDIAN(INDEX($N$5:$N$627,MATCH($A68-90,$A$5:$A$627,1)):INDEX($N$5:$N$627,MATCH($A68+90,$A$5:$A$627,1))),"")</f>
        <v>1.16965189273621</v>
      </c>
      <c r="U68" s="11" t="n">
        <f aca="false">IFERROR(Q68/MEDIAN(INDEX($Q$5:$Q$627,MATCH($A68-90,$A$5:$A$627,1)):INDEX($Q$5:$Q$627,MATCH($A68+90,$A$5:$A$627,1))),"")</f>
        <v>4.99877331970355</v>
      </c>
    </row>
    <row r="69" customFormat="false" ht="15" hidden="false" customHeight="false" outlineLevel="0" collapsed="false">
      <c r="A69" s="13" t="n">
        <v>45317.5907890162</v>
      </c>
      <c r="B69" s="8" t="n">
        <v>14</v>
      </c>
      <c r="C69" s="8" t="s">
        <v>84</v>
      </c>
      <c r="D69" s="8" t="s">
        <v>135</v>
      </c>
      <c r="E69" s="14" t="s">
        <v>66</v>
      </c>
      <c r="F69" s="9" t="n">
        <v>130552</v>
      </c>
      <c r="G69" s="9" t="n">
        <v>1102</v>
      </c>
      <c r="H69" s="9" t="n">
        <v>630</v>
      </c>
      <c r="I69" s="9" t="n">
        <v>591</v>
      </c>
      <c r="J69" s="9" t="n">
        <v>72</v>
      </c>
      <c r="K69" s="9" t="n">
        <v>15</v>
      </c>
      <c r="L69" s="9" t="n">
        <v>1</v>
      </c>
      <c r="M69" s="10" t="n">
        <f aca="false">IFERROR(G69/F69,"")</f>
        <v>0.00844108094858754</v>
      </c>
      <c r="N69" s="10" t="n">
        <f aca="false">IFERROR(H69/G69,"")</f>
        <v>0.571687840290381</v>
      </c>
      <c r="O69" s="11" t="n">
        <f aca="false">IFERROR(I69/H69,"")</f>
        <v>0.938095238095238</v>
      </c>
      <c r="P69" s="10" t="n">
        <f aca="false">IFERROR(J69/H69,"")</f>
        <v>0.114285714285714</v>
      </c>
      <c r="Q69" s="10" t="n">
        <f aca="false">IFERROR(K69/H69,"")</f>
        <v>0.0238095238095238</v>
      </c>
      <c r="R69" s="10" t="n">
        <f aca="false">IFERROR(L69/H69,"")</f>
        <v>0.00158730158730159</v>
      </c>
      <c r="S69" s="11" t="n">
        <f aca="false">IFERROR(M69/MEDIAN(INDEX($M$5:$M$627,MATCH($A69-90,$A$5:$A$627,1)):INDEX($M$5:$M$627,MATCH($A69+90,$A$5:$A$627,1))),"")</f>
        <v>0.223270341399516</v>
      </c>
      <c r="T69" s="11" t="n">
        <f aca="false">IFERROR(N69/MEDIAN(INDEX($N$5:$N$627,MATCH($A69-90,$A$5:$A$627,1)):INDEX($N$5:$N$627,MATCH($A69+90,$A$5:$A$627,1))),"")</f>
        <v>0.977852414696779</v>
      </c>
      <c r="U69" s="11" t="n">
        <f aca="false">IFERROR(Q69/MEDIAN(INDEX($Q$5:$Q$627,MATCH($A69-90,$A$5:$A$627,1)):INDEX($Q$5:$Q$627,MATCH($A69+90,$A$5:$A$627,1))),"")</f>
        <v>2.49047619047619</v>
      </c>
    </row>
    <row r="70" customFormat="false" ht="15" hidden="false" customHeight="false" outlineLevel="0" collapsed="false">
      <c r="A70" s="13" t="n">
        <v>45319.5322464931</v>
      </c>
      <c r="B70" s="8" t="n">
        <v>12</v>
      </c>
      <c r="C70" s="8" t="s">
        <v>86</v>
      </c>
      <c r="D70" s="8" t="s">
        <v>136</v>
      </c>
      <c r="E70" s="14" t="s">
        <v>66</v>
      </c>
      <c r="F70" s="9" t="n">
        <v>12248</v>
      </c>
      <c r="G70" s="9" t="n">
        <v>865</v>
      </c>
      <c r="H70" s="9" t="n">
        <v>390</v>
      </c>
      <c r="I70" s="9" t="n">
        <v>325</v>
      </c>
      <c r="J70" s="9" t="n">
        <v>105</v>
      </c>
      <c r="K70" s="9" t="n">
        <v>7</v>
      </c>
      <c r="L70" s="9" t="n">
        <v>14</v>
      </c>
      <c r="M70" s="10" t="n">
        <f aca="false">IFERROR(G70/F70,"")</f>
        <v>0.0706237753102547</v>
      </c>
      <c r="N70" s="10" t="n">
        <f aca="false">IFERROR(H70/G70,"")</f>
        <v>0.450867052023121</v>
      </c>
      <c r="O70" s="11" t="n">
        <f aca="false">IFERROR(I70/H70,"")</f>
        <v>0.833333333333333</v>
      </c>
      <c r="P70" s="10" t="n">
        <f aca="false">IFERROR(J70/H70,"")</f>
        <v>0.269230769230769</v>
      </c>
      <c r="Q70" s="10" t="n">
        <f aca="false">IFERROR(K70/H70,"")</f>
        <v>0.0179487179487179</v>
      </c>
      <c r="R70" s="10" t="n">
        <f aca="false">IFERROR(L70/H70,"")</f>
        <v>0.0358974358974359</v>
      </c>
      <c r="S70" s="11" t="n">
        <f aca="false">IFERROR(M70/MEDIAN(INDEX($M$5:$M$627,MATCH($A70-90,$A$5:$A$627,1)):INDEX($M$5:$M$627,MATCH($A70+90,$A$5:$A$627,1))),"")</f>
        <v>1.86803023457343</v>
      </c>
      <c r="T70" s="11" t="n">
        <f aca="false">IFERROR(N70/MEDIAN(INDEX($N$5:$N$627,MATCH($A70-90,$A$5:$A$627,1)):INDEX($N$5:$N$627,MATCH($A70+90,$A$5:$A$627,1))),"")</f>
        <v>0.771192606272836</v>
      </c>
      <c r="U70" s="11" t="n">
        <f aca="false">IFERROR(Q70/MEDIAN(INDEX($Q$5:$Q$627,MATCH($A70-90,$A$5:$A$627,1)):INDEX($Q$5:$Q$627,MATCH($A70+90,$A$5:$A$627,1))),"")</f>
        <v>1.8774358974359</v>
      </c>
    </row>
    <row r="71" customFormat="false" ht="15" hidden="false" customHeight="false" outlineLevel="0" collapsed="false">
      <c r="A71" s="13" t="n">
        <v>45321.5001144213</v>
      </c>
      <c r="B71" s="8" t="n">
        <v>12</v>
      </c>
      <c r="C71" s="8" t="s">
        <v>64</v>
      </c>
      <c r="D71" s="8" t="s">
        <v>137</v>
      </c>
      <c r="E71" s="14" t="s">
        <v>66</v>
      </c>
      <c r="F71" s="9" t="n">
        <v>624285</v>
      </c>
      <c r="G71" s="9" t="n">
        <v>12484</v>
      </c>
      <c r="H71" s="9" t="n">
        <v>7066</v>
      </c>
      <c r="I71" s="9" t="n">
        <v>6535</v>
      </c>
      <c r="J71" s="9" t="n">
        <v>161</v>
      </c>
      <c r="K71" s="9" t="n">
        <v>15</v>
      </c>
      <c r="L71" s="9" t="n">
        <v>94</v>
      </c>
      <c r="M71" s="10" t="n">
        <f aca="false">IFERROR(G71/F71,"")</f>
        <v>0.0199972768847562</v>
      </c>
      <c r="N71" s="10" t="n">
        <f aca="false">IFERROR(H71/G71,"")</f>
        <v>0.566004485741749</v>
      </c>
      <c r="O71" s="11" t="n">
        <f aca="false">IFERROR(I71/H71,"")</f>
        <v>0.924851401075573</v>
      </c>
      <c r="P71" s="10" t="n">
        <f aca="false">IFERROR(J71/H71,"")</f>
        <v>0.0227851684121144</v>
      </c>
      <c r="Q71" s="10" t="n">
        <f aca="false">IFERROR(K71/H71,"")</f>
        <v>0.00212284177752618</v>
      </c>
      <c r="R71" s="10" t="n">
        <f aca="false">IFERROR(L71/H71,"")</f>
        <v>0.0133031418058307</v>
      </c>
      <c r="S71" s="11" t="n">
        <f aca="false">IFERROR(M71/MEDIAN(INDEX($M$5:$M$627,MATCH($A71-90,$A$5:$A$627,1)):INDEX($M$5:$M$627,MATCH($A71+90,$A$5:$A$627,1))),"")</f>
        <v>0.527923947095852</v>
      </c>
      <c r="T71" s="11" t="n">
        <f aca="false">IFERROR(N71/MEDIAN(INDEX($N$5:$N$627,MATCH($A71-90,$A$5:$A$627,1)):INDEX($N$5:$N$627,MATCH($A71+90,$A$5:$A$627,1))),"")</f>
        <v>0.966075056374283</v>
      </c>
      <c r="U71" s="11" t="n">
        <f aca="false">IFERROR(Q71/MEDIAN(INDEX($Q$5:$Q$627,MATCH($A71-90,$A$5:$A$627,1)):INDEX($Q$5:$Q$627,MATCH($A71+90,$A$5:$A$627,1))),"")</f>
        <v>0.250960962326373</v>
      </c>
    </row>
    <row r="72" customFormat="false" ht="15" hidden="false" customHeight="false" outlineLevel="0" collapsed="false">
      <c r="A72" s="13" t="n">
        <v>45323.5389930903</v>
      </c>
      <c r="B72" s="8" t="n">
        <v>12</v>
      </c>
      <c r="C72" s="8" t="s">
        <v>73</v>
      </c>
      <c r="D72" s="8" t="s">
        <v>138</v>
      </c>
      <c r="E72" s="14" t="s">
        <v>66</v>
      </c>
      <c r="F72" s="9" t="n">
        <v>17288</v>
      </c>
      <c r="G72" s="9" t="n">
        <v>574</v>
      </c>
      <c r="H72" s="9" t="n">
        <v>359</v>
      </c>
      <c r="I72" s="9" t="n">
        <v>404</v>
      </c>
      <c r="J72" s="9" t="n">
        <v>60</v>
      </c>
      <c r="K72" s="9" t="n">
        <v>4</v>
      </c>
      <c r="L72" s="9" t="n">
        <v>8</v>
      </c>
      <c r="M72" s="10" t="n">
        <f aca="false">IFERROR(G72/F72,"")</f>
        <v>0.0332022211938917</v>
      </c>
      <c r="N72" s="10" t="n">
        <f aca="false">IFERROR(H72/G72,"")</f>
        <v>0.625435540069686</v>
      </c>
      <c r="O72" s="11" t="n">
        <f aca="false">IFERROR(I72/H72,"")</f>
        <v>1.12534818941504</v>
      </c>
      <c r="P72" s="10" t="n">
        <f aca="false">IFERROR(J72/H72,"")</f>
        <v>0.167130919220056</v>
      </c>
      <c r="Q72" s="10" t="n">
        <f aca="false">IFERROR(K72/H72,"")</f>
        <v>0.011142061281337</v>
      </c>
      <c r="R72" s="10" t="n">
        <f aca="false">IFERROR(L72/H72,"")</f>
        <v>0.0222841225626741</v>
      </c>
      <c r="S72" s="11" t="n">
        <f aca="false">IFERROR(M72/MEDIAN(INDEX($M$5:$M$627,MATCH($A72-90,$A$5:$A$627,1)):INDEX($M$5:$M$627,MATCH($A72+90,$A$5:$A$627,1))),"")</f>
        <v>0.876531728096967</v>
      </c>
      <c r="T72" s="11" t="n">
        <f aca="false">IFERROR(N72/MEDIAN(INDEX($N$5:$N$627,MATCH($A72-90,$A$5:$A$627,1)):INDEX($N$5:$N$627,MATCH($A72+90,$A$5:$A$627,1))),"")</f>
        <v>1.06751393293195</v>
      </c>
      <c r="U72" s="11" t="n">
        <f aca="false">IFERROR(Q72/MEDIAN(INDEX($Q$5:$Q$627,MATCH($A72-90,$A$5:$A$627,1)):INDEX($Q$5:$Q$627,MATCH($A72+90,$A$5:$A$627,1))),"")</f>
        <v>1.23289896259964</v>
      </c>
    </row>
    <row r="73" customFormat="false" ht="15" hidden="false" customHeight="false" outlineLevel="0" collapsed="false">
      <c r="A73" s="13" t="n">
        <v>45325.5281693634</v>
      </c>
      <c r="B73" s="8" t="n">
        <v>12</v>
      </c>
      <c r="C73" s="8" t="s">
        <v>68</v>
      </c>
      <c r="D73" s="8" t="s">
        <v>139</v>
      </c>
      <c r="E73" s="14" t="s">
        <v>66</v>
      </c>
      <c r="F73" s="9" t="n">
        <v>248614</v>
      </c>
      <c r="G73" s="9" t="n">
        <v>6136</v>
      </c>
      <c r="H73" s="9" t="n">
        <v>1866</v>
      </c>
      <c r="I73" s="9" t="n">
        <v>1588</v>
      </c>
      <c r="J73" s="9" t="n">
        <v>64</v>
      </c>
      <c r="K73" s="9" t="n">
        <v>18</v>
      </c>
      <c r="L73" s="9" t="n">
        <v>16</v>
      </c>
      <c r="M73" s="10" t="n">
        <f aca="false">IFERROR(G73/F73,"")</f>
        <v>0.0246808305244274</v>
      </c>
      <c r="N73" s="10" t="n">
        <f aca="false">IFERROR(H73/G73,"")</f>
        <v>0.304106910039113</v>
      </c>
      <c r="O73" s="11" t="n">
        <f aca="false">IFERROR(I73/H73,"")</f>
        <v>0.85101822079314</v>
      </c>
      <c r="P73" s="10" t="n">
        <f aca="false">IFERROR(J73/H73,"")</f>
        <v>0.0342979635584137</v>
      </c>
      <c r="Q73" s="10" t="n">
        <f aca="false">IFERROR(K73/H73,"")</f>
        <v>0.00964630225080386</v>
      </c>
      <c r="R73" s="10" t="n">
        <f aca="false">IFERROR(L73/H73,"")</f>
        <v>0.00857449088960343</v>
      </c>
      <c r="S73" s="11" t="n">
        <f aca="false">IFERROR(M73/MEDIAN(INDEX($M$5:$M$627,MATCH($A73-90,$A$5:$A$627,1)):INDEX($M$5:$M$627,MATCH($A73+90,$A$5:$A$627,1))),"")</f>
        <v>0.65156878824796</v>
      </c>
      <c r="T73" s="11" t="n">
        <f aca="false">IFERROR(N73/MEDIAN(INDEX($N$5:$N$627,MATCH($A73-90,$A$5:$A$627,1)):INDEX($N$5:$N$627,MATCH($A73+90,$A$5:$A$627,1))),"")</f>
        <v>0.519059667654106</v>
      </c>
      <c r="U73" s="11" t="n">
        <f aca="false">IFERROR(Q73/MEDIAN(INDEX($Q$5:$Q$627,MATCH($A73-90,$A$5:$A$627,1)):INDEX($Q$5:$Q$627,MATCH($A73+90,$A$5:$A$627,1))),"")</f>
        <v>1.0044814340589</v>
      </c>
    </row>
    <row r="74" customFormat="false" ht="15" hidden="false" customHeight="false" outlineLevel="0" collapsed="false">
      <c r="A74" s="13" t="n">
        <v>45327.5466619097</v>
      </c>
      <c r="B74" s="8" t="n">
        <v>13</v>
      </c>
      <c r="C74" s="8" t="s">
        <v>80</v>
      </c>
      <c r="D74" s="8" t="s">
        <v>140</v>
      </c>
      <c r="E74" s="14" t="s">
        <v>66</v>
      </c>
      <c r="F74" s="9" t="n">
        <v>14250473</v>
      </c>
      <c r="G74" s="9" t="n">
        <v>1139298</v>
      </c>
      <c r="H74" s="9" t="n">
        <v>744473</v>
      </c>
      <c r="I74" s="9" t="n">
        <v>728963</v>
      </c>
      <c r="J74" s="9" t="n">
        <v>16198</v>
      </c>
      <c r="K74" s="9" t="n">
        <v>3262</v>
      </c>
      <c r="L74" s="9" t="n">
        <v>2494</v>
      </c>
      <c r="M74" s="10" t="n">
        <f aca="false">IFERROR(G74/F74,"")</f>
        <v>0.0799480831267846</v>
      </c>
      <c r="N74" s="10" t="n">
        <f aca="false">IFERROR(H74/G74,"")</f>
        <v>0.653448878168837</v>
      </c>
      <c r="O74" s="11" t="n">
        <f aca="false">IFERROR(I74/H74,"")</f>
        <v>0.979166470778658</v>
      </c>
      <c r="P74" s="10" t="n">
        <f aca="false">IFERROR(J74/H74,"")</f>
        <v>0.021757672877324</v>
      </c>
      <c r="Q74" s="10" t="n">
        <f aca="false">IFERROR(K74/H74,"")</f>
        <v>0.00438162297356654</v>
      </c>
      <c r="R74" s="10" t="n">
        <f aca="false">IFERROR(L74/H74,"")</f>
        <v>0.0033500207529353</v>
      </c>
      <c r="S74" s="11" t="n">
        <f aca="false">IFERROR(M74/MEDIAN(INDEX($M$5:$M$627,MATCH($A74-90,$A$5:$A$627,1)):INDEX($M$5:$M$627,MATCH($A74+90,$A$5:$A$627,1))),"")</f>
        <v>2.05331683315519</v>
      </c>
      <c r="T74" s="11" t="n">
        <f aca="false">IFERROR(N74/MEDIAN(INDEX($N$5:$N$627,MATCH($A74-90,$A$5:$A$627,1)):INDEX($N$5:$N$627,MATCH($A74+90,$A$5:$A$627,1))),"")</f>
        <v>1.11532801897741</v>
      </c>
      <c r="U74" s="11" t="n">
        <f aca="false">IFERROR(Q74/MEDIAN(INDEX($Q$5:$Q$627,MATCH($A74-90,$A$5:$A$627,1)):INDEX($Q$5:$Q$627,MATCH($A74+90,$A$5:$A$627,1))),"")</f>
        <v>0.448684372162175</v>
      </c>
    </row>
    <row r="75" customFormat="false" ht="15" hidden="false" customHeight="false" outlineLevel="0" collapsed="false">
      <c r="A75" s="13" t="n">
        <v>45329.5545685301</v>
      </c>
      <c r="B75" s="8" t="n">
        <v>13</v>
      </c>
      <c r="C75" s="8" t="s">
        <v>71</v>
      </c>
      <c r="D75" s="8" t="s">
        <v>141</v>
      </c>
      <c r="E75" s="14" t="s">
        <v>66</v>
      </c>
      <c r="F75" s="9" t="n">
        <v>88097</v>
      </c>
      <c r="G75" s="9" t="n">
        <v>7420</v>
      </c>
      <c r="H75" s="9" t="n">
        <v>4338</v>
      </c>
      <c r="I75" s="9" t="n">
        <v>3510</v>
      </c>
      <c r="J75" s="9" t="n">
        <v>188</v>
      </c>
      <c r="K75" s="9" t="n">
        <v>64</v>
      </c>
      <c r="L75" s="9" t="n">
        <v>23</v>
      </c>
      <c r="M75" s="10" t="n">
        <f aca="false">IFERROR(G75/F75,"")</f>
        <v>0.0842253425201766</v>
      </c>
      <c r="N75" s="10" t="n">
        <f aca="false">IFERROR(H75/G75,"")</f>
        <v>0.584636118598383</v>
      </c>
      <c r="O75" s="11" t="n">
        <f aca="false">IFERROR(I75/H75,"")</f>
        <v>0.809128630705394</v>
      </c>
      <c r="P75" s="10" t="n">
        <f aca="false">IFERROR(J75/H75,"")</f>
        <v>0.0433379437528815</v>
      </c>
      <c r="Q75" s="10" t="n">
        <f aca="false">IFERROR(K75/H75,"")</f>
        <v>0.0147533425541724</v>
      </c>
      <c r="R75" s="10" t="n">
        <f aca="false">IFERROR(L75/H75,"")</f>
        <v>0.00530198248040572</v>
      </c>
      <c r="S75" s="11" t="n">
        <f aca="false">IFERROR(M75/MEDIAN(INDEX($M$5:$M$627,MATCH($A75-90,$A$5:$A$627,1)):INDEX($M$5:$M$627,MATCH($A75+90,$A$5:$A$627,1))),"")</f>
        <v>2.16317023262063</v>
      </c>
      <c r="T75" s="11" t="n">
        <f aca="false">IFERROR(N75/MEDIAN(INDEX($N$5:$N$627,MATCH($A75-90,$A$5:$A$627,1)):INDEX($N$5:$N$627,MATCH($A75+90,$A$5:$A$627,1))),"")</f>
        <v>0.997876139609036</v>
      </c>
      <c r="U75" s="11" t="n">
        <f aca="false">IFERROR(Q75/MEDIAN(INDEX($Q$5:$Q$627,MATCH($A75-90,$A$5:$A$627,1)):INDEX($Q$5:$Q$627,MATCH($A75+90,$A$5:$A$627,1))),"")</f>
        <v>1.49237083269646</v>
      </c>
    </row>
    <row r="76" customFormat="false" ht="15" hidden="false" customHeight="false" outlineLevel="0" collapsed="false">
      <c r="A76" s="13" t="n">
        <v>45331.5801862732</v>
      </c>
      <c r="B76" s="8" t="n">
        <v>13</v>
      </c>
      <c r="C76" s="8" t="s">
        <v>84</v>
      </c>
      <c r="D76" s="8" t="s">
        <v>142</v>
      </c>
      <c r="E76" s="14" t="s">
        <v>66</v>
      </c>
      <c r="F76" s="9" t="n">
        <v>63455</v>
      </c>
      <c r="G76" s="9" t="n">
        <v>497</v>
      </c>
      <c r="H76" s="9" t="n">
        <v>227</v>
      </c>
      <c r="I76" s="9" t="n">
        <v>264</v>
      </c>
      <c r="J76" s="9" t="n">
        <v>34</v>
      </c>
      <c r="K76" s="9" t="n">
        <v>5</v>
      </c>
      <c r="L76" s="9" t="n">
        <v>0</v>
      </c>
      <c r="M76" s="10" t="n">
        <f aca="false">IFERROR(G76/F76,"")</f>
        <v>0.00783232211803641</v>
      </c>
      <c r="N76" s="10" t="n">
        <f aca="false">IFERROR(H76/G76,"")</f>
        <v>0.456740442655936</v>
      </c>
      <c r="O76" s="11" t="n">
        <f aca="false">IFERROR(I76/H76,"")</f>
        <v>1.16299559471366</v>
      </c>
      <c r="P76" s="10" t="n">
        <f aca="false">IFERROR(J76/H76,"")</f>
        <v>0.149779735682819</v>
      </c>
      <c r="Q76" s="10" t="n">
        <f aca="false">IFERROR(K76/H76,"")</f>
        <v>0.0220264317180617</v>
      </c>
      <c r="R76" s="10" t="n">
        <f aca="false">IFERROR(L76/H76,"")</f>
        <v>0</v>
      </c>
      <c r="S76" s="11" t="n">
        <f aca="false">IFERROR(M76/MEDIAN(INDEX($M$5:$M$627,MATCH($A76-90,$A$5:$A$627,1)):INDEX($M$5:$M$627,MATCH($A76+90,$A$5:$A$627,1))),"")</f>
        <v>0.196103250685984</v>
      </c>
      <c r="T76" s="11" t="n">
        <f aca="false">IFERROR(N76/MEDIAN(INDEX($N$5:$N$627,MATCH($A76-90,$A$5:$A$627,1)):INDEX($N$5:$N$627,MATCH($A76+90,$A$5:$A$627,1))),"")</f>
        <v>0.779579596986754</v>
      </c>
      <c r="U76" s="11" t="n">
        <f aca="false">IFERROR(Q76/MEDIAN(INDEX($Q$5:$Q$627,MATCH($A76-90,$A$5:$A$627,1)):INDEX($Q$5:$Q$627,MATCH($A76+90,$A$5:$A$627,1))),"")</f>
        <v>2.22807842519179</v>
      </c>
    </row>
    <row r="77" customFormat="false" ht="15" hidden="false" customHeight="false" outlineLevel="0" collapsed="false">
      <c r="A77" s="13" t="n">
        <v>45333.4808910995</v>
      </c>
      <c r="B77" s="8" t="n">
        <v>11</v>
      </c>
      <c r="C77" s="8" t="s">
        <v>86</v>
      </c>
      <c r="D77" s="8" t="s">
        <v>143</v>
      </c>
      <c r="E77" s="14" t="s">
        <v>66</v>
      </c>
      <c r="F77" s="9" t="n">
        <v>17994</v>
      </c>
      <c r="G77" s="9" t="n">
        <v>766</v>
      </c>
      <c r="H77" s="9" t="n">
        <v>311</v>
      </c>
      <c r="I77" s="9" t="n">
        <v>314</v>
      </c>
      <c r="J77" s="9" t="n">
        <v>41</v>
      </c>
      <c r="K77" s="9" t="n">
        <v>9</v>
      </c>
      <c r="L77" s="9" t="n">
        <v>0</v>
      </c>
      <c r="M77" s="10" t="n">
        <f aca="false">IFERROR(G77/F77,"")</f>
        <v>0.0425697454707125</v>
      </c>
      <c r="N77" s="10" t="n">
        <f aca="false">IFERROR(H77/G77,"")</f>
        <v>0.406005221932115</v>
      </c>
      <c r="O77" s="11" t="n">
        <f aca="false">IFERROR(I77/H77,"")</f>
        <v>1.0096463022508</v>
      </c>
      <c r="P77" s="10" t="n">
        <f aca="false">IFERROR(J77/H77,"")</f>
        <v>0.131832797427653</v>
      </c>
      <c r="Q77" s="10" t="n">
        <f aca="false">IFERROR(K77/H77,"")</f>
        <v>0.0289389067524116</v>
      </c>
      <c r="R77" s="10" t="n">
        <f aca="false">IFERROR(L77/H77,"")</f>
        <v>0</v>
      </c>
      <c r="S77" s="11" t="n">
        <f aca="false">IFERROR(M77/MEDIAN(INDEX($M$5:$M$627,MATCH($A77-90,$A$5:$A$627,1)):INDEX($M$5:$M$627,MATCH($A77+90,$A$5:$A$627,1))),"")</f>
        <v>1.06533389800222</v>
      </c>
      <c r="T77" s="11" t="n">
        <f aca="false">IFERROR(N77/MEDIAN(INDEX($N$5:$N$627,MATCH($A77-90,$A$5:$A$627,1)):INDEX($N$5:$N$627,MATCH($A77+90,$A$5:$A$627,1))),"")</f>
        <v>0.692597143295961</v>
      </c>
      <c r="U77" s="11" t="n">
        <f aca="false">IFERROR(Q77/MEDIAN(INDEX($Q$5:$Q$627,MATCH($A77-90,$A$5:$A$627,1)):INDEX($Q$5:$Q$627,MATCH($A77+90,$A$5:$A$627,1))),"")</f>
        <v>2.92765273311897</v>
      </c>
    </row>
    <row r="78" customFormat="false" ht="15" hidden="false" customHeight="false" outlineLevel="0" collapsed="false">
      <c r="A78" s="13" t="n">
        <v>45335.5017551389</v>
      </c>
      <c r="B78" s="8" t="n">
        <v>12</v>
      </c>
      <c r="C78" s="8" t="s">
        <v>64</v>
      </c>
      <c r="D78" s="8" t="s">
        <v>144</v>
      </c>
      <c r="E78" s="14" t="s">
        <v>66</v>
      </c>
      <c r="F78" s="9" t="n">
        <v>84863</v>
      </c>
      <c r="G78" s="9" t="n">
        <v>2858</v>
      </c>
      <c r="H78" s="9" t="n">
        <v>1632</v>
      </c>
      <c r="I78" s="9" t="n">
        <v>1649</v>
      </c>
      <c r="J78" s="9" t="n">
        <v>132</v>
      </c>
      <c r="K78" s="9" t="n">
        <v>12</v>
      </c>
      <c r="L78" s="9" t="n">
        <v>12</v>
      </c>
      <c r="M78" s="10" t="n">
        <f aca="false">IFERROR(G78/F78,"")</f>
        <v>0.0336778101174835</v>
      </c>
      <c r="N78" s="10" t="n">
        <f aca="false">IFERROR(H78/G78,"")</f>
        <v>0.571028691392582</v>
      </c>
      <c r="O78" s="11" t="n">
        <f aca="false">IFERROR(I78/H78,"")</f>
        <v>1.01041666666667</v>
      </c>
      <c r="P78" s="10" t="n">
        <f aca="false">IFERROR(J78/H78,"")</f>
        <v>0.0808823529411765</v>
      </c>
      <c r="Q78" s="10" t="n">
        <f aca="false">IFERROR(K78/H78,"")</f>
        <v>0.00735294117647059</v>
      </c>
      <c r="R78" s="10" t="n">
        <f aca="false">IFERROR(L78/H78,"")</f>
        <v>0.00735294117647059</v>
      </c>
      <c r="S78" s="11" t="n">
        <f aca="false">IFERROR(M78/MEDIAN(INDEX($M$5:$M$627,MATCH($A78-90,$A$5:$A$627,1)):INDEX($M$5:$M$627,MATCH($A78+90,$A$5:$A$627,1))),"")</f>
        <v>0.843621729422403</v>
      </c>
      <c r="T78" s="11" t="n">
        <f aca="false">IFERROR(N78/MEDIAN(INDEX($N$5:$N$627,MATCH($A78-90,$A$5:$A$627,1)):INDEX($N$5:$N$627,MATCH($A78+90,$A$5:$A$627,1))),"")</f>
        <v>0.9751939088932</v>
      </c>
      <c r="U78" s="11" t="n">
        <f aca="false">IFERROR(Q78/MEDIAN(INDEX($Q$5:$Q$627,MATCH($A78-90,$A$5:$A$627,1)):INDEX($Q$5:$Q$627,MATCH($A78+90,$A$5:$A$627,1))),"")</f>
        <v>0.743697478991597</v>
      </c>
    </row>
    <row r="79" customFormat="false" ht="15" hidden="false" customHeight="false" outlineLevel="0" collapsed="false">
      <c r="A79" s="13" t="n">
        <v>45337.522055081</v>
      </c>
      <c r="B79" s="8" t="n">
        <v>12</v>
      </c>
      <c r="C79" s="8" t="s">
        <v>73</v>
      </c>
      <c r="D79" s="8" t="s">
        <v>145</v>
      </c>
      <c r="E79" s="14" t="s">
        <v>66</v>
      </c>
      <c r="F79" s="9" t="n">
        <v>77640</v>
      </c>
      <c r="G79" s="9" t="n">
        <v>3754</v>
      </c>
      <c r="H79" s="9" t="n">
        <v>2192</v>
      </c>
      <c r="I79" s="9" t="n">
        <v>2124</v>
      </c>
      <c r="J79" s="9" t="n">
        <v>169</v>
      </c>
      <c r="K79" s="9" t="n">
        <v>17</v>
      </c>
      <c r="L79" s="9" t="n">
        <v>42</v>
      </c>
      <c r="M79" s="10" t="n">
        <f aca="false">IFERROR(G79/F79,"")</f>
        <v>0.0483513652756311</v>
      </c>
      <c r="N79" s="10" t="n">
        <f aca="false">IFERROR(H79/G79,"")</f>
        <v>0.583910495471497</v>
      </c>
      <c r="O79" s="11" t="n">
        <f aca="false">IFERROR(I79/H79,"")</f>
        <v>0.968978102189781</v>
      </c>
      <c r="P79" s="10" t="n">
        <f aca="false">IFERROR(J79/H79,"")</f>
        <v>0.0770985401459854</v>
      </c>
      <c r="Q79" s="10" t="n">
        <f aca="false">IFERROR(K79/H79,"")</f>
        <v>0.00775547445255475</v>
      </c>
      <c r="R79" s="10" t="n">
        <f aca="false">IFERROR(L79/H79,"")</f>
        <v>0.0191605839416058</v>
      </c>
      <c r="S79" s="11" t="n">
        <f aca="false">IFERROR(M79/MEDIAN(INDEX($M$5:$M$627,MATCH($A79-90,$A$5:$A$627,1)):INDEX($M$5:$M$627,MATCH($A79+90,$A$5:$A$627,1))),"")</f>
        <v>1.21002246720634</v>
      </c>
      <c r="T79" s="11" t="n">
        <f aca="false">IFERROR(N79/MEDIAN(INDEX($N$5:$N$627,MATCH($A79-90,$A$5:$A$627,1)):INDEX($N$5:$N$627,MATCH($A79+90,$A$5:$A$627,1))),"")</f>
        <v>0.998758846564894</v>
      </c>
      <c r="U79" s="11" t="n">
        <f aca="false">IFERROR(Q79/MEDIAN(INDEX($Q$5:$Q$627,MATCH($A79-90,$A$5:$A$627,1)):INDEX($Q$5:$Q$627,MATCH($A79+90,$A$5:$A$627,1))),"")</f>
        <v>0.782996206029115</v>
      </c>
    </row>
    <row r="80" customFormat="false" ht="15" hidden="false" customHeight="false" outlineLevel="0" collapsed="false">
      <c r="A80" s="13" t="n">
        <v>45339.5568816204</v>
      </c>
      <c r="B80" s="8" t="n">
        <v>13</v>
      </c>
      <c r="C80" s="8" t="s">
        <v>68</v>
      </c>
      <c r="D80" s="8" t="s">
        <v>146</v>
      </c>
      <c r="E80" s="14" t="s">
        <v>66</v>
      </c>
      <c r="F80" s="9" t="n">
        <v>12623</v>
      </c>
      <c r="G80" s="9" t="n">
        <v>388</v>
      </c>
      <c r="H80" s="9" t="n">
        <v>223</v>
      </c>
      <c r="I80" s="9" t="n">
        <v>239</v>
      </c>
      <c r="J80" s="9" t="n">
        <v>40</v>
      </c>
      <c r="K80" s="9" t="n">
        <v>7</v>
      </c>
      <c r="L80" s="9" t="n">
        <v>0</v>
      </c>
      <c r="M80" s="10" t="n">
        <f aca="false">IFERROR(G80/F80,"")</f>
        <v>0.0307375425810029</v>
      </c>
      <c r="N80" s="10" t="n">
        <f aca="false">IFERROR(H80/G80,"")</f>
        <v>0.574742268041237</v>
      </c>
      <c r="O80" s="11" t="n">
        <f aca="false">IFERROR(I80/H80,"")</f>
        <v>1.07174887892377</v>
      </c>
      <c r="P80" s="10" t="n">
        <f aca="false">IFERROR(J80/H80,"")</f>
        <v>0.179372197309417</v>
      </c>
      <c r="Q80" s="10" t="n">
        <f aca="false">IFERROR(K80/H80,"")</f>
        <v>0.031390134529148</v>
      </c>
      <c r="R80" s="10" t="n">
        <f aca="false">IFERROR(L80/H80,"")</f>
        <v>0</v>
      </c>
      <c r="S80" s="11" t="n">
        <f aca="false">IFERROR(M80/MEDIAN(INDEX($M$5:$M$627,MATCH($A80-90,$A$5:$A$627,1)):INDEX($M$5:$M$627,MATCH($A80+90,$A$5:$A$627,1))),"")</f>
        <v>0.769597052750518</v>
      </c>
      <c r="T80" s="11" t="n">
        <f aca="false">IFERROR(N80/MEDIAN(INDEX($N$5:$N$627,MATCH($A80-90,$A$5:$A$627,1)):INDEX($N$5:$N$627,MATCH($A80+90,$A$5:$A$627,1))),"")</f>
        <v>0.98368736192644</v>
      </c>
      <c r="U80" s="11" t="n">
        <f aca="false">IFERROR(Q80/MEDIAN(INDEX($Q$5:$Q$627,MATCH($A80-90,$A$5:$A$627,1)):INDEX($Q$5:$Q$627,MATCH($A80+90,$A$5:$A$627,1))),"")</f>
        <v>3.15372980770676</v>
      </c>
    </row>
    <row r="81" customFormat="false" ht="15" hidden="false" customHeight="false" outlineLevel="0" collapsed="false">
      <c r="A81" s="13" t="n">
        <v>45341.5235271181</v>
      </c>
      <c r="B81" s="8" t="n">
        <v>12</v>
      </c>
      <c r="C81" s="8" t="s">
        <v>80</v>
      </c>
      <c r="D81" s="8" t="s">
        <v>147</v>
      </c>
      <c r="E81" s="14" t="s">
        <v>66</v>
      </c>
      <c r="F81" s="9" t="n">
        <v>10128</v>
      </c>
      <c r="G81" s="9" t="n">
        <v>369</v>
      </c>
      <c r="H81" s="9" t="n">
        <v>119</v>
      </c>
      <c r="I81" s="9" t="n">
        <v>122</v>
      </c>
      <c r="J81" s="9" t="n">
        <v>46</v>
      </c>
      <c r="K81" s="9" t="n">
        <v>1</v>
      </c>
      <c r="L81" s="9" t="n">
        <v>3</v>
      </c>
      <c r="M81" s="10" t="n">
        <f aca="false">IFERROR(G81/F81,"")</f>
        <v>0.0364336492890995</v>
      </c>
      <c r="N81" s="10" t="n">
        <f aca="false">IFERROR(H81/G81,"")</f>
        <v>0.322493224932249</v>
      </c>
      <c r="O81" s="11" t="n">
        <f aca="false">IFERROR(I81/H81,"")</f>
        <v>1.02521008403361</v>
      </c>
      <c r="P81" s="10" t="n">
        <f aca="false">IFERROR(J81/H81,"")</f>
        <v>0.38655462184874</v>
      </c>
      <c r="Q81" s="10" t="n">
        <f aca="false">IFERROR(K81/H81,"")</f>
        <v>0.00840336134453782</v>
      </c>
      <c r="R81" s="10" t="n">
        <f aca="false">IFERROR(L81/H81,"")</f>
        <v>0.0252100840336134</v>
      </c>
      <c r="S81" s="11" t="n">
        <f aca="false">IFERROR(M81/MEDIAN(INDEX($M$5:$M$627,MATCH($A81-90,$A$5:$A$627,1)):INDEX($M$5:$M$627,MATCH($A81+90,$A$5:$A$627,1))),"")</f>
        <v>0.912214404907125</v>
      </c>
      <c r="T81" s="11" t="n">
        <f aca="false">IFERROR(N81/MEDIAN(INDEX($N$5:$N$627,MATCH($A81-90,$A$5:$A$627,1)):INDEX($N$5:$N$627,MATCH($A81+90,$A$5:$A$627,1))),"")</f>
        <v>0.554473961168874</v>
      </c>
      <c r="U81" s="11" t="n">
        <f aca="false">IFERROR(Q81/MEDIAN(INDEX($Q$5:$Q$627,MATCH($A81-90,$A$5:$A$627,1)):INDEX($Q$5:$Q$627,MATCH($A81+90,$A$5:$A$627,1))),"")</f>
        <v>0.83603827329319</v>
      </c>
    </row>
    <row r="82" customFormat="false" ht="15" hidden="false" customHeight="false" outlineLevel="0" collapsed="false">
      <c r="A82" s="13" t="n">
        <v>45343.5544870602</v>
      </c>
      <c r="B82" s="8" t="n">
        <v>13</v>
      </c>
      <c r="C82" s="8" t="s">
        <v>71</v>
      </c>
      <c r="D82" s="8" t="s">
        <v>148</v>
      </c>
      <c r="E82" s="14" t="s">
        <v>66</v>
      </c>
      <c r="F82" s="9" t="n">
        <v>1894933</v>
      </c>
      <c r="G82" s="9" t="n">
        <v>123986</v>
      </c>
      <c r="H82" s="9" t="n">
        <v>99831</v>
      </c>
      <c r="I82" s="9" t="n">
        <v>152144</v>
      </c>
      <c r="J82" s="9" t="n">
        <v>2028</v>
      </c>
      <c r="K82" s="9" t="n">
        <v>505</v>
      </c>
      <c r="L82" s="9" t="n">
        <v>348</v>
      </c>
      <c r="M82" s="10" t="n">
        <f aca="false">IFERROR(G82/F82,"")</f>
        <v>0.0654302817038914</v>
      </c>
      <c r="N82" s="10" t="n">
        <f aca="false">IFERROR(H82/G82,"")</f>
        <v>0.805179617053538</v>
      </c>
      <c r="O82" s="11" t="n">
        <f aca="false">IFERROR(I82/H82,"")</f>
        <v>1.52401558634092</v>
      </c>
      <c r="P82" s="10" t="n">
        <f aca="false">IFERROR(J82/H82,"")</f>
        <v>0.0203143312197614</v>
      </c>
      <c r="Q82" s="10" t="n">
        <f aca="false">IFERROR(K82/H82,"")</f>
        <v>0.00505854894772165</v>
      </c>
      <c r="R82" s="10" t="n">
        <f aca="false">IFERROR(L82/H82,"")</f>
        <v>0.00348589115605373</v>
      </c>
      <c r="S82" s="11" t="n">
        <f aca="false">IFERROR(M82/MEDIAN(INDEX($M$5:$M$627,MATCH($A82-90,$A$5:$A$627,1)):INDEX($M$5:$M$627,MATCH($A82+90,$A$5:$A$627,1))),"")</f>
        <v>1.68045428440893</v>
      </c>
      <c r="T82" s="11" t="n">
        <f aca="false">IFERROR(N82/MEDIAN(INDEX($N$5:$N$627,MATCH($A82-90,$A$5:$A$627,1)):INDEX($N$5:$N$627,MATCH($A82+90,$A$5:$A$627,1))),"")</f>
        <v>1.39045096698619</v>
      </c>
      <c r="U82" s="11" t="n">
        <f aca="false">IFERROR(Q82/MEDIAN(INDEX($Q$5:$Q$627,MATCH($A82-90,$A$5:$A$627,1)):INDEX($Q$5:$Q$627,MATCH($A82+90,$A$5:$A$627,1))),"")</f>
        <v>0.490470647972393</v>
      </c>
    </row>
    <row r="83" customFormat="false" ht="15" hidden="false" customHeight="false" outlineLevel="0" collapsed="false">
      <c r="A83" s="13" t="n">
        <v>45345.5734555208</v>
      </c>
      <c r="B83" s="8" t="n">
        <v>13</v>
      </c>
      <c r="C83" s="8" t="s">
        <v>84</v>
      </c>
      <c r="D83" s="8" t="s">
        <v>149</v>
      </c>
      <c r="E83" s="14" t="s">
        <v>66</v>
      </c>
      <c r="F83" s="9" t="n">
        <v>67062</v>
      </c>
      <c r="G83" s="9" t="n">
        <v>2165</v>
      </c>
      <c r="H83" s="9" t="n">
        <v>1353</v>
      </c>
      <c r="I83" s="9" t="n">
        <v>1808</v>
      </c>
      <c r="J83" s="9" t="n">
        <v>112</v>
      </c>
      <c r="K83" s="9" t="n">
        <v>6</v>
      </c>
      <c r="L83" s="9" t="n">
        <v>16</v>
      </c>
      <c r="M83" s="10" t="n">
        <f aca="false">IFERROR(G83/F83,"")</f>
        <v>0.0322835584981062</v>
      </c>
      <c r="N83" s="10" t="n">
        <f aca="false">IFERROR(H83/G83,"")</f>
        <v>0.624942263279446</v>
      </c>
      <c r="O83" s="11" t="n">
        <f aca="false">IFERROR(I83/H83,"")</f>
        <v>1.33628972653363</v>
      </c>
      <c r="P83" s="10" t="n">
        <f aca="false">IFERROR(J83/H83,"")</f>
        <v>0.0827790096082779</v>
      </c>
      <c r="Q83" s="10" t="n">
        <f aca="false">IFERROR(K83/H83,"")</f>
        <v>0.00443458980044346</v>
      </c>
      <c r="R83" s="10" t="n">
        <f aca="false">IFERROR(L83/H83,"")</f>
        <v>0.0118255728011826</v>
      </c>
      <c r="S83" s="11" t="n">
        <f aca="false">IFERROR(M83/MEDIAN(INDEX($M$5:$M$627,MATCH($A83-90,$A$5:$A$627,1)):INDEX($M$5:$M$627,MATCH($A83+90,$A$5:$A$627,1))),"")</f>
        <v>0.85065023368335</v>
      </c>
      <c r="T83" s="11" t="n">
        <f aca="false">IFERROR(N83/MEDIAN(INDEX($N$5:$N$627,MATCH($A83-90,$A$5:$A$627,1)):INDEX($N$5:$N$627,MATCH($A83+90,$A$5:$A$627,1))),"")</f>
        <v>1.08098792999992</v>
      </c>
      <c r="U83" s="11" t="n">
        <f aca="false">IFERROR(Q83/MEDIAN(INDEX($Q$5:$Q$627,MATCH($A83-90,$A$5:$A$627,1)):INDEX($Q$5:$Q$627,MATCH($A83+90,$A$5:$A$627,1))),"")</f>
        <v>0.40650406504065</v>
      </c>
    </row>
    <row r="84" customFormat="false" ht="15" hidden="false" customHeight="false" outlineLevel="0" collapsed="false">
      <c r="A84" s="13" t="n">
        <v>45347.5713366088</v>
      </c>
      <c r="B84" s="8" t="n">
        <v>13</v>
      </c>
      <c r="C84" s="8" t="s">
        <v>86</v>
      </c>
      <c r="D84" s="8" t="s">
        <v>150</v>
      </c>
      <c r="E84" s="14" t="s">
        <v>66</v>
      </c>
      <c r="F84" s="9" t="n">
        <v>12243</v>
      </c>
      <c r="G84" s="9" t="n">
        <v>227</v>
      </c>
      <c r="H84" s="9" t="n">
        <v>136</v>
      </c>
      <c r="I84" s="9" t="n">
        <v>129</v>
      </c>
      <c r="J84" s="9" t="n">
        <v>40</v>
      </c>
      <c r="K84" s="9" t="n">
        <v>2</v>
      </c>
      <c r="L84" s="9" t="n">
        <v>0</v>
      </c>
      <c r="M84" s="10" t="n">
        <f aca="false">IFERROR(G84/F84,"")</f>
        <v>0.0185412072204525</v>
      </c>
      <c r="N84" s="10" t="n">
        <f aca="false">IFERROR(H84/G84,"")</f>
        <v>0.599118942731278</v>
      </c>
      <c r="O84" s="11" t="n">
        <f aca="false">IFERROR(I84/H84,"")</f>
        <v>0.948529411764706</v>
      </c>
      <c r="P84" s="10" t="n">
        <f aca="false">IFERROR(J84/H84,"")</f>
        <v>0.294117647058824</v>
      </c>
      <c r="Q84" s="10" t="n">
        <f aca="false">IFERROR(K84/H84,"")</f>
        <v>0.0147058823529412</v>
      </c>
      <c r="R84" s="10" t="n">
        <f aca="false">IFERROR(L84/H84,"")</f>
        <v>0</v>
      </c>
      <c r="S84" s="11" t="n">
        <f aca="false">IFERROR(M84/MEDIAN(INDEX($M$5:$M$627,MATCH($A84-90,$A$5:$A$627,1)):INDEX($M$5:$M$627,MATCH($A84+90,$A$5:$A$627,1))),"")</f>
        <v>0.464453159107784</v>
      </c>
      <c r="T84" s="11" t="n">
        <f aca="false">IFERROR(N84/MEDIAN(INDEX($N$5:$N$627,MATCH($A84-90,$A$5:$A$627,1)):INDEX($N$5:$N$627,MATCH($A84+90,$A$5:$A$627,1))),"")</f>
        <v>1.03505829006535</v>
      </c>
      <c r="U84" s="11" t="n">
        <f aca="false">IFERROR(Q84/MEDIAN(INDEX($Q$5:$Q$627,MATCH($A84-90,$A$5:$A$627,1)):INDEX($Q$5:$Q$627,MATCH($A84+90,$A$5:$A$627,1))),"")</f>
        <v>1.34803921568627</v>
      </c>
    </row>
    <row r="85" customFormat="false" ht="15" hidden="false" customHeight="false" outlineLevel="0" collapsed="false">
      <c r="A85" s="13" t="n">
        <v>45349.6336098958</v>
      </c>
      <c r="B85" s="8" t="n">
        <v>15</v>
      </c>
      <c r="C85" s="8" t="s">
        <v>64</v>
      </c>
      <c r="D85" s="8" t="s">
        <v>151</v>
      </c>
      <c r="E85" s="14" t="s">
        <v>66</v>
      </c>
      <c r="F85" s="9" t="n">
        <v>27224</v>
      </c>
      <c r="G85" s="9" t="n">
        <v>3273</v>
      </c>
      <c r="H85" s="9" t="n">
        <v>1568</v>
      </c>
      <c r="I85" s="9" t="n">
        <v>3354</v>
      </c>
      <c r="J85" s="9" t="n">
        <v>45</v>
      </c>
      <c r="K85" s="9" t="n">
        <v>1</v>
      </c>
      <c r="L85" s="9" t="n">
        <v>0</v>
      </c>
      <c r="M85" s="10" t="n">
        <f aca="false">IFERROR(G85/F85,"")</f>
        <v>0.120224801645607</v>
      </c>
      <c r="N85" s="10" t="n">
        <f aca="false">IFERROR(H85/G85,"")</f>
        <v>0.479071188512068</v>
      </c>
      <c r="O85" s="11" t="n">
        <f aca="false">IFERROR(I85/H85,"")</f>
        <v>2.1390306122449</v>
      </c>
      <c r="P85" s="10" t="n">
        <f aca="false">IFERROR(J85/H85,"")</f>
        <v>0.0286989795918367</v>
      </c>
      <c r="Q85" s="10" t="n">
        <f aca="false">IFERROR(K85/H85,"")</f>
        <v>0.000637755102040816</v>
      </c>
      <c r="R85" s="10" t="n">
        <f aca="false">IFERROR(L85/H85,"")</f>
        <v>0</v>
      </c>
      <c r="S85" s="11" t="n">
        <f aca="false">IFERROR(M85/MEDIAN(INDEX($M$5:$M$627,MATCH($A85-90,$A$5:$A$627,1)):INDEX($M$5:$M$627,MATCH($A85+90,$A$5:$A$627,1))),"")</f>
        <v>3.00135974069296</v>
      </c>
      <c r="T85" s="11" t="n">
        <f aca="false">IFERROR(N85/MEDIAN(INDEX($N$5:$N$627,MATCH($A85-90,$A$5:$A$627,1)):INDEX($N$5:$N$627,MATCH($A85+90,$A$5:$A$627,1))),"")</f>
        <v>0.827299875969834</v>
      </c>
      <c r="U85" s="11" t="n">
        <f aca="false">IFERROR(Q85/MEDIAN(INDEX($Q$5:$Q$627,MATCH($A85-90,$A$5:$A$627,1)):INDEX($Q$5:$Q$627,MATCH($A85+90,$A$5:$A$627,1))),"")</f>
        <v>0.0584396181171632</v>
      </c>
    </row>
    <row r="86" customFormat="false" ht="15" hidden="false" customHeight="false" outlineLevel="0" collapsed="false">
      <c r="A86" s="13" t="n">
        <v>45351.7006378935</v>
      </c>
      <c r="B86" s="8" t="n">
        <v>16</v>
      </c>
      <c r="C86" s="8" t="s">
        <v>73</v>
      </c>
      <c r="D86" s="8" t="s">
        <v>152</v>
      </c>
      <c r="E86" s="14" t="s">
        <v>66</v>
      </c>
      <c r="F86" s="9" t="n">
        <v>7259</v>
      </c>
      <c r="G86" s="9" t="n">
        <v>220</v>
      </c>
      <c r="H86" s="9" t="n">
        <v>95</v>
      </c>
      <c r="I86" s="9" t="n">
        <v>125</v>
      </c>
      <c r="J86" s="9" t="n">
        <v>29</v>
      </c>
      <c r="K86" s="9" t="n">
        <v>1</v>
      </c>
      <c r="L86" s="9" t="n">
        <v>0</v>
      </c>
      <c r="M86" s="10" t="n">
        <f aca="false">IFERROR(G86/F86,"")</f>
        <v>0.0303072048491528</v>
      </c>
      <c r="N86" s="10" t="n">
        <f aca="false">IFERROR(H86/G86,"")</f>
        <v>0.431818181818182</v>
      </c>
      <c r="O86" s="11" t="n">
        <f aca="false">IFERROR(I86/H86,"")</f>
        <v>1.31578947368421</v>
      </c>
      <c r="P86" s="10" t="n">
        <f aca="false">IFERROR(J86/H86,"")</f>
        <v>0.305263157894737</v>
      </c>
      <c r="Q86" s="10" t="n">
        <f aca="false">IFERROR(K86/H86,"")</f>
        <v>0.0105263157894737</v>
      </c>
      <c r="R86" s="10" t="n">
        <f aca="false">IFERROR(L86/H86,"")</f>
        <v>0</v>
      </c>
      <c r="S86" s="11" t="n">
        <f aca="false">IFERROR(M86/MEDIAN(INDEX($M$5:$M$627,MATCH($A86-90,$A$5:$A$627,1)):INDEX($M$5:$M$627,MATCH($A86+90,$A$5:$A$627,1))),"")</f>
        <v>0.756606151493745</v>
      </c>
      <c r="T86" s="11" t="n">
        <f aca="false">IFERROR(N86/MEDIAN(INDEX($N$5:$N$627,MATCH($A86-90,$A$5:$A$627,1)):INDEX($N$5:$N$627,MATCH($A86+90,$A$5:$A$627,1))),"")</f>
        <v>0.746478316118958</v>
      </c>
      <c r="U86" s="11" t="n">
        <f aca="false">IFERROR(Q86/MEDIAN(INDEX($Q$5:$Q$627,MATCH($A86-90,$A$5:$A$627,1)):INDEX($Q$5:$Q$627,MATCH($A86+90,$A$5:$A$627,1))),"")</f>
        <v>0.964561275870652</v>
      </c>
    </row>
    <row r="87" customFormat="false" ht="15" hidden="false" customHeight="false" outlineLevel="0" collapsed="false">
      <c r="A87" s="13" t="n">
        <v>45353.5034439815</v>
      </c>
      <c r="B87" s="8" t="n">
        <v>12</v>
      </c>
      <c r="C87" s="8" t="s">
        <v>68</v>
      </c>
      <c r="D87" s="8" t="s">
        <v>153</v>
      </c>
      <c r="E87" s="14" t="s">
        <v>66</v>
      </c>
      <c r="F87" s="9" t="n">
        <v>306720</v>
      </c>
      <c r="G87" s="9" t="n">
        <v>21070</v>
      </c>
      <c r="H87" s="9" t="n">
        <v>15881</v>
      </c>
      <c r="I87" s="9" t="n">
        <v>12548</v>
      </c>
      <c r="J87" s="9" t="n">
        <v>208</v>
      </c>
      <c r="K87" s="9" t="n">
        <v>102</v>
      </c>
      <c r="L87" s="9" t="n">
        <v>26</v>
      </c>
      <c r="M87" s="10" t="n">
        <f aca="false">IFERROR(G87/F87,"")</f>
        <v>0.0686945748565467</v>
      </c>
      <c r="N87" s="10" t="n">
        <f aca="false">IFERROR(H87/G87,"")</f>
        <v>0.753725676317039</v>
      </c>
      <c r="O87" s="11" t="n">
        <f aca="false">IFERROR(I87/H87,"")</f>
        <v>0.790126566337132</v>
      </c>
      <c r="P87" s="10" t="n">
        <f aca="false">IFERROR(J87/H87,"")</f>
        <v>0.0130974120017631</v>
      </c>
      <c r="Q87" s="10" t="n">
        <f aca="false">IFERROR(K87/H87,"")</f>
        <v>0.00642276934701845</v>
      </c>
      <c r="R87" s="10" t="n">
        <f aca="false">IFERROR(L87/H87,"")</f>
        <v>0.00163717650022039</v>
      </c>
      <c r="S87" s="11" t="n">
        <f aca="false">IFERROR(M87/MEDIAN(INDEX($M$5:$M$627,MATCH($A87-90,$A$5:$A$627,1)):INDEX($M$5:$M$627,MATCH($A87+90,$A$5:$A$627,1))),"")</f>
        <v>1.70911592029617</v>
      </c>
      <c r="T87" s="11" t="n">
        <f aca="false">IFERROR(N87/MEDIAN(INDEX($N$5:$N$627,MATCH($A87-90,$A$5:$A$627,1)):INDEX($N$5:$N$627,MATCH($A87+90,$A$5:$A$627,1))),"")</f>
        <v>1.30216214855518</v>
      </c>
      <c r="U87" s="11" t="n">
        <f aca="false">IFERROR(Q87/MEDIAN(INDEX($Q$5:$Q$627,MATCH($A87-90,$A$5:$A$627,1)):INDEX($Q$5:$Q$627,MATCH($A87+90,$A$5:$A$627,1))),"")</f>
        <v>0.588753856810025</v>
      </c>
    </row>
    <row r="88" customFormat="false" ht="15" hidden="false" customHeight="false" outlineLevel="0" collapsed="false">
      <c r="A88" s="13" t="n">
        <v>45355.5128910648</v>
      </c>
      <c r="B88" s="8" t="n">
        <v>12</v>
      </c>
      <c r="C88" s="8" t="s">
        <v>80</v>
      </c>
      <c r="D88" s="8" t="s">
        <v>154</v>
      </c>
      <c r="E88" s="14" t="s">
        <v>66</v>
      </c>
      <c r="F88" s="9" t="n">
        <v>38697</v>
      </c>
      <c r="G88" s="9" t="n">
        <v>1463</v>
      </c>
      <c r="H88" s="9" t="n">
        <v>708</v>
      </c>
      <c r="I88" s="9" t="n">
        <v>533</v>
      </c>
      <c r="J88" s="9" t="n">
        <v>35</v>
      </c>
      <c r="K88" s="9" t="n">
        <v>7</v>
      </c>
      <c r="L88" s="9" t="n">
        <v>3</v>
      </c>
      <c r="M88" s="10" t="n">
        <f aca="false">IFERROR(G88/F88,"")</f>
        <v>0.0378065483112386</v>
      </c>
      <c r="N88" s="10" t="n">
        <f aca="false">IFERROR(H88/G88,"")</f>
        <v>0.483937115516063</v>
      </c>
      <c r="O88" s="11" t="n">
        <f aca="false">IFERROR(I88/H88,"")</f>
        <v>0.752824858757062</v>
      </c>
      <c r="P88" s="10" t="n">
        <f aca="false">IFERROR(J88/H88,"")</f>
        <v>0.0494350282485876</v>
      </c>
      <c r="Q88" s="10" t="n">
        <f aca="false">IFERROR(K88/H88,"")</f>
        <v>0.00988700564971752</v>
      </c>
      <c r="R88" s="10" t="n">
        <f aca="false">IFERROR(L88/H88,"")</f>
        <v>0.00423728813559322</v>
      </c>
      <c r="S88" s="11" t="n">
        <f aca="false">IFERROR(M88/MEDIAN(INDEX($M$5:$M$627,MATCH($A88-90,$A$5:$A$627,1)):INDEX($M$5:$M$627,MATCH($A88+90,$A$5:$A$627,1))),"")</f>
        <v>0.943823990414221</v>
      </c>
      <c r="T88" s="11" t="n">
        <f aca="false">IFERROR(N88/MEDIAN(INDEX($N$5:$N$627,MATCH($A88-90,$A$5:$A$627,1)):INDEX($N$5:$N$627,MATCH($A88+90,$A$5:$A$627,1))),"")</f>
        <v>0.836575619805655</v>
      </c>
      <c r="U88" s="11" t="n">
        <f aca="false">IFERROR(Q88/MEDIAN(INDEX($Q$5:$Q$627,MATCH($A88-90,$A$5:$A$627,1)):INDEX($Q$5:$Q$627,MATCH($A88+90,$A$5:$A$627,1))),"")</f>
        <v>0.905979164483027</v>
      </c>
    </row>
    <row r="89" customFormat="false" ht="15" hidden="false" customHeight="false" outlineLevel="0" collapsed="false">
      <c r="A89" s="13" t="n">
        <v>45357.4549886343</v>
      </c>
      <c r="B89" s="8" t="n">
        <v>10</v>
      </c>
      <c r="C89" s="8" t="s">
        <v>71</v>
      </c>
      <c r="D89" s="8" t="s">
        <v>155</v>
      </c>
      <c r="E89" s="14" t="s">
        <v>66</v>
      </c>
      <c r="F89" s="9" t="n">
        <v>602965</v>
      </c>
      <c r="G89" s="9" t="n">
        <v>24235</v>
      </c>
      <c r="H89" s="9" t="n">
        <v>14352</v>
      </c>
      <c r="I89" s="9" t="n">
        <v>9862</v>
      </c>
      <c r="J89" s="9" t="n">
        <v>570</v>
      </c>
      <c r="K89" s="9" t="n">
        <v>113</v>
      </c>
      <c r="L89" s="9" t="n">
        <v>39</v>
      </c>
      <c r="M89" s="10" t="n">
        <f aca="false">IFERROR(G89/F89,"")</f>
        <v>0.0401930460308642</v>
      </c>
      <c r="N89" s="10" t="n">
        <f aca="false">IFERROR(H89/G89,"")</f>
        <v>0.592201361667011</v>
      </c>
      <c r="O89" s="11" t="n">
        <f aca="false">IFERROR(I89/H89,"")</f>
        <v>0.687151616499443</v>
      </c>
      <c r="P89" s="10" t="n">
        <f aca="false">IFERROR(J89/H89,"")</f>
        <v>0.0397157190635452</v>
      </c>
      <c r="Q89" s="10" t="n">
        <f aca="false">IFERROR(K89/H89,"")</f>
        <v>0.00787346711259755</v>
      </c>
      <c r="R89" s="10" t="n">
        <f aca="false">IFERROR(L89/H89,"")</f>
        <v>0.00271739130434783</v>
      </c>
      <c r="S89" s="11" t="n">
        <f aca="false">IFERROR(M89/MEDIAN(INDEX($M$5:$M$627,MATCH($A89-90,$A$5:$A$627,1)):INDEX($M$5:$M$627,MATCH($A89+90,$A$5:$A$627,1))),"")</f>
        <v>1.00682695475229</v>
      </c>
      <c r="T89" s="11" t="n">
        <f aca="false">IFERROR(N89/MEDIAN(INDEX($N$5:$N$627,MATCH($A89-90,$A$5:$A$627,1)):INDEX($N$5:$N$627,MATCH($A89+90,$A$5:$A$627,1))),"")</f>
        <v>1.02435466715316</v>
      </c>
      <c r="U89" s="11" t="n">
        <f aca="false">IFERROR(Q89/MEDIAN(INDEX($Q$5:$Q$627,MATCH($A89-90,$A$5:$A$627,1)):INDEX($Q$5:$Q$627,MATCH($A89+90,$A$5:$A$627,1))),"")</f>
        <v>0.721209587513935</v>
      </c>
    </row>
    <row r="90" customFormat="false" ht="15" hidden="false" customHeight="false" outlineLevel="0" collapsed="false">
      <c r="A90" s="13" t="n">
        <v>45359.5847541667</v>
      </c>
      <c r="B90" s="8" t="n">
        <v>14</v>
      </c>
      <c r="C90" s="8" t="s">
        <v>84</v>
      </c>
      <c r="D90" s="8" t="s">
        <v>156</v>
      </c>
      <c r="E90" s="14" t="s">
        <v>66</v>
      </c>
      <c r="F90" s="9" t="n">
        <v>13986</v>
      </c>
      <c r="G90" s="9" t="n">
        <v>263</v>
      </c>
      <c r="H90" s="9" t="n">
        <v>189</v>
      </c>
      <c r="I90" s="9" t="n">
        <v>193</v>
      </c>
      <c r="J90" s="9" t="n">
        <v>32</v>
      </c>
      <c r="K90" s="9" t="n">
        <v>4</v>
      </c>
      <c r="L90" s="9" t="n">
        <v>0</v>
      </c>
      <c r="M90" s="10" t="n">
        <f aca="false">IFERROR(G90/F90,"")</f>
        <v>0.0188045188045188</v>
      </c>
      <c r="N90" s="10" t="n">
        <f aca="false">IFERROR(H90/G90,"")</f>
        <v>0.718631178707224</v>
      </c>
      <c r="O90" s="11" t="n">
        <f aca="false">IFERROR(I90/H90,"")</f>
        <v>1.02116402116402</v>
      </c>
      <c r="P90" s="10" t="n">
        <f aca="false">IFERROR(J90/H90,"")</f>
        <v>0.169312169312169</v>
      </c>
      <c r="Q90" s="10" t="n">
        <f aca="false">IFERROR(K90/H90,"")</f>
        <v>0.0211640211640212</v>
      </c>
      <c r="R90" s="10" t="n">
        <f aca="false">IFERROR(L90/H90,"")</f>
        <v>0</v>
      </c>
      <c r="S90" s="11" t="n">
        <f aca="false">IFERROR(M90/MEDIAN(INDEX($M$5:$M$627,MATCH($A90-90,$A$5:$A$627,1)):INDEX($M$5:$M$627,MATCH($A90+90,$A$5:$A$627,1))),"")</f>
        <v>0.482958858931865</v>
      </c>
      <c r="T90" s="11" t="n">
        <f aca="false">IFERROR(N90/MEDIAN(INDEX($N$5:$N$627,MATCH($A90-90,$A$5:$A$627,1)):INDEX($N$5:$N$627,MATCH($A90+90,$A$5:$A$627,1))),"")</f>
        <v>1.2466889088935</v>
      </c>
      <c r="U90" s="11" t="n">
        <f aca="false">IFERROR(Q90/MEDIAN(INDEX($Q$5:$Q$627,MATCH($A90-90,$A$5:$A$627,1)):INDEX($Q$5:$Q$627,MATCH($A90+90,$A$5:$A$627,1))),"")</f>
        <v>1.93932954936956</v>
      </c>
    </row>
    <row r="91" customFormat="false" ht="15" hidden="false" customHeight="false" outlineLevel="0" collapsed="false">
      <c r="A91" s="13" t="n">
        <v>45361.486636875</v>
      </c>
      <c r="B91" s="8" t="n">
        <v>11</v>
      </c>
      <c r="C91" s="8" t="s">
        <v>86</v>
      </c>
      <c r="D91" s="8" t="s">
        <v>157</v>
      </c>
      <c r="E91" s="14" t="s">
        <v>66</v>
      </c>
      <c r="F91" s="9" t="n">
        <v>52138</v>
      </c>
      <c r="G91" s="9" t="n">
        <v>1730</v>
      </c>
      <c r="H91" s="9" t="n">
        <v>748</v>
      </c>
      <c r="I91" s="9" t="n">
        <v>649</v>
      </c>
      <c r="J91" s="9" t="n">
        <v>70</v>
      </c>
      <c r="K91" s="9" t="n">
        <v>12</v>
      </c>
      <c r="L91" s="9" t="n">
        <v>4</v>
      </c>
      <c r="M91" s="10" t="n">
        <f aca="false">IFERROR(G91/F91,"")</f>
        <v>0.0331811730407764</v>
      </c>
      <c r="N91" s="10" t="n">
        <f aca="false">IFERROR(H91/G91,"")</f>
        <v>0.432369942196532</v>
      </c>
      <c r="O91" s="11" t="n">
        <f aca="false">IFERROR(I91/H91,"")</f>
        <v>0.867647058823529</v>
      </c>
      <c r="P91" s="10" t="n">
        <f aca="false">IFERROR(J91/H91,"")</f>
        <v>0.0935828877005348</v>
      </c>
      <c r="Q91" s="10" t="n">
        <f aca="false">IFERROR(K91/H91,"")</f>
        <v>0.0160427807486631</v>
      </c>
      <c r="R91" s="10" t="n">
        <f aca="false">IFERROR(L91/H91,"")</f>
        <v>0.0053475935828877</v>
      </c>
      <c r="S91" s="11" t="n">
        <f aca="false">IFERROR(M91/MEDIAN(INDEX($M$5:$M$627,MATCH($A91-90,$A$5:$A$627,1)):INDEX($M$5:$M$627,MATCH($A91+90,$A$5:$A$627,1))),"")</f>
        <v>0.874301778184702</v>
      </c>
      <c r="T91" s="11" t="n">
        <f aca="false">IFERROR(N91/MEDIAN(INDEX($N$5:$N$627,MATCH($A91-90,$A$5:$A$627,1)):INDEX($N$5:$N$627,MATCH($A91+90,$A$5:$A$627,1))),"")</f>
        <v>0.747887791036181</v>
      </c>
      <c r="U91" s="11" t="n">
        <f aca="false">IFERROR(Q91/MEDIAN(INDEX($Q$5:$Q$627,MATCH($A91-90,$A$5:$A$627,1)):INDEX($Q$5:$Q$627,MATCH($A91+90,$A$5:$A$627,1))),"")</f>
        <v>1.47058823529412</v>
      </c>
    </row>
    <row r="92" customFormat="false" ht="15" hidden="false" customHeight="false" outlineLevel="0" collapsed="false">
      <c r="A92" s="13" t="n">
        <v>45363.5835305556</v>
      </c>
      <c r="B92" s="8" t="n">
        <v>14</v>
      </c>
      <c r="C92" s="8" t="s">
        <v>64</v>
      </c>
      <c r="D92" s="8" t="s">
        <v>158</v>
      </c>
      <c r="E92" s="14" t="s">
        <v>66</v>
      </c>
      <c r="F92" s="9" t="n">
        <v>3276</v>
      </c>
      <c r="G92" s="9" t="n">
        <v>97</v>
      </c>
      <c r="H92" s="9" t="n">
        <v>60</v>
      </c>
      <c r="I92" s="9" t="n">
        <v>54</v>
      </c>
      <c r="J92" s="9" t="n">
        <v>17</v>
      </c>
      <c r="K92" s="9" t="n">
        <v>0</v>
      </c>
      <c r="L92" s="9" t="n">
        <v>0</v>
      </c>
      <c r="M92" s="10" t="n">
        <f aca="false">IFERROR(G92/F92,"")</f>
        <v>0.0296092796092796</v>
      </c>
      <c r="N92" s="10" t="n">
        <f aca="false">IFERROR(H92/G92,"")</f>
        <v>0.618556701030928</v>
      </c>
      <c r="O92" s="11" t="n">
        <f aca="false">IFERROR(I92/H92,"")</f>
        <v>0.9</v>
      </c>
      <c r="P92" s="10" t="n">
        <f aca="false">IFERROR(J92/H92,"")</f>
        <v>0.283333333333333</v>
      </c>
      <c r="Q92" s="10" t="n">
        <f aca="false">IFERROR(K92/H92,"")</f>
        <v>0</v>
      </c>
      <c r="R92" s="10" t="n">
        <f aca="false">IFERROR(L92/H92,"")</f>
        <v>0</v>
      </c>
      <c r="S92" s="11" t="n">
        <f aca="false">IFERROR(M92/MEDIAN(INDEX($M$5:$M$627,MATCH($A92-90,$A$5:$A$627,1)):INDEX($M$5:$M$627,MATCH($A92+90,$A$5:$A$627,1))),"")</f>
        <v>0.783178600847774</v>
      </c>
      <c r="T92" s="11" t="n">
        <f aca="false">IFERROR(N92/MEDIAN(INDEX($N$5:$N$627,MATCH($A92-90,$A$5:$A$627,1)):INDEX($N$5:$N$627,MATCH($A92+90,$A$5:$A$627,1))),"")</f>
        <v>1.0762331838565</v>
      </c>
      <c r="U92" s="11" t="n">
        <f aca="false">IFERROR(Q92/MEDIAN(INDEX($Q$5:$Q$627,MATCH($A92-90,$A$5:$A$627,1)):INDEX($Q$5:$Q$627,MATCH($A92+90,$A$5:$A$627,1))),"")</f>
        <v>0</v>
      </c>
    </row>
    <row r="93" customFormat="false" ht="15" hidden="false" customHeight="false" outlineLevel="0" collapsed="false">
      <c r="A93" s="13" t="n">
        <v>45365.8649829167</v>
      </c>
      <c r="B93" s="8" t="n">
        <v>20</v>
      </c>
      <c r="C93" s="8" t="s">
        <v>73</v>
      </c>
      <c r="D93" s="8" t="s">
        <v>159</v>
      </c>
      <c r="E93" s="14" t="s">
        <v>66</v>
      </c>
      <c r="F93" s="9" t="n">
        <v>15211</v>
      </c>
      <c r="G93" s="9" t="n">
        <v>484</v>
      </c>
      <c r="H93" s="9" t="n">
        <v>248</v>
      </c>
      <c r="I93" s="9" t="n">
        <v>216</v>
      </c>
      <c r="J93" s="9" t="n">
        <v>38</v>
      </c>
      <c r="K93" s="9" t="n">
        <v>5</v>
      </c>
      <c r="L93" s="9" t="n">
        <v>5</v>
      </c>
      <c r="M93" s="10" t="n">
        <f aca="false">IFERROR(G93/F93,"")</f>
        <v>0.0318190782985997</v>
      </c>
      <c r="N93" s="10" t="n">
        <f aca="false">IFERROR(H93/G93,"")</f>
        <v>0.512396694214876</v>
      </c>
      <c r="O93" s="11" t="n">
        <f aca="false">IFERROR(I93/H93,"")</f>
        <v>0.870967741935484</v>
      </c>
      <c r="P93" s="10" t="n">
        <f aca="false">IFERROR(J93/H93,"")</f>
        <v>0.153225806451613</v>
      </c>
      <c r="Q93" s="10" t="n">
        <f aca="false">IFERROR(K93/H93,"")</f>
        <v>0.0201612903225806</v>
      </c>
      <c r="R93" s="10" t="n">
        <f aca="false">IFERROR(L93/H93,"")</f>
        <v>0.0201612903225806</v>
      </c>
      <c r="S93" s="11" t="n">
        <f aca="false">IFERROR(M93/MEDIAN(INDEX($M$5:$M$627,MATCH($A93-90,$A$5:$A$627,1)):INDEX($M$5:$M$627,MATCH($A93+90,$A$5:$A$627,1))),"")</f>
        <v>0.841628757977384</v>
      </c>
      <c r="T93" s="11" t="n">
        <f aca="false">IFERROR(N93/MEDIAN(INDEX($N$5:$N$627,MATCH($A93-90,$A$5:$A$627,1)):INDEX($N$5:$N$627,MATCH($A93+90,$A$5:$A$627,1))),"")</f>
        <v>0.896287550833005</v>
      </c>
      <c r="U93" s="11" t="n">
        <f aca="false">IFERROR(Q93/MEDIAN(INDEX($Q$5:$Q$627,MATCH($A93-90,$A$5:$A$627,1)):INDEX($Q$5:$Q$627,MATCH($A93+90,$A$5:$A$627,1))),"")</f>
        <v>1.99596774193548</v>
      </c>
    </row>
    <row r="94" customFormat="false" ht="15" hidden="false" customHeight="false" outlineLevel="0" collapsed="false">
      <c r="A94" s="13" t="n">
        <v>45367.5239064352</v>
      </c>
      <c r="B94" s="8" t="n">
        <v>12</v>
      </c>
      <c r="C94" s="8" t="s">
        <v>68</v>
      </c>
      <c r="D94" s="8" t="s">
        <v>160</v>
      </c>
      <c r="E94" s="14" t="s">
        <v>66</v>
      </c>
      <c r="F94" s="9" t="n">
        <v>6331</v>
      </c>
      <c r="G94" s="9" t="n">
        <v>232</v>
      </c>
      <c r="H94" s="9" t="n">
        <v>76</v>
      </c>
      <c r="I94" s="9" t="n">
        <v>74</v>
      </c>
      <c r="J94" s="9" t="n">
        <v>21</v>
      </c>
      <c r="K94" s="9" t="n">
        <v>1</v>
      </c>
      <c r="L94" s="9" t="n">
        <v>2</v>
      </c>
      <c r="M94" s="10" t="n">
        <f aca="false">IFERROR(G94/F94,"")</f>
        <v>0.0366450797662297</v>
      </c>
      <c r="N94" s="10" t="n">
        <f aca="false">IFERROR(H94/G94,"")</f>
        <v>0.327586206896552</v>
      </c>
      <c r="O94" s="11" t="n">
        <f aca="false">IFERROR(I94/H94,"")</f>
        <v>0.973684210526316</v>
      </c>
      <c r="P94" s="10" t="n">
        <f aca="false">IFERROR(J94/H94,"")</f>
        <v>0.276315789473684</v>
      </c>
      <c r="Q94" s="10" t="n">
        <f aca="false">IFERROR(K94/H94,"")</f>
        <v>0.0131578947368421</v>
      </c>
      <c r="R94" s="10" t="n">
        <f aca="false">IFERROR(L94/H94,"")</f>
        <v>0.0263157894736842</v>
      </c>
      <c r="S94" s="11" t="n">
        <f aca="false">IFERROR(M94/MEDIAN(INDEX($M$5:$M$627,MATCH($A94-90,$A$5:$A$627,1)):INDEX($M$5:$M$627,MATCH($A94+90,$A$5:$A$627,1))),"")</f>
        <v>0.971084189199613</v>
      </c>
      <c r="T94" s="11" t="n">
        <f aca="false">IFERROR(N94/MEDIAN(INDEX($N$5:$N$627,MATCH($A94-90,$A$5:$A$627,1)):INDEX($N$5:$N$627,MATCH($A94+90,$A$5:$A$627,1))),"")</f>
        <v>0.573346403616111</v>
      </c>
      <c r="U94" s="11" t="n">
        <f aca="false">IFERROR(Q94/MEDIAN(INDEX($Q$5:$Q$627,MATCH($A94-90,$A$5:$A$627,1)):INDEX($Q$5:$Q$627,MATCH($A94+90,$A$5:$A$627,1))),"")</f>
        <v>1.31404387062776</v>
      </c>
    </row>
    <row r="95" customFormat="false" ht="15" hidden="false" customHeight="false" outlineLevel="0" collapsed="false">
      <c r="A95" s="13" t="n">
        <v>45369.4955711458</v>
      </c>
      <c r="B95" s="8" t="n">
        <v>11</v>
      </c>
      <c r="C95" s="8" t="s">
        <v>80</v>
      </c>
      <c r="D95" s="8" t="s">
        <v>161</v>
      </c>
      <c r="E95" s="14" t="s">
        <v>66</v>
      </c>
      <c r="F95" s="9" t="n">
        <v>99336</v>
      </c>
      <c r="G95" s="9" t="n">
        <v>6350</v>
      </c>
      <c r="H95" s="9" t="n">
        <v>3239</v>
      </c>
      <c r="I95" s="9" t="n">
        <v>2733</v>
      </c>
      <c r="J95" s="9" t="n">
        <v>153</v>
      </c>
      <c r="K95" s="9" t="n">
        <v>4</v>
      </c>
      <c r="L95" s="9" t="n">
        <v>19</v>
      </c>
      <c r="M95" s="10" t="n">
        <f aca="false">IFERROR(G95/F95,"")</f>
        <v>0.0639244584038013</v>
      </c>
      <c r="N95" s="10" t="n">
        <f aca="false">IFERROR(H95/G95,"")</f>
        <v>0.51007874015748</v>
      </c>
      <c r="O95" s="11" t="n">
        <f aca="false">IFERROR(I95/H95,"")</f>
        <v>0.843778944118555</v>
      </c>
      <c r="P95" s="10" t="n">
        <f aca="false">IFERROR(J95/H95,"")</f>
        <v>0.0472368014819389</v>
      </c>
      <c r="Q95" s="10" t="n">
        <f aca="false">IFERROR(K95/H95,"")</f>
        <v>0.00123494905835134</v>
      </c>
      <c r="R95" s="10" t="n">
        <f aca="false">IFERROR(L95/H95,"")</f>
        <v>0.00586600802716888</v>
      </c>
      <c r="S95" s="11" t="n">
        <f aca="false">IFERROR(M95/MEDIAN(INDEX($M$5:$M$627,MATCH($A95-90,$A$5:$A$627,1)):INDEX($M$5:$M$627,MATCH($A95+90,$A$5:$A$627,1))),"")</f>
        <v>1.69714135568215</v>
      </c>
      <c r="T95" s="11" t="n">
        <f aca="false">IFERROR(N95/MEDIAN(INDEX($N$5:$N$627,MATCH($A95-90,$A$5:$A$627,1)):INDEX($N$5:$N$627,MATCH($A95+90,$A$5:$A$627,1))),"")</f>
        <v>0.893262891770882</v>
      </c>
      <c r="U95" s="11" t="n">
        <f aca="false">IFERROR(Q95/MEDIAN(INDEX($Q$5:$Q$627,MATCH($A95-90,$A$5:$A$627,1)):INDEX($Q$5:$Q$627,MATCH($A95+90,$A$5:$A$627,1))),"")</f>
        <v>0.122259956776783</v>
      </c>
    </row>
    <row r="96" customFormat="false" ht="15" hidden="false" customHeight="false" outlineLevel="0" collapsed="false">
      <c r="A96" s="13" t="n">
        <v>45371.5126555556</v>
      </c>
      <c r="B96" s="8" t="n">
        <v>12</v>
      </c>
      <c r="C96" s="8" t="s">
        <v>71</v>
      </c>
      <c r="D96" s="8" t="s">
        <v>162</v>
      </c>
      <c r="E96" s="14" t="s">
        <v>66</v>
      </c>
      <c r="F96" s="9" t="n">
        <v>8930</v>
      </c>
      <c r="G96" s="9" t="n">
        <v>284</v>
      </c>
      <c r="H96" s="9" t="n">
        <v>144</v>
      </c>
      <c r="I96" s="9" t="n">
        <v>147</v>
      </c>
      <c r="J96" s="9" t="n">
        <v>32</v>
      </c>
      <c r="K96" s="9" t="n">
        <v>3</v>
      </c>
      <c r="L96" s="9" t="n">
        <v>4</v>
      </c>
      <c r="M96" s="10" t="n">
        <f aca="false">IFERROR(G96/F96,"")</f>
        <v>0.0318029115341545</v>
      </c>
      <c r="N96" s="10" t="n">
        <f aca="false">IFERROR(H96/G96,"")</f>
        <v>0.507042253521127</v>
      </c>
      <c r="O96" s="11" t="n">
        <f aca="false">IFERROR(I96/H96,"")</f>
        <v>1.02083333333333</v>
      </c>
      <c r="P96" s="10" t="n">
        <f aca="false">IFERROR(J96/H96,"")</f>
        <v>0.222222222222222</v>
      </c>
      <c r="Q96" s="10" t="n">
        <f aca="false">IFERROR(K96/H96,"")</f>
        <v>0.0208333333333333</v>
      </c>
      <c r="R96" s="10" t="n">
        <f aca="false">IFERROR(L96/H96,"")</f>
        <v>0.0277777777777778</v>
      </c>
      <c r="S96" s="11" t="n">
        <f aca="false">IFERROR(M96/MEDIAN(INDEX($M$5:$M$627,MATCH($A96-90,$A$5:$A$627,1)):INDEX($M$5:$M$627,MATCH($A96+90,$A$5:$A$627,1))),"")</f>
        <v>0.844340925890502</v>
      </c>
      <c r="T96" s="11" t="n">
        <f aca="false">IFERROR(N96/MEDIAN(INDEX($N$5:$N$627,MATCH($A96-90,$A$5:$A$627,1)):INDEX($N$5:$N$627,MATCH($A96+90,$A$5:$A$627,1))),"")</f>
        <v>0.894422535211268</v>
      </c>
      <c r="U96" s="11" t="n">
        <f aca="false">IFERROR(Q96/MEDIAN(INDEX($Q$5:$Q$627,MATCH($A96-90,$A$5:$A$627,1)):INDEX($Q$5:$Q$627,MATCH($A96+90,$A$5:$A$627,1))),"")</f>
        <v>1.97916666666667</v>
      </c>
    </row>
    <row r="97" customFormat="false" ht="15" hidden="false" customHeight="false" outlineLevel="0" collapsed="false">
      <c r="A97" s="13" t="n">
        <v>45373.5882896412</v>
      </c>
      <c r="B97" s="8" t="n">
        <v>14</v>
      </c>
      <c r="C97" s="8" t="s">
        <v>84</v>
      </c>
      <c r="D97" s="8" t="s">
        <v>163</v>
      </c>
      <c r="E97" s="14" t="s">
        <v>66</v>
      </c>
      <c r="F97" s="9" t="n">
        <v>19457</v>
      </c>
      <c r="G97" s="9" t="n">
        <v>509</v>
      </c>
      <c r="H97" s="9" t="n">
        <v>328</v>
      </c>
      <c r="I97" s="9" t="n">
        <v>383</v>
      </c>
      <c r="J97" s="9" t="n">
        <v>46</v>
      </c>
      <c r="K97" s="9" t="n">
        <v>2</v>
      </c>
      <c r="L97" s="9" t="n">
        <v>5</v>
      </c>
      <c r="M97" s="10" t="n">
        <f aca="false">IFERROR(G97/F97,"")</f>
        <v>0.0261602508094773</v>
      </c>
      <c r="N97" s="10" t="n">
        <f aca="false">IFERROR(H97/G97,"")</f>
        <v>0.644400785854617</v>
      </c>
      <c r="O97" s="11" t="n">
        <f aca="false">IFERROR(I97/H97,"")</f>
        <v>1.16768292682927</v>
      </c>
      <c r="P97" s="10" t="n">
        <f aca="false">IFERROR(J97/H97,"")</f>
        <v>0.140243902439024</v>
      </c>
      <c r="Q97" s="10" t="n">
        <f aca="false">IFERROR(K97/H97,"")</f>
        <v>0.00609756097560976</v>
      </c>
      <c r="R97" s="10" t="n">
        <f aca="false">IFERROR(L97/H97,"")</f>
        <v>0.0152439024390244</v>
      </c>
      <c r="S97" s="11" t="n">
        <f aca="false">IFERROR(M97/MEDIAN(INDEX($M$5:$M$627,MATCH($A97-90,$A$5:$A$627,1)):INDEX($M$5:$M$627,MATCH($A97+90,$A$5:$A$627,1))),"")</f>
        <v>0.673131113040032</v>
      </c>
      <c r="T97" s="11" t="n">
        <f aca="false">IFERROR(N97/MEDIAN(INDEX($N$5:$N$627,MATCH($A97-90,$A$5:$A$627,1)):INDEX($N$5:$N$627,MATCH($A97+90,$A$5:$A$627,1))),"")</f>
        <v>1.13761492592192</v>
      </c>
      <c r="U97" s="11" t="n">
        <f aca="false">IFERROR(Q97/MEDIAN(INDEX($Q$5:$Q$627,MATCH($A97-90,$A$5:$A$627,1)):INDEX($Q$5:$Q$627,MATCH($A97+90,$A$5:$A$627,1))),"")</f>
        <v>0.591211968820719</v>
      </c>
    </row>
    <row r="98" customFormat="false" ht="15" hidden="false" customHeight="false" outlineLevel="0" collapsed="false">
      <c r="A98" s="13" t="n">
        <v>45375.532966794</v>
      </c>
      <c r="B98" s="8" t="n">
        <v>12</v>
      </c>
      <c r="C98" s="8" t="s">
        <v>86</v>
      </c>
      <c r="D98" s="8" t="s">
        <v>164</v>
      </c>
      <c r="E98" s="14" t="s">
        <v>66</v>
      </c>
      <c r="F98" s="9" t="n">
        <v>43239</v>
      </c>
      <c r="G98" s="9" t="n">
        <v>1452</v>
      </c>
      <c r="H98" s="9" t="n">
        <v>769</v>
      </c>
      <c r="I98" s="9" t="n">
        <v>790</v>
      </c>
      <c r="J98" s="9" t="n">
        <v>62</v>
      </c>
      <c r="K98" s="9" t="n">
        <v>5</v>
      </c>
      <c r="L98" s="9" t="n">
        <v>8</v>
      </c>
      <c r="M98" s="10" t="n">
        <f aca="false">IFERROR(G98/F98,"")</f>
        <v>0.0335807951155207</v>
      </c>
      <c r="N98" s="10" t="n">
        <f aca="false">IFERROR(H98/G98,"")</f>
        <v>0.529614325068871</v>
      </c>
      <c r="O98" s="11" t="n">
        <f aca="false">IFERROR(I98/H98,"")</f>
        <v>1.02730819245774</v>
      </c>
      <c r="P98" s="10" t="n">
        <f aca="false">IFERROR(J98/H98,"")</f>
        <v>0.0806241872561769</v>
      </c>
      <c r="Q98" s="10" t="n">
        <f aca="false">IFERROR(K98/H98,"")</f>
        <v>0.00650195058517555</v>
      </c>
      <c r="R98" s="10" t="n">
        <f aca="false">IFERROR(L98/H98,"")</f>
        <v>0.0104031209362809</v>
      </c>
      <c r="S98" s="11" t="n">
        <f aca="false">IFERROR(M98/MEDIAN(INDEX($M$5:$M$627,MATCH($A98-90,$A$5:$A$627,1)):INDEX($M$5:$M$627,MATCH($A98+90,$A$5:$A$627,1))),"")</f>
        <v>0.841191524980658</v>
      </c>
      <c r="T98" s="11" t="n">
        <f aca="false">IFERROR(N98/MEDIAN(INDEX($N$5:$N$627,MATCH($A98-90,$A$5:$A$627,1)):INDEX($N$5:$N$627,MATCH($A98+90,$A$5:$A$627,1))),"")</f>
        <v>0.93570693945086</v>
      </c>
      <c r="U98" s="11" t="n">
        <f aca="false">IFERROR(Q98/MEDIAN(INDEX($Q$5:$Q$627,MATCH($A98-90,$A$5:$A$627,1)):INDEX($Q$5:$Q$627,MATCH($A98+90,$A$5:$A$627,1))),"")</f>
        <v>0.64369310793238</v>
      </c>
    </row>
    <row r="99" customFormat="false" ht="15" hidden="false" customHeight="false" outlineLevel="0" collapsed="false">
      <c r="A99" s="13" t="n">
        <v>45377.5267465625</v>
      </c>
      <c r="B99" s="8" t="n">
        <v>12</v>
      </c>
      <c r="C99" s="8" t="s">
        <v>64</v>
      </c>
      <c r="D99" s="8" t="s">
        <v>165</v>
      </c>
      <c r="E99" s="14" t="s">
        <v>66</v>
      </c>
      <c r="F99" s="9" t="n">
        <v>1154896</v>
      </c>
      <c r="G99" s="9" t="n">
        <v>159124</v>
      </c>
      <c r="H99" s="9" t="n">
        <v>71480</v>
      </c>
      <c r="I99" s="9" t="n">
        <v>46467</v>
      </c>
      <c r="J99" s="9" t="n">
        <v>1135</v>
      </c>
      <c r="K99" s="9" t="n">
        <v>708</v>
      </c>
      <c r="L99" s="9" t="n">
        <v>215</v>
      </c>
      <c r="M99" s="10" t="n">
        <f aca="false">IFERROR(G99/F99,"")</f>
        <v>0.137782103323589</v>
      </c>
      <c r="N99" s="10" t="n">
        <f aca="false">IFERROR(H99/G99,"")</f>
        <v>0.449209421583168</v>
      </c>
      <c r="O99" s="11" t="n">
        <f aca="false">IFERROR(I99/H99,"")</f>
        <v>0.650069949636262</v>
      </c>
      <c r="P99" s="10" t="n">
        <f aca="false">IFERROR(J99/H99,"")</f>
        <v>0.0158785674314494</v>
      </c>
      <c r="Q99" s="10" t="n">
        <f aca="false">IFERROR(K99/H99,"")</f>
        <v>0.00990486849468383</v>
      </c>
      <c r="R99" s="10" t="n">
        <f aca="false">IFERROR(L99/H99,"")</f>
        <v>0.00300783435926133</v>
      </c>
      <c r="S99" s="11" t="n">
        <f aca="false">IFERROR(M99/MEDIAN(INDEX($M$5:$M$627,MATCH($A99-90,$A$5:$A$627,1)):INDEX($M$5:$M$627,MATCH($A99+90,$A$5:$A$627,1))),"")</f>
        <v>3.42800849723573</v>
      </c>
      <c r="T99" s="11" t="n">
        <f aca="false">IFERROR(N99/MEDIAN(INDEX($N$5:$N$627,MATCH($A99-90,$A$5:$A$627,1)):INDEX($N$5:$N$627,MATCH($A99+90,$A$5:$A$627,1))),"")</f>
        <v>0.811833172119827</v>
      </c>
      <c r="U99" s="11" t="n">
        <f aca="false">IFERROR(Q99/MEDIAN(INDEX($Q$5:$Q$627,MATCH($A99-90,$A$5:$A$627,1)):INDEX($Q$5:$Q$627,MATCH($A99+90,$A$5:$A$627,1))),"")</f>
        <v>0.980581980973699</v>
      </c>
    </row>
    <row r="100" customFormat="false" ht="15" hidden="false" customHeight="false" outlineLevel="0" collapsed="false">
      <c r="A100" s="13" t="n">
        <v>45379.6985556829</v>
      </c>
      <c r="B100" s="8" t="n">
        <v>16</v>
      </c>
      <c r="C100" s="8" t="s">
        <v>73</v>
      </c>
      <c r="D100" s="8" t="s">
        <v>166</v>
      </c>
      <c r="E100" s="14" t="s">
        <v>66</v>
      </c>
      <c r="F100" s="9" t="n">
        <v>1013196</v>
      </c>
      <c r="G100" s="9" t="n">
        <v>38163</v>
      </c>
      <c r="H100" s="9" t="n">
        <v>30193</v>
      </c>
      <c r="I100" s="9" t="n">
        <v>21337</v>
      </c>
      <c r="J100" s="9" t="n">
        <v>860</v>
      </c>
      <c r="K100" s="9" t="n">
        <v>212</v>
      </c>
      <c r="L100" s="9" t="n">
        <v>97</v>
      </c>
      <c r="M100" s="10" t="n">
        <f aca="false">IFERROR(G100/F100,"")</f>
        <v>0.0376659599919463</v>
      </c>
      <c r="N100" s="10" t="n">
        <f aca="false">IFERROR(H100/G100,"")</f>
        <v>0.791158975971491</v>
      </c>
      <c r="O100" s="11" t="n">
        <f aca="false">IFERROR(I100/H100,"")</f>
        <v>0.706686980425927</v>
      </c>
      <c r="P100" s="10" t="n">
        <f aca="false">IFERROR(J100/H100,"")</f>
        <v>0.0284834233100388</v>
      </c>
      <c r="Q100" s="10" t="n">
        <f aca="false">IFERROR(K100/H100,"")</f>
        <v>0.00702149504852118</v>
      </c>
      <c r="R100" s="10" t="n">
        <f aca="false">IFERROR(L100/H100,"")</f>
        <v>0.00321266518729507</v>
      </c>
      <c r="S100" s="11" t="n">
        <f aca="false">IFERROR(M100/MEDIAN(INDEX($M$5:$M$627,MATCH($A100-90,$A$5:$A$627,1)):INDEX($M$5:$M$627,MATCH($A100+90,$A$5:$A$627,1))),"")</f>
        <v>0.93144664720192</v>
      </c>
      <c r="T100" s="11" t="n">
        <f aca="false">IFERROR(N100/MEDIAN(INDEX($N$5:$N$627,MATCH($A100-90,$A$5:$A$627,1)):INDEX($N$5:$N$627,MATCH($A100+90,$A$5:$A$627,1))),"")</f>
        <v>1.41362733916963</v>
      </c>
      <c r="U100" s="11" t="n">
        <f aca="false">IFERROR(Q100/MEDIAN(INDEX($Q$5:$Q$627,MATCH($A100-90,$A$5:$A$627,1)):INDEX($Q$5:$Q$627,MATCH($A100+90,$A$5:$A$627,1))),"")</f>
        <v>0.701217992367583</v>
      </c>
    </row>
    <row r="101" customFormat="false" ht="15" hidden="false" customHeight="false" outlineLevel="0" collapsed="false">
      <c r="A101" s="13" t="n">
        <v>45381.6375436574</v>
      </c>
      <c r="B101" s="8" t="n">
        <v>15</v>
      </c>
      <c r="C101" s="8" t="s">
        <v>68</v>
      </c>
      <c r="D101" s="8" t="s">
        <v>167</v>
      </c>
      <c r="E101" s="14" t="s">
        <v>66</v>
      </c>
      <c r="F101" s="9" t="n">
        <v>119592</v>
      </c>
      <c r="G101" s="9" t="n">
        <v>8711</v>
      </c>
      <c r="H101" s="9" t="n">
        <v>6076</v>
      </c>
      <c r="I101" s="9" t="n">
        <v>4716</v>
      </c>
      <c r="J101" s="9" t="n">
        <v>520</v>
      </c>
      <c r="K101" s="9" t="n">
        <v>21</v>
      </c>
      <c r="L101" s="9" t="n">
        <v>67</v>
      </c>
      <c r="M101" s="10" t="n">
        <f aca="false">IFERROR(G101/F101,"")</f>
        <v>0.0728393203558767</v>
      </c>
      <c r="N101" s="10" t="n">
        <f aca="false">IFERROR(H101/G101,"")</f>
        <v>0.697508896797153</v>
      </c>
      <c r="O101" s="11" t="n">
        <f aca="false">IFERROR(I101/H101,"")</f>
        <v>0.776168531928901</v>
      </c>
      <c r="P101" s="10" t="n">
        <f aca="false">IFERROR(J101/H101,"")</f>
        <v>0.0855826201448321</v>
      </c>
      <c r="Q101" s="10" t="n">
        <f aca="false">IFERROR(K101/H101,"")</f>
        <v>0.00345622119815668</v>
      </c>
      <c r="R101" s="10" t="n">
        <f aca="false">IFERROR(L101/H101,"")</f>
        <v>0.011026991441738</v>
      </c>
      <c r="S101" s="11" t="n">
        <f aca="false">IFERROR(M101/MEDIAN(INDEX($M$5:$M$627,MATCH($A101-90,$A$5:$A$627,1)):INDEX($M$5:$M$627,MATCH($A101+90,$A$5:$A$627,1))),"")</f>
        <v>1.81840186603089</v>
      </c>
      <c r="T101" s="11" t="n">
        <f aca="false">IFERROR(N101/MEDIAN(INDEX($N$5:$N$627,MATCH($A101-90,$A$5:$A$627,1)):INDEX($N$5:$N$627,MATCH($A101+90,$A$5:$A$627,1))),"")</f>
        <v>1.24629521470794</v>
      </c>
      <c r="U101" s="11" t="n">
        <f aca="false">IFERROR(Q101/MEDIAN(INDEX($Q$5:$Q$627,MATCH($A101-90,$A$5:$A$627,1)):INDEX($Q$5:$Q$627,MATCH($A101+90,$A$5:$A$627,1))),"")</f>
        <v>0.345163597353835</v>
      </c>
    </row>
    <row r="102" customFormat="false" ht="15" hidden="false" customHeight="false" outlineLevel="0" collapsed="false">
      <c r="A102" s="13" t="n">
        <v>45383.5540325695</v>
      </c>
      <c r="B102" s="8" t="n">
        <v>13</v>
      </c>
      <c r="C102" s="8" t="s">
        <v>80</v>
      </c>
      <c r="D102" s="8" t="s">
        <v>168</v>
      </c>
      <c r="E102" s="14" t="s">
        <v>66</v>
      </c>
      <c r="F102" s="9" t="n">
        <v>659607</v>
      </c>
      <c r="G102" s="9" t="n">
        <v>17396</v>
      </c>
      <c r="H102" s="9" t="n">
        <v>10057</v>
      </c>
      <c r="I102" s="9" t="n">
        <v>3631</v>
      </c>
      <c r="J102" s="9" t="n">
        <v>379</v>
      </c>
      <c r="K102" s="9" t="n">
        <v>205</v>
      </c>
      <c r="L102" s="9" t="n">
        <v>35</v>
      </c>
      <c r="M102" s="10" t="n">
        <f aca="false">IFERROR(G102/F102,"")</f>
        <v>0.0263732798469392</v>
      </c>
      <c r="N102" s="10" t="n">
        <f aca="false">IFERROR(H102/G102,"")</f>
        <v>0.578121407220051</v>
      </c>
      <c r="O102" s="11" t="n">
        <f aca="false">IFERROR(I102/H102,"")</f>
        <v>0.361042060256538</v>
      </c>
      <c r="P102" s="10" t="n">
        <f aca="false">IFERROR(J102/H102,"")</f>
        <v>0.0376851943919658</v>
      </c>
      <c r="Q102" s="10" t="n">
        <f aca="false">IFERROR(K102/H102,"")</f>
        <v>0.0203838122700607</v>
      </c>
      <c r="R102" s="10" t="n">
        <f aca="false">IFERROR(L102/H102,"")</f>
        <v>0.00348016307049816</v>
      </c>
      <c r="S102" s="11" t="n">
        <f aca="false">IFERROR(M102/MEDIAN(INDEX($M$5:$M$627,MATCH($A102-90,$A$5:$A$627,1)):INDEX($M$5:$M$627,MATCH($A102+90,$A$5:$A$627,1))),"")</f>
        <v>0.660644854205216</v>
      </c>
      <c r="T102" s="11" t="n">
        <f aca="false">IFERROR(N102/MEDIAN(INDEX($N$5:$N$627,MATCH($A102-90,$A$5:$A$627,1)):INDEX($N$5:$N$627,MATCH($A102+90,$A$5:$A$627,1))),"")</f>
        <v>1.04480919888039</v>
      </c>
      <c r="U102" s="11" t="n">
        <f aca="false">IFERROR(Q102/MEDIAN(INDEX($Q$5:$Q$627,MATCH($A102-90,$A$5:$A$627,1)):INDEX($Q$5:$Q$627,MATCH($A102+90,$A$5:$A$627,1))),"")</f>
        <v>2.01799741473601</v>
      </c>
    </row>
    <row r="103" customFormat="false" ht="15" hidden="false" customHeight="false" outlineLevel="0" collapsed="false">
      <c r="A103" s="13" t="n">
        <v>45385.4760577894</v>
      </c>
      <c r="B103" s="8" t="n">
        <v>11</v>
      </c>
      <c r="C103" s="8" t="s">
        <v>71</v>
      </c>
      <c r="D103" s="8" t="s">
        <v>169</v>
      </c>
      <c r="E103" s="14" t="s">
        <v>66</v>
      </c>
      <c r="F103" s="9" t="n">
        <v>278779</v>
      </c>
      <c r="G103" s="9" t="n">
        <v>11129</v>
      </c>
      <c r="H103" s="9" t="n">
        <v>6618</v>
      </c>
      <c r="I103" s="9" t="n">
        <v>5554</v>
      </c>
      <c r="J103" s="9" t="n">
        <v>362</v>
      </c>
      <c r="K103" s="9" t="n">
        <v>224</v>
      </c>
      <c r="L103" s="9" t="n">
        <v>22</v>
      </c>
      <c r="M103" s="10" t="n">
        <f aca="false">IFERROR(G103/F103,"")</f>
        <v>0.0399205105119109</v>
      </c>
      <c r="N103" s="10" t="n">
        <f aca="false">IFERROR(H103/G103,"")</f>
        <v>0.594662593224908</v>
      </c>
      <c r="O103" s="11" t="n">
        <f aca="false">IFERROR(I103/H103,"")</f>
        <v>0.839226352372318</v>
      </c>
      <c r="P103" s="10" t="n">
        <f aca="false">IFERROR(J103/H103,"")</f>
        <v>0.0546993049259595</v>
      </c>
      <c r="Q103" s="10" t="n">
        <f aca="false">IFERROR(K103/H103,"")</f>
        <v>0.033847083711091</v>
      </c>
      <c r="R103" s="10" t="n">
        <f aca="false">IFERROR(L103/H103,"")</f>
        <v>0.00332426715019643</v>
      </c>
      <c r="S103" s="11" t="n">
        <f aca="false">IFERROR(M103/MEDIAN(INDEX($M$5:$M$627,MATCH($A103-90,$A$5:$A$627,1)):INDEX($M$5:$M$627,MATCH($A103+90,$A$5:$A$627,1))),"")</f>
        <v>1</v>
      </c>
      <c r="T103" s="11" t="n">
        <f aca="false">IFERROR(N103/MEDIAN(INDEX($N$5:$N$627,MATCH($A103-90,$A$5:$A$627,1)):INDEX($N$5:$N$627,MATCH($A103+90,$A$5:$A$627,1))),"")</f>
        <v>1.05063229745539</v>
      </c>
      <c r="U103" s="11" t="n">
        <f aca="false">IFERROR(Q103/MEDIAN(INDEX($Q$5:$Q$627,MATCH($A103-90,$A$5:$A$627,1)):INDEX($Q$5:$Q$627,MATCH($A103+90,$A$5:$A$627,1))),"")</f>
        <v>3.35086128739801</v>
      </c>
    </row>
    <row r="104" customFormat="false" ht="15" hidden="false" customHeight="false" outlineLevel="0" collapsed="false">
      <c r="A104" s="13" t="n">
        <v>45387.56053125</v>
      </c>
      <c r="B104" s="8" t="n">
        <v>13</v>
      </c>
      <c r="C104" s="8" t="s">
        <v>84</v>
      </c>
      <c r="D104" s="8" t="s">
        <v>170</v>
      </c>
      <c r="E104" s="14" t="s">
        <v>66</v>
      </c>
      <c r="F104" s="9" t="n">
        <v>46436</v>
      </c>
      <c r="G104" s="9" t="n">
        <v>720</v>
      </c>
      <c r="H104" s="9" t="n">
        <v>428</v>
      </c>
      <c r="I104" s="9" t="n">
        <v>514</v>
      </c>
      <c r="J104" s="9" t="n">
        <v>57</v>
      </c>
      <c r="K104" s="9" t="n">
        <v>1</v>
      </c>
      <c r="L104" s="9" t="n">
        <v>3</v>
      </c>
      <c r="M104" s="10" t="n">
        <f aca="false">IFERROR(G104/F104,"")</f>
        <v>0.0155052114738565</v>
      </c>
      <c r="N104" s="10" t="n">
        <f aca="false">IFERROR(H104/G104,"")</f>
        <v>0.594444444444444</v>
      </c>
      <c r="O104" s="11" t="n">
        <f aca="false">IFERROR(I104/H104,"")</f>
        <v>1.20093457943925</v>
      </c>
      <c r="P104" s="10" t="n">
        <f aca="false">IFERROR(J104/H104,"")</f>
        <v>0.133177570093458</v>
      </c>
      <c r="Q104" s="10" t="n">
        <f aca="false">IFERROR(K104/H104,"")</f>
        <v>0.00233644859813084</v>
      </c>
      <c r="R104" s="10" t="n">
        <f aca="false">IFERROR(L104/H104,"")</f>
        <v>0.00700934579439252</v>
      </c>
      <c r="S104" s="11" t="n">
        <f aca="false">IFERROR(M104/MEDIAN(INDEX($M$5:$M$627,MATCH($A104-90,$A$5:$A$627,1)):INDEX($M$5:$M$627,MATCH($A104+90,$A$5:$A$627,1))),"")</f>
        <v>0.387080842318561</v>
      </c>
      <c r="T104" s="11" t="n">
        <f aca="false">IFERROR(N104/MEDIAN(INDEX($N$5:$N$627,MATCH($A104-90,$A$5:$A$627,1)):INDEX($N$5:$N$627,MATCH($A104+90,$A$5:$A$627,1))),"")</f>
        <v>1.06214167292017</v>
      </c>
      <c r="U104" s="11" t="n">
        <f aca="false">IFERROR(Q104/MEDIAN(INDEX($Q$5:$Q$627,MATCH($A104-90,$A$5:$A$627,1)):INDEX($Q$5:$Q$627,MATCH($A104+90,$A$5:$A$627,1))),"")</f>
        <v>0.235642794865732</v>
      </c>
    </row>
    <row r="105" customFormat="false" ht="15" hidden="false" customHeight="false" outlineLevel="0" collapsed="false">
      <c r="A105" s="13" t="n">
        <v>45389.4936276968</v>
      </c>
      <c r="B105" s="8" t="n">
        <v>11</v>
      </c>
      <c r="C105" s="8" t="s">
        <v>86</v>
      </c>
      <c r="D105" s="8" t="s">
        <v>171</v>
      </c>
      <c r="E105" s="14" t="s">
        <v>66</v>
      </c>
      <c r="F105" s="9" t="n">
        <v>79592</v>
      </c>
      <c r="G105" s="9" t="n">
        <v>6682</v>
      </c>
      <c r="H105" s="9" t="n">
        <v>2443</v>
      </c>
      <c r="I105" s="9" t="n">
        <v>1740</v>
      </c>
      <c r="J105" s="9" t="n">
        <v>209</v>
      </c>
      <c r="K105" s="9" t="n">
        <v>11</v>
      </c>
      <c r="L105" s="9" t="n">
        <v>11</v>
      </c>
      <c r="M105" s="10" t="n">
        <f aca="false">IFERROR(G105/F105,"")</f>
        <v>0.0839531611217208</v>
      </c>
      <c r="N105" s="10" t="n">
        <f aca="false">IFERROR(H105/G105,"")</f>
        <v>0.365609099072134</v>
      </c>
      <c r="O105" s="11" t="n">
        <f aca="false">IFERROR(I105/H105,"")</f>
        <v>0.712239050347933</v>
      </c>
      <c r="P105" s="10" t="n">
        <f aca="false">IFERROR(J105/H105,"")</f>
        <v>0.0855505525992632</v>
      </c>
      <c r="Q105" s="10" t="n">
        <f aca="false">IFERROR(K105/H105,"")</f>
        <v>0.00450266066311912</v>
      </c>
      <c r="R105" s="10" t="n">
        <f aca="false">IFERROR(L105/H105,"")</f>
        <v>0.00450266066311912</v>
      </c>
      <c r="S105" s="11" t="n">
        <f aca="false">IFERROR(M105/MEDIAN(INDEX($M$5:$M$627,MATCH($A105-90,$A$5:$A$627,1)):INDEX($M$5:$M$627,MATCH($A105+90,$A$5:$A$627,1))),"")</f>
        <v>2.09585405378666</v>
      </c>
      <c r="T105" s="11" t="n">
        <f aca="false">IFERROR(N105/MEDIAN(INDEX($N$5:$N$627,MATCH($A105-90,$A$5:$A$627,1)):INDEX($N$5:$N$627,MATCH($A105+90,$A$5:$A$627,1))),"")</f>
        <v>0.664540948357033</v>
      </c>
      <c r="U105" s="11" t="n">
        <f aca="false">IFERROR(Q105/MEDIAN(INDEX($Q$5:$Q$627,MATCH($A105-90,$A$5:$A$627,1)):INDEX($Q$5:$Q$627,MATCH($A105+90,$A$5:$A$627,1))),"")</f>
        <v>0.449668717087518</v>
      </c>
    </row>
    <row r="106" customFormat="false" ht="15" hidden="false" customHeight="false" outlineLevel="0" collapsed="false">
      <c r="A106" s="13" t="n">
        <v>45391.5295122338</v>
      </c>
      <c r="B106" s="8" t="n">
        <v>12</v>
      </c>
      <c r="C106" s="8" t="s">
        <v>64</v>
      </c>
      <c r="D106" s="8" t="s">
        <v>172</v>
      </c>
      <c r="E106" s="14" t="s">
        <v>66</v>
      </c>
      <c r="F106" s="9" t="n">
        <v>7651</v>
      </c>
      <c r="G106" s="9" t="n">
        <v>1353</v>
      </c>
      <c r="H106" s="9" t="n">
        <v>594</v>
      </c>
      <c r="I106" s="9" t="n">
        <v>369</v>
      </c>
      <c r="J106" s="9" t="n">
        <v>81</v>
      </c>
      <c r="K106" s="9" t="n">
        <v>6</v>
      </c>
      <c r="L106" s="9" t="n">
        <v>3</v>
      </c>
      <c r="M106" s="10" t="n">
        <f aca="false">IFERROR(G106/F106,"")</f>
        <v>0.176839628806692</v>
      </c>
      <c r="N106" s="10" t="n">
        <f aca="false">IFERROR(H106/G106,"")</f>
        <v>0.439024390243902</v>
      </c>
      <c r="O106" s="11" t="n">
        <f aca="false">IFERROR(I106/H106,"")</f>
        <v>0.621212121212121</v>
      </c>
      <c r="P106" s="10" t="n">
        <f aca="false">IFERROR(J106/H106,"")</f>
        <v>0.136363636363636</v>
      </c>
      <c r="Q106" s="10" t="n">
        <f aca="false">IFERROR(K106/H106,"")</f>
        <v>0.0101010101010101</v>
      </c>
      <c r="R106" s="10" t="n">
        <f aca="false">IFERROR(L106/H106,"")</f>
        <v>0.00505050505050505</v>
      </c>
      <c r="S106" s="11" t="n">
        <f aca="false">IFERROR(M106/MEDIAN(INDEX($M$5:$M$627,MATCH($A106-90,$A$5:$A$627,1)):INDEX($M$5:$M$627,MATCH($A106+90,$A$5:$A$627,1))),"")</f>
        <v>4.41472420993498</v>
      </c>
      <c r="T106" s="11" t="n">
        <f aca="false">IFERROR(N106/MEDIAN(INDEX($N$5:$N$627,MATCH($A106-90,$A$5:$A$627,1)):INDEX($N$5:$N$627,MATCH($A106+90,$A$5:$A$627,1))),"")</f>
        <v>0.810749631582432</v>
      </c>
      <c r="U106" s="11" t="n">
        <f aca="false">IFERROR(Q106/MEDIAN(INDEX($Q$5:$Q$627,MATCH($A106-90,$A$5:$A$627,1)):INDEX($Q$5:$Q$627,MATCH($A106+90,$A$5:$A$627,1))),"")</f>
        <v>0.979381443298969</v>
      </c>
    </row>
    <row r="107" customFormat="false" ht="15" hidden="false" customHeight="false" outlineLevel="0" collapsed="false">
      <c r="A107" s="13" t="n">
        <v>45393.5459450579</v>
      </c>
      <c r="B107" s="8" t="n">
        <v>13</v>
      </c>
      <c r="C107" s="8" t="s">
        <v>73</v>
      </c>
      <c r="D107" s="8" t="s">
        <v>173</v>
      </c>
      <c r="E107" s="14" t="s">
        <v>66</v>
      </c>
      <c r="F107" s="9" t="n">
        <v>26793</v>
      </c>
      <c r="G107" s="9" t="n">
        <v>1097</v>
      </c>
      <c r="H107" s="9" t="n">
        <v>607</v>
      </c>
      <c r="I107" s="9" t="n">
        <v>698</v>
      </c>
      <c r="J107" s="9" t="n">
        <v>83</v>
      </c>
      <c r="K107" s="9" t="n">
        <v>6</v>
      </c>
      <c r="L107" s="9" t="n">
        <v>4</v>
      </c>
      <c r="M107" s="10" t="n">
        <f aca="false">IFERROR(G107/F107,"")</f>
        <v>0.0409435300264995</v>
      </c>
      <c r="N107" s="10" t="n">
        <f aca="false">IFERROR(H107/G107,"")</f>
        <v>0.553327256153145</v>
      </c>
      <c r="O107" s="11" t="n">
        <f aca="false">IFERROR(I107/H107,"")</f>
        <v>1.1499176276771</v>
      </c>
      <c r="P107" s="10" t="n">
        <f aca="false">IFERROR(J107/H107,"")</f>
        <v>0.13673805601318</v>
      </c>
      <c r="Q107" s="10" t="n">
        <f aca="false">IFERROR(K107/H107,"")</f>
        <v>0.00988467874794069</v>
      </c>
      <c r="R107" s="10" t="n">
        <f aca="false">IFERROR(L107/H107,"")</f>
        <v>0.00658978583196046</v>
      </c>
      <c r="S107" s="11" t="n">
        <f aca="false">IFERROR(M107/MEDIAN(INDEX($M$5:$M$627,MATCH($A107-90,$A$5:$A$627,1)):INDEX($M$5:$M$627,MATCH($A107+90,$A$5:$A$627,1))),"")</f>
        <v>1.0186719860709</v>
      </c>
      <c r="T107" s="11" t="n">
        <f aca="false">IFERROR(N107/MEDIAN(INDEX($N$5:$N$627,MATCH($A107-90,$A$5:$A$627,1)):INDEX($N$5:$N$627,MATCH($A107+90,$A$5:$A$627,1))),"")</f>
        <v>1.03232697043497</v>
      </c>
      <c r="U107" s="11" t="n">
        <f aca="false">IFERROR(Q107/MEDIAN(INDEX($Q$5:$Q$627,MATCH($A107-90,$A$5:$A$627,1)):INDEX($Q$5:$Q$627,MATCH($A107+90,$A$5:$A$627,1))),"")</f>
        <v>0.939044481054366</v>
      </c>
    </row>
    <row r="108" customFormat="false" ht="15" hidden="false" customHeight="false" outlineLevel="0" collapsed="false">
      <c r="A108" s="13" t="n">
        <v>45395.5118520023</v>
      </c>
      <c r="B108" s="8" t="n">
        <v>12</v>
      </c>
      <c r="C108" s="8" t="s">
        <v>68</v>
      </c>
      <c r="D108" s="8" t="s">
        <v>174</v>
      </c>
      <c r="E108" s="14" t="s">
        <v>66</v>
      </c>
      <c r="F108" s="9" t="n">
        <v>4376348</v>
      </c>
      <c r="G108" s="9" t="n">
        <v>266256</v>
      </c>
      <c r="H108" s="9" t="n">
        <v>188726</v>
      </c>
      <c r="I108" s="9" t="n">
        <v>141890</v>
      </c>
      <c r="J108" s="9" t="n">
        <v>3918</v>
      </c>
      <c r="K108" s="9" t="n">
        <v>1064</v>
      </c>
      <c r="L108" s="9" t="n">
        <v>826</v>
      </c>
      <c r="M108" s="10" t="n">
        <f aca="false">IFERROR(G108/F108,"")</f>
        <v>0.0608397686838432</v>
      </c>
      <c r="N108" s="10" t="n">
        <f aca="false">IFERROR(H108/G108,"")</f>
        <v>0.708814073673457</v>
      </c>
      <c r="O108" s="11" t="n">
        <f aca="false">IFERROR(I108/H108,"")</f>
        <v>0.751830696353444</v>
      </c>
      <c r="P108" s="10" t="n">
        <f aca="false">IFERROR(J108/H108,"")</f>
        <v>0.0207602556086602</v>
      </c>
      <c r="Q108" s="10" t="n">
        <f aca="false">IFERROR(K108/H108,"")</f>
        <v>0.00563780295242839</v>
      </c>
      <c r="R108" s="10" t="n">
        <f aca="false">IFERROR(L108/H108,"")</f>
        <v>0.00437671544991151</v>
      </c>
      <c r="S108" s="11" t="n">
        <f aca="false">IFERROR(M108/MEDIAN(INDEX($M$5:$M$627,MATCH($A108-90,$A$5:$A$627,1)):INDEX($M$5:$M$627,MATCH($A108+90,$A$5:$A$627,1))),"")</f>
        <v>1.50451491397599</v>
      </c>
      <c r="T108" s="11" t="n">
        <f aca="false">IFERROR(N108/MEDIAN(INDEX($N$5:$N$627,MATCH($A108-90,$A$5:$A$627,1)):INDEX($N$5:$N$627,MATCH($A108+90,$A$5:$A$627,1))),"")</f>
        <v>1.30897226181884</v>
      </c>
      <c r="U108" s="11" t="n">
        <f aca="false">IFERROR(Q108/MEDIAN(INDEX($Q$5:$Q$627,MATCH($A108-90,$A$5:$A$627,1)):INDEX($Q$5:$Q$627,MATCH($A108+90,$A$5:$A$627,1))),"")</f>
        <v>0.511470049375174</v>
      </c>
    </row>
    <row r="109" customFormat="false" ht="15" hidden="false" customHeight="false" outlineLevel="0" collapsed="false">
      <c r="A109" s="13" t="n">
        <v>45397.4854395602</v>
      </c>
      <c r="B109" s="8" t="n">
        <v>11</v>
      </c>
      <c r="C109" s="8" t="s">
        <v>80</v>
      </c>
      <c r="D109" s="8" t="s">
        <v>175</v>
      </c>
      <c r="E109" s="14" t="s">
        <v>66</v>
      </c>
      <c r="F109" s="9" t="n">
        <v>19414</v>
      </c>
      <c r="G109" s="9" t="n">
        <v>883</v>
      </c>
      <c r="H109" s="9" t="n">
        <v>414</v>
      </c>
      <c r="I109" s="9" t="n">
        <v>403</v>
      </c>
      <c r="J109" s="9" t="n">
        <v>29</v>
      </c>
      <c r="K109" s="9" t="n">
        <v>7</v>
      </c>
      <c r="L109" s="9" t="n">
        <v>5</v>
      </c>
      <c r="M109" s="10" t="n">
        <f aca="false">IFERROR(G109/F109,"")</f>
        <v>0.0454826413928093</v>
      </c>
      <c r="N109" s="10" t="n">
        <f aca="false">IFERROR(H109/G109,"")</f>
        <v>0.46885617214043</v>
      </c>
      <c r="O109" s="11" t="n">
        <f aca="false">IFERROR(I109/H109,"")</f>
        <v>0.973429951690821</v>
      </c>
      <c r="P109" s="10" t="n">
        <f aca="false">IFERROR(J109/H109,"")</f>
        <v>0.070048309178744</v>
      </c>
      <c r="Q109" s="10" t="n">
        <f aca="false">IFERROR(K109/H109,"")</f>
        <v>0.0169082125603865</v>
      </c>
      <c r="R109" s="10" t="n">
        <f aca="false">IFERROR(L109/H109,"")</f>
        <v>0.0120772946859903</v>
      </c>
      <c r="S109" s="11" t="n">
        <f aca="false">IFERROR(M109/MEDIAN(INDEX($M$5:$M$627,MATCH($A109-90,$A$5:$A$627,1)):INDEX($M$5:$M$627,MATCH($A109+90,$A$5:$A$627,1))),"")</f>
        <v>1.13160473973242</v>
      </c>
      <c r="T109" s="11" t="n">
        <f aca="false">IFERROR(N109/MEDIAN(INDEX($N$5:$N$627,MATCH($A109-90,$A$5:$A$627,1)):INDEX($N$5:$N$627,MATCH($A109+90,$A$5:$A$627,1))),"")</f>
        <v>0.86281519218175</v>
      </c>
      <c r="U109" s="11" t="n">
        <f aca="false">IFERROR(Q109/MEDIAN(INDEX($Q$5:$Q$627,MATCH($A109-90,$A$5:$A$627,1)):INDEX($Q$5:$Q$627,MATCH($A109+90,$A$5:$A$627,1))),"")</f>
        <v>1.5487922705314</v>
      </c>
    </row>
    <row r="110" customFormat="false" ht="15" hidden="false" customHeight="false" outlineLevel="0" collapsed="false">
      <c r="A110" s="13" t="n">
        <v>45399.5152545255</v>
      </c>
      <c r="B110" s="8" t="n">
        <v>12</v>
      </c>
      <c r="C110" s="8" t="s">
        <v>71</v>
      </c>
      <c r="D110" s="8" t="s">
        <v>176</v>
      </c>
      <c r="E110" s="14" t="s">
        <v>66</v>
      </c>
      <c r="F110" s="9" t="n">
        <v>123454</v>
      </c>
      <c r="G110" s="9" t="n">
        <v>3330</v>
      </c>
      <c r="H110" s="9" t="n">
        <v>2053</v>
      </c>
      <c r="I110" s="9" t="n">
        <v>2136</v>
      </c>
      <c r="J110" s="9" t="n">
        <v>231</v>
      </c>
      <c r="K110" s="9" t="n">
        <v>49</v>
      </c>
      <c r="L110" s="9" t="n">
        <v>16</v>
      </c>
      <c r="M110" s="10" t="n">
        <f aca="false">IFERROR(G110/F110,"")</f>
        <v>0.026973609603577</v>
      </c>
      <c r="N110" s="10" t="n">
        <f aca="false">IFERROR(H110/G110,"")</f>
        <v>0.616516516516517</v>
      </c>
      <c r="O110" s="11" t="n">
        <f aca="false">IFERROR(I110/H110,"")</f>
        <v>1.04042864101315</v>
      </c>
      <c r="P110" s="10" t="n">
        <f aca="false">IFERROR(J110/H110,"")</f>
        <v>0.112518265952265</v>
      </c>
      <c r="Q110" s="10" t="n">
        <f aca="false">IFERROR(K110/H110,"")</f>
        <v>0.0238675109595714</v>
      </c>
      <c r="R110" s="10" t="n">
        <f aca="false">IFERROR(L110/H110,"")</f>
        <v>0.00779347296639065</v>
      </c>
      <c r="S110" s="11" t="n">
        <f aca="false">IFERROR(M110/MEDIAN(INDEX($M$5:$M$627,MATCH($A110-90,$A$5:$A$627,1)):INDEX($M$5:$M$627,MATCH($A110+90,$A$5:$A$627,1))),"")</f>
        <v>0.671101403532941</v>
      </c>
      <c r="T110" s="11" t="n">
        <f aca="false">IFERROR(N110/MEDIAN(INDEX($N$5:$N$627,MATCH($A110-90,$A$5:$A$627,1)):INDEX($N$5:$N$627,MATCH($A110+90,$A$5:$A$627,1))),"")</f>
        <v>1.15021738156067</v>
      </c>
      <c r="U110" s="11" t="n">
        <f aca="false">IFERROR(Q110/MEDIAN(INDEX($Q$5:$Q$627,MATCH($A110-90,$A$5:$A$627,1)):INDEX($Q$5:$Q$627,MATCH($A110+90,$A$5:$A$627,1))),"")</f>
        <v>2.18626400389674</v>
      </c>
    </row>
    <row r="111" customFormat="false" ht="15" hidden="false" customHeight="false" outlineLevel="0" collapsed="false">
      <c r="A111" s="13" t="n">
        <v>45401.5997426505</v>
      </c>
      <c r="B111" s="8" t="n">
        <v>14</v>
      </c>
      <c r="C111" s="8" t="s">
        <v>84</v>
      </c>
      <c r="D111" s="8" t="s">
        <v>177</v>
      </c>
      <c r="E111" s="14" t="s">
        <v>66</v>
      </c>
      <c r="F111" s="9" t="n">
        <v>85181</v>
      </c>
      <c r="G111" s="9" t="n">
        <v>996</v>
      </c>
      <c r="H111" s="9" t="n">
        <v>503</v>
      </c>
      <c r="I111" s="9" t="n">
        <v>353</v>
      </c>
      <c r="J111" s="9" t="n">
        <v>52</v>
      </c>
      <c r="K111" s="9" t="n">
        <v>2</v>
      </c>
      <c r="L111" s="9" t="n">
        <v>12</v>
      </c>
      <c r="M111" s="10" t="n">
        <f aca="false">IFERROR(G111/F111,"")</f>
        <v>0.0116927483828553</v>
      </c>
      <c r="N111" s="10" t="n">
        <f aca="false">IFERROR(H111/G111,"")</f>
        <v>0.505020080321285</v>
      </c>
      <c r="O111" s="11" t="n">
        <f aca="false">IFERROR(I111/H111,"")</f>
        <v>0.701789264413519</v>
      </c>
      <c r="P111" s="10" t="n">
        <f aca="false">IFERROR(J111/H111,"")</f>
        <v>0.10337972166998</v>
      </c>
      <c r="Q111" s="10" t="n">
        <f aca="false">IFERROR(K111/H111,"")</f>
        <v>0.00397614314115308</v>
      </c>
      <c r="R111" s="10" t="n">
        <f aca="false">IFERROR(L111/H111,"")</f>
        <v>0.0238568588469185</v>
      </c>
      <c r="S111" s="11" t="n">
        <f aca="false">IFERROR(M111/MEDIAN(INDEX($M$5:$M$627,MATCH($A111-90,$A$5:$A$627,1)):INDEX($M$5:$M$627,MATCH($A111+90,$A$5:$A$627,1))),"")</f>
        <v>0.291904363941507</v>
      </c>
      <c r="T111" s="11" t="n">
        <f aca="false">IFERROR(N111/MEDIAN(INDEX($N$5:$N$627,MATCH($A111-90,$A$5:$A$627,1)):INDEX($N$5:$N$627,MATCH($A111+90,$A$5:$A$627,1))),"")</f>
        <v>0.947847769010886</v>
      </c>
      <c r="U111" s="11" t="n">
        <f aca="false">IFERROR(Q111/MEDIAN(INDEX($Q$5:$Q$627,MATCH($A111-90,$A$5:$A$627,1)):INDEX($Q$5:$Q$627,MATCH($A111+90,$A$5:$A$627,1))),"")</f>
        <v>0.370850992650741</v>
      </c>
    </row>
    <row r="112" customFormat="false" ht="15" hidden="false" customHeight="false" outlineLevel="0" collapsed="false">
      <c r="A112" s="13" t="n">
        <v>45403.4940294676</v>
      </c>
      <c r="B112" s="8" t="n">
        <v>11</v>
      </c>
      <c r="C112" s="8" t="s">
        <v>86</v>
      </c>
      <c r="D112" s="8" t="s">
        <v>178</v>
      </c>
      <c r="E112" s="14" t="s">
        <v>66</v>
      </c>
      <c r="F112" s="9" t="n">
        <v>167044</v>
      </c>
      <c r="G112" s="9" t="n">
        <v>14359</v>
      </c>
      <c r="H112" s="9" t="n">
        <v>4350</v>
      </c>
      <c r="I112" s="9" t="n">
        <v>3657</v>
      </c>
      <c r="J112" s="9" t="n">
        <v>239</v>
      </c>
      <c r="K112" s="9" t="n">
        <v>81</v>
      </c>
      <c r="L112" s="9" t="n">
        <v>18</v>
      </c>
      <c r="M112" s="10" t="n">
        <f aca="false">IFERROR(G112/F112,"")</f>
        <v>0.085959387945691</v>
      </c>
      <c r="N112" s="10" t="n">
        <f aca="false">IFERROR(H112/G112,"")</f>
        <v>0.302945887596629</v>
      </c>
      <c r="O112" s="11" t="n">
        <f aca="false">IFERROR(I112/H112,"")</f>
        <v>0.840689655172414</v>
      </c>
      <c r="P112" s="10" t="n">
        <f aca="false">IFERROR(J112/H112,"")</f>
        <v>0.0549425287356322</v>
      </c>
      <c r="Q112" s="10" t="n">
        <f aca="false">IFERROR(K112/H112,"")</f>
        <v>0.0186206896551724</v>
      </c>
      <c r="R112" s="10" t="n">
        <f aca="false">IFERROR(L112/H112,"")</f>
        <v>0.00413793103448276</v>
      </c>
      <c r="S112" s="11" t="n">
        <f aca="false">IFERROR(M112/MEDIAN(INDEX($M$5:$M$627,MATCH($A112-90,$A$5:$A$627,1)):INDEX($M$5:$M$627,MATCH($A112+90,$A$5:$A$627,1))),"")</f>
        <v>2.138663187649</v>
      </c>
      <c r="T112" s="11" t="n">
        <f aca="false">IFERROR(N112/MEDIAN(INDEX($N$5:$N$627,MATCH($A112-90,$A$5:$A$627,1)):INDEX($N$5:$N$627,MATCH($A112+90,$A$5:$A$627,1))),"")</f>
        <v>0.572012261105729</v>
      </c>
      <c r="U112" s="11" t="n">
        <f aca="false">IFERROR(Q112/MEDIAN(INDEX($Q$5:$Q$627,MATCH($A112-90,$A$5:$A$627,1)):INDEX($Q$5:$Q$627,MATCH($A112+90,$A$5:$A$627,1))),"")</f>
        <v>1.76896551724138</v>
      </c>
    </row>
    <row r="113" customFormat="false" ht="15" hidden="false" customHeight="false" outlineLevel="0" collapsed="false">
      <c r="A113" s="13" t="n">
        <v>45405.5103885995</v>
      </c>
      <c r="B113" s="8" t="n">
        <v>12</v>
      </c>
      <c r="C113" s="8" t="s">
        <v>64</v>
      </c>
      <c r="D113" s="8" t="s">
        <v>179</v>
      </c>
      <c r="E113" s="14" t="s">
        <v>66</v>
      </c>
      <c r="F113" s="9" t="n">
        <v>54273</v>
      </c>
      <c r="G113" s="9" t="n">
        <v>2208</v>
      </c>
      <c r="H113" s="9" t="n">
        <v>1483</v>
      </c>
      <c r="I113" s="9" t="n">
        <v>1372</v>
      </c>
      <c r="J113" s="9" t="n">
        <v>157</v>
      </c>
      <c r="K113" s="9" t="n">
        <v>36</v>
      </c>
      <c r="L113" s="9" t="n">
        <v>11</v>
      </c>
      <c r="M113" s="10" t="n">
        <f aca="false">IFERROR(G113/F113,"")</f>
        <v>0.0406832126471726</v>
      </c>
      <c r="N113" s="10" t="n">
        <f aca="false">IFERROR(H113/G113,"")</f>
        <v>0.671648550724638</v>
      </c>
      <c r="O113" s="11" t="n">
        <f aca="false">IFERROR(I113/H113,"")</f>
        <v>0.925151719487525</v>
      </c>
      <c r="P113" s="10" t="n">
        <f aca="false">IFERROR(J113/H113,"")</f>
        <v>0.105866486850978</v>
      </c>
      <c r="Q113" s="10" t="n">
        <f aca="false">IFERROR(K113/H113,"")</f>
        <v>0.0242751180040459</v>
      </c>
      <c r="R113" s="10" t="n">
        <f aca="false">IFERROR(L113/H113,"")</f>
        <v>0.0074173971679029</v>
      </c>
      <c r="S113" s="11" t="n">
        <f aca="false">IFERROR(M113/MEDIAN(INDEX($M$5:$M$627,MATCH($A113-90,$A$5:$A$627,1)):INDEX($M$5:$M$627,MATCH($A113+90,$A$5:$A$627,1))),"")</f>
        <v>1.00606069845861</v>
      </c>
      <c r="T113" s="11" t="n">
        <f aca="false">IFERROR(N113/MEDIAN(INDEX($N$5:$N$627,MATCH($A113-90,$A$5:$A$627,1)):INDEX($N$5:$N$627,MATCH($A113+90,$A$5:$A$627,1))),"")</f>
        <v>1.27404763309973</v>
      </c>
      <c r="U113" s="11" t="n">
        <f aca="false">IFERROR(Q113/MEDIAN(INDEX($Q$5:$Q$627,MATCH($A113-90,$A$5:$A$627,1)):INDEX($Q$5:$Q$627,MATCH($A113+90,$A$5:$A$627,1))),"")</f>
        <v>2.26411657954134</v>
      </c>
    </row>
    <row r="114" customFormat="false" ht="15" hidden="false" customHeight="false" outlineLevel="0" collapsed="false">
      <c r="A114" s="13" t="n">
        <v>45407.5116113079</v>
      </c>
      <c r="B114" s="8" t="n">
        <v>12</v>
      </c>
      <c r="C114" s="8" t="s">
        <v>73</v>
      </c>
      <c r="D114" s="8" t="s">
        <v>180</v>
      </c>
      <c r="E114" s="14" t="s">
        <v>66</v>
      </c>
      <c r="F114" s="9" t="n">
        <v>5970893</v>
      </c>
      <c r="G114" s="9" t="n">
        <v>325564</v>
      </c>
      <c r="H114" s="9" t="n">
        <v>188445</v>
      </c>
      <c r="I114" s="9" t="n">
        <v>154010</v>
      </c>
      <c r="J114" s="9" t="n">
        <v>5172</v>
      </c>
      <c r="K114" s="9" t="n">
        <v>1225</v>
      </c>
      <c r="L114" s="9" t="n">
        <v>888</v>
      </c>
      <c r="M114" s="10" t="n">
        <f aca="false">IFERROR(G114/F114,"")</f>
        <v>0.0545251773897137</v>
      </c>
      <c r="N114" s="10" t="n">
        <f aca="false">IFERROR(H114/G114,"")</f>
        <v>0.578826283004263</v>
      </c>
      <c r="O114" s="11" t="n">
        <f aca="false">IFERROR(I114/H114,"")</f>
        <v>0.817267637772294</v>
      </c>
      <c r="P114" s="10" t="n">
        <f aca="false">IFERROR(J114/H114,"")</f>
        <v>0.0274456738040277</v>
      </c>
      <c r="Q114" s="10" t="n">
        <f aca="false">IFERROR(K114/H114,"")</f>
        <v>0.00650057045822389</v>
      </c>
      <c r="R114" s="10" t="n">
        <f aca="false">IFERROR(L114/H114,"")</f>
        <v>0.00471225025869617</v>
      </c>
      <c r="S114" s="11" t="n">
        <f aca="false">IFERROR(M114/MEDIAN(INDEX($M$5:$M$627,MATCH($A114-90,$A$5:$A$627,1)):INDEX($M$5:$M$627,MATCH($A114+90,$A$5:$A$627,1))),"")</f>
        <v>1.34023775021374</v>
      </c>
      <c r="T114" s="11" t="n">
        <f aca="false">IFERROR(N114/MEDIAN(INDEX($N$5:$N$627,MATCH($A114-90,$A$5:$A$627,1)):INDEX($N$5:$N$627,MATCH($A114+90,$A$5:$A$627,1))),"")</f>
        <v>1.09292036790922</v>
      </c>
      <c r="U114" s="11" t="n">
        <f aca="false">IFERROR(Q114/MEDIAN(INDEX($Q$5:$Q$627,MATCH($A114-90,$A$5:$A$627,1)):INDEX($Q$5:$Q$627,MATCH($A114+90,$A$5:$A$627,1))),"")</f>
        <v>0.617554193531269</v>
      </c>
    </row>
    <row r="115" customFormat="false" ht="15" hidden="false" customHeight="false" outlineLevel="0" collapsed="false">
      <c r="A115" s="13" t="n">
        <v>45409.5469170718</v>
      </c>
      <c r="B115" s="8" t="n">
        <v>13</v>
      </c>
      <c r="C115" s="8" t="s">
        <v>68</v>
      </c>
      <c r="D115" s="8" t="s">
        <v>181</v>
      </c>
      <c r="E115" s="14" t="s">
        <v>66</v>
      </c>
      <c r="F115" s="9" t="n">
        <v>683697</v>
      </c>
      <c r="G115" s="9" t="n">
        <v>35246</v>
      </c>
      <c r="H115" s="9" t="n">
        <v>20671</v>
      </c>
      <c r="I115" s="9" t="n">
        <v>22489</v>
      </c>
      <c r="J115" s="9" t="n">
        <v>350</v>
      </c>
      <c r="K115" s="9" t="n">
        <v>176</v>
      </c>
      <c r="L115" s="9" t="n">
        <v>67</v>
      </c>
      <c r="M115" s="10" t="n">
        <f aca="false">IFERROR(G115/F115,"")</f>
        <v>0.0515520764315186</v>
      </c>
      <c r="N115" s="10" t="n">
        <f aca="false">IFERROR(H115/G115,"")</f>
        <v>0.586477898201214</v>
      </c>
      <c r="O115" s="11" t="n">
        <f aca="false">IFERROR(I115/H115,"")</f>
        <v>1.08794930095303</v>
      </c>
      <c r="P115" s="10" t="n">
        <f aca="false">IFERROR(J115/H115,"")</f>
        <v>0.0169319336268202</v>
      </c>
      <c r="Q115" s="10" t="n">
        <f aca="false">IFERROR(K115/H115,"")</f>
        <v>0.00851434376662958</v>
      </c>
      <c r="R115" s="10" t="n">
        <f aca="false">IFERROR(L115/H115,"")</f>
        <v>0.00324125586570558</v>
      </c>
      <c r="S115" s="11" t="n">
        <f aca="false">IFERROR(M115/MEDIAN(INDEX($M$5:$M$627,MATCH($A115-90,$A$5:$A$627,1)):INDEX($M$5:$M$627,MATCH($A115+90,$A$5:$A$627,1))),"")</f>
        <v>1.23947132930094</v>
      </c>
      <c r="T115" s="11" t="n">
        <f aca="false">IFERROR(N115/MEDIAN(INDEX($N$5:$N$627,MATCH($A115-90,$A$5:$A$627,1)):INDEX($N$5:$N$627,MATCH($A115+90,$A$5:$A$627,1))),"")</f>
        <v>1.11248773970019</v>
      </c>
      <c r="U115" s="11" t="n">
        <f aca="false">IFERROR(Q115/MEDIAN(INDEX($Q$5:$Q$627,MATCH($A115-90,$A$5:$A$627,1)):INDEX($Q$5:$Q$627,MATCH($A115+90,$A$5:$A$627,1))),"")</f>
        <v>0.825540238403621</v>
      </c>
    </row>
    <row r="116" customFormat="false" ht="15" hidden="false" customHeight="false" outlineLevel="0" collapsed="false">
      <c r="A116" s="13" t="n">
        <v>45411.4926340972</v>
      </c>
      <c r="B116" s="8" t="n">
        <v>11</v>
      </c>
      <c r="C116" s="8" t="s">
        <v>80</v>
      </c>
      <c r="D116" s="8" t="s">
        <v>182</v>
      </c>
      <c r="E116" s="14" t="s">
        <v>66</v>
      </c>
      <c r="F116" s="9" t="n">
        <v>601539</v>
      </c>
      <c r="G116" s="9" t="n">
        <v>18623</v>
      </c>
      <c r="H116" s="9" t="n">
        <v>13263</v>
      </c>
      <c r="I116" s="9" t="n">
        <v>16326</v>
      </c>
      <c r="J116" s="9" t="n">
        <v>388</v>
      </c>
      <c r="K116" s="9" t="n">
        <v>105</v>
      </c>
      <c r="L116" s="9" t="n">
        <v>73</v>
      </c>
      <c r="M116" s="10" t="n">
        <f aca="false">IFERROR(G116/F116,"")</f>
        <v>0.0309589236940581</v>
      </c>
      <c r="N116" s="10" t="n">
        <f aca="false">IFERROR(H116/G116,"")</f>
        <v>0.712183858669387</v>
      </c>
      <c r="O116" s="11" t="n">
        <f aca="false">IFERROR(I116/H116,"")</f>
        <v>1.23094322551459</v>
      </c>
      <c r="P116" s="10" t="n">
        <f aca="false">IFERROR(J116/H116,"")</f>
        <v>0.0292543165196411</v>
      </c>
      <c r="Q116" s="10" t="n">
        <f aca="false">IFERROR(K116/H116,"")</f>
        <v>0.0079167609138204</v>
      </c>
      <c r="R116" s="10" t="n">
        <f aca="false">IFERROR(L116/H116,"")</f>
        <v>0.0055040337781799</v>
      </c>
      <c r="S116" s="11" t="n">
        <f aca="false">IFERROR(M116/MEDIAN(INDEX($M$5:$M$627,MATCH($A116-90,$A$5:$A$627,1)):INDEX($M$5:$M$627,MATCH($A116+90,$A$5:$A$627,1))),"")</f>
        <v>0.732921332727829</v>
      </c>
      <c r="T116" s="11" t="n">
        <f aca="false">IFERROR(N116/MEDIAN(INDEX($N$5:$N$627,MATCH($A116-90,$A$5:$A$627,1)):INDEX($N$5:$N$627,MATCH($A116+90,$A$5:$A$627,1))),"")</f>
        <v>1.3572139043625</v>
      </c>
      <c r="U116" s="11" t="n">
        <f aca="false">IFERROR(Q116/MEDIAN(INDEX($Q$5:$Q$627,MATCH($A116-90,$A$5:$A$627,1)):INDEX($Q$5:$Q$627,MATCH($A116+90,$A$5:$A$627,1))),"")</f>
        <v>0.752092286812938</v>
      </c>
    </row>
    <row r="117" customFormat="false" ht="15" hidden="false" customHeight="false" outlineLevel="0" collapsed="false">
      <c r="A117" s="13" t="n">
        <v>45413.4874966551</v>
      </c>
      <c r="B117" s="8" t="n">
        <v>11</v>
      </c>
      <c r="C117" s="8" t="s">
        <v>71</v>
      </c>
      <c r="D117" s="8" t="s">
        <v>183</v>
      </c>
      <c r="E117" s="14" t="s">
        <v>66</v>
      </c>
      <c r="F117" s="9" t="n">
        <v>6474</v>
      </c>
      <c r="G117" s="9" t="n">
        <v>117</v>
      </c>
      <c r="H117" s="9" t="n">
        <v>64</v>
      </c>
      <c r="I117" s="9" t="n">
        <v>51</v>
      </c>
      <c r="J117" s="9" t="n">
        <v>18</v>
      </c>
      <c r="K117" s="9" t="n">
        <v>2</v>
      </c>
      <c r="L117" s="9" t="n">
        <v>0</v>
      </c>
      <c r="M117" s="10" t="n">
        <f aca="false">IFERROR(G117/F117,"")</f>
        <v>0.0180722891566265</v>
      </c>
      <c r="N117" s="10" t="n">
        <f aca="false">IFERROR(H117/G117,"")</f>
        <v>0.547008547008547</v>
      </c>
      <c r="O117" s="11" t="n">
        <f aca="false">IFERROR(I117/H117,"")</f>
        <v>0.796875</v>
      </c>
      <c r="P117" s="10" t="n">
        <f aca="false">IFERROR(J117/H117,"")</f>
        <v>0.28125</v>
      </c>
      <c r="Q117" s="10" t="n">
        <f aca="false">IFERROR(K117/H117,"")</f>
        <v>0.03125</v>
      </c>
      <c r="R117" s="10" t="n">
        <f aca="false">IFERROR(L117/H117,"")</f>
        <v>0</v>
      </c>
      <c r="S117" s="11" t="n">
        <f aca="false">IFERROR(M117/MEDIAN(INDEX($M$5:$M$627,MATCH($A117-90,$A$5:$A$627,1)):INDEX($M$5:$M$627,MATCH($A117+90,$A$5:$A$627,1))),"")</f>
        <v>0.441395481653139</v>
      </c>
      <c r="T117" s="11" t="n">
        <f aca="false">IFERROR(N117/MEDIAN(INDEX($N$5:$N$627,MATCH($A117-90,$A$5:$A$627,1)):INDEX($N$5:$N$627,MATCH($A117+90,$A$5:$A$627,1))),"")</f>
        <v>1.04243812432398</v>
      </c>
      <c r="U117" s="11" t="n">
        <f aca="false">IFERROR(Q117/MEDIAN(INDEX($Q$5:$Q$627,MATCH($A117-90,$A$5:$A$627,1)):INDEX($Q$5:$Q$627,MATCH($A117+90,$A$5:$A$627,1))),"")</f>
        <v>3.09375</v>
      </c>
    </row>
    <row r="118" customFormat="false" ht="15" hidden="false" customHeight="false" outlineLevel="0" collapsed="false">
      <c r="A118" s="13" t="n">
        <v>45415.5099972917</v>
      </c>
      <c r="B118" s="8" t="n">
        <v>12</v>
      </c>
      <c r="C118" s="8" t="s">
        <v>84</v>
      </c>
      <c r="D118" s="8" t="s">
        <v>184</v>
      </c>
      <c r="E118" s="14" t="s">
        <v>66</v>
      </c>
      <c r="F118" s="9" t="n">
        <v>936111</v>
      </c>
      <c r="G118" s="9" t="n">
        <v>31966</v>
      </c>
      <c r="H118" s="9" t="n">
        <v>19859</v>
      </c>
      <c r="I118" s="9" t="n">
        <v>19496</v>
      </c>
      <c r="J118" s="9" t="n">
        <v>725</v>
      </c>
      <c r="K118" s="9" t="n">
        <v>221</v>
      </c>
      <c r="L118" s="9" t="n">
        <v>103</v>
      </c>
      <c r="M118" s="10" t="n">
        <f aca="false">IFERROR(G118/F118,"")</f>
        <v>0.0341476598394849</v>
      </c>
      <c r="N118" s="10" t="n">
        <f aca="false">IFERROR(H118/G118,"")</f>
        <v>0.621253832196709</v>
      </c>
      <c r="O118" s="11" t="n">
        <f aca="false">IFERROR(I118/H118,"")</f>
        <v>0.981721133994662</v>
      </c>
      <c r="P118" s="10" t="n">
        <f aca="false">IFERROR(J118/H118,"")</f>
        <v>0.0365073770079057</v>
      </c>
      <c r="Q118" s="10" t="n">
        <f aca="false">IFERROR(K118/H118,"")</f>
        <v>0.0111284556120651</v>
      </c>
      <c r="R118" s="10" t="n">
        <f aca="false">IFERROR(L118/H118,"")</f>
        <v>0.00518656528526109</v>
      </c>
      <c r="S118" s="11" t="n">
        <f aca="false">IFERROR(M118/MEDIAN(INDEX($M$5:$M$627,MATCH($A118-90,$A$5:$A$627,1)):INDEX($M$5:$M$627,MATCH($A118+90,$A$5:$A$627,1))),"")</f>
        <v>0.808411448873958</v>
      </c>
      <c r="T118" s="11" t="n">
        <f aca="false">IFERROR(N118/MEDIAN(INDEX($N$5:$N$627,MATCH($A118-90,$A$5:$A$627,1)):INDEX($N$5:$N$627,MATCH($A118+90,$A$5:$A$627,1))),"")</f>
        <v>1.18392789857834</v>
      </c>
      <c r="U118" s="11" t="n">
        <f aca="false">IFERROR(Q118/MEDIAN(INDEX($Q$5:$Q$627,MATCH($A118-90,$A$5:$A$627,1)):INDEX($Q$5:$Q$627,MATCH($A118+90,$A$5:$A$627,1))),"")</f>
        <v>1.05720328314618</v>
      </c>
    </row>
    <row r="119" customFormat="false" ht="15" hidden="false" customHeight="false" outlineLevel="0" collapsed="false">
      <c r="A119" s="13" t="n">
        <v>45417.5246195602</v>
      </c>
      <c r="B119" s="8" t="n">
        <v>12</v>
      </c>
      <c r="C119" s="8" t="s">
        <v>86</v>
      </c>
      <c r="D119" s="8" t="s">
        <v>185</v>
      </c>
      <c r="E119" s="14" t="s">
        <v>66</v>
      </c>
      <c r="F119" s="9" t="n">
        <v>17229</v>
      </c>
      <c r="G119" s="9" t="n">
        <v>875</v>
      </c>
      <c r="H119" s="9" t="n">
        <v>469</v>
      </c>
      <c r="I119" s="9" t="n">
        <v>495</v>
      </c>
      <c r="J119" s="9" t="n">
        <v>57</v>
      </c>
      <c r="K119" s="9" t="n">
        <v>23</v>
      </c>
      <c r="L119" s="9" t="n">
        <v>3</v>
      </c>
      <c r="M119" s="10" t="n">
        <f aca="false">IFERROR(G119/F119,"")</f>
        <v>0.0507864646816414</v>
      </c>
      <c r="N119" s="10" t="n">
        <f aca="false">IFERROR(H119/G119,"")</f>
        <v>0.536</v>
      </c>
      <c r="O119" s="11" t="n">
        <f aca="false">IFERROR(I119/H119,"")</f>
        <v>1.05543710021322</v>
      </c>
      <c r="P119" s="10" t="n">
        <f aca="false">IFERROR(J119/H119,"")</f>
        <v>0.121535181236674</v>
      </c>
      <c r="Q119" s="10" t="n">
        <f aca="false">IFERROR(K119/H119,"")</f>
        <v>0.0490405117270789</v>
      </c>
      <c r="R119" s="10" t="n">
        <f aca="false">IFERROR(L119/H119,"")</f>
        <v>0.00639658848614073</v>
      </c>
      <c r="S119" s="11" t="n">
        <f aca="false">IFERROR(M119/MEDIAN(INDEX($M$5:$M$627,MATCH($A119-90,$A$5:$A$627,1)):INDEX($M$5:$M$627,MATCH($A119+90,$A$5:$A$627,1))),"")</f>
        <v>1.19301781394446</v>
      </c>
      <c r="T119" s="11" t="n">
        <f aca="false">IFERROR(N119/MEDIAN(INDEX($N$5:$N$627,MATCH($A119-90,$A$5:$A$627,1)):INDEX($N$5:$N$627,MATCH($A119+90,$A$5:$A$627,1))),"")</f>
        <v>1.03292598775737</v>
      </c>
      <c r="U119" s="11" t="n">
        <f aca="false">IFERROR(Q119/MEDIAN(INDEX($Q$5:$Q$627,MATCH($A119-90,$A$5:$A$627,1)):INDEX($Q$5:$Q$627,MATCH($A119+90,$A$5:$A$627,1))),"")</f>
        <v>4.6588486140725</v>
      </c>
    </row>
    <row r="120" customFormat="false" ht="15" hidden="false" customHeight="false" outlineLevel="0" collapsed="false">
      <c r="A120" s="13" t="n">
        <v>45419.507957037</v>
      </c>
      <c r="B120" s="8" t="n">
        <v>12</v>
      </c>
      <c r="C120" s="8" t="s">
        <v>64</v>
      </c>
      <c r="D120" s="8" t="s">
        <v>186</v>
      </c>
      <c r="E120" s="14" t="s">
        <v>66</v>
      </c>
      <c r="F120" s="9" t="n">
        <v>37867</v>
      </c>
      <c r="G120" s="9" t="n">
        <v>2910</v>
      </c>
      <c r="H120" s="9" t="n">
        <v>645</v>
      </c>
      <c r="I120" s="9" t="n">
        <v>585</v>
      </c>
      <c r="J120" s="9" t="n">
        <v>122</v>
      </c>
      <c r="K120" s="9" t="n">
        <v>14</v>
      </c>
      <c r="L120" s="9" t="n">
        <v>7</v>
      </c>
      <c r="M120" s="10" t="n">
        <f aca="false">IFERROR(G120/F120,"")</f>
        <v>0.0768479150711701</v>
      </c>
      <c r="N120" s="10" t="n">
        <f aca="false">IFERROR(H120/G120,"")</f>
        <v>0.221649484536082</v>
      </c>
      <c r="O120" s="11" t="n">
        <f aca="false">IFERROR(I120/H120,"")</f>
        <v>0.906976744186047</v>
      </c>
      <c r="P120" s="10" t="n">
        <f aca="false">IFERROR(J120/H120,"")</f>
        <v>0.189147286821705</v>
      </c>
      <c r="Q120" s="10" t="n">
        <f aca="false">IFERROR(K120/H120,"")</f>
        <v>0.0217054263565891</v>
      </c>
      <c r="R120" s="10" t="n">
        <f aca="false">IFERROR(L120/H120,"")</f>
        <v>0.0108527131782946</v>
      </c>
      <c r="S120" s="11" t="n">
        <f aca="false">IFERROR(M120/MEDIAN(INDEX($M$5:$M$627,MATCH($A120-90,$A$5:$A$627,1)):INDEX($M$5:$M$627,MATCH($A120+90,$A$5:$A$627,1))),"")</f>
        <v>1.75088424026227</v>
      </c>
      <c r="T120" s="11" t="n">
        <f aca="false">IFERROR(N120/MEDIAN(INDEX($N$5:$N$627,MATCH($A120-90,$A$5:$A$627,1)):INDEX($N$5:$N$627,MATCH($A120+90,$A$5:$A$627,1))),"")</f>
        <v>0.422399017676703</v>
      </c>
      <c r="U120" s="11" t="n">
        <f aca="false">IFERROR(Q120/MEDIAN(INDEX($Q$5:$Q$627,MATCH($A120-90,$A$5:$A$627,1)):INDEX($Q$5:$Q$627,MATCH($A120+90,$A$5:$A$627,1))),"")</f>
        <v>2.06201550387597</v>
      </c>
    </row>
    <row r="121" customFormat="false" ht="15" hidden="false" customHeight="false" outlineLevel="0" collapsed="false">
      <c r="A121" s="13" t="n">
        <v>45421.4905445023</v>
      </c>
      <c r="B121" s="8" t="n">
        <v>11</v>
      </c>
      <c r="C121" s="8" t="s">
        <v>73</v>
      </c>
      <c r="D121" s="8" t="s">
        <v>187</v>
      </c>
      <c r="E121" s="14" t="s">
        <v>66</v>
      </c>
      <c r="F121" s="9" t="n">
        <v>280841</v>
      </c>
      <c r="G121" s="9" t="n">
        <v>21373</v>
      </c>
      <c r="H121" s="9" t="n">
        <v>12916</v>
      </c>
      <c r="I121" s="9" t="n">
        <v>12608</v>
      </c>
      <c r="J121" s="9" t="n">
        <v>467</v>
      </c>
      <c r="K121" s="9" t="n">
        <v>27</v>
      </c>
      <c r="L121" s="9" t="n">
        <v>42</v>
      </c>
      <c r="M121" s="10" t="n">
        <f aca="false">IFERROR(G121/F121,"")</f>
        <v>0.0761035603775802</v>
      </c>
      <c r="N121" s="10" t="n">
        <f aca="false">IFERROR(H121/G121,"")</f>
        <v>0.604313853927853</v>
      </c>
      <c r="O121" s="11" t="n">
        <f aca="false">IFERROR(I121/H121,"")</f>
        <v>0.976153607928151</v>
      </c>
      <c r="P121" s="10" t="n">
        <f aca="false">IFERROR(J121/H121,"")</f>
        <v>0.0361567048621864</v>
      </c>
      <c r="Q121" s="10" t="n">
        <f aca="false">IFERROR(K121/H121,"")</f>
        <v>0.00209043047383091</v>
      </c>
      <c r="R121" s="10" t="n">
        <f aca="false">IFERROR(L121/H121,"")</f>
        <v>0.0032517807370703</v>
      </c>
      <c r="S121" s="11" t="n">
        <f aca="false">IFERROR(M121/MEDIAN(INDEX($M$5:$M$627,MATCH($A121-90,$A$5:$A$627,1)):INDEX($M$5:$M$627,MATCH($A121+90,$A$5:$A$627,1))),"")</f>
        <v>1.73392504363391</v>
      </c>
      <c r="T121" s="11" t="n">
        <f aca="false">IFERROR(N121/MEDIAN(INDEX($N$5:$N$627,MATCH($A121-90,$A$5:$A$627,1)):INDEX($N$5:$N$627,MATCH($A121+90,$A$5:$A$627,1))),"")</f>
        <v>1.1516452600908</v>
      </c>
      <c r="U121" s="11" t="n">
        <f aca="false">IFERROR(Q121/MEDIAN(INDEX($Q$5:$Q$627,MATCH($A121-90,$A$5:$A$627,1)):INDEX($Q$5:$Q$627,MATCH($A121+90,$A$5:$A$627,1))),"")</f>
        <v>0.191483431402911</v>
      </c>
    </row>
    <row r="122" customFormat="false" ht="15" hidden="false" customHeight="false" outlineLevel="0" collapsed="false">
      <c r="A122" s="13" t="n">
        <v>45423.4968106482</v>
      </c>
      <c r="B122" s="8" t="n">
        <v>11</v>
      </c>
      <c r="C122" s="8" t="s">
        <v>68</v>
      </c>
      <c r="D122" s="8" t="s">
        <v>188</v>
      </c>
      <c r="E122" s="14" t="s">
        <v>66</v>
      </c>
      <c r="F122" s="9" t="n">
        <v>766568</v>
      </c>
      <c r="G122" s="9" t="n">
        <v>16667</v>
      </c>
      <c r="H122" s="9" t="n">
        <v>7609</v>
      </c>
      <c r="I122" s="9" t="n">
        <v>9223</v>
      </c>
      <c r="J122" s="9" t="n">
        <v>313</v>
      </c>
      <c r="K122" s="9" t="n">
        <v>101</v>
      </c>
      <c r="L122" s="9" t="n">
        <v>40</v>
      </c>
      <c r="M122" s="10" t="n">
        <f aca="false">IFERROR(G122/F122,"")</f>
        <v>0.0217423633650244</v>
      </c>
      <c r="N122" s="10" t="n">
        <f aca="false">IFERROR(H122/G122,"")</f>
        <v>0.456530869382612</v>
      </c>
      <c r="O122" s="11" t="n">
        <f aca="false">IFERROR(I122/H122,"")</f>
        <v>1.21211722959653</v>
      </c>
      <c r="P122" s="10" t="n">
        <f aca="false">IFERROR(J122/H122,"")</f>
        <v>0.0411354974372454</v>
      </c>
      <c r="Q122" s="10" t="n">
        <f aca="false">IFERROR(K122/H122,"")</f>
        <v>0.0132737547640952</v>
      </c>
      <c r="R122" s="10" t="n">
        <f aca="false">IFERROR(L122/H122,"")</f>
        <v>0.00525693257983966</v>
      </c>
      <c r="S122" s="11" t="n">
        <f aca="false">IFERROR(M122/MEDIAN(INDEX($M$5:$M$627,MATCH($A122-90,$A$5:$A$627,1)):INDEX($M$5:$M$627,MATCH($A122+90,$A$5:$A$627,1))),"")</f>
        <v>0.493386668540306</v>
      </c>
      <c r="T122" s="11" t="n">
        <f aca="false">IFERROR(N122/MEDIAN(INDEX($N$5:$N$627,MATCH($A122-90,$A$5:$A$627,1)):INDEX($N$5:$N$627,MATCH($A122+90,$A$5:$A$627,1))),"")</f>
        <v>0.865991704956927</v>
      </c>
      <c r="U122" s="11" t="n">
        <f aca="false">IFERROR(Q122/MEDIAN(INDEX($Q$5:$Q$627,MATCH($A122-90,$A$5:$A$627,1)):INDEX($Q$5:$Q$627,MATCH($A122+90,$A$5:$A$627,1))),"")</f>
        <v>1.28700684078675</v>
      </c>
    </row>
    <row r="123" customFormat="false" ht="15" hidden="false" customHeight="false" outlineLevel="0" collapsed="false">
      <c r="A123" s="13" t="n">
        <v>45425.5163296991</v>
      </c>
      <c r="B123" s="8" t="n">
        <v>12</v>
      </c>
      <c r="C123" s="8" t="s">
        <v>80</v>
      </c>
      <c r="D123" s="8" t="s">
        <v>189</v>
      </c>
      <c r="E123" s="14" t="s">
        <v>66</v>
      </c>
      <c r="F123" s="9" t="n">
        <v>12824</v>
      </c>
      <c r="G123" s="9" t="n">
        <v>572</v>
      </c>
      <c r="H123" s="9" t="n">
        <v>272</v>
      </c>
      <c r="I123" s="9" t="n">
        <v>294</v>
      </c>
      <c r="J123" s="9" t="n">
        <v>25</v>
      </c>
      <c r="K123" s="9" t="n">
        <v>4</v>
      </c>
      <c r="L123" s="9" t="n">
        <v>3</v>
      </c>
      <c r="M123" s="10" t="n">
        <f aca="false">IFERROR(G123/F123,"")</f>
        <v>0.0446038677479726</v>
      </c>
      <c r="N123" s="10" t="n">
        <f aca="false">IFERROR(H123/G123,"")</f>
        <v>0.475524475524476</v>
      </c>
      <c r="O123" s="11" t="n">
        <f aca="false">IFERROR(I123/H123,"")</f>
        <v>1.08088235294118</v>
      </c>
      <c r="P123" s="10" t="n">
        <f aca="false">IFERROR(J123/H123,"")</f>
        <v>0.0919117647058824</v>
      </c>
      <c r="Q123" s="10" t="n">
        <f aca="false">IFERROR(K123/H123,"")</f>
        <v>0.0147058823529412</v>
      </c>
      <c r="R123" s="10" t="n">
        <f aca="false">IFERROR(L123/H123,"")</f>
        <v>0.0110294117647059</v>
      </c>
      <c r="S123" s="11" t="n">
        <f aca="false">IFERROR(M123/MEDIAN(INDEX($M$5:$M$627,MATCH($A123-90,$A$5:$A$627,1)):INDEX($M$5:$M$627,MATCH($A123+90,$A$5:$A$627,1))),"")</f>
        <v>1.00404732152698</v>
      </c>
      <c r="T123" s="11" t="n">
        <f aca="false">IFERROR(N123/MEDIAN(INDEX($N$5:$N$627,MATCH($A123-90,$A$5:$A$627,1)):INDEX($N$5:$N$627,MATCH($A123+90,$A$5:$A$627,1))),"")</f>
        <v>0.892488894598414</v>
      </c>
      <c r="U123" s="11" t="n">
        <f aca="false">IFERROR(Q123/MEDIAN(INDEX($Q$5:$Q$627,MATCH($A123-90,$A$5:$A$627,1)):INDEX($Q$5:$Q$627,MATCH($A123+90,$A$5:$A$627,1))),"")</f>
        <v>1.42586416009703</v>
      </c>
    </row>
    <row r="124" customFormat="false" ht="15" hidden="false" customHeight="false" outlineLevel="0" collapsed="false">
      <c r="A124" s="13" t="n">
        <v>45427.5359857523</v>
      </c>
      <c r="B124" s="8" t="n">
        <v>12</v>
      </c>
      <c r="C124" s="8" t="s">
        <v>71</v>
      </c>
      <c r="D124" s="8" t="s">
        <v>190</v>
      </c>
      <c r="E124" s="14" t="s">
        <v>66</v>
      </c>
      <c r="F124" s="9" t="n">
        <v>140713</v>
      </c>
      <c r="G124" s="9" t="n">
        <v>3463</v>
      </c>
      <c r="H124" s="9" t="n">
        <v>1797</v>
      </c>
      <c r="I124" s="9" t="n">
        <v>1990</v>
      </c>
      <c r="J124" s="9" t="n">
        <v>137</v>
      </c>
      <c r="K124" s="9" t="n">
        <v>31</v>
      </c>
      <c r="L124" s="9" t="n">
        <v>19</v>
      </c>
      <c r="M124" s="10" t="n">
        <f aca="false">IFERROR(G124/F124,"")</f>
        <v>0.0246103771506542</v>
      </c>
      <c r="N124" s="10" t="n">
        <f aca="false">IFERROR(H124/G124,"")</f>
        <v>0.518914236211377</v>
      </c>
      <c r="O124" s="11" t="n">
        <f aca="false">IFERROR(I124/H124,"")</f>
        <v>1.10740122426266</v>
      </c>
      <c r="P124" s="10" t="n">
        <f aca="false">IFERROR(J124/H124,"")</f>
        <v>0.0762381747356706</v>
      </c>
      <c r="Q124" s="10" t="n">
        <f aca="false">IFERROR(K124/H124,"")</f>
        <v>0.0172509738452977</v>
      </c>
      <c r="R124" s="10" t="n">
        <f aca="false">IFERROR(L124/H124,"")</f>
        <v>0.0105731775180857</v>
      </c>
      <c r="S124" s="11" t="n">
        <f aca="false">IFERROR(M124/MEDIAN(INDEX($M$5:$M$627,MATCH($A124-90,$A$5:$A$627,1)):INDEX($M$5:$M$627,MATCH($A124+90,$A$5:$A$627,1))),"")</f>
        <v>0.553987456861435</v>
      </c>
      <c r="T124" s="11" t="n">
        <f aca="false">IFERROR(N124/MEDIAN(INDEX($N$5:$N$627,MATCH($A124-90,$A$5:$A$627,1)):INDEX($N$5:$N$627,MATCH($A124+90,$A$5:$A$627,1))),"")</f>
        <v>0.973925038362899</v>
      </c>
      <c r="U124" s="11" t="n">
        <f aca="false">IFERROR(Q124/MEDIAN(INDEX($Q$5:$Q$627,MATCH($A124-90,$A$5:$A$627,1)):INDEX($Q$5:$Q$627,MATCH($A124+90,$A$5:$A$627,1))),"")</f>
        <v>1.67263308262912</v>
      </c>
    </row>
    <row r="125" customFormat="false" ht="15" hidden="false" customHeight="false" outlineLevel="0" collapsed="false">
      <c r="A125" s="13" t="n">
        <v>45429.4075065625</v>
      </c>
      <c r="B125" s="8" t="n">
        <v>9</v>
      </c>
      <c r="C125" s="8" t="s">
        <v>84</v>
      </c>
      <c r="D125" s="8" t="s">
        <v>191</v>
      </c>
      <c r="E125" s="14" t="s">
        <v>66</v>
      </c>
      <c r="F125" s="9" t="n">
        <v>13302</v>
      </c>
      <c r="G125" s="9" t="n">
        <v>294</v>
      </c>
      <c r="H125" s="9" t="n">
        <v>126</v>
      </c>
      <c r="I125" s="9" t="n">
        <v>83</v>
      </c>
      <c r="J125" s="9" t="n">
        <v>32</v>
      </c>
      <c r="K125" s="9" t="n">
        <v>40</v>
      </c>
      <c r="L125" s="9" t="n">
        <v>3</v>
      </c>
      <c r="M125" s="10" t="n">
        <f aca="false">IFERROR(G125/F125,"")</f>
        <v>0.0221019395579612</v>
      </c>
      <c r="N125" s="10" t="n">
        <f aca="false">IFERROR(H125/G125,"")</f>
        <v>0.428571428571429</v>
      </c>
      <c r="O125" s="11" t="n">
        <f aca="false">IFERROR(I125/H125,"")</f>
        <v>0.658730158730159</v>
      </c>
      <c r="P125" s="10" t="n">
        <f aca="false">IFERROR(J125/H125,"")</f>
        <v>0.253968253968254</v>
      </c>
      <c r="Q125" s="10" t="n">
        <f aca="false">IFERROR(K125/H125,"")</f>
        <v>0.317460317460317</v>
      </c>
      <c r="R125" s="10" t="n">
        <f aca="false">IFERROR(L125/H125,"")</f>
        <v>0.0238095238095238</v>
      </c>
      <c r="S125" s="11" t="n">
        <f aca="false">IFERROR(M125/MEDIAN(INDEX($M$5:$M$627,MATCH($A125-90,$A$5:$A$627,1)):INDEX($M$5:$M$627,MATCH($A125+90,$A$5:$A$627,1))),"")</f>
        <v>0.499543538092962</v>
      </c>
      <c r="T125" s="11" t="n">
        <f aca="false">IFERROR(N125/MEDIAN(INDEX($N$5:$N$627,MATCH($A125-90,$A$5:$A$627,1)):INDEX($N$5:$N$627,MATCH($A125+90,$A$5:$A$627,1))),"")</f>
        <v>0.809214192829277</v>
      </c>
      <c r="U125" s="11" t="n">
        <f aca="false">IFERROR(Q125/MEDIAN(INDEX($Q$5:$Q$627,MATCH($A125-90,$A$5:$A$627,1)):INDEX($Q$5:$Q$627,MATCH($A125+90,$A$5:$A$627,1))),"")</f>
        <v>31.4285714285714</v>
      </c>
    </row>
    <row r="126" customFormat="false" ht="15" hidden="false" customHeight="false" outlineLevel="0" collapsed="false">
      <c r="A126" s="13" t="n">
        <v>45431.501193044</v>
      </c>
      <c r="B126" s="8" t="n">
        <v>12</v>
      </c>
      <c r="C126" s="8" t="s">
        <v>86</v>
      </c>
      <c r="D126" s="8" t="s">
        <v>192</v>
      </c>
      <c r="E126" s="14" t="s">
        <v>66</v>
      </c>
      <c r="F126" s="9" t="n">
        <v>13048326</v>
      </c>
      <c r="G126" s="9" t="n">
        <v>898288</v>
      </c>
      <c r="H126" s="9" t="n">
        <v>520405</v>
      </c>
      <c r="I126" s="9" t="n">
        <v>605594</v>
      </c>
      <c r="J126" s="9" t="n">
        <v>15267</v>
      </c>
      <c r="K126" s="9" t="n">
        <v>6173</v>
      </c>
      <c r="L126" s="9" t="n">
        <v>2376</v>
      </c>
      <c r="M126" s="10" t="n">
        <f aca="false">IFERROR(G126/F126,"")</f>
        <v>0.0688431604176658</v>
      </c>
      <c r="N126" s="10" t="n">
        <f aca="false">IFERROR(H126/G126,"")</f>
        <v>0.5793297917817</v>
      </c>
      <c r="O126" s="11" t="n">
        <f aca="false">IFERROR(I126/H126,"")</f>
        <v>1.16369750482797</v>
      </c>
      <c r="P126" s="10" t="n">
        <f aca="false">IFERROR(J126/H126,"")</f>
        <v>0.0293367665568163</v>
      </c>
      <c r="Q126" s="10" t="n">
        <f aca="false">IFERROR(K126/H126,"")</f>
        <v>0.0118619152390926</v>
      </c>
      <c r="R126" s="10" t="n">
        <f aca="false">IFERROR(L126/H126,"")</f>
        <v>0.00456567481096454</v>
      </c>
      <c r="S126" s="11" t="n">
        <f aca="false">IFERROR(M126/MEDIAN(INDEX($M$5:$M$627,MATCH($A126-90,$A$5:$A$627,1)):INDEX($M$5:$M$627,MATCH($A126+90,$A$5:$A$627,1))),"")</f>
        <v>1.56221736340298</v>
      </c>
      <c r="T126" s="11" t="n">
        <f aca="false">IFERROR(N126/MEDIAN(INDEX($N$5:$N$627,MATCH($A126-90,$A$5:$A$627,1)):INDEX($N$5:$N$627,MATCH($A126+90,$A$5:$A$627,1))),"")</f>
        <v>1.09892852326906</v>
      </c>
      <c r="U126" s="11" t="n">
        <f aca="false">IFERROR(Q126/MEDIAN(INDEX($Q$5:$Q$627,MATCH($A126-90,$A$5:$A$627,1)):INDEX($Q$5:$Q$627,MATCH($A126+90,$A$5:$A$627,1))),"")</f>
        <v>1.15011662704811</v>
      </c>
    </row>
    <row r="127" customFormat="false" ht="15" hidden="false" customHeight="false" outlineLevel="0" collapsed="false">
      <c r="A127" s="13" t="n">
        <v>45433.5426326389</v>
      </c>
      <c r="B127" s="8" t="n">
        <v>13</v>
      </c>
      <c r="C127" s="8" t="s">
        <v>64</v>
      </c>
      <c r="D127" s="8" t="s">
        <v>193</v>
      </c>
      <c r="E127" s="14" t="s">
        <v>66</v>
      </c>
      <c r="F127" s="9" t="n">
        <v>152393</v>
      </c>
      <c r="G127" s="9" t="n">
        <v>1578</v>
      </c>
      <c r="H127" s="9" t="n">
        <v>458</v>
      </c>
      <c r="I127" s="9" t="n">
        <v>315</v>
      </c>
      <c r="J127" s="9" t="n">
        <v>34</v>
      </c>
      <c r="K127" s="9" t="n">
        <v>5</v>
      </c>
      <c r="L127" s="9" t="n">
        <v>7</v>
      </c>
      <c r="M127" s="10" t="n">
        <f aca="false">IFERROR(G127/F127,"")</f>
        <v>0.0103548063231251</v>
      </c>
      <c r="N127" s="10" t="n">
        <f aca="false">IFERROR(H127/G127,"")</f>
        <v>0.290240811153359</v>
      </c>
      <c r="O127" s="11" t="n">
        <f aca="false">IFERROR(I127/H127,"")</f>
        <v>0.687772925764192</v>
      </c>
      <c r="P127" s="10" t="n">
        <f aca="false">IFERROR(J127/H127,"")</f>
        <v>0.074235807860262</v>
      </c>
      <c r="Q127" s="10" t="n">
        <f aca="false">IFERROR(K127/H127,"")</f>
        <v>0.0109170305676856</v>
      </c>
      <c r="R127" s="10" t="n">
        <f aca="false">IFERROR(L127/H127,"")</f>
        <v>0.0152838427947598</v>
      </c>
      <c r="S127" s="11" t="n">
        <f aca="false">IFERROR(M127/MEDIAN(INDEX($M$5:$M$627,MATCH($A127-90,$A$5:$A$627,1)):INDEX($M$5:$M$627,MATCH($A127+90,$A$5:$A$627,1))),"")</f>
        <v>0.234037224351111</v>
      </c>
      <c r="T127" s="11" t="n">
        <f aca="false">IFERROR(N127/MEDIAN(INDEX($N$5:$N$627,MATCH($A127-90,$A$5:$A$627,1)):INDEX($N$5:$N$627,MATCH($A127+90,$A$5:$A$627,1))),"")</f>
        <v>0.548022962021686</v>
      </c>
      <c r="U127" s="11" t="n">
        <f aca="false">IFERROR(Q127/MEDIAN(INDEX($Q$5:$Q$627,MATCH($A127-90,$A$5:$A$627,1)):INDEX($Q$5:$Q$627,MATCH($A127+90,$A$5:$A$627,1))),"")</f>
        <v>1.08078602620087</v>
      </c>
    </row>
    <row r="128" customFormat="false" ht="15" hidden="false" customHeight="false" outlineLevel="0" collapsed="false">
      <c r="A128" s="13" t="n">
        <v>45435.5041312963</v>
      </c>
      <c r="B128" s="8" t="n">
        <v>12</v>
      </c>
      <c r="C128" s="8" t="s">
        <v>73</v>
      </c>
      <c r="D128" s="8" t="s">
        <v>194</v>
      </c>
      <c r="E128" s="14" t="s">
        <v>66</v>
      </c>
      <c r="F128" s="9" t="n">
        <v>1684646</v>
      </c>
      <c r="G128" s="9" t="n">
        <v>76991</v>
      </c>
      <c r="H128" s="9" t="n">
        <v>37303</v>
      </c>
      <c r="I128" s="9" t="n">
        <v>42568</v>
      </c>
      <c r="J128" s="9" t="n">
        <v>611</v>
      </c>
      <c r="K128" s="9" t="n">
        <v>550</v>
      </c>
      <c r="L128" s="9" t="n">
        <v>77</v>
      </c>
      <c r="M128" s="10" t="n">
        <f aca="false">IFERROR(G128/F128,"")</f>
        <v>0.0457015895327564</v>
      </c>
      <c r="N128" s="10" t="n">
        <f aca="false">IFERROR(H128/G128,"")</f>
        <v>0.484511176631035</v>
      </c>
      <c r="O128" s="11" t="n">
        <f aca="false">IFERROR(I128/H128,"")</f>
        <v>1.1411414631531</v>
      </c>
      <c r="P128" s="10" t="n">
        <f aca="false">IFERROR(J128/H128,"")</f>
        <v>0.016379379674557</v>
      </c>
      <c r="Q128" s="10" t="n">
        <f aca="false">IFERROR(K128/H128,"")</f>
        <v>0.0147441224566389</v>
      </c>
      <c r="R128" s="10" t="n">
        <f aca="false">IFERROR(L128/H128,"")</f>
        <v>0.00206417714392944</v>
      </c>
      <c r="S128" s="11" t="n">
        <f aca="false">IFERROR(M128/MEDIAN(INDEX($M$5:$M$627,MATCH($A128-90,$A$5:$A$627,1)):INDEX($M$5:$M$627,MATCH($A128+90,$A$5:$A$627,1))),"")</f>
        <v>1.03293802210413</v>
      </c>
      <c r="T128" s="11" t="n">
        <f aca="false">IFERROR(N128/MEDIAN(INDEX($N$5:$N$627,MATCH($A128-90,$A$5:$A$627,1)):INDEX($N$5:$N$627,MATCH($A128+90,$A$5:$A$627,1))),"")</f>
        <v>0.904187222935313</v>
      </c>
      <c r="U128" s="11" t="n">
        <f aca="false">IFERROR(Q128/MEDIAN(INDEX($Q$5:$Q$627,MATCH($A128-90,$A$5:$A$627,1)):INDEX($Q$5:$Q$627,MATCH($A128+90,$A$5:$A$627,1))),"")</f>
        <v>1.40069163338069</v>
      </c>
    </row>
    <row r="129" customFormat="false" ht="15" hidden="false" customHeight="false" outlineLevel="0" collapsed="false">
      <c r="A129" s="13" t="n">
        <v>45437.5248709722</v>
      </c>
      <c r="B129" s="8" t="n">
        <v>12</v>
      </c>
      <c r="C129" s="8" t="s">
        <v>68</v>
      </c>
      <c r="D129" s="8" t="s">
        <v>195</v>
      </c>
      <c r="E129" s="14" t="s">
        <v>66</v>
      </c>
      <c r="F129" s="9" t="n">
        <v>27546</v>
      </c>
      <c r="G129" s="9" t="n">
        <v>2245</v>
      </c>
      <c r="H129" s="9" t="n">
        <v>1319</v>
      </c>
      <c r="I129" s="9" t="n">
        <v>1062</v>
      </c>
      <c r="J129" s="9" t="n">
        <v>256</v>
      </c>
      <c r="K129" s="9" t="n">
        <v>13</v>
      </c>
      <c r="L129" s="9" t="n">
        <v>10</v>
      </c>
      <c r="M129" s="10" t="n">
        <f aca="false">IFERROR(G129/F129,"")</f>
        <v>0.0815000363029115</v>
      </c>
      <c r="N129" s="10" t="n">
        <f aca="false">IFERROR(H129/G129,"")</f>
        <v>0.587527839643653</v>
      </c>
      <c r="O129" s="11" t="n">
        <f aca="false">IFERROR(I129/H129,"")</f>
        <v>0.805155420773313</v>
      </c>
      <c r="P129" s="10" t="n">
        <f aca="false">IFERROR(J129/H129,"")</f>
        <v>0.194086429112964</v>
      </c>
      <c r="Q129" s="10" t="n">
        <f aca="false">IFERROR(K129/H129,"")</f>
        <v>0.00985595147839272</v>
      </c>
      <c r="R129" s="10" t="n">
        <f aca="false">IFERROR(L129/H129,"")</f>
        <v>0.00758150113722517</v>
      </c>
      <c r="S129" s="11" t="n">
        <f aca="false">IFERROR(M129/MEDIAN(INDEX($M$5:$M$627,MATCH($A129-90,$A$5:$A$627,1)):INDEX($M$5:$M$627,MATCH($A129+90,$A$5:$A$627,1))),"")</f>
        <v>1.85687704098955</v>
      </c>
      <c r="T129" s="11" t="n">
        <f aca="false">IFERROR(N129/MEDIAN(INDEX($N$5:$N$627,MATCH($A129-90,$A$5:$A$627,1)):INDEX($N$5:$N$627,MATCH($A129+90,$A$5:$A$627,1))),"")</f>
        <v>1.10935035521792</v>
      </c>
      <c r="U129" s="11" t="n">
        <f aca="false">IFERROR(Q129/MEDIAN(INDEX($Q$5:$Q$627,MATCH($A129-90,$A$5:$A$627,1)):INDEX($Q$5:$Q$627,MATCH($A129+90,$A$5:$A$627,1))),"")</f>
        <v>0.902805155420773</v>
      </c>
    </row>
    <row r="130" customFormat="false" ht="15" hidden="false" customHeight="false" outlineLevel="0" collapsed="false">
      <c r="A130" s="13" t="n">
        <v>45439.5154909838</v>
      </c>
      <c r="B130" s="8" t="n">
        <v>12</v>
      </c>
      <c r="C130" s="8" t="s">
        <v>80</v>
      </c>
      <c r="D130" s="8" t="s">
        <v>196</v>
      </c>
      <c r="E130" s="14" t="s">
        <v>66</v>
      </c>
      <c r="F130" s="9" t="n">
        <v>994777</v>
      </c>
      <c r="G130" s="9" t="n">
        <v>96073</v>
      </c>
      <c r="H130" s="9" t="n">
        <v>67844</v>
      </c>
      <c r="I130" s="9" t="n">
        <v>66764</v>
      </c>
      <c r="J130" s="9" t="n">
        <v>1507</v>
      </c>
      <c r="K130" s="9" t="n">
        <v>819</v>
      </c>
      <c r="L130" s="9" t="n">
        <v>238</v>
      </c>
      <c r="M130" s="10" t="n">
        <f aca="false">IFERROR(G130/F130,"")</f>
        <v>0.0965774238849511</v>
      </c>
      <c r="N130" s="10" t="n">
        <f aca="false">IFERROR(H130/G130,"")</f>
        <v>0.70617134887013</v>
      </c>
      <c r="O130" s="11" t="n">
        <f aca="false">IFERROR(I130/H130,"")</f>
        <v>0.984081127292023</v>
      </c>
      <c r="P130" s="10" t="n">
        <f aca="false">IFERROR(J130/H130,"")</f>
        <v>0.0222127233064088</v>
      </c>
      <c r="Q130" s="10" t="n">
        <f aca="false">IFERROR(K130/H130,"")</f>
        <v>0.0120718118035493</v>
      </c>
      <c r="R130" s="10" t="n">
        <f aca="false">IFERROR(L130/H130,"")</f>
        <v>0.0035080478745357</v>
      </c>
      <c r="S130" s="11" t="n">
        <f aca="false">IFERROR(M130/MEDIAN(INDEX($M$5:$M$627,MATCH($A130-90,$A$5:$A$627,1)):INDEX($M$5:$M$627,MATCH($A130+90,$A$5:$A$627,1))),"")</f>
        <v>2.1915746980594</v>
      </c>
      <c r="T130" s="11" t="n">
        <f aca="false">IFERROR(N130/MEDIAN(INDEX($N$5:$N$627,MATCH($A130-90,$A$5:$A$627,1)):INDEX($N$5:$N$627,MATCH($A130+90,$A$5:$A$627,1))),"")</f>
        <v>1.33953380025931</v>
      </c>
      <c r="U130" s="11" t="n">
        <f aca="false">IFERROR(Q130/MEDIAN(INDEX($Q$5:$Q$627,MATCH($A130-90,$A$5:$A$627,1)):INDEX($Q$5:$Q$627,MATCH($A130+90,$A$5:$A$627,1))),"")</f>
        <v>1.09879881417384</v>
      </c>
    </row>
    <row r="131" customFormat="false" ht="15" hidden="false" customHeight="false" outlineLevel="0" collapsed="false">
      <c r="A131" s="13" t="n">
        <v>45441.5312397685</v>
      </c>
      <c r="B131" s="8" t="n">
        <v>12</v>
      </c>
      <c r="C131" s="8" t="s">
        <v>71</v>
      </c>
      <c r="D131" s="8" t="s">
        <v>197</v>
      </c>
      <c r="E131" s="14" t="s">
        <v>66</v>
      </c>
      <c r="F131" s="9" t="n">
        <v>97385</v>
      </c>
      <c r="G131" s="9" t="n">
        <v>12060</v>
      </c>
      <c r="H131" s="9" t="n">
        <v>6068</v>
      </c>
      <c r="I131" s="9" t="n">
        <v>3879</v>
      </c>
      <c r="J131" s="9" t="n">
        <v>130</v>
      </c>
      <c r="K131" s="9" t="n">
        <v>9</v>
      </c>
      <c r="L131" s="9" t="n">
        <v>45</v>
      </c>
      <c r="M131" s="10" t="n">
        <f aca="false">IFERROR(G131/F131,"")</f>
        <v>0.12383837346614</v>
      </c>
      <c r="N131" s="10" t="n">
        <f aca="false">IFERROR(H131/G131,"")</f>
        <v>0.503150912106136</v>
      </c>
      <c r="O131" s="11" t="n">
        <f aca="false">IFERROR(I131/H131,"")</f>
        <v>0.639255108767304</v>
      </c>
      <c r="P131" s="10" t="n">
        <f aca="false">IFERROR(J131/H131,"")</f>
        <v>0.0214238628872775</v>
      </c>
      <c r="Q131" s="10" t="n">
        <f aca="false">IFERROR(K131/H131,"")</f>
        <v>0.00148319050758075</v>
      </c>
      <c r="R131" s="10" t="n">
        <f aca="false">IFERROR(L131/H131,"")</f>
        <v>0.00741595253790376</v>
      </c>
      <c r="S131" s="11" t="n">
        <f aca="false">IFERROR(M131/MEDIAN(INDEX($M$5:$M$627,MATCH($A131-90,$A$5:$A$627,1)):INDEX($M$5:$M$627,MATCH($A131+90,$A$5:$A$627,1))),"")</f>
        <v>2.78764137414041</v>
      </c>
      <c r="T131" s="11" t="n">
        <f aca="false">IFERROR(N131/MEDIAN(INDEX($N$5:$N$627,MATCH($A131-90,$A$5:$A$627,1)):INDEX($N$5:$N$627,MATCH($A131+90,$A$5:$A$627,1))),"")</f>
        <v>0.954425090278509</v>
      </c>
      <c r="U131" s="11" t="n">
        <f aca="false">IFERROR(Q131/MEDIAN(INDEX($Q$5:$Q$627,MATCH($A131-90,$A$5:$A$627,1)):INDEX($Q$5:$Q$627,MATCH($A131+90,$A$5:$A$627,1))),"")</f>
        <v>0.138335732014659</v>
      </c>
    </row>
    <row r="132" customFormat="false" ht="15" hidden="false" customHeight="false" outlineLevel="0" collapsed="false">
      <c r="A132" s="13" t="n">
        <v>45443.5274771644</v>
      </c>
      <c r="B132" s="8" t="n">
        <v>12</v>
      </c>
      <c r="C132" s="8" t="s">
        <v>84</v>
      </c>
      <c r="D132" s="8" t="s">
        <v>198</v>
      </c>
      <c r="E132" s="14" t="s">
        <v>66</v>
      </c>
      <c r="F132" s="9" t="n">
        <v>15098</v>
      </c>
      <c r="G132" s="9" t="n">
        <v>668</v>
      </c>
      <c r="H132" s="9" t="n">
        <v>426</v>
      </c>
      <c r="I132" s="9" t="n">
        <v>387</v>
      </c>
      <c r="J132" s="9" t="n">
        <v>96</v>
      </c>
      <c r="K132" s="9" t="n">
        <v>9</v>
      </c>
      <c r="L132" s="9" t="n">
        <v>1</v>
      </c>
      <c r="M132" s="10" t="n">
        <f aca="false">IFERROR(G132/F132,"")</f>
        <v>0.0442442707643397</v>
      </c>
      <c r="N132" s="10" t="n">
        <f aca="false">IFERROR(H132/G132,"")</f>
        <v>0.637724550898204</v>
      </c>
      <c r="O132" s="11" t="n">
        <f aca="false">IFERROR(I132/H132,"")</f>
        <v>0.908450704225352</v>
      </c>
      <c r="P132" s="10" t="n">
        <f aca="false">IFERROR(J132/H132,"")</f>
        <v>0.225352112676056</v>
      </c>
      <c r="Q132" s="10" t="n">
        <f aca="false">IFERROR(K132/H132,"")</f>
        <v>0.0211267605633803</v>
      </c>
      <c r="R132" s="10" t="n">
        <f aca="false">IFERROR(L132/H132,"")</f>
        <v>0.00234741784037559</v>
      </c>
      <c r="S132" s="11" t="n">
        <f aca="false">IFERROR(M132/MEDIAN(INDEX($M$5:$M$627,MATCH($A132-90,$A$5:$A$627,1)):INDEX($M$5:$M$627,MATCH($A132+90,$A$5:$A$627,1))),"")</f>
        <v>1</v>
      </c>
      <c r="T132" s="11" t="n">
        <f aca="false">IFERROR(N132/MEDIAN(INDEX($N$5:$N$627,MATCH($A132-90,$A$5:$A$627,1)):INDEX($N$5:$N$627,MATCH($A132+90,$A$5:$A$627,1))),"")</f>
        <v>1.20413010130584</v>
      </c>
      <c r="U132" s="11" t="n">
        <f aca="false">IFERROR(Q132/MEDIAN(INDEX($Q$5:$Q$627,MATCH($A132-90,$A$5:$A$627,1)):INDEX($Q$5:$Q$627,MATCH($A132+90,$A$5:$A$627,1))),"")</f>
        <v>1.93521126760563</v>
      </c>
    </row>
    <row r="133" customFormat="false" ht="15" hidden="false" customHeight="false" outlineLevel="0" collapsed="false">
      <c r="A133" s="13" t="n">
        <v>45445.5027752315</v>
      </c>
      <c r="B133" s="8" t="n">
        <v>12</v>
      </c>
      <c r="C133" s="8" t="s">
        <v>86</v>
      </c>
      <c r="D133" s="8" t="s">
        <v>199</v>
      </c>
      <c r="E133" s="14" t="s">
        <v>66</v>
      </c>
      <c r="F133" s="9" t="n">
        <v>101353</v>
      </c>
      <c r="G133" s="9" t="n">
        <v>1489</v>
      </c>
      <c r="H133" s="9" t="n">
        <v>713</v>
      </c>
      <c r="I133" s="9" t="n">
        <v>846</v>
      </c>
      <c r="J133" s="9" t="n">
        <v>72</v>
      </c>
      <c r="K133" s="9" t="n">
        <v>6</v>
      </c>
      <c r="L133" s="9" t="n">
        <v>21</v>
      </c>
      <c r="M133" s="10" t="n">
        <f aca="false">IFERROR(G133/F133,"")</f>
        <v>0.0146912276893629</v>
      </c>
      <c r="N133" s="10" t="n">
        <f aca="false">IFERROR(H133/G133,"")</f>
        <v>0.478844862323707</v>
      </c>
      <c r="O133" s="11" t="n">
        <f aca="false">IFERROR(I133/H133,"")</f>
        <v>1.18653576437588</v>
      </c>
      <c r="P133" s="10" t="n">
        <f aca="false">IFERROR(J133/H133,"")</f>
        <v>0.100981767180926</v>
      </c>
      <c r="Q133" s="10" t="n">
        <f aca="false">IFERROR(K133/H133,"")</f>
        <v>0.00841514726507714</v>
      </c>
      <c r="R133" s="10" t="n">
        <f aca="false">IFERROR(L133/H133,"")</f>
        <v>0.02945301542777</v>
      </c>
      <c r="S133" s="11" t="n">
        <f aca="false">IFERROR(M133/MEDIAN(INDEX($M$5:$M$627,MATCH($A133-90,$A$5:$A$627,1)):INDEX($M$5:$M$627,MATCH($A133+90,$A$5:$A$627,1))),"")</f>
        <v>0.333379392328712</v>
      </c>
      <c r="T133" s="11" t="n">
        <f aca="false">IFERROR(N133/MEDIAN(INDEX($N$5:$N$627,MATCH($A133-90,$A$5:$A$627,1)):INDEX($N$5:$N$627,MATCH($A133+90,$A$5:$A$627,1))),"")</f>
        <v>0.89884500436817</v>
      </c>
      <c r="U133" s="11" t="n">
        <f aca="false">IFERROR(Q133/MEDIAN(INDEX($Q$5:$Q$627,MATCH($A133-90,$A$5:$A$627,1)):INDEX($Q$5:$Q$627,MATCH($A133+90,$A$5:$A$627,1))),"")</f>
        <v>0.800754684770467</v>
      </c>
    </row>
    <row r="134" customFormat="false" ht="15" hidden="false" customHeight="false" outlineLevel="0" collapsed="false">
      <c r="A134" s="13" t="n">
        <v>45447.5045156829</v>
      </c>
      <c r="B134" s="8" t="n">
        <v>12</v>
      </c>
      <c r="C134" s="8" t="s">
        <v>64</v>
      </c>
      <c r="D134" s="8" t="s">
        <v>200</v>
      </c>
      <c r="E134" s="14" t="s">
        <v>66</v>
      </c>
      <c r="F134" s="9" t="n">
        <v>1617641</v>
      </c>
      <c r="G134" s="9" t="n">
        <v>44671</v>
      </c>
      <c r="H134" s="9" t="n">
        <v>31108</v>
      </c>
      <c r="I134" s="9" t="n">
        <v>26232</v>
      </c>
      <c r="J134" s="9" t="n">
        <v>358</v>
      </c>
      <c r="K134" s="9" t="n">
        <v>100</v>
      </c>
      <c r="L134" s="9" t="n">
        <v>123</v>
      </c>
      <c r="M134" s="10" t="n">
        <f aca="false">IFERROR(G134/F134,"")</f>
        <v>0.0276149034303656</v>
      </c>
      <c r="N134" s="10" t="n">
        <f aca="false">IFERROR(H134/G134,"")</f>
        <v>0.696380201920709</v>
      </c>
      <c r="O134" s="11" t="n">
        <f aca="false">IFERROR(I134/H134,"")</f>
        <v>0.843255754146843</v>
      </c>
      <c r="P134" s="10" t="n">
        <f aca="false">IFERROR(J134/H134,"")</f>
        <v>0.0115082936865115</v>
      </c>
      <c r="Q134" s="10" t="n">
        <f aca="false">IFERROR(K134/H134,"")</f>
        <v>0.00321460717500321</v>
      </c>
      <c r="R134" s="10" t="n">
        <f aca="false">IFERROR(L134/H134,"")</f>
        <v>0.00395396682525395</v>
      </c>
      <c r="S134" s="11" t="n">
        <f aca="false">IFERROR(M134/MEDIAN(INDEX($M$5:$M$627,MATCH($A134-90,$A$5:$A$627,1)):INDEX($M$5:$M$627,MATCH($A134+90,$A$5:$A$627,1))),"")</f>
        <v>0.629171255561241</v>
      </c>
      <c r="T134" s="11" t="n">
        <f aca="false">IFERROR(N134/MEDIAN(INDEX($N$5:$N$627,MATCH($A134-90,$A$5:$A$627,1)):INDEX($N$5:$N$627,MATCH($A134+90,$A$5:$A$627,1))),"")</f>
        <v>1.2995739030419</v>
      </c>
      <c r="U134" s="11" t="n">
        <f aca="false">IFERROR(Q134/MEDIAN(INDEX($Q$5:$Q$627,MATCH($A134-90,$A$5:$A$627,1)):INDEX($Q$5:$Q$627,MATCH($A134+90,$A$5:$A$627,1))),"")</f>
        <v>0.294458017230294</v>
      </c>
    </row>
    <row r="135" customFormat="false" ht="15" hidden="false" customHeight="false" outlineLevel="0" collapsed="false">
      <c r="A135" s="13" t="n">
        <v>45449.5049687153</v>
      </c>
      <c r="B135" s="8" t="n">
        <v>12</v>
      </c>
      <c r="C135" s="8" t="s">
        <v>73</v>
      </c>
      <c r="D135" s="8" t="s">
        <v>201</v>
      </c>
      <c r="E135" s="14" t="s">
        <v>66</v>
      </c>
      <c r="F135" s="9" t="n">
        <v>19389</v>
      </c>
      <c r="G135" s="9" t="n">
        <v>819</v>
      </c>
      <c r="H135" s="9" t="n">
        <v>424</v>
      </c>
      <c r="I135" s="9" t="n">
        <v>483</v>
      </c>
      <c r="J135" s="9" t="n">
        <v>101</v>
      </c>
      <c r="K135" s="9" t="n">
        <v>6</v>
      </c>
      <c r="L135" s="9" t="n">
        <v>1</v>
      </c>
      <c r="M135" s="10" t="n">
        <f aca="false">IFERROR(G135/F135,"")</f>
        <v>0.0422404456134922</v>
      </c>
      <c r="N135" s="10" t="n">
        <f aca="false">IFERROR(H135/G135,"")</f>
        <v>0.517704517704518</v>
      </c>
      <c r="O135" s="11" t="n">
        <f aca="false">IFERROR(I135/H135,"")</f>
        <v>1.13915094339623</v>
      </c>
      <c r="P135" s="10" t="n">
        <f aca="false">IFERROR(J135/H135,"")</f>
        <v>0.238207547169811</v>
      </c>
      <c r="Q135" s="10" t="n">
        <f aca="false">IFERROR(K135/H135,"")</f>
        <v>0.0141509433962264</v>
      </c>
      <c r="R135" s="10" t="n">
        <f aca="false">IFERROR(L135/H135,"")</f>
        <v>0.00235849056603774</v>
      </c>
      <c r="S135" s="11" t="n">
        <f aca="false">IFERROR(M135/MEDIAN(INDEX($M$5:$M$627,MATCH($A135-90,$A$5:$A$627,1)):INDEX($M$5:$M$627,MATCH($A135+90,$A$5:$A$627,1))),"")</f>
        <v>0.962396057951935</v>
      </c>
      <c r="T135" s="11" t="n">
        <f aca="false">IFERROR(N135/MEDIAN(INDEX($N$5:$N$627,MATCH($A135-90,$A$5:$A$627,1)):INDEX($N$5:$N$627,MATCH($A135+90,$A$5:$A$627,1))),"")</f>
        <v>0.966132119839173</v>
      </c>
      <c r="U135" s="11" t="n">
        <f aca="false">IFERROR(Q135/MEDIAN(INDEX($Q$5:$Q$627,MATCH($A135-90,$A$5:$A$627,1)):INDEX($Q$5:$Q$627,MATCH($A135+90,$A$5:$A$627,1))),"")</f>
        <v>1.29622641509434</v>
      </c>
    </row>
    <row r="136" customFormat="false" ht="15" hidden="false" customHeight="false" outlineLevel="0" collapsed="false">
      <c r="A136" s="13" t="n">
        <v>45451.5814199653</v>
      </c>
      <c r="B136" s="8" t="n">
        <v>13</v>
      </c>
      <c r="C136" s="8" t="s">
        <v>68</v>
      </c>
      <c r="D136" s="8" t="s">
        <v>202</v>
      </c>
      <c r="E136" s="14" t="s">
        <v>66</v>
      </c>
      <c r="F136" s="9" t="n">
        <v>1949015</v>
      </c>
      <c r="G136" s="9" t="n">
        <v>27947</v>
      </c>
      <c r="H136" s="9" t="n">
        <v>16084</v>
      </c>
      <c r="I136" s="9" t="n">
        <v>13804</v>
      </c>
      <c r="J136" s="9" t="n">
        <v>738</v>
      </c>
      <c r="K136" s="9" t="n">
        <v>80</v>
      </c>
      <c r="L136" s="9" t="n">
        <v>143</v>
      </c>
      <c r="M136" s="10" t="n">
        <f aca="false">IFERROR(G136/F136,"")</f>
        <v>0.0143390379242848</v>
      </c>
      <c r="N136" s="10" t="n">
        <f aca="false">IFERROR(H136/G136,"")</f>
        <v>0.575517944681003</v>
      </c>
      <c r="O136" s="11" t="n">
        <f aca="false">IFERROR(I136/H136,"")</f>
        <v>0.858244217856255</v>
      </c>
      <c r="P136" s="10" t="n">
        <f aca="false">IFERROR(J136/H136,"")</f>
        <v>0.0458841084307386</v>
      </c>
      <c r="Q136" s="10" t="n">
        <f aca="false">IFERROR(K136/H136,"")</f>
        <v>0.00497388709276299</v>
      </c>
      <c r="R136" s="10" t="n">
        <f aca="false">IFERROR(L136/H136,"")</f>
        <v>0.00889082317831385</v>
      </c>
      <c r="S136" s="11" t="n">
        <f aca="false">IFERROR(M136/MEDIAN(INDEX($M$5:$M$627,MATCH($A136-90,$A$5:$A$627,1)):INDEX($M$5:$M$627,MATCH($A136+90,$A$5:$A$627,1))),"")</f>
        <v>0.322776327436456</v>
      </c>
      <c r="T136" s="11" t="n">
        <f aca="false">IFERROR(N136/MEDIAN(INDEX($N$5:$N$627,MATCH($A136-90,$A$5:$A$627,1)):INDEX($N$5:$N$627,MATCH($A136+90,$A$5:$A$627,1))),"")</f>
        <v>1.09169784470787</v>
      </c>
      <c r="U136" s="11" t="n">
        <f aca="false">IFERROR(Q136/MEDIAN(INDEX($Q$5:$Q$627,MATCH($A136-90,$A$5:$A$627,1)):INDEX($Q$5:$Q$627,MATCH($A136+90,$A$5:$A$627,1))),"")</f>
        <v>0.452732475315399</v>
      </c>
    </row>
    <row r="137" customFormat="false" ht="15" hidden="false" customHeight="false" outlineLevel="0" collapsed="false">
      <c r="A137" s="13" t="n">
        <v>45453.5340741782</v>
      </c>
      <c r="B137" s="8" t="n">
        <v>12</v>
      </c>
      <c r="C137" s="8" t="s">
        <v>80</v>
      </c>
      <c r="D137" s="8" t="s">
        <v>203</v>
      </c>
      <c r="E137" s="14" t="s">
        <v>66</v>
      </c>
      <c r="F137" s="9" t="n">
        <v>23164</v>
      </c>
      <c r="G137" s="9" t="n">
        <v>768</v>
      </c>
      <c r="H137" s="9" t="n">
        <v>403</v>
      </c>
      <c r="I137" s="9" t="n">
        <v>324</v>
      </c>
      <c r="J137" s="9" t="n">
        <v>75</v>
      </c>
      <c r="K137" s="9" t="n">
        <v>4</v>
      </c>
      <c r="L137" s="9" t="n">
        <v>4</v>
      </c>
      <c r="M137" s="10" t="n">
        <f aca="false">IFERROR(G137/F137,"")</f>
        <v>0.0331548955275427</v>
      </c>
      <c r="N137" s="10" t="n">
        <f aca="false">IFERROR(H137/G137,"")</f>
        <v>0.524739583333333</v>
      </c>
      <c r="O137" s="11" t="n">
        <f aca="false">IFERROR(I137/H137,"")</f>
        <v>0.803970223325062</v>
      </c>
      <c r="P137" s="10" t="n">
        <f aca="false">IFERROR(J137/H137,"")</f>
        <v>0.186104218362283</v>
      </c>
      <c r="Q137" s="10" t="n">
        <f aca="false">IFERROR(K137/H137,"")</f>
        <v>0.00992555831265509</v>
      </c>
      <c r="R137" s="10" t="n">
        <f aca="false">IFERROR(L137/H137,"")</f>
        <v>0.00992555831265509</v>
      </c>
      <c r="S137" s="11" t="n">
        <f aca="false">IFERROR(M137/MEDIAN(INDEX($M$5:$M$627,MATCH($A137-90,$A$5:$A$627,1)):INDEX($M$5:$M$627,MATCH($A137+90,$A$5:$A$627,1))),"")</f>
        <v>0.74936019861503</v>
      </c>
      <c r="T137" s="11" t="n">
        <f aca="false">IFERROR(N137/MEDIAN(INDEX($N$5:$N$627,MATCH($A137-90,$A$5:$A$627,1)):INDEX($N$5:$N$627,MATCH($A137+90,$A$5:$A$627,1))),"")</f>
        <v>1</v>
      </c>
      <c r="U137" s="11" t="n">
        <f aca="false">IFERROR(Q137/MEDIAN(INDEX($Q$5:$Q$627,MATCH($A137-90,$A$5:$A$627,1)):INDEX($Q$5:$Q$627,MATCH($A137+90,$A$5:$A$627,1))),"")</f>
        <v>0.897776480319175</v>
      </c>
    </row>
    <row r="138" customFormat="false" ht="15" hidden="false" customHeight="false" outlineLevel="0" collapsed="false">
      <c r="A138" s="13" t="n">
        <v>45455.5297369792</v>
      </c>
      <c r="B138" s="8" t="n">
        <v>12</v>
      </c>
      <c r="C138" s="8" t="s">
        <v>71</v>
      </c>
      <c r="D138" s="8" t="s">
        <v>204</v>
      </c>
      <c r="E138" s="14" t="s">
        <v>66</v>
      </c>
      <c r="F138" s="9" t="n">
        <v>279462</v>
      </c>
      <c r="G138" s="9" t="n">
        <v>29687</v>
      </c>
      <c r="H138" s="9" t="n">
        <v>11735</v>
      </c>
      <c r="I138" s="9" t="n">
        <v>10755</v>
      </c>
      <c r="J138" s="9" t="n">
        <v>425</v>
      </c>
      <c r="K138" s="9" t="n">
        <v>45</v>
      </c>
      <c r="L138" s="9" t="n">
        <v>105</v>
      </c>
      <c r="M138" s="10" t="n">
        <f aca="false">IFERROR(G138/F138,"")</f>
        <v>0.106229111650242</v>
      </c>
      <c r="N138" s="10" t="n">
        <f aca="false">IFERROR(H138/G138,"")</f>
        <v>0.395290868056725</v>
      </c>
      <c r="O138" s="11" t="n">
        <f aca="false">IFERROR(I138/H138,"")</f>
        <v>0.916489135066042</v>
      </c>
      <c r="P138" s="10" t="n">
        <f aca="false">IFERROR(J138/H138,"")</f>
        <v>0.0362164465274819</v>
      </c>
      <c r="Q138" s="10" t="n">
        <f aca="false">IFERROR(K138/H138,"")</f>
        <v>0.00383468257349808</v>
      </c>
      <c r="R138" s="10" t="n">
        <f aca="false">IFERROR(L138/H138,"")</f>
        <v>0.00894759267149553</v>
      </c>
      <c r="S138" s="11" t="n">
        <f aca="false">IFERROR(M138/MEDIAN(INDEX($M$5:$M$627,MATCH($A138-90,$A$5:$A$627,1)):INDEX($M$5:$M$627,MATCH($A138+90,$A$5:$A$627,1))),"")</f>
        <v>2.38161211154319</v>
      </c>
      <c r="T138" s="11" t="n">
        <f aca="false">IFERROR(N138/MEDIAN(INDEX($N$5:$N$627,MATCH($A138-90,$A$5:$A$627,1)):INDEX($N$5:$N$627,MATCH($A138+90,$A$5:$A$627,1))),"")</f>
        <v>0.753308651780558</v>
      </c>
      <c r="U138" s="11" t="n">
        <f aca="false">IFERROR(Q138/MEDIAN(INDEX($Q$5:$Q$627,MATCH($A138-90,$A$5:$A$627,1)):INDEX($Q$5:$Q$627,MATCH($A138+90,$A$5:$A$627,1))),"")</f>
        <v>0.346850798265621</v>
      </c>
    </row>
    <row r="139" customFormat="false" ht="15" hidden="false" customHeight="false" outlineLevel="0" collapsed="false">
      <c r="A139" s="13" t="n">
        <v>45457.6895720255</v>
      </c>
      <c r="B139" s="8" t="n">
        <v>16</v>
      </c>
      <c r="C139" s="8" t="s">
        <v>84</v>
      </c>
      <c r="D139" s="8" t="s">
        <v>205</v>
      </c>
      <c r="E139" s="14" t="s">
        <v>66</v>
      </c>
      <c r="F139" s="9" t="n">
        <v>158785</v>
      </c>
      <c r="G139" s="9" t="n">
        <v>458</v>
      </c>
      <c r="H139" s="9" t="n">
        <v>171</v>
      </c>
      <c r="I139" s="9" t="n">
        <v>152</v>
      </c>
      <c r="J139" s="9" t="n">
        <v>30</v>
      </c>
      <c r="K139" s="9" t="n">
        <v>5</v>
      </c>
      <c r="L139" s="9" t="n">
        <v>0</v>
      </c>
      <c r="M139" s="10" t="n">
        <f aca="false">IFERROR(G139/F139,"")</f>
        <v>0.00288440343861196</v>
      </c>
      <c r="N139" s="10" t="n">
        <f aca="false">IFERROR(H139/G139,"")</f>
        <v>0.373362445414847</v>
      </c>
      <c r="O139" s="11" t="n">
        <f aca="false">IFERROR(I139/H139,"")</f>
        <v>0.888888888888889</v>
      </c>
      <c r="P139" s="10" t="n">
        <f aca="false">IFERROR(J139/H139,"")</f>
        <v>0.175438596491228</v>
      </c>
      <c r="Q139" s="10" t="n">
        <f aca="false">IFERROR(K139/H139,"")</f>
        <v>0.0292397660818713</v>
      </c>
      <c r="R139" s="10" t="n">
        <f aca="false">IFERROR(L139/H139,"")</f>
        <v>0</v>
      </c>
      <c r="S139" s="11" t="n">
        <f aca="false">IFERROR(M139/MEDIAN(INDEX($M$5:$M$627,MATCH($A139-90,$A$5:$A$627,1)):INDEX($M$5:$M$627,MATCH($A139+90,$A$5:$A$627,1))),"")</f>
        <v>0.063501327866824</v>
      </c>
      <c r="T139" s="11" t="n">
        <f aca="false">IFERROR(N139/MEDIAN(INDEX($N$5:$N$627,MATCH($A139-90,$A$5:$A$627,1)):INDEX($N$5:$N$627,MATCH($A139+90,$A$5:$A$627,1))),"")</f>
        <v>0.715490976840817</v>
      </c>
      <c r="U139" s="11" t="n">
        <f aca="false">IFERROR(Q139/MEDIAN(INDEX($Q$5:$Q$627,MATCH($A139-90,$A$5:$A$627,1)):INDEX($Q$5:$Q$627,MATCH($A139+90,$A$5:$A$627,1))),"")</f>
        <v>2.66145801643746</v>
      </c>
    </row>
    <row r="140" customFormat="false" ht="15" hidden="false" customHeight="false" outlineLevel="0" collapsed="false">
      <c r="A140" s="13" t="n">
        <v>45459.5462343171</v>
      </c>
      <c r="B140" s="8" t="n">
        <v>13</v>
      </c>
      <c r="C140" s="8" t="s">
        <v>86</v>
      </c>
      <c r="D140" s="8" t="s">
        <v>206</v>
      </c>
      <c r="E140" s="14" t="s">
        <v>66</v>
      </c>
      <c r="F140" s="9" t="n">
        <v>21082</v>
      </c>
      <c r="G140" s="9" t="n">
        <v>1296</v>
      </c>
      <c r="H140" s="9" t="n">
        <v>569</v>
      </c>
      <c r="I140" s="9" t="n">
        <v>493</v>
      </c>
      <c r="J140" s="9" t="n">
        <v>148</v>
      </c>
      <c r="K140" s="9" t="n">
        <v>11</v>
      </c>
      <c r="L140" s="9" t="n">
        <v>6</v>
      </c>
      <c r="M140" s="10" t="n">
        <f aca="false">IFERROR(G140/F140,"")</f>
        <v>0.0614742434304146</v>
      </c>
      <c r="N140" s="10" t="n">
        <f aca="false">IFERROR(H140/G140,"")</f>
        <v>0.439043209876543</v>
      </c>
      <c r="O140" s="11" t="n">
        <f aca="false">IFERROR(I140/H140,"")</f>
        <v>0.866432337434095</v>
      </c>
      <c r="P140" s="10" t="n">
        <f aca="false">IFERROR(J140/H140,"")</f>
        <v>0.260105448154657</v>
      </c>
      <c r="Q140" s="10" t="n">
        <f aca="false">IFERROR(K140/H140,"")</f>
        <v>0.0193321616871705</v>
      </c>
      <c r="R140" s="10" t="n">
        <f aca="false">IFERROR(L140/H140,"")</f>
        <v>0.0105448154657294</v>
      </c>
      <c r="S140" s="11" t="n">
        <f aca="false">IFERROR(M140/MEDIAN(INDEX($M$5:$M$627,MATCH($A140-90,$A$5:$A$627,1)):INDEX($M$5:$M$627,MATCH($A140+90,$A$5:$A$627,1))),"")</f>
        <v>1.34835251241185</v>
      </c>
      <c r="T140" s="11" t="n">
        <f aca="false">IFERROR(N140/MEDIAN(INDEX($N$5:$N$627,MATCH($A140-90,$A$5:$A$627,1)):INDEX($N$5:$N$627,MATCH($A140+90,$A$5:$A$627,1))),"")</f>
        <v>0.832819428804283</v>
      </c>
      <c r="U140" s="11" t="n">
        <f aca="false">IFERROR(Q140/MEDIAN(INDEX($Q$5:$Q$627,MATCH($A140-90,$A$5:$A$627,1)):INDEX($Q$5:$Q$627,MATCH($A140+90,$A$5:$A$627,1))),"")</f>
        <v>1.83957791231833</v>
      </c>
    </row>
    <row r="141" customFormat="false" ht="15" hidden="false" customHeight="false" outlineLevel="0" collapsed="false">
      <c r="A141" s="13" t="n">
        <v>45462.5553715278</v>
      </c>
      <c r="B141" s="8" t="n">
        <v>13</v>
      </c>
      <c r="C141" s="8" t="s">
        <v>71</v>
      </c>
      <c r="D141" s="8" t="s">
        <v>207</v>
      </c>
      <c r="E141" s="14" t="s">
        <v>66</v>
      </c>
      <c r="F141" s="9" t="n">
        <v>3942372</v>
      </c>
      <c r="G141" s="9" t="n">
        <v>556814</v>
      </c>
      <c r="H141" s="9" t="n">
        <v>169404</v>
      </c>
      <c r="I141" s="9" t="n">
        <v>113388</v>
      </c>
      <c r="J141" s="9" t="n">
        <v>3533</v>
      </c>
      <c r="K141" s="9" t="n">
        <v>693</v>
      </c>
      <c r="L141" s="9" t="n">
        <v>796</v>
      </c>
      <c r="M141" s="10" t="n">
        <f aca="false">IFERROR(G141/F141,"")</f>
        <v>0.141238320483201</v>
      </c>
      <c r="N141" s="10" t="n">
        <f aca="false">IFERROR(H141/G141,"")</f>
        <v>0.304238039991811</v>
      </c>
      <c r="O141" s="11" t="n">
        <f aca="false">IFERROR(I141/H141,"")</f>
        <v>0.669334844513707</v>
      </c>
      <c r="P141" s="10" t="n">
        <f aca="false">IFERROR(J141/H141,"")</f>
        <v>0.0208554697645864</v>
      </c>
      <c r="Q141" s="10" t="n">
        <f aca="false">IFERROR(K141/H141,"")</f>
        <v>0.00409081249557271</v>
      </c>
      <c r="R141" s="10" t="n">
        <f aca="false">IFERROR(L141/H141,"")</f>
        <v>0.00469882647399117</v>
      </c>
      <c r="S141" s="11" t="n">
        <f aca="false">IFERROR(M141/MEDIAN(INDEX($M$5:$M$627,MATCH($A141-90,$A$5:$A$627,1)):INDEX($M$5:$M$627,MATCH($A141+90,$A$5:$A$627,1))),"")</f>
        <v>3.09786723097978</v>
      </c>
      <c r="T141" s="11" t="n">
        <f aca="false">IFERROR(N141/MEDIAN(INDEX($N$5:$N$627,MATCH($A141-90,$A$5:$A$627,1)):INDEX($N$5:$N$627,MATCH($A141+90,$A$5:$A$627,1))),"")</f>
        <v>0.57710800437561</v>
      </c>
      <c r="U141" s="11" t="n">
        <f aca="false">IFERROR(Q141/MEDIAN(INDEX($Q$5:$Q$627,MATCH($A141-90,$A$5:$A$627,1)):INDEX($Q$5:$Q$627,MATCH($A141+90,$A$5:$A$627,1))),"")</f>
        <v>0.37235337928489</v>
      </c>
    </row>
    <row r="142" customFormat="false" ht="15" hidden="false" customHeight="false" outlineLevel="0" collapsed="false">
      <c r="A142" s="13" t="n">
        <v>45464.5098142361</v>
      </c>
      <c r="B142" s="8" t="n">
        <v>12</v>
      </c>
      <c r="C142" s="8" t="s">
        <v>84</v>
      </c>
      <c r="D142" s="8" t="s">
        <v>208</v>
      </c>
      <c r="E142" s="14" t="s">
        <v>66</v>
      </c>
      <c r="F142" s="9" t="n">
        <v>3552252</v>
      </c>
      <c r="G142" s="9" t="n">
        <v>180665</v>
      </c>
      <c r="H142" s="9" t="n">
        <v>82028</v>
      </c>
      <c r="I142" s="9" t="n">
        <v>119655</v>
      </c>
      <c r="J142" s="9" t="n">
        <v>1063</v>
      </c>
      <c r="K142" s="9" t="n">
        <v>677</v>
      </c>
      <c r="L142" s="9" t="n">
        <v>459</v>
      </c>
      <c r="M142" s="10" t="n">
        <f aca="false">IFERROR(G142/F142,"")</f>
        <v>0.050859285883997</v>
      </c>
      <c r="N142" s="10" t="n">
        <f aca="false">IFERROR(H142/G142,"")</f>
        <v>0.454033708798052</v>
      </c>
      <c r="O142" s="11" t="n">
        <f aca="false">IFERROR(I142/H142,"")</f>
        <v>1.45870922124153</v>
      </c>
      <c r="P142" s="10" t="n">
        <f aca="false">IFERROR(J142/H142,"")</f>
        <v>0.0129589896133028</v>
      </c>
      <c r="Q142" s="10" t="n">
        <f aca="false">IFERROR(K142/H142,"")</f>
        <v>0.00825327936802068</v>
      </c>
      <c r="R142" s="10" t="n">
        <f aca="false">IFERROR(L142/H142,"")</f>
        <v>0.00559565026576291</v>
      </c>
      <c r="S142" s="11" t="n">
        <f aca="false">IFERROR(M142/MEDIAN(INDEX($M$5:$M$627,MATCH($A142-90,$A$5:$A$627,1)):INDEX($M$5:$M$627,MATCH($A142+90,$A$5:$A$627,1))),"")</f>
        <v>1.09101575049747</v>
      </c>
      <c r="T142" s="11" t="n">
        <f aca="false">IFERROR(N142/MEDIAN(INDEX($N$5:$N$627,MATCH($A142-90,$A$5:$A$627,1)):INDEX($N$5:$N$627,MATCH($A142+90,$A$5:$A$627,1))),"")</f>
        <v>0.861254850349265</v>
      </c>
      <c r="U142" s="11" t="n">
        <f aca="false">IFERROR(Q142/MEDIAN(INDEX($Q$5:$Q$627,MATCH($A142-90,$A$5:$A$627,1)):INDEX($Q$5:$Q$627,MATCH($A142+90,$A$5:$A$627,1))),"")</f>
        <v>0.785351926767667</v>
      </c>
    </row>
    <row r="143" customFormat="false" ht="15" hidden="false" customHeight="false" outlineLevel="0" collapsed="false">
      <c r="A143" s="13" t="n">
        <v>45466.520871412</v>
      </c>
      <c r="B143" s="8" t="n">
        <v>12</v>
      </c>
      <c r="C143" s="8" t="s">
        <v>86</v>
      </c>
      <c r="D143" s="8" t="s">
        <v>209</v>
      </c>
      <c r="E143" s="14" t="s">
        <v>66</v>
      </c>
      <c r="F143" s="9" t="n">
        <v>65005</v>
      </c>
      <c r="G143" s="9" t="n">
        <v>5169</v>
      </c>
      <c r="H143" s="9" t="n">
        <v>2240</v>
      </c>
      <c r="I143" s="9" t="n">
        <v>1588</v>
      </c>
      <c r="J143" s="9" t="n">
        <v>168</v>
      </c>
      <c r="K143" s="9" t="n">
        <v>77</v>
      </c>
      <c r="L143" s="9" t="n">
        <v>10</v>
      </c>
      <c r="M143" s="10" t="n">
        <f aca="false">IFERROR(G143/F143,"")</f>
        <v>0.0795169602338282</v>
      </c>
      <c r="N143" s="10" t="n">
        <f aca="false">IFERROR(H143/G143,"")</f>
        <v>0.433352679435094</v>
      </c>
      <c r="O143" s="11" t="n">
        <f aca="false">IFERROR(I143/H143,"")</f>
        <v>0.708928571428572</v>
      </c>
      <c r="P143" s="10" t="n">
        <f aca="false">IFERROR(J143/H143,"")</f>
        <v>0.075</v>
      </c>
      <c r="Q143" s="10" t="n">
        <f aca="false">IFERROR(K143/H143,"")</f>
        <v>0.034375</v>
      </c>
      <c r="R143" s="10" t="n">
        <f aca="false">IFERROR(L143/H143,"")</f>
        <v>0.00446428571428571</v>
      </c>
      <c r="S143" s="11" t="n">
        <f aca="false">IFERROR(M143/MEDIAN(INDEX($M$5:$M$627,MATCH($A143-90,$A$5:$A$627,1)):INDEX($M$5:$M$627,MATCH($A143+90,$A$5:$A$627,1))),"")</f>
        <v>1.66995311832629</v>
      </c>
      <c r="T143" s="11" t="n">
        <f aca="false">IFERROR(N143/MEDIAN(INDEX($N$5:$N$627,MATCH($A143-90,$A$5:$A$627,1)):INDEX($N$5:$N$627,MATCH($A143+90,$A$5:$A$627,1))),"")</f>
        <v>0.82202508281457</v>
      </c>
      <c r="U143" s="11" t="n">
        <f aca="false">IFERROR(Q143/MEDIAN(INDEX($Q$5:$Q$627,MATCH($A143-90,$A$5:$A$627,1)):INDEX($Q$5:$Q$627,MATCH($A143+90,$A$5:$A$627,1))),"")</f>
        <v>3.27099947534103</v>
      </c>
    </row>
    <row r="144" customFormat="false" ht="15" hidden="false" customHeight="false" outlineLevel="0" collapsed="false">
      <c r="A144" s="13" t="n">
        <v>45468.5005232407</v>
      </c>
      <c r="B144" s="8" t="n">
        <v>12</v>
      </c>
      <c r="C144" s="8" t="s">
        <v>64</v>
      </c>
      <c r="D144" s="8" t="s">
        <v>210</v>
      </c>
      <c r="E144" s="14" t="s">
        <v>66</v>
      </c>
      <c r="F144" s="9" t="n">
        <v>997792</v>
      </c>
      <c r="G144" s="9" t="n">
        <v>29711</v>
      </c>
      <c r="H144" s="9" t="n">
        <v>14040</v>
      </c>
      <c r="I144" s="9" t="n">
        <v>11798</v>
      </c>
      <c r="J144" s="9" t="n">
        <v>330</v>
      </c>
      <c r="K144" s="9" t="n">
        <v>118</v>
      </c>
      <c r="L144" s="9" t="n">
        <v>38</v>
      </c>
      <c r="M144" s="10" t="n">
        <f aca="false">IFERROR(G144/F144,"")</f>
        <v>0.029776747057503</v>
      </c>
      <c r="N144" s="10" t="n">
        <f aca="false">IFERROR(H144/G144,"")</f>
        <v>0.472552253374171</v>
      </c>
      <c r="O144" s="11" t="n">
        <f aca="false">IFERROR(I144/H144,"")</f>
        <v>0.84031339031339</v>
      </c>
      <c r="P144" s="10" t="n">
        <f aca="false">IFERROR(J144/H144,"")</f>
        <v>0.0235042735042735</v>
      </c>
      <c r="Q144" s="10" t="n">
        <f aca="false">IFERROR(K144/H144,"")</f>
        <v>0.00840455840455841</v>
      </c>
      <c r="R144" s="10" t="n">
        <f aca="false">IFERROR(L144/H144,"")</f>
        <v>0.00270655270655271</v>
      </c>
      <c r="S144" s="11" t="n">
        <f aca="false">IFERROR(M144/MEDIAN(INDEX($M$5:$M$627,MATCH($A144-90,$A$5:$A$627,1)):INDEX($M$5:$M$627,MATCH($A144+90,$A$5:$A$627,1))),"")</f>
        <v>0.604679438510338</v>
      </c>
      <c r="T144" s="11" t="n">
        <f aca="false">IFERROR(N144/MEDIAN(INDEX($N$5:$N$627,MATCH($A144-90,$A$5:$A$627,1)):INDEX($N$5:$N$627,MATCH($A144+90,$A$5:$A$627,1))),"")</f>
        <v>0.905572795355303</v>
      </c>
      <c r="U144" s="11" t="n">
        <f aca="false">IFERROR(Q144/MEDIAN(INDEX($Q$5:$Q$627,MATCH($A144-90,$A$5:$A$627,1)):INDEX($Q$5:$Q$627,MATCH($A144+90,$A$5:$A$627,1))),"")</f>
        <v>0.799747087470068</v>
      </c>
    </row>
    <row r="145" customFormat="false" ht="15" hidden="false" customHeight="false" outlineLevel="0" collapsed="false">
      <c r="A145" s="13" t="n">
        <v>45470.5021076157</v>
      </c>
      <c r="B145" s="8" t="n">
        <v>12</v>
      </c>
      <c r="C145" s="8" t="s">
        <v>73</v>
      </c>
      <c r="D145" s="8" t="s">
        <v>211</v>
      </c>
      <c r="E145" s="14" t="s">
        <v>66</v>
      </c>
      <c r="F145" s="9" t="n">
        <v>844498</v>
      </c>
      <c r="G145" s="9" t="n">
        <v>33086</v>
      </c>
      <c r="H145" s="9" t="n">
        <v>21563</v>
      </c>
      <c r="I145" s="9" t="n">
        <v>13884</v>
      </c>
      <c r="J145" s="9" t="n">
        <v>748</v>
      </c>
      <c r="K145" s="9" t="n">
        <v>128</v>
      </c>
      <c r="L145" s="9" t="n">
        <v>70</v>
      </c>
      <c r="M145" s="10" t="n">
        <f aca="false">IFERROR(G145/F145,"")</f>
        <v>0.039178304744357</v>
      </c>
      <c r="N145" s="10" t="n">
        <f aca="false">IFERROR(H145/G145,"")</f>
        <v>0.651725805476637</v>
      </c>
      <c r="O145" s="11" t="n">
        <f aca="false">IFERROR(I145/H145,"")</f>
        <v>0.643880721606456</v>
      </c>
      <c r="P145" s="10" t="n">
        <f aca="false">IFERROR(J145/H145,"")</f>
        <v>0.0346890506886797</v>
      </c>
      <c r="Q145" s="10" t="n">
        <f aca="false">IFERROR(K145/H145,"")</f>
        <v>0.00593609423549599</v>
      </c>
      <c r="R145" s="10" t="n">
        <f aca="false">IFERROR(L145/H145,"")</f>
        <v>0.00324630153503687</v>
      </c>
      <c r="S145" s="11" t="n">
        <f aca="false">IFERROR(M145/MEDIAN(INDEX($M$5:$M$627,MATCH($A145-90,$A$5:$A$627,1)):INDEX($M$5:$M$627,MATCH($A145+90,$A$5:$A$627,1))),"")</f>
        <v>0.821326638684367</v>
      </c>
      <c r="T145" s="11" t="n">
        <f aca="false">IFERROR(N145/MEDIAN(INDEX($N$5:$N$627,MATCH($A145-90,$A$5:$A$627,1)):INDEX($N$5:$N$627,MATCH($A145+90,$A$5:$A$627,1))),"")</f>
        <v>1.24199855733513</v>
      </c>
      <c r="U145" s="11" t="n">
        <f aca="false">IFERROR(Q145/MEDIAN(INDEX($Q$5:$Q$627,MATCH($A145-90,$A$5:$A$627,1)):INDEX($Q$5:$Q$627,MATCH($A145+90,$A$5:$A$627,1))),"")</f>
        <v>0.543746231971433</v>
      </c>
    </row>
    <row r="146" customFormat="false" ht="15" hidden="false" customHeight="false" outlineLevel="0" collapsed="false">
      <c r="A146" s="13" t="n">
        <v>45472.4794040625</v>
      </c>
      <c r="B146" s="8" t="n">
        <v>11</v>
      </c>
      <c r="C146" s="8" t="s">
        <v>68</v>
      </c>
      <c r="D146" s="8" t="s">
        <v>212</v>
      </c>
      <c r="E146" s="14" t="s">
        <v>66</v>
      </c>
      <c r="F146" s="9" t="n">
        <v>11519</v>
      </c>
      <c r="G146" s="9" t="n">
        <v>302</v>
      </c>
      <c r="H146" s="9" t="n">
        <v>140</v>
      </c>
      <c r="I146" s="9" t="n">
        <v>116</v>
      </c>
      <c r="J146" s="9" t="n">
        <v>25</v>
      </c>
      <c r="K146" s="9" t="n">
        <v>11</v>
      </c>
      <c r="L146" s="9" t="n">
        <v>2</v>
      </c>
      <c r="M146" s="10" t="n">
        <f aca="false">IFERROR(G146/F146,"")</f>
        <v>0.0262175536070839</v>
      </c>
      <c r="N146" s="10" t="n">
        <f aca="false">IFERROR(H146/G146,"")</f>
        <v>0.463576158940397</v>
      </c>
      <c r="O146" s="11" t="n">
        <f aca="false">IFERROR(I146/H146,"")</f>
        <v>0.828571428571429</v>
      </c>
      <c r="P146" s="10" t="n">
        <f aca="false">IFERROR(J146/H146,"")</f>
        <v>0.178571428571429</v>
      </c>
      <c r="Q146" s="10" t="n">
        <f aca="false">IFERROR(K146/H146,"")</f>
        <v>0.0785714285714286</v>
      </c>
      <c r="R146" s="10" t="n">
        <f aca="false">IFERROR(L146/H146,"")</f>
        <v>0.0142857142857143</v>
      </c>
      <c r="S146" s="11" t="n">
        <f aca="false">IFERROR(M146/MEDIAN(INDEX($M$5:$M$627,MATCH($A146-90,$A$5:$A$627,1)):INDEX($M$5:$M$627,MATCH($A146+90,$A$5:$A$627,1))),"")</f>
        <v>0.549619880674775</v>
      </c>
      <c r="T146" s="11" t="n">
        <f aca="false">IFERROR(N146/MEDIAN(INDEX($N$5:$N$627,MATCH($A146-90,$A$5:$A$627,1)):INDEX($N$5:$N$627,MATCH($A146+90,$A$5:$A$627,1))),"")</f>
        <v>0.883440422000559</v>
      </c>
      <c r="U146" s="11" t="n">
        <f aca="false">IFERROR(Q146/MEDIAN(INDEX($Q$5:$Q$627,MATCH($A146-90,$A$5:$A$627,1)):INDEX($Q$5:$Q$627,MATCH($A146+90,$A$5:$A$627,1))),"")</f>
        <v>7.19714285714286</v>
      </c>
    </row>
    <row r="147" customFormat="false" ht="15" hidden="false" customHeight="false" outlineLevel="0" collapsed="false">
      <c r="A147" s="13" t="n">
        <v>45474.500525544</v>
      </c>
      <c r="B147" s="8" t="n">
        <v>12</v>
      </c>
      <c r="C147" s="8" t="s">
        <v>80</v>
      </c>
      <c r="D147" s="8" t="s">
        <v>213</v>
      </c>
      <c r="E147" s="14" t="s">
        <v>66</v>
      </c>
      <c r="F147" s="9" t="n">
        <v>87352</v>
      </c>
      <c r="G147" s="9" t="n">
        <v>11192</v>
      </c>
      <c r="H147" s="9" t="n">
        <v>6641</v>
      </c>
      <c r="I147" s="9" t="n">
        <v>4745</v>
      </c>
      <c r="J147" s="9" t="n">
        <v>428</v>
      </c>
      <c r="K147" s="9" t="n">
        <v>106</v>
      </c>
      <c r="L147" s="9" t="n">
        <v>15</v>
      </c>
      <c r="M147" s="10" t="n">
        <f aca="false">IFERROR(G147/F147,"")</f>
        <v>0.12812528619837</v>
      </c>
      <c r="N147" s="10" t="n">
        <f aca="false">IFERROR(H147/G147,"")</f>
        <v>0.593370264474625</v>
      </c>
      <c r="O147" s="11" t="n">
        <f aca="false">IFERROR(I147/H147,"")</f>
        <v>0.714500828188526</v>
      </c>
      <c r="P147" s="10" t="n">
        <f aca="false">IFERROR(J147/H147,"")</f>
        <v>0.064448125282337</v>
      </c>
      <c r="Q147" s="10" t="n">
        <f aca="false">IFERROR(K147/H147,"")</f>
        <v>0.0159614515886162</v>
      </c>
      <c r="R147" s="10" t="n">
        <f aca="false">IFERROR(L147/H147,"")</f>
        <v>0.00225869597952116</v>
      </c>
      <c r="S147" s="11" t="n">
        <f aca="false">IFERROR(M147/MEDIAN(INDEX($M$5:$M$627,MATCH($A147-90,$A$5:$A$627,1)):INDEX($M$5:$M$627,MATCH($A147+90,$A$5:$A$627,1))),"")</f>
        <v>2.69078723072706</v>
      </c>
      <c r="T147" s="11" t="n">
        <f aca="false">IFERROR(N147/MEDIAN(INDEX($N$5:$N$627,MATCH($A147-90,$A$5:$A$627,1)):INDEX($N$5:$N$627,MATCH($A147+90,$A$5:$A$627,1))),"")</f>
        <v>1.13710169667846</v>
      </c>
      <c r="U147" s="11" t="n">
        <f aca="false">IFERROR(Q147/MEDIAN(INDEX($Q$5:$Q$627,MATCH($A147-90,$A$5:$A$627,1)):INDEX($Q$5:$Q$627,MATCH($A147+90,$A$5:$A$627,1))),"")</f>
        <v>1.45284107832993</v>
      </c>
    </row>
    <row r="148" customFormat="false" ht="15" hidden="false" customHeight="false" outlineLevel="0" collapsed="false">
      <c r="A148" s="13" t="n">
        <v>45476.560135081</v>
      </c>
      <c r="B148" s="8" t="n">
        <v>13</v>
      </c>
      <c r="C148" s="8" t="s">
        <v>71</v>
      </c>
      <c r="D148" s="8" t="s">
        <v>214</v>
      </c>
      <c r="E148" s="14" t="s">
        <v>66</v>
      </c>
      <c r="F148" s="9" t="n">
        <v>499032</v>
      </c>
      <c r="G148" s="9" t="n">
        <v>43522</v>
      </c>
      <c r="H148" s="9" t="n">
        <v>22439</v>
      </c>
      <c r="I148" s="9" t="n">
        <v>24567</v>
      </c>
      <c r="J148" s="9" t="n">
        <v>1331</v>
      </c>
      <c r="K148" s="9" t="n">
        <v>164</v>
      </c>
      <c r="L148" s="9" t="n">
        <v>117</v>
      </c>
      <c r="M148" s="10" t="n">
        <f aca="false">IFERROR(G148/F148,"")</f>
        <v>0.087212844066112</v>
      </c>
      <c r="N148" s="10" t="n">
        <f aca="false">IFERROR(H148/G148,"")</f>
        <v>0.515578328201829</v>
      </c>
      <c r="O148" s="11" t="n">
        <f aca="false">IFERROR(I148/H148,"")</f>
        <v>1.09483488569009</v>
      </c>
      <c r="P148" s="10" t="n">
        <f aca="false">IFERROR(J148/H148,"")</f>
        <v>0.05931636882214</v>
      </c>
      <c r="Q148" s="10" t="n">
        <f aca="false">IFERROR(K148/H148,"")</f>
        <v>0.00730870359641695</v>
      </c>
      <c r="R148" s="10" t="n">
        <f aca="false">IFERROR(L148/H148,"")</f>
        <v>0.00521413610232185</v>
      </c>
      <c r="S148" s="11" t="n">
        <f aca="false">IFERROR(M148/MEDIAN(INDEX($M$5:$M$627,MATCH($A148-90,$A$5:$A$627,1)):INDEX($M$5:$M$627,MATCH($A148+90,$A$5:$A$627,1))),"")</f>
        <v>1.83157606223923</v>
      </c>
      <c r="T148" s="11" t="n">
        <f aca="false">IFERROR(N148/MEDIAN(INDEX($N$5:$N$627,MATCH($A148-90,$A$5:$A$627,1)):INDEX($N$5:$N$627,MATCH($A148+90,$A$5:$A$627,1))),"")</f>
        <v>0.994730852117421</v>
      </c>
      <c r="U148" s="11" t="n">
        <f aca="false">IFERROR(Q148/MEDIAN(INDEX($Q$5:$Q$627,MATCH($A148-90,$A$5:$A$627,1)):INDEX($Q$5:$Q$627,MATCH($A148+90,$A$5:$A$627,1))),"")</f>
        <v>0.695469545579722</v>
      </c>
    </row>
    <row r="149" customFormat="false" ht="15" hidden="false" customHeight="false" outlineLevel="0" collapsed="false">
      <c r="A149" s="13" t="n">
        <v>45478.5008993982</v>
      </c>
      <c r="B149" s="8" t="n">
        <v>12</v>
      </c>
      <c r="C149" s="8" t="s">
        <v>84</v>
      </c>
      <c r="D149" s="8" t="s">
        <v>215</v>
      </c>
      <c r="E149" s="14" t="s">
        <v>66</v>
      </c>
      <c r="F149" s="9" t="n">
        <v>7758</v>
      </c>
      <c r="G149" s="9" t="n">
        <v>71</v>
      </c>
      <c r="H149" s="9" t="n">
        <v>33</v>
      </c>
      <c r="I149" s="9" t="n">
        <v>33</v>
      </c>
      <c r="J149" s="9" t="n">
        <v>20</v>
      </c>
      <c r="K149" s="9" t="n">
        <v>1</v>
      </c>
      <c r="L149" s="9" t="n">
        <v>0</v>
      </c>
      <c r="M149" s="10" t="n">
        <f aca="false">IFERROR(G149/F149,"")</f>
        <v>0.0091518432585718</v>
      </c>
      <c r="N149" s="10" t="n">
        <f aca="false">IFERROR(H149/G149,"")</f>
        <v>0.464788732394366</v>
      </c>
      <c r="O149" s="11" t="n">
        <f aca="false">IFERROR(I149/H149,"")</f>
        <v>1</v>
      </c>
      <c r="P149" s="10" t="n">
        <f aca="false">IFERROR(J149/H149,"")</f>
        <v>0.606060606060606</v>
      </c>
      <c r="Q149" s="10" t="n">
        <f aca="false">IFERROR(K149/H149,"")</f>
        <v>0.0303030303030303</v>
      </c>
      <c r="R149" s="10" t="n">
        <f aca="false">IFERROR(L149/H149,"")</f>
        <v>0</v>
      </c>
      <c r="S149" s="11" t="n">
        <f aca="false">IFERROR(M149/MEDIAN(INDEX($M$5:$M$627,MATCH($A149-90,$A$5:$A$627,1)):INDEX($M$5:$M$627,MATCH($A149+90,$A$5:$A$627,1))),"")</f>
        <v>0.191857527026143</v>
      </c>
      <c r="T149" s="11" t="n">
        <f aca="false">IFERROR(N149/MEDIAN(INDEX($N$5:$N$627,MATCH($A149-90,$A$5:$A$627,1)):INDEX($N$5:$N$627,MATCH($A149+90,$A$5:$A$627,1))),"")</f>
        <v>0.897787669412703</v>
      </c>
      <c r="U149" s="11" t="n">
        <f aca="false">IFERROR(Q149/MEDIAN(INDEX($Q$5:$Q$627,MATCH($A149-90,$A$5:$A$627,1)):INDEX($Q$5:$Q$627,MATCH($A149+90,$A$5:$A$627,1))),"")</f>
        <v>3</v>
      </c>
    </row>
    <row r="150" customFormat="false" ht="15" hidden="false" customHeight="false" outlineLevel="0" collapsed="false">
      <c r="A150" s="13" t="n">
        <v>45480.5092550695</v>
      </c>
      <c r="B150" s="8" t="n">
        <v>12</v>
      </c>
      <c r="C150" s="8" t="s">
        <v>86</v>
      </c>
      <c r="D150" s="8" t="s">
        <v>216</v>
      </c>
      <c r="E150" s="14" t="s">
        <v>66</v>
      </c>
      <c r="F150" s="9" t="n">
        <v>194649</v>
      </c>
      <c r="G150" s="9" t="n">
        <v>9285</v>
      </c>
      <c r="H150" s="9" t="n">
        <v>4703</v>
      </c>
      <c r="I150" s="9" t="n">
        <v>5502</v>
      </c>
      <c r="J150" s="9" t="n">
        <v>317</v>
      </c>
      <c r="K150" s="9" t="n">
        <v>63</v>
      </c>
      <c r="L150" s="9" t="n">
        <v>33</v>
      </c>
      <c r="M150" s="10" t="n">
        <f aca="false">IFERROR(G150/F150,"")</f>
        <v>0.0477012468597321</v>
      </c>
      <c r="N150" s="10" t="n">
        <f aca="false">IFERROR(H150/G150,"")</f>
        <v>0.506515885837372</v>
      </c>
      <c r="O150" s="11" t="n">
        <f aca="false">IFERROR(I150/H150,"")</f>
        <v>1.16989155857963</v>
      </c>
      <c r="P150" s="10" t="n">
        <f aca="false">IFERROR(J150/H150,"")</f>
        <v>0.0674037848182012</v>
      </c>
      <c r="Q150" s="10" t="n">
        <f aca="false">IFERROR(K150/H150,"")</f>
        <v>0.0133957048692324</v>
      </c>
      <c r="R150" s="10" t="n">
        <f aca="false">IFERROR(L150/H150,"")</f>
        <v>0.00701679778864555</v>
      </c>
      <c r="S150" s="11" t="n">
        <f aca="false">IFERROR(M150/MEDIAN(INDEX($M$5:$M$627,MATCH($A150-90,$A$5:$A$627,1)):INDEX($M$5:$M$627,MATCH($A150+90,$A$5:$A$627,1))),"")</f>
        <v>1</v>
      </c>
      <c r="T150" s="11" t="n">
        <f aca="false">IFERROR(N150/MEDIAN(INDEX($N$5:$N$627,MATCH($A150-90,$A$5:$A$627,1)):INDEX($N$5:$N$627,MATCH($A150+90,$A$5:$A$627,1))),"")</f>
        <v>0.982422763198632</v>
      </c>
      <c r="U150" s="11" t="n">
        <f aca="false">IFERROR(Q150/MEDIAN(INDEX($Q$5:$Q$627,MATCH($A150-90,$A$5:$A$627,1)):INDEX($Q$5:$Q$627,MATCH($A150+90,$A$5:$A$627,1))),"")</f>
        <v>1.22704656602169</v>
      </c>
    </row>
    <row r="151" customFormat="false" ht="15" hidden="false" customHeight="false" outlineLevel="0" collapsed="false">
      <c r="A151" s="13" t="n">
        <v>45482.4942296296</v>
      </c>
      <c r="B151" s="8" t="n">
        <v>11</v>
      </c>
      <c r="C151" s="8" t="s">
        <v>64</v>
      </c>
      <c r="D151" s="8" t="s">
        <v>217</v>
      </c>
      <c r="E151" s="14" t="s">
        <v>66</v>
      </c>
      <c r="F151" s="9" t="n">
        <v>2117971</v>
      </c>
      <c r="G151" s="9" t="n">
        <v>236790</v>
      </c>
      <c r="H151" s="9" t="n">
        <v>42846</v>
      </c>
      <c r="I151" s="9" t="n">
        <v>41286</v>
      </c>
      <c r="J151" s="9" t="n">
        <v>730</v>
      </c>
      <c r="K151" s="9" t="n">
        <v>741</v>
      </c>
      <c r="L151" s="9" t="n">
        <v>359</v>
      </c>
      <c r="M151" s="10" t="n">
        <f aca="false">IFERROR(G151/F151,"")</f>
        <v>0.111800397644727</v>
      </c>
      <c r="N151" s="10" t="n">
        <f aca="false">IFERROR(H151/G151,"")</f>
        <v>0.180945141264412</v>
      </c>
      <c r="O151" s="11" t="n">
        <f aca="false">IFERROR(I151/H151,"")</f>
        <v>0.96359053353872</v>
      </c>
      <c r="P151" s="10" t="n">
        <f aca="false">IFERROR(J151/H151,"")</f>
        <v>0.0170377631517528</v>
      </c>
      <c r="Q151" s="10" t="n">
        <f aca="false">IFERROR(K151/H151,"")</f>
        <v>0.017294496569108</v>
      </c>
      <c r="R151" s="10" t="n">
        <f aca="false">IFERROR(L151/H151,"")</f>
        <v>0.00837884516640993</v>
      </c>
      <c r="S151" s="11" t="n">
        <f aca="false">IFERROR(M151/MEDIAN(INDEX($M$5:$M$627,MATCH($A151-90,$A$5:$A$627,1)):INDEX($M$5:$M$627,MATCH($A151+90,$A$5:$A$627,1))),"")</f>
        <v>2.35214169928519</v>
      </c>
      <c r="T151" s="11" t="n">
        <f aca="false">IFERROR(N151/MEDIAN(INDEX($N$5:$N$627,MATCH($A151-90,$A$5:$A$627,1)):INDEX($N$5:$N$627,MATCH($A151+90,$A$5:$A$627,1))),"")</f>
        <v>0.350955677084973</v>
      </c>
      <c r="U151" s="11" t="n">
        <f aca="false">IFERROR(Q151/MEDIAN(INDEX($Q$5:$Q$627,MATCH($A151-90,$A$5:$A$627,1)):INDEX($Q$5:$Q$627,MATCH($A151+90,$A$5:$A$627,1))),"")</f>
        <v>1.56430417006461</v>
      </c>
    </row>
    <row r="152" customFormat="false" ht="15" hidden="false" customHeight="false" outlineLevel="0" collapsed="false">
      <c r="A152" s="13" t="n">
        <v>45484.5007934491</v>
      </c>
      <c r="B152" s="8" t="n">
        <v>12</v>
      </c>
      <c r="C152" s="8" t="s">
        <v>73</v>
      </c>
      <c r="D152" s="8" t="s">
        <v>218</v>
      </c>
      <c r="E152" s="14" t="s">
        <v>66</v>
      </c>
      <c r="F152" s="9" t="n">
        <v>394159</v>
      </c>
      <c r="G152" s="9" t="n">
        <v>17300</v>
      </c>
      <c r="H152" s="9" t="n">
        <v>11127</v>
      </c>
      <c r="I152" s="9" t="n">
        <v>15408</v>
      </c>
      <c r="J152" s="9" t="n">
        <v>404</v>
      </c>
      <c r="K152" s="9" t="n">
        <v>255</v>
      </c>
      <c r="L152" s="9" t="n">
        <v>57</v>
      </c>
      <c r="M152" s="10" t="n">
        <f aca="false">IFERROR(G152/F152,"")</f>
        <v>0.043890917117204</v>
      </c>
      <c r="N152" s="10" t="n">
        <f aca="false">IFERROR(H152/G152,"")</f>
        <v>0.643179190751445</v>
      </c>
      <c r="O152" s="11" t="n">
        <f aca="false">IFERROR(I152/H152,"")</f>
        <v>1.38473982205446</v>
      </c>
      <c r="P152" s="10" t="n">
        <f aca="false">IFERROR(J152/H152,"")</f>
        <v>0.0363080794463917</v>
      </c>
      <c r="Q152" s="10" t="n">
        <f aca="false">IFERROR(K152/H152,"")</f>
        <v>0.0229172283634403</v>
      </c>
      <c r="R152" s="10" t="n">
        <f aca="false">IFERROR(L152/H152,"")</f>
        <v>0.00512267457535724</v>
      </c>
      <c r="S152" s="11" t="n">
        <f aca="false">IFERROR(M152/MEDIAN(INDEX($M$5:$M$627,MATCH($A152-90,$A$5:$A$627,1)):INDEX($M$5:$M$627,MATCH($A152+90,$A$5:$A$627,1))),"")</f>
        <v>0.941532722025808</v>
      </c>
      <c r="T152" s="11" t="n">
        <f aca="false">IFERROR(N152/MEDIAN(INDEX($N$5:$N$627,MATCH($A152-90,$A$5:$A$627,1)):INDEX($N$5:$N$627,MATCH($A152+90,$A$5:$A$627,1))),"")</f>
        <v>1.24492377532365</v>
      </c>
      <c r="U152" s="11" t="n">
        <f aca="false">IFERROR(Q152/MEDIAN(INDEX($Q$5:$Q$627,MATCH($A152-90,$A$5:$A$627,1)):INDEX($Q$5:$Q$627,MATCH($A152+90,$A$5:$A$627,1))),"")</f>
        <v>2.06608863062792</v>
      </c>
    </row>
    <row r="153" customFormat="false" ht="15" hidden="false" customHeight="false" outlineLevel="0" collapsed="false">
      <c r="A153" s="13" t="n">
        <v>45486.5282211806</v>
      </c>
      <c r="B153" s="8" t="n">
        <v>12</v>
      </c>
      <c r="C153" s="8" t="s">
        <v>68</v>
      </c>
      <c r="D153" s="8" t="s">
        <v>219</v>
      </c>
      <c r="E153" s="14" t="s">
        <v>66</v>
      </c>
      <c r="F153" s="9" t="n">
        <v>38779</v>
      </c>
      <c r="G153" s="9" t="n">
        <v>576</v>
      </c>
      <c r="H153" s="9" t="n">
        <v>313</v>
      </c>
      <c r="I153" s="9" t="n">
        <v>323</v>
      </c>
      <c r="J153" s="9" t="n">
        <v>45</v>
      </c>
      <c r="K153" s="9" t="n">
        <v>3</v>
      </c>
      <c r="L153" s="9" t="n">
        <v>4</v>
      </c>
      <c r="M153" s="10" t="n">
        <f aca="false">IFERROR(G153/F153,"")</f>
        <v>0.014853400036102</v>
      </c>
      <c r="N153" s="10" t="n">
        <f aca="false">IFERROR(H153/G153,"")</f>
        <v>0.543402777777778</v>
      </c>
      <c r="O153" s="11" t="n">
        <f aca="false">IFERROR(I153/H153,"")</f>
        <v>1.03194888178914</v>
      </c>
      <c r="P153" s="10" t="n">
        <f aca="false">IFERROR(J153/H153,"")</f>
        <v>0.143769968051118</v>
      </c>
      <c r="Q153" s="10" t="n">
        <f aca="false">IFERROR(K153/H153,"")</f>
        <v>0.00958466453674121</v>
      </c>
      <c r="R153" s="10" t="n">
        <f aca="false">IFERROR(L153/H153,"")</f>
        <v>0.012779552715655</v>
      </c>
      <c r="S153" s="11" t="n">
        <f aca="false">IFERROR(M153/MEDIAN(INDEX($M$5:$M$627,MATCH($A153-90,$A$5:$A$627,1)):INDEX($M$5:$M$627,MATCH($A153+90,$A$5:$A$627,1))),"")</f>
        <v>0.325008390035447</v>
      </c>
      <c r="T153" s="11" t="n">
        <f aca="false">IFERROR(N153/MEDIAN(INDEX($N$5:$N$627,MATCH($A153-90,$A$5:$A$627,1)):INDEX($N$5:$N$627,MATCH($A153+90,$A$5:$A$627,1))),"")</f>
        <v>1.05396745373878</v>
      </c>
      <c r="U153" s="11" t="n">
        <f aca="false">IFERROR(Q153/MEDIAN(INDEX($Q$5:$Q$627,MATCH($A153-90,$A$5:$A$627,1)):INDEX($Q$5:$Q$627,MATCH($A153+90,$A$5:$A$627,1))),"")</f>
        <v>0.861275353100198</v>
      </c>
    </row>
    <row r="154" customFormat="false" ht="15" hidden="false" customHeight="false" outlineLevel="0" collapsed="false">
      <c r="A154" s="13" t="n">
        <v>45488.5680200579</v>
      </c>
      <c r="B154" s="8" t="n">
        <v>13</v>
      </c>
      <c r="C154" s="8" t="s">
        <v>80</v>
      </c>
      <c r="D154" s="8" t="s">
        <v>220</v>
      </c>
      <c r="E154" s="14" t="s">
        <v>66</v>
      </c>
      <c r="F154" s="9" t="n">
        <v>4043613</v>
      </c>
      <c r="G154" s="9" t="n">
        <v>277168</v>
      </c>
      <c r="H154" s="9" t="n">
        <v>118620</v>
      </c>
      <c r="I154" s="9" t="n">
        <v>109628</v>
      </c>
      <c r="J154" s="9" t="n">
        <v>1721</v>
      </c>
      <c r="K154" s="9" t="n">
        <v>830</v>
      </c>
      <c r="L154" s="9" t="n">
        <v>287</v>
      </c>
      <c r="M154" s="10" t="n">
        <f aca="false">IFERROR(G154/F154,"")</f>
        <v>0.0685446406468671</v>
      </c>
      <c r="N154" s="10" t="n">
        <f aca="false">IFERROR(H154/G154,"")</f>
        <v>0.42797148299948</v>
      </c>
      <c r="O154" s="11" t="n">
        <f aca="false">IFERROR(I154/H154,"")</f>
        <v>0.924194908109931</v>
      </c>
      <c r="P154" s="10" t="n">
        <f aca="false">IFERROR(J154/H154,"")</f>
        <v>0.0145085145843871</v>
      </c>
      <c r="Q154" s="10" t="n">
        <f aca="false">IFERROR(K154/H154,"")</f>
        <v>0.00699713370426572</v>
      </c>
      <c r="R154" s="10" t="n">
        <f aca="false">IFERROR(L154/H154,"")</f>
        <v>0.00241949081099309</v>
      </c>
      <c r="S154" s="11" t="n">
        <f aca="false">IFERROR(M154/MEDIAN(INDEX($M$5:$M$627,MATCH($A154-90,$A$5:$A$627,1)):INDEX($M$5:$M$627,MATCH($A154+90,$A$5:$A$627,1))),"")</f>
        <v>1.50343189718451</v>
      </c>
      <c r="T154" s="11" t="n">
        <f aca="false">IFERROR(N154/MEDIAN(INDEX($N$5:$N$627,MATCH($A154-90,$A$5:$A$627,1)):INDEX($N$5:$N$627,MATCH($A154+90,$A$5:$A$627,1))),"")</f>
        <v>0.837440379019827</v>
      </c>
      <c r="U154" s="11" t="n">
        <f aca="false">IFERROR(Q154/MEDIAN(INDEX($Q$5:$Q$627,MATCH($A154-90,$A$5:$A$627,1)):INDEX($Q$5:$Q$627,MATCH($A154+90,$A$5:$A$627,1))),"")</f>
        <v>0.614055974963265</v>
      </c>
    </row>
    <row r="155" customFormat="false" ht="15" hidden="false" customHeight="false" outlineLevel="0" collapsed="false">
      <c r="A155" s="13" t="n">
        <v>45490.5003006945</v>
      </c>
      <c r="B155" s="8" t="n">
        <v>12</v>
      </c>
      <c r="C155" s="8" t="s">
        <v>71</v>
      </c>
      <c r="D155" s="8" t="s">
        <v>221</v>
      </c>
      <c r="E155" s="14" t="s">
        <v>66</v>
      </c>
      <c r="F155" s="9" t="n">
        <v>196044</v>
      </c>
      <c r="G155" s="9" t="n">
        <v>21862</v>
      </c>
      <c r="H155" s="9" t="n">
        <v>7095</v>
      </c>
      <c r="I155" s="9" t="n">
        <v>9189</v>
      </c>
      <c r="J155" s="9" t="n">
        <v>225</v>
      </c>
      <c r="K155" s="9" t="n">
        <v>138</v>
      </c>
      <c r="L155" s="9" t="n">
        <v>20</v>
      </c>
      <c r="M155" s="10" t="n">
        <f aca="false">IFERROR(G155/F155,"")</f>
        <v>0.111515782171349</v>
      </c>
      <c r="N155" s="10" t="n">
        <f aca="false">IFERROR(H155/G155,"")</f>
        <v>0.324535724087458</v>
      </c>
      <c r="O155" s="11" t="n">
        <f aca="false">IFERROR(I155/H155,"")</f>
        <v>1.29513742071882</v>
      </c>
      <c r="P155" s="10" t="n">
        <f aca="false">IFERROR(J155/H155,"")</f>
        <v>0.0317124735729387</v>
      </c>
      <c r="Q155" s="10" t="n">
        <f aca="false">IFERROR(K155/H155,"")</f>
        <v>0.0194503171247357</v>
      </c>
      <c r="R155" s="10" t="n">
        <f aca="false">IFERROR(L155/H155,"")</f>
        <v>0.00281888653981677</v>
      </c>
      <c r="S155" s="11" t="n">
        <f aca="false">IFERROR(M155/MEDIAN(INDEX($M$5:$M$627,MATCH($A155-90,$A$5:$A$627,1)):INDEX($M$5:$M$627,MATCH($A155+90,$A$5:$A$627,1))),"")</f>
        <v>2.44823892150642</v>
      </c>
      <c r="T155" s="11" t="n">
        <f aca="false">IFERROR(N155/MEDIAN(INDEX($N$5:$N$627,MATCH($A155-90,$A$5:$A$627,1)):INDEX($N$5:$N$627,MATCH($A155+90,$A$5:$A$627,1))),"")</f>
        <v>0.628164350880693</v>
      </c>
      <c r="U155" s="11" t="n">
        <f aca="false">IFERROR(Q155/MEDIAN(INDEX($Q$5:$Q$627,MATCH($A155-90,$A$5:$A$627,1)):INDEX($Q$5:$Q$627,MATCH($A155+90,$A$5:$A$627,1))),"")</f>
        <v>1.75353137980824</v>
      </c>
    </row>
    <row r="156" customFormat="false" ht="15" hidden="false" customHeight="false" outlineLevel="0" collapsed="false">
      <c r="A156" s="13" t="n">
        <v>45492.5215122107</v>
      </c>
      <c r="B156" s="8" t="n">
        <v>12</v>
      </c>
      <c r="C156" s="8" t="s">
        <v>84</v>
      </c>
      <c r="D156" s="8" t="s">
        <v>222</v>
      </c>
      <c r="E156" s="14" t="s">
        <v>66</v>
      </c>
      <c r="F156" s="9" t="n">
        <v>23247</v>
      </c>
      <c r="G156" s="9" t="n">
        <v>2233</v>
      </c>
      <c r="H156" s="9" t="n">
        <v>964</v>
      </c>
      <c r="I156" s="9" t="n">
        <v>1148</v>
      </c>
      <c r="J156" s="9" t="n">
        <v>71</v>
      </c>
      <c r="K156" s="9" t="n">
        <v>7</v>
      </c>
      <c r="L156" s="9" t="n">
        <v>11</v>
      </c>
      <c r="M156" s="10" t="n">
        <f aca="false">IFERROR(G156/F156,"")</f>
        <v>0.0960554049984944</v>
      </c>
      <c r="N156" s="10" t="n">
        <f aca="false">IFERROR(H156/G156,"")</f>
        <v>0.431706224809673</v>
      </c>
      <c r="O156" s="11" t="n">
        <f aca="false">IFERROR(I156/H156,"")</f>
        <v>1.19087136929461</v>
      </c>
      <c r="P156" s="10" t="n">
        <f aca="false">IFERROR(J156/H156,"")</f>
        <v>0.0736514522821577</v>
      </c>
      <c r="Q156" s="10" t="n">
        <f aca="false">IFERROR(K156/H156,"")</f>
        <v>0.00726141078838174</v>
      </c>
      <c r="R156" s="10" t="n">
        <f aca="false">IFERROR(L156/H156,"")</f>
        <v>0.0114107883817427</v>
      </c>
      <c r="S156" s="11" t="n">
        <f aca="false">IFERROR(M156/MEDIAN(INDEX($M$5:$M$627,MATCH($A156-90,$A$5:$A$627,1)):INDEX($M$5:$M$627,MATCH($A156+90,$A$5:$A$627,1))),"")</f>
        <v>2.1088188286841</v>
      </c>
      <c r="T156" s="11" t="n">
        <f aca="false">IFERROR(N156/MEDIAN(INDEX($N$5:$N$627,MATCH($A156-90,$A$5:$A$627,1)):INDEX($N$5:$N$627,MATCH($A156+90,$A$5:$A$627,1))),"")</f>
        <v>0.844748397711046</v>
      </c>
      <c r="U156" s="11" t="n">
        <f aca="false">IFERROR(Q156/MEDIAN(INDEX($Q$5:$Q$627,MATCH($A156-90,$A$5:$A$627,1)):INDEX($Q$5:$Q$627,MATCH($A156+90,$A$5:$A$627,1))),"")</f>
        <v>0.654648024371401</v>
      </c>
    </row>
    <row r="157" customFormat="false" ht="15" hidden="false" customHeight="false" outlineLevel="0" collapsed="false">
      <c r="A157" s="13" t="n">
        <v>45494.5385378472</v>
      </c>
      <c r="B157" s="8" t="n">
        <v>12</v>
      </c>
      <c r="C157" s="8" t="s">
        <v>86</v>
      </c>
      <c r="D157" s="8" t="s">
        <v>223</v>
      </c>
      <c r="E157" s="14" t="s">
        <v>66</v>
      </c>
      <c r="F157" s="9" t="n">
        <v>115315</v>
      </c>
      <c r="G157" s="9" t="n">
        <v>8555</v>
      </c>
      <c r="H157" s="9" t="n">
        <v>4613</v>
      </c>
      <c r="I157" s="9" t="n">
        <v>3736</v>
      </c>
      <c r="J157" s="9" t="n">
        <v>547</v>
      </c>
      <c r="K157" s="9" t="n">
        <v>51</v>
      </c>
      <c r="L157" s="9" t="n">
        <v>31</v>
      </c>
      <c r="M157" s="10" t="n">
        <f aca="false">IFERROR(G157/F157,"")</f>
        <v>0.0741880934830681</v>
      </c>
      <c r="N157" s="10" t="n">
        <f aca="false">IFERROR(H157/G157,"")</f>
        <v>0.539216832261835</v>
      </c>
      <c r="O157" s="11" t="n">
        <f aca="false">IFERROR(I157/H157,"")</f>
        <v>0.809885107305441</v>
      </c>
      <c r="P157" s="10" t="n">
        <f aca="false">IFERROR(J157/H157,"")</f>
        <v>0.118577931931498</v>
      </c>
      <c r="Q157" s="10" t="n">
        <f aca="false">IFERROR(K157/H157,"")</f>
        <v>0.0110557121179276</v>
      </c>
      <c r="R157" s="10" t="n">
        <f aca="false">IFERROR(L157/H157,"")</f>
        <v>0.00672013873834815</v>
      </c>
      <c r="S157" s="11" t="n">
        <f aca="false">IFERROR(M157/MEDIAN(INDEX($M$5:$M$627,MATCH($A157-90,$A$5:$A$627,1)):INDEX($M$5:$M$627,MATCH($A157+90,$A$5:$A$627,1))),"")</f>
        <v>1.5914572350469</v>
      </c>
      <c r="T157" s="11" t="n">
        <f aca="false">IFERROR(N157/MEDIAN(INDEX($N$5:$N$627,MATCH($A157-90,$A$5:$A$627,1)):INDEX($N$5:$N$627,MATCH($A157+90,$A$5:$A$627,1))),"")</f>
        <v>1.05512158244378</v>
      </c>
      <c r="U157" s="11" t="n">
        <f aca="false">IFERROR(Q157/MEDIAN(INDEX($Q$5:$Q$627,MATCH($A157-90,$A$5:$A$627,1)):INDEX($Q$5:$Q$627,MATCH($A157+90,$A$5:$A$627,1))),"")</f>
        <v>0.97022957834127</v>
      </c>
    </row>
    <row r="158" customFormat="false" ht="15" hidden="false" customHeight="false" outlineLevel="0" collapsed="false">
      <c r="A158" s="13" t="n">
        <v>45496.5002025116</v>
      </c>
      <c r="B158" s="8" t="n">
        <v>12</v>
      </c>
      <c r="C158" s="8" t="s">
        <v>64</v>
      </c>
      <c r="D158" s="8" t="s">
        <v>224</v>
      </c>
      <c r="E158" s="14" t="s">
        <v>66</v>
      </c>
      <c r="F158" s="9" t="n">
        <v>391489</v>
      </c>
      <c r="G158" s="9" t="n">
        <v>48810</v>
      </c>
      <c r="H158" s="9" t="n">
        <v>33376</v>
      </c>
      <c r="I158" s="9" t="n">
        <v>27367</v>
      </c>
      <c r="J158" s="9" t="n">
        <v>489</v>
      </c>
      <c r="K158" s="9" t="n">
        <v>123</v>
      </c>
      <c r="L158" s="9" t="n">
        <v>51</v>
      </c>
      <c r="M158" s="10" t="n">
        <f aca="false">IFERROR(G158/F158,"")</f>
        <v>0.12467783258278</v>
      </c>
      <c r="N158" s="10" t="n">
        <f aca="false">IFERROR(H158/G158,"")</f>
        <v>0.68379430444581</v>
      </c>
      <c r="O158" s="11" t="n">
        <f aca="false">IFERROR(I158/H158,"")</f>
        <v>0.819960450623202</v>
      </c>
      <c r="P158" s="10" t="n">
        <f aca="false">IFERROR(J158/H158,"")</f>
        <v>0.0146512464046021</v>
      </c>
      <c r="Q158" s="10" t="n">
        <f aca="false">IFERROR(K158/H158,"")</f>
        <v>0.0036852828379674</v>
      </c>
      <c r="R158" s="10" t="n">
        <f aca="false">IFERROR(L158/H158,"")</f>
        <v>0.00152804410354746</v>
      </c>
      <c r="S158" s="11" t="n">
        <f aca="false">IFERROR(M158/MEDIAN(INDEX($M$5:$M$627,MATCH($A158-90,$A$5:$A$627,1)):INDEX($M$5:$M$627,MATCH($A158+90,$A$5:$A$627,1))),"")</f>
        <v>2.72808525605915</v>
      </c>
      <c r="T158" s="11" t="n">
        <f aca="false">IFERROR(N158/MEDIAN(INDEX($N$5:$N$627,MATCH($A158-90,$A$5:$A$627,1)):INDEX($N$5:$N$627,MATCH($A158+90,$A$5:$A$627,1))),"")</f>
        <v>1.32626657685684</v>
      </c>
      <c r="U158" s="11" t="n">
        <f aca="false">IFERROR(Q158/MEDIAN(INDEX($Q$5:$Q$627,MATCH($A158-90,$A$5:$A$627,1)):INDEX($Q$5:$Q$627,MATCH($A158+90,$A$5:$A$627,1))),"")</f>
        <v>0.331158515290473</v>
      </c>
    </row>
    <row r="159" customFormat="false" ht="15" hidden="false" customHeight="false" outlineLevel="0" collapsed="false">
      <c r="A159" s="13" t="n">
        <v>45498.5004852894</v>
      </c>
      <c r="B159" s="8" t="n">
        <v>12</v>
      </c>
      <c r="C159" s="8" t="s">
        <v>73</v>
      </c>
      <c r="D159" s="8" t="s">
        <v>225</v>
      </c>
      <c r="E159" s="14" t="s">
        <v>66</v>
      </c>
      <c r="F159" s="9" t="n">
        <v>7236400</v>
      </c>
      <c r="G159" s="9" t="n">
        <v>370275</v>
      </c>
      <c r="H159" s="9" t="n">
        <v>257001</v>
      </c>
      <c r="I159" s="9" t="n">
        <v>365650</v>
      </c>
      <c r="J159" s="9" t="n">
        <v>4273</v>
      </c>
      <c r="K159" s="9" t="n">
        <v>2997</v>
      </c>
      <c r="L159" s="9" t="n">
        <v>743</v>
      </c>
      <c r="M159" s="10" t="n">
        <f aca="false">IFERROR(G159/F159,"")</f>
        <v>0.0511683986512631</v>
      </c>
      <c r="N159" s="10" t="n">
        <f aca="false">IFERROR(H159/G159,"")</f>
        <v>0.694081425967187</v>
      </c>
      <c r="O159" s="11" t="n">
        <f aca="false">IFERROR(I159/H159,"")</f>
        <v>1.42275710989451</v>
      </c>
      <c r="P159" s="10" t="n">
        <f aca="false">IFERROR(J159/H159,"")</f>
        <v>0.016626394449827</v>
      </c>
      <c r="Q159" s="10" t="n">
        <f aca="false">IFERROR(K159/H159,"")</f>
        <v>0.0116614332239952</v>
      </c>
      <c r="R159" s="10" t="n">
        <f aca="false">IFERROR(L159/H159,"")</f>
        <v>0.0028910393344773</v>
      </c>
      <c r="S159" s="11" t="n">
        <f aca="false">IFERROR(M159/MEDIAN(INDEX($M$5:$M$627,MATCH($A159-90,$A$5:$A$627,1)):INDEX($M$5:$M$627,MATCH($A159+90,$A$5:$A$627,1))),"")</f>
        <v>1.07651964294208</v>
      </c>
      <c r="T159" s="11" t="n">
        <f aca="false">IFERROR(N159/MEDIAN(INDEX($N$5:$N$627,MATCH($A159-90,$A$5:$A$627,1)):INDEX($N$5:$N$627,MATCH($A159+90,$A$5:$A$627,1))),"")</f>
        <v>1.34621916399768</v>
      </c>
      <c r="U159" s="11" t="n">
        <f aca="false">IFERROR(Q159/MEDIAN(INDEX($Q$5:$Q$627,MATCH($A159-90,$A$5:$A$627,1)):INDEX($Q$5:$Q$627,MATCH($A159+90,$A$5:$A$627,1))),"")</f>
        <v>1.04789322350824</v>
      </c>
    </row>
    <row r="160" customFormat="false" ht="15" hidden="false" customHeight="false" outlineLevel="0" collapsed="false">
      <c r="A160" s="13" t="n">
        <v>45500.5260505324</v>
      </c>
      <c r="B160" s="8" t="n">
        <v>12</v>
      </c>
      <c r="C160" s="8" t="s">
        <v>68</v>
      </c>
      <c r="D160" s="8" t="s">
        <v>226</v>
      </c>
      <c r="E160" s="14" t="s">
        <v>66</v>
      </c>
      <c r="F160" s="9" t="n">
        <v>474673</v>
      </c>
      <c r="G160" s="9" t="n">
        <v>34369</v>
      </c>
      <c r="H160" s="9" t="n">
        <v>11901</v>
      </c>
      <c r="I160" s="9" t="n">
        <v>10023</v>
      </c>
      <c r="J160" s="9" t="n">
        <v>369</v>
      </c>
      <c r="K160" s="9" t="n">
        <v>179</v>
      </c>
      <c r="L160" s="9" t="n">
        <v>35</v>
      </c>
      <c r="M160" s="10" t="n">
        <f aca="false">IFERROR(G160/F160,"")</f>
        <v>0.072405635037173</v>
      </c>
      <c r="N160" s="10" t="n">
        <f aca="false">IFERROR(H160/G160,"")</f>
        <v>0.346271349180948</v>
      </c>
      <c r="O160" s="11" t="n">
        <f aca="false">IFERROR(I160/H160,"")</f>
        <v>0.842198134610537</v>
      </c>
      <c r="P160" s="10" t="n">
        <f aca="false">IFERROR(J160/H160,"")</f>
        <v>0.0310057978321149</v>
      </c>
      <c r="Q160" s="10" t="n">
        <f aca="false">IFERROR(K160/H160,"")</f>
        <v>0.0150407528779094</v>
      </c>
      <c r="R160" s="10" t="n">
        <f aca="false">IFERROR(L160/H160,"")</f>
        <v>0.00294092933366944</v>
      </c>
      <c r="S160" s="11" t="n">
        <f aca="false">IFERROR(M160/MEDIAN(INDEX($M$5:$M$627,MATCH($A160-90,$A$5:$A$627,1)):INDEX($M$5:$M$627,MATCH($A160+90,$A$5:$A$627,1))),"")</f>
        <v>1.52332475574331</v>
      </c>
      <c r="T160" s="11" t="n">
        <f aca="false">IFERROR(N160/MEDIAN(INDEX($N$5:$N$627,MATCH($A160-90,$A$5:$A$627,1)):INDEX($N$5:$N$627,MATCH($A160+90,$A$5:$A$627,1))),"")</f>
        <v>0.671617347433184</v>
      </c>
      <c r="U160" s="11" t="n">
        <f aca="false">IFERROR(Q160/MEDIAN(INDEX($Q$5:$Q$627,MATCH($A160-90,$A$5:$A$627,1)):INDEX($Q$5:$Q$627,MATCH($A160+90,$A$5:$A$627,1))),"")</f>
        <v>1.35155797014662</v>
      </c>
    </row>
    <row r="161" customFormat="false" ht="15" hidden="false" customHeight="false" outlineLevel="0" collapsed="false">
      <c r="A161" s="13" t="n">
        <v>45502.5163352662</v>
      </c>
      <c r="B161" s="8" t="n">
        <v>12</v>
      </c>
      <c r="C161" s="8" t="s">
        <v>80</v>
      </c>
      <c r="D161" s="8" t="s">
        <v>227</v>
      </c>
      <c r="E161" s="14" t="s">
        <v>66</v>
      </c>
      <c r="F161" s="9" t="n">
        <v>586564</v>
      </c>
      <c r="G161" s="9" t="n">
        <v>20083</v>
      </c>
      <c r="H161" s="9" t="n">
        <v>10028</v>
      </c>
      <c r="I161" s="9" t="n">
        <v>9415</v>
      </c>
      <c r="J161" s="9" t="n">
        <v>283</v>
      </c>
      <c r="K161" s="9" t="n">
        <v>56</v>
      </c>
      <c r="L161" s="9" t="n">
        <v>42</v>
      </c>
      <c r="M161" s="10" t="n">
        <f aca="false">IFERROR(G161/F161,"")</f>
        <v>0.0342383780798003</v>
      </c>
      <c r="N161" s="10" t="n">
        <f aca="false">IFERROR(H161/G161,"")</f>
        <v>0.499327789672858</v>
      </c>
      <c r="O161" s="11" t="n">
        <f aca="false">IFERROR(I161/H161,"")</f>
        <v>0.9388711607499</v>
      </c>
      <c r="P161" s="10" t="n">
        <f aca="false">IFERROR(J161/H161,"")</f>
        <v>0.028220981252493</v>
      </c>
      <c r="Q161" s="10" t="n">
        <f aca="false">IFERROR(K161/H161,"")</f>
        <v>0.00558436378141205</v>
      </c>
      <c r="R161" s="10" t="n">
        <f aca="false">IFERROR(L161/H161,"")</f>
        <v>0.00418827283605903</v>
      </c>
      <c r="S161" s="11" t="n">
        <f aca="false">IFERROR(M161/MEDIAN(INDEX($M$5:$M$627,MATCH($A161-90,$A$5:$A$627,1)):INDEX($M$5:$M$627,MATCH($A161+90,$A$5:$A$627,1))),"")</f>
        <v>0.734469804427654</v>
      </c>
      <c r="T161" s="11" t="n">
        <f aca="false">IFERROR(N161/MEDIAN(INDEX($N$5:$N$627,MATCH($A161-90,$A$5:$A$627,1)):INDEX($N$5:$N$627,MATCH($A161+90,$A$5:$A$627,1))),"")</f>
        <v>0.977068029178192</v>
      </c>
      <c r="U161" s="11" t="n">
        <f aca="false">IFERROR(Q161/MEDIAN(INDEX($Q$5:$Q$627,MATCH($A161-90,$A$5:$A$627,1)):INDEX($Q$5:$Q$627,MATCH($A161+90,$A$5:$A$627,1))),"")</f>
        <v>0.490073806114924</v>
      </c>
    </row>
    <row r="162" customFormat="false" ht="15" hidden="false" customHeight="false" outlineLevel="0" collapsed="false">
      <c r="A162" s="13" t="n">
        <v>45504.548188831</v>
      </c>
      <c r="B162" s="8" t="n">
        <v>13</v>
      </c>
      <c r="C162" s="8" t="s">
        <v>71</v>
      </c>
      <c r="D162" s="8" t="s">
        <v>228</v>
      </c>
      <c r="E162" s="14" t="s">
        <v>66</v>
      </c>
      <c r="F162" s="9" t="n">
        <v>241595</v>
      </c>
      <c r="G162" s="9" t="n">
        <v>21859</v>
      </c>
      <c r="H162" s="9" t="n">
        <v>12546</v>
      </c>
      <c r="I162" s="9" t="n">
        <v>10160</v>
      </c>
      <c r="J162" s="9" t="n">
        <v>878</v>
      </c>
      <c r="K162" s="9" t="n">
        <v>184</v>
      </c>
      <c r="L162" s="9" t="n">
        <v>29</v>
      </c>
      <c r="M162" s="10" t="n">
        <f aca="false">IFERROR(G162/F162,"")</f>
        <v>0.0904778658498727</v>
      </c>
      <c r="N162" s="10" t="n">
        <f aca="false">IFERROR(H162/G162,"")</f>
        <v>0.57395123290178</v>
      </c>
      <c r="O162" s="11" t="n">
        <f aca="false">IFERROR(I162/H162,"")</f>
        <v>0.809819862904511</v>
      </c>
      <c r="P162" s="10" t="n">
        <f aca="false">IFERROR(J162/H162,"")</f>
        <v>0.0699824645305277</v>
      </c>
      <c r="Q162" s="10" t="n">
        <f aca="false">IFERROR(K162/H162,"")</f>
        <v>0.0146660290132313</v>
      </c>
      <c r="R162" s="10" t="n">
        <f aca="false">IFERROR(L162/H162,"")</f>
        <v>0.00231149370317233</v>
      </c>
      <c r="S162" s="11" t="n">
        <f aca="false">IFERROR(M162/MEDIAN(INDEX($M$5:$M$627,MATCH($A162-90,$A$5:$A$627,1)):INDEX($M$5:$M$627,MATCH($A162+90,$A$5:$A$627,1))),"")</f>
        <v>1.90014550067301</v>
      </c>
      <c r="T162" s="11" t="n">
        <f aca="false">IFERROR(N162/MEDIAN(INDEX($N$5:$N$627,MATCH($A162-90,$A$5:$A$627,1)):INDEX($N$5:$N$627,MATCH($A162+90,$A$5:$A$627,1))),"")</f>
        <v>1.12308870360119</v>
      </c>
      <c r="U162" s="11" t="n">
        <f aca="false">IFERROR(Q162/MEDIAN(INDEX($Q$5:$Q$627,MATCH($A162-90,$A$5:$A$627,1)):INDEX($Q$5:$Q$627,MATCH($A162+90,$A$5:$A$627,1))),"")</f>
        <v>1.2870645503128</v>
      </c>
    </row>
    <row r="163" customFormat="false" ht="15" hidden="false" customHeight="false" outlineLevel="0" collapsed="false">
      <c r="A163" s="13" t="n">
        <v>45506.5138660301</v>
      </c>
      <c r="B163" s="8" t="n">
        <v>12</v>
      </c>
      <c r="C163" s="8" t="s">
        <v>84</v>
      </c>
      <c r="D163" s="8" t="s">
        <v>229</v>
      </c>
      <c r="E163" s="14" t="s">
        <v>66</v>
      </c>
      <c r="F163" s="9" t="n">
        <v>155287</v>
      </c>
      <c r="G163" s="9" t="n">
        <v>19505</v>
      </c>
      <c r="H163" s="9" t="n">
        <v>8588</v>
      </c>
      <c r="I163" s="9" t="n">
        <v>8499</v>
      </c>
      <c r="J163" s="9" t="n">
        <v>67</v>
      </c>
      <c r="K163" s="9" t="n">
        <v>143</v>
      </c>
      <c r="L163" s="9" t="n">
        <v>16</v>
      </c>
      <c r="M163" s="10" t="n">
        <f aca="false">IFERROR(G163/F163,"")</f>
        <v>0.125606135735767</v>
      </c>
      <c r="N163" s="10" t="n">
        <f aca="false">IFERROR(H163/G163,"")</f>
        <v>0.440297359651371</v>
      </c>
      <c r="O163" s="11" t="n">
        <f aca="false">IFERROR(I163/H163,"")</f>
        <v>0.989636702375408</v>
      </c>
      <c r="P163" s="10" t="n">
        <f aca="false">IFERROR(J163/H163,"")</f>
        <v>0.00780158360503028</v>
      </c>
      <c r="Q163" s="10" t="n">
        <f aca="false">IFERROR(K163/H163,"")</f>
        <v>0.0166511411271542</v>
      </c>
      <c r="R163" s="10" t="n">
        <f aca="false">IFERROR(L163/H163,"")</f>
        <v>0.00186306474149977</v>
      </c>
      <c r="S163" s="11" t="n">
        <f aca="false">IFERROR(M163/MEDIAN(INDEX($M$5:$M$627,MATCH($A163-90,$A$5:$A$627,1)):INDEX($M$5:$M$627,MATCH($A163+90,$A$5:$A$627,1))),"")</f>
        <v>2.55069660508867</v>
      </c>
      <c r="T163" s="11" t="n">
        <f aca="false">IFERROR(N163/MEDIAN(INDEX($N$5:$N$627,MATCH($A163-90,$A$5:$A$627,1)):INDEX($N$5:$N$627,MATCH($A163+90,$A$5:$A$627,1))),"")</f>
        <v>0.869688836750426</v>
      </c>
      <c r="U163" s="11" t="n">
        <f aca="false">IFERROR(Q163/MEDIAN(INDEX($Q$5:$Q$627,MATCH($A163-90,$A$5:$A$627,1)):INDEX($Q$5:$Q$627,MATCH($A163+90,$A$5:$A$627,1))),"")</f>
        <v>1.4612744491151</v>
      </c>
    </row>
    <row r="164" customFormat="false" ht="15" hidden="false" customHeight="false" outlineLevel="0" collapsed="false">
      <c r="A164" s="13" t="n">
        <v>45508.5165578472</v>
      </c>
      <c r="B164" s="8" t="n">
        <v>12</v>
      </c>
      <c r="C164" s="8" t="s">
        <v>86</v>
      </c>
      <c r="D164" s="8" t="s">
        <v>230</v>
      </c>
      <c r="E164" s="14" t="s">
        <v>66</v>
      </c>
      <c r="F164" s="9" t="n">
        <v>1017475</v>
      </c>
      <c r="G164" s="9" t="n">
        <v>61374</v>
      </c>
      <c r="H164" s="9" t="n">
        <v>41195</v>
      </c>
      <c r="I164" s="9" t="n">
        <v>38078</v>
      </c>
      <c r="J164" s="9" t="n">
        <v>1170</v>
      </c>
      <c r="K164" s="9" t="n">
        <v>150</v>
      </c>
      <c r="L164" s="9" t="n">
        <v>134</v>
      </c>
      <c r="M164" s="10" t="n">
        <f aca="false">IFERROR(G164/F164,"")</f>
        <v>0.060319909580088</v>
      </c>
      <c r="N164" s="10" t="n">
        <f aca="false">IFERROR(H164/G164,"")</f>
        <v>0.671212565581517</v>
      </c>
      <c r="O164" s="11" t="n">
        <f aca="false">IFERROR(I164/H164,"")</f>
        <v>0.924335477606506</v>
      </c>
      <c r="P164" s="10" t="n">
        <f aca="false">IFERROR(J164/H164,"")</f>
        <v>0.0284015050370191</v>
      </c>
      <c r="Q164" s="10" t="n">
        <f aca="false">IFERROR(K164/H164,"")</f>
        <v>0.00364121859448962</v>
      </c>
      <c r="R164" s="10" t="n">
        <f aca="false">IFERROR(L164/H164,"")</f>
        <v>0.00325282194441073</v>
      </c>
      <c r="S164" s="11" t="n">
        <f aca="false">IFERROR(M164/MEDIAN(INDEX($M$5:$M$627,MATCH($A164-90,$A$5:$A$627,1)):INDEX($M$5:$M$627,MATCH($A164+90,$A$5:$A$627,1))),"")</f>
        <v>1.18686534841682</v>
      </c>
      <c r="T164" s="11" t="n">
        <f aca="false">IFERROR(N164/MEDIAN(INDEX($N$5:$N$627,MATCH($A164-90,$A$5:$A$627,1)):INDEX($N$5:$N$627,MATCH($A164+90,$A$5:$A$627,1))),"")</f>
        <v>1.32579962740424</v>
      </c>
      <c r="U164" s="11" t="n">
        <f aca="false">IFERROR(Q164/MEDIAN(INDEX($Q$5:$Q$627,MATCH($A164-90,$A$5:$A$627,1)):INDEX($Q$5:$Q$627,MATCH($A164+90,$A$5:$A$627,1))),"")</f>
        <v>0.320570083933039</v>
      </c>
    </row>
    <row r="165" customFormat="false" ht="15" hidden="false" customHeight="false" outlineLevel="0" collapsed="false">
      <c r="A165" s="13" t="n">
        <v>45510.4755192245</v>
      </c>
      <c r="B165" s="8" t="n">
        <v>11</v>
      </c>
      <c r="C165" s="8" t="s">
        <v>64</v>
      </c>
      <c r="D165" s="8" t="s">
        <v>231</v>
      </c>
      <c r="E165" s="14" t="s">
        <v>66</v>
      </c>
      <c r="F165" s="9" t="n">
        <v>1421403</v>
      </c>
      <c r="G165" s="9" t="n">
        <v>75505</v>
      </c>
      <c r="H165" s="9" t="n">
        <v>46757</v>
      </c>
      <c r="I165" s="9" t="n">
        <v>52660</v>
      </c>
      <c r="J165" s="9" t="n">
        <v>711</v>
      </c>
      <c r="K165" s="9" t="n">
        <v>684</v>
      </c>
      <c r="L165" s="9" t="n">
        <v>109</v>
      </c>
      <c r="M165" s="10" t="n">
        <f aca="false">IFERROR(G165/F165,"")</f>
        <v>0.053120051104437</v>
      </c>
      <c r="N165" s="10" t="n">
        <f aca="false">IFERROR(H165/G165,"")</f>
        <v>0.619257002847494</v>
      </c>
      <c r="O165" s="11" t="n">
        <f aca="false">IFERROR(I165/H165,"")</f>
        <v>1.126248476164</v>
      </c>
      <c r="P165" s="10" t="n">
        <f aca="false">IFERROR(J165/H165,"")</f>
        <v>0.0152062792736916</v>
      </c>
      <c r="Q165" s="10" t="n">
        <f aca="false">IFERROR(K165/H165,"")</f>
        <v>0.0146288256303869</v>
      </c>
      <c r="R165" s="10" t="n">
        <f aca="false">IFERROR(L165/H165,"")</f>
        <v>0.00233120174519323</v>
      </c>
      <c r="S165" s="11" t="n">
        <f aca="false">IFERROR(M165/MEDIAN(INDEX($M$5:$M$627,MATCH($A165-90,$A$5:$A$627,1)):INDEX($M$5:$M$627,MATCH($A165+90,$A$5:$A$627,1))),"")</f>
        <v>1.04128700649046</v>
      </c>
      <c r="T165" s="11" t="n">
        <f aca="false">IFERROR(N165/MEDIAN(INDEX($N$5:$N$627,MATCH($A165-90,$A$5:$A$627,1)):INDEX($N$5:$N$627,MATCH($A165+90,$A$5:$A$627,1))),"")</f>
        <v>1.22317540782535</v>
      </c>
      <c r="U165" s="11" t="n">
        <f aca="false">IFERROR(Q165/MEDIAN(INDEX($Q$5:$Q$627,MATCH($A165-90,$A$5:$A$627,1)):INDEX($Q$5:$Q$627,MATCH($A165+90,$A$5:$A$627,1))),"")</f>
        <v>1.33154297938102</v>
      </c>
    </row>
    <row r="166" customFormat="false" ht="15" hidden="false" customHeight="false" outlineLevel="0" collapsed="false">
      <c r="A166" s="13" t="n">
        <v>45512.4971199884</v>
      </c>
      <c r="B166" s="8" t="n">
        <v>11</v>
      </c>
      <c r="C166" s="8" t="s">
        <v>73</v>
      </c>
      <c r="D166" s="8" t="s">
        <v>232</v>
      </c>
      <c r="E166" s="14" t="s">
        <v>66</v>
      </c>
      <c r="F166" s="9" t="n">
        <v>254493</v>
      </c>
      <c r="G166" s="9" t="n">
        <v>19871</v>
      </c>
      <c r="H166" s="9" t="n">
        <v>11744</v>
      </c>
      <c r="I166" s="9" t="n">
        <v>11134</v>
      </c>
      <c r="J166" s="9" t="n">
        <v>694</v>
      </c>
      <c r="K166" s="9" t="n">
        <v>87</v>
      </c>
      <c r="L166" s="9" t="n">
        <v>44</v>
      </c>
      <c r="M166" s="10" t="n">
        <f aca="false">IFERROR(G166/F166,"")</f>
        <v>0.0780807330653495</v>
      </c>
      <c r="N166" s="10" t="n">
        <f aca="false">IFERROR(H166/G166,"")</f>
        <v>0.591012027577877</v>
      </c>
      <c r="O166" s="11" t="n">
        <f aca="false">IFERROR(I166/H166,"")</f>
        <v>0.948058583106267</v>
      </c>
      <c r="P166" s="10" t="n">
        <f aca="false">IFERROR(J166/H166,"")</f>
        <v>0.0590940054495913</v>
      </c>
      <c r="Q166" s="10" t="n">
        <f aca="false">IFERROR(K166/H166,"")</f>
        <v>0.00740803814713897</v>
      </c>
      <c r="R166" s="10" t="n">
        <f aca="false">IFERROR(L166/H166,"")</f>
        <v>0.00374659400544959</v>
      </c>
      <c r="S166" s="11" t="n">
        <f aca="false">IFERROR(M166/MEDIAN(INDEX($M$5:$M$627,MATCH($A166-90,$A$5:$A$627,1)):INDEX($M$5:$M$627,MATCH($A166+90,$A$5:$A$627,1))),"")</f>
        <v>1.53523062127614</v>
      </c>
      <c r="T166" s="11" t="n">
        <f aca="false">IFERROR(N166/MEDIAN(INDEX($N$5:$N$627,MATCH($A166-90,$A$5:$A$627,1)):INDEX($N$5:$N$627,MATCH($A166+90,$A$5:$A$627,1))),"")</f>
        <v>1.16681834489913</v>
      </c>
      <c r="U166" s="11" t="n">
        <f aca="false">IFERROR(Q166/MEDIAN(INDEX($Q$5:$Q$627,MATCH($A166-90,$A$5:$A$627,1)):INDEX($Q$5:$Q$627,MATCH($A166+90,$A$5:$A$627,1))),"")</f>
        <v>0.678576294277929</v>
      </c>
    </row>
    <row r="167" customFormat="false" ht="15" hidden="false" customHeight="false" outlineLevel="0" collapsed="false">
      <c r="A167" s="13" t="n">
        <v>45514.5460362616</v>
      </c>
      <c r="B167" s="8" t="n">
        <v>13</v>
      </c>
      <c r="C167" s="8" t="s">
        <v>68</v>
      </c>
      <c r="D167" s="8" t="s">
        <v>233</v>
      </c>
      <c r="E167" s="14" t="s">
        <v>66</v>
      </c>
      <c r="F167" s="9" t="n">
        <v>102728</v>
      </c>
      <c r="G167" s="9" t="n">
        <v>6733</v>
      </c>
      <c r="H167" s="9" t="n">
        <v>3683</v>
      </c>
      <c r="I167" s="9" t="n">
        <v>3117</v>
      </c>
      <c r="J167" s="9" t="n">
        <v>277</v>
      </c>
      <c r="K167" s="9" t="n">
        <v>94</v>
      </c>
      <c r="L167" s="9" t="n">
        <v>11</v>
      </c>
      <c r="M167" s="10" t="n">
        <f aca="false">IFERROR(G167/F167,"")</f>
        <v>0.0655420138618488</v>
      </c>
      <c r="N167" s="10" t="n">
        <f aca="false">IFERROR(H167/G167,"")</f>
        <v>0.547007277587999</v>
      </c>
      <c r="O167" s="11" t="n">
        <f aca="false">IFERROR(I167/H167,"")</f>
        <v>0.846320934021178</v>
      </c>
      <c r="P167" s="10" t="n">
        <f aca="false">IFERROR(J167/H167,"")</f>
        <v>0.0752104262829215</v>
      </c>
      <c r="Q167" s="10" t="n">
        <f aca="false">IFERROR(K167/H167,"")</f>
        <v>0.0255226717349986</v>
      </c>
      <c r="R167" s="10" t="n">
        <f aca="false">IFERROR(L167/H167,"")</f>
        <v>0.00298669562856367</v>
      </c>
      <c r="S167" s="11" t="n">
        <f aca="false">IFERROR(M167/MEDIAN(INDEX($M$5:$M$627,MATCH($A167-90,$A$5:$A$627,1)):INDEX($M$5:$M$627,MATCH($A167+90,$A$5:$A$627,1))),"")</f>
        <v>1.28869316040617</v>
      </c>
      <c r="T167" s="11" t="n">
        <f aca="false">IFERROR(N167/MEDIAN(INDEX($N$5:$N$627,MATCH($A167-90,$A$5:$A$627,1)):INDEX($N$5:$N$627,MATCH($A167+90,$A$5:$A$627,1))),"")</f>
        <v>1.08099057237628</v>
      </c>
      <c r="U167" s="11" t="n">
        <f aca="false">IFERROR(Q167/MEDIAN(INDEX($Q$5:$Q$627,MATCH($A167-90,$A$5:$A$627,1)):INDEX($Q$5:$Q$627,MATCH($A167+90,$A$5:$A$627,1))),"")</f>
        <v>2.33787673092588</v>
      </c>
    </row>
    <row r="168" customFormat="false" ht="15" hidden="false" customHeight="false" outlineLevel="0" collapsed="false">
      <c r="A168" s="13" t="n">
        <v>45516.4891547222</v>
      </c>
      <c r="B168" s="8" t="n">
        <v>11</v>
      </c>
      <c r="C168" s="8" t="s">
        <v>80</v>
      </c>
      <c r="D168" s="8" t="s">
        <v>234</v>
      </c>
      <c r="E168" s="14" t="s">
        <v>66</v>
      </c>
      <c r="F168" s="9" t="n">
        <v>166341</v>
      </c>
      <c r="G168" s="9" t="n">
        <v>6109</v>
      </c>
      <c r="H168" s="9" t="n">
        <v>3620</v>
      </c>
      <c r="I168" s="9" t="n">
        <v>3718</v>
      </c>
      <c r="J168" s="9" t="n">
        <v>133</v>
      </c>
      <c r="K168" s="9" t="n">
        <v>23</v>
      </c>
      <c r="L168" s="9" t="n">
        <v>15</v>
      </c>
      <c r="M168" s="10" t="n">
        <f aca="false">IFERROR(G168/F168,"")</f>
        <v>0.03672576213922</v>
      </c>
      <c r="N168" s="10" t="n">
        <f aca="false">IFERROR(H168/G168,"")</f>
        <v>0.5925683417908</v>
      </c>
      <c r="O168" s="11" t="n">
        <f aca="false">IFERROR(I168/H168,"")</f>
        <v>1.02707182320442</v>
      </c>
      <c r="P168" s="10" t="n">
        <f aca="false">IFERROR(J168/H168,"")</f>
        <v>0.0367403314917127</v>
      </c>
      <c r="Q168" s="10" t="n">
        <f aca="false">IFERROR(K168/H168,"")</f>
        <v>0.006353591160221</v>
      </c>
      <c r="R168" s="10" t="n">
        <f aca="false">IFERROR(L168/H168,"")</f>
        <v>0.00414364640883978</v>
      </c>
      <c r="S168" s="11" t="n">
        <f aca="false">IFERROR(M168/MEDIAN(INDEX($M$5:$M$627,MATCH($A168-90,$A$5:$A$627,1)):INDEX($M$5:$M$627,MATCH($A168+90,$A$5:$A$627,1))),"")</f>
        <v>0.72210534420374</v>
      </c>
      <c r="T168" s="11" t="n">
        <f aca="false">IFERROR(N168/MEDIAN(INDEX($N$5:$N$627,MATCH($A168-90,$A$5:$A$627,1)):INDEX($N$5:$N$627,MATCH($A168+90,$A$5:$A$627,1))),"")</f>
        <v>1.1698909320705</v>
      </c>
      <c r="U168" s="11" t="n">
        <f aca="false">IFERROR(Q168/MEDIAN(INDEX($Q$5:$Q$627,MATCH($A168-90,$A$5:$A$627,1)):INDEX($Q$5:$Q$627,MATCH($A168+90,$A$5:$A$627,1))),"")</f>
        <v>0.640124309392265</v>
      </c>
    </row>
    <row r="169" customFormat="false" ht="15" hidden="false" customHeight="false" outlineLevel="0" collapsed="false">
      <c r="A169" s="13" t="n">
        <v>45518.489716331</v>
      </c>
      <c r="B169" s="8" t="n">
        <v>11</v>
      </c>
      <c r="C169" s="8" t="s">
        <v>71</v>
      </c>
      <c r="D169" s="8" t="s">
        <v>235</v>
      </c>
      <c r="E169" s="14" t="s">
        <v>66</v>
      </c>
      <c r="F169" s="9" t="n">
        <v>36501</v>
      </c>
      <c r="G169" s="9" t="n">
        <v>719</v>
      </c>
      <c r="H169" s="9" t="n">
        <v>204</v>
      </c>
      <c r="I169" s="9" t="n">
        <v>203</v>
      </c>
      <c r="J169" s="9" t="n">
        <v>25</v>
      </c>
      <c r="K169" s="9" t="n">
        <v>1</v>
      </c>
      <c r="L169" s="9" t="n">
        <v>1</v>
      </c>
      <c r="M169" s="10" t="n">
        <f aca="false">IFERROR(G169/F169,"")</f>
        <v>0.019698090463275</v>
      </c>
      <c r="N169" s="10" t="n">
        <f aca="false">IFERROR(H169/G169,"")</f>
        <v>0.283727399165508</v>
      </c>
      <c r="O169" s="11" t="n">
        <f aca="false">IFERROR(I169/H169,"")</f>
        <v>0.995098039215686</v>
      </c>
      <c r="P169" s="10" t="n">
        <f aca="false">IFERROR(J169/H169,"")</f>
        <v>0.122549019607843</v>
      </c>
      <c r="Q169" s="10" t="n">
        <f aca="false">IFERROR(K169/H169,"")</f>
        <v>0.00490196078431373</v>
      </c>
      <c r="R169" s="10" t="n">
        <f aca="false">IFERROR(L169/H169,"")</f>
        <v>0.00490196078431373</v>
      </c>
      <c r="S169" s="11" t="n">
        <f aca="false">IFERROR(M169/MEDIAN(INDEX($M$5:$M$627,MATCH($A169-90,$A$5:$A$627,1)):INDEX($M$5:$M$627,MATCH($A169+90,$A$5:$A$627,1))),"")</f>
        <v>0.38496593566523</v>
      </c>
      <c r="T169" s="11" t="n">
        <f aca="false">IFERROR(N169/MEDIAN(INDEX($N$5:$N$627,MATCH($A169-90,$A$5:$A$627,1)):INDEX($N$5:$N$627,MATCH($A169+90,$A$5:$A$627,1))),"")</f>
        <v>0.550309009602978</v>
      </c>
      <c r="U169" s="11" t="n">
        <f aca="false">IFERROR(Q169/MEDIAN(INDEX($Q$5:$Q$627,MATCH($A169-90,$A$5:$A$627,1)):INDEX($Q$5:$Q$627,MATCH($A169+90,$A$5:$A$627,1))),"")</f>
        <v>0.493872549019608</v>
      </c>
    </row>
    <row r="170" customFormat="false" ht="15" hidden="false" customHeight="false" outlineLevel="0" collapsed="false">
      <c r="A170" s="13" t="n">
        <v>45521.6038404514</v>
      </c>
      <c r="B170" s="8" t="n">
        <v>14</v>
      </c>
      <c r="C170" s="8" t="s">
        <v>68</v>
      </c>
      <c r="D170" s="8" t="s">
        <v>236</v>
      </c>
      <c r="E170" s="14" t="s">
        <v>66</v>
      </c>
      <c r="F170" s="9" t="n">
        <v>43450</v>
      </c>
      <c r="G170" s="9" t="n">
        <v>1032</v>
      </c>
      <c r="H170" s="9" t="n">
        <v>553</v>
      </c>
      <c r="I170" s="9" t="n">
        <v>423</v>
      </c>
      <c r="J170" s="9" t="n">
        <v>39</v>
      </c>
      <c r="K170" s="9" t="n">
        <v>10</v>
      </c>
      <c r="L170" s="9" t="n">
        <v>1</v>
      </c>
      <c r="M170" s="10" t="n">
        <f aca="false">IFERROR(G170/F170,"")</f>
        <v>0.0237514384349827</v>
      </c>
      <c r="N170" s="10" t="n">
        <f aca="false">IFERROR(H170/G170,"")</f>
        <v>0.535852713178295</v>
      </c>
      <c r="O170" s="11" t="n">
        <f aca="false">IFERROR(I170/H170,"")</f>
        <v>0.764918625678119</v>
      </c>
      <c r="P170" s="10" t="n">
        <f aca="false">IFERROR(J170/H170,"")</f>
        <v>0.0705244122965642</v>
      </c>
      <c r="Q170" s="10" t="n">
        <f aca="false">IFERROR(K170/H170,"")</f>
        <v>0.0180831826401447</v>
      </c>
      <c r="R170" s="10" t="n">
        <f aca="false">IFERROR(L170/H170,"")</f>
        <v>0.00180831826401447</v>
      </c>
      <c r="S170" s="11" t="n">
        <f aca="false">IFERROR(M170/MEDIAN(INDEX($M$5:$M$627,MATCH($A170-90,$A$5:$A$627,1)):INDEX($M$5:$M$627,MATCH($A170+90,$A$5:$A$627,1))),"")</f>
        <v>0.44712755242434</v>
      </c>
      <c r="T170" s="11" t="n">
        <f aca="false">IFERROR(N170/MEDIAN(INDEX($N$5:$N$627,MATCH($A170-90,$A$5:$A$627,1)):INDEX($N$5:$N$627,MATCH($A170+90,$A$5:$A$627,1))),"")</f>
        <v>1.03932357872212</v>
      </c>
      <c r="U170" s="11" t="n">
        <f aca="false">IFERROR(Q170/MEDIAN(INDEX($Q$5:$Q$627,MATCH($A170-90,$A$5:$A$627,1)):INDEX($Q$5:$Q$627,MATCH($A170+90,$A$5:$A$627,1))),"")</f>
        <v>1.83474753095006</v>
      </c>
    </row>
    <row r="171" customFormat="false" ht="15" hidden="false" customHeight="false" outlineLevel="0" collapsed="false">
      <c r="A171" s="13" t="n">
        <v>45523.5215677431</v>
      </c>
      <c r="B171" s="8" t="n">
        <v>12</v>
      </c>
      <c r="C171" s="8" t="s">
        <v>80</v>
      </c>
      <c r="D171" s="8" t="s">
        <v>237</v>
      </c>
      <c r="E171" s="14" t="s">
        <v>66</v>
      </c>
      <c r="F171" s="9" t="n">
        <v>760917</v>
      </c>
      <c r="G171" s="9" t="n">
        <v>61066</v>
      </c>
      <c r="H171" s="9" t="n">
        <v>40978</v>
      </c>
      <c r="I171" s="9" t="n">
        <v>35653</v>
      </c>
      <c r="J171" s="9" t="n">
        <v>505</v>
      </c>
      <c r="K171" s="9" t="n">
        <v>135</v>
      </c>
      <c r="L171" s="9" t="n">
        <v>83</v>
      </c>
      <c r="M171" s="10" t="n">
        <f aca="false">IFERROR(G171/F171,"")</f>
        <v>0.08025316821677</v>
      </c>
      <c r="N171" s="10" t="n">
        <f aca="false">IFERROR(H171/G171,"")</f>
        <v>0.671044443716634</v>
      </c>
      <c r="O171" s="11" t="n">
        <f aca="false">IFERROR(I171/H171,"")</f>
        <v>0.870052223144126</v>
      </c>
      <c r="P171" s="10" t="n">
        <f aca="false">IFERROR(J171/H171,"")</f>
        <v>0.0123236858802284</v>
      </c>
      <c r="Q171" s="10" t="n">
        <f aca="false">IFERROR(K171/H171,"")</f>
        <v>0.00329445068085314</v>
      </c>
      <c r="R171" s="10" t="n">
        <f aca="false">IFERROR(L171/H171,"")</f>
        <v>0.00202547708526526</v>
      </c>
      <c r="S171" s="11" t="n">
        <f aca="false">IFERROR(M171/MEDIAN(INDEX($M$5:$M$627,MATCH($A171-90,$A$5:$A$627,1)):INDEX($M$5:$M$627,MATCH($A171+90,$A$5:$A$627,1))),"")</f>
        <v>1.51078861085784</v>
      </c>
      <c r="T171" s="11" t="n">
        <f aca="false">IFERROR(N171/MEDIAN(INDEX($N$5:$N$627,MATCH($A171-90,$A$5:$A$627,1)):INDEX($N$5:$N$627,MATCH($A171+90,$A$5:$A$627,1))),"")</f>
        <v>1.30153733586325</v>
      </c>
      <c r="U171" s="11" t="n">
        <f aca="false">IFERROR(Q171/MEDIAN(INDEX($Q$5:$Q$627,MATCH($A171-90,$A$5:$A$627,1)):INDEX($Q$5:$Q$627,MATCH($A171+90,$A$5:$A$627,1))),"")</f>
        <v>0.334260034465023</v>
      </c>
    </row>
    <row r="172" customFormat="false" ht="15" hidden="false" customHeight="false" outlineLevel="0" collapsed="false">
      <c r="A172" s="13" t="n">
        <v>45525.5012217708</v>
      </c>
      <c r="B172" s="8" t="n">
        <v>12</v>
      </c>
      <c r="C172" s="8" t="s">
        <v>71</v>
      </c>
      <c r="D172" s="8" t="s">
        <v>238</v>
      </c>
      <c r="E172" s="14" t="s">
        <v>66</v>
      </c>
      <c r="F172" s="9" t="n">
        <v>34046</v>
      </c>
      <c r="G172" s="9" t="n">
        <v>1218</v>
      </c>
      <c r="H172" s="9" t="n">
        <v>725</v>
      </c>
      <c r="I172" s="9" t="n">
        <v>481</v>
      </c>
      <c r="J172" s="9" t="n">
        <v>75</v>
      </c>
      <c r="K172" s="9" t="n">
        <v>30</v>
      </c>
      <c r="L172" s="9" t="n">
        <v>4</v>
      </c>
      <c r="M172" s="10" t="n">
        <f aca="false">IFERROR(G172/F172,"")</f>
        <v>0.0357751277683135</v>
      </c>
      <c r="N172" s="10" t="n">
        <f aca="false">IFERROR(H172/G172,"")</f>
        <v>0.595238095238095</v>
      </c>
      <c r="O172" s="11" t="n">
        <f aca="false">IFERROR(I172/H172,"")</f>
        <v>0.663448275862069</v>
      </c>
      <c r="P172" s="10" t="n">
        <f aca="false">IFERROR(J172/H172,"")</f>
        <v>0.103448275862069</v>
      </c>
      <c r="Q172" s="10" t="n">
        <f aca="false">IFERROR(K172/H172,"")</f>
        <v>0.0413793103448276</v>
      </c>
      <c r="R172" s="10" t="n">
        <f aca="false">IFERROR(L172/H172,"")</f>
        <v>0.00551724137931034</v>
      </c>
      <c r="S172" s="11" t="n">
        <f aca="false">IFERROR(M172/MEDIAN(INDEX($M$5:$M$627,MATCH($A172-90,$A$5:$A$627,1)):INDEX($M$5:$M$627,MATCH($A172+90,$A$5:$A$627,1))),"")</f>
        <v>0.682450195154808</v>
      </c>
      <c r="T172" s="11" t="n">
        <f aca="false">IFERROR(N172/MEDIAN(INDEX($N$5:$N$627,MATCH($A172-90,$A$5:$A$627,1)):INDEX($N$5:$N$627,MATCH($A172+90,$A$5:$A$627,1))),"")</f>
        <v>1.15450565448337</v>
      </c>
      <c r="U172" s="11" t="n">
        <f aca="false">IFERROR(Q172/MEDIAN(INDEX($Q$5:$Q$627,MATCH($A172-90,$A$5:$A$627,1)):INDEX($Q$5:$Q$627,MATCH($A172+90,$A$5:$A$627,1))),"")</f>
        <v>4.31724137931035</v>
      </c>
    </row>
    <row r="173" customFormat="false" ht="15" hidden="false" customHeight="false" outlineLevel="0" collapsed="false">
      <c r="A173" s="13" t="n">
        <v>45527.4220046065</v>
      </c>
      <c r="B173" s="8" t="n">
        <v>10</v>
      </c>
      <c r="C173" s="8" t="s">
        <v>84</v>
      </c>
      <c r="D173" s="8" t="s">
        <v>239</v>
      </c>
      <c r="E173" s="14" t="s">
        <v>66</v>
      </c>
      <c r="F173" s="9" t="n">
        <v>11265</v>
      </c>
      <c r="G173" s="9" t="n">
        <v>249</v>
      </c>
      <c r="H173" s="9" t="n">
        <v>126</v>
      </c>
      <c r="I173" s="9" t="n">
        <v>97</v>
      </c>
      <c r="J173" s="9" t="n">
        <v>27</v>
      </c>
      <c r="K173" s="9" t="n">
        <v>9</v>
      </c>
      <c r="L173" s="9" t="n">
        <v>1</v>
      </c>
      <c r="M173" s="10" t="n">
        <f aca="false">IFERROR(G173/F173,"")</f>
        <v>0.022103861517976</v>
      </c>
      <c r="N173" s="10" t="n">
        <f aca="false">IFERROR(H173/G173,"")</f>
        <v>0.506024096385542</v>
      </c>
      <c r="O173" s="11" t="n">
        <f aca="false">IFERROR(I173/H173,"")</f>
        <v>0.76984126984127</v>
      </c>
      <c r="P173" s="10" t="n">
        <f aca="false">IFERROR(J173/H173,"")</f>
        <v>0.214285714285714</v>
      </c>
      <c r="Q173" s="10" t="n">
        <f aca="false">IFERROR(K173/H173,"")</f>
        <v>0.0714285714285714</v>
      </c>
      <c r="R173" s="10" t="n">
        <f aca="false">IFERROR(L173/H173,"")</f>
        <v>0.00793650793650794</v>
      </c>
      <c r="S173" s="11" t="n">
        <f aca="false">IFERROR(M173/MEDIAN(INDEX($M$5:$M$627,MATCH($A173-90,$A$5:$A$627,1)):INDEX($M$5:$M$627,MATCH($A173+90,$A$5:$A$627,1))),"")</f>
        <v>0.416111450542821</v>
      </c>
      <c r="T173" s="11" t="n">
        <f aca="false">IFERROR(N173/MEDIAN(INDEX($N$5:$N$627,MATCH($A173-90,$A$5:$A$627,1)):INDEX($N$5:$N$627,MATCH($A173+90,$A$5:$A$627,1))),"")</f>
        <v>0.977438054103205</v>
      </c>
      <c r="U173" s="11" t="n">
        <f aca="false">IFERROR(Q173/MEDIAN(INDEX($Q$5:$Q$627,MATCH($A173-90,$A$5:$A$627,1)):INDEX($Q$5:$Q$627,MATCH($A173+90,$A$5:$A$627,1))),"")</f>
        <v>7.51785714285714</v>
      </c>
    </row>
    <row r="174" customFormat="false" ht="15" hidden="false" customHeight="false" outlineLevel="0" collapsed="false">
      <c r="A174" s="13" t="n">
        <v>45530.4477734375</v>
      </c>
      <c r="B174" s="8" t="n">
        <v>10</v>
      </c>
      <c r="C174" s="8" t="s">
        <v>80</v>
      </c>
      <c r="D174" s="8" t="s">
        <v>240</v>
      </c>
      <c r="E174" s="14" t="s">
        <v>66</v>
      </c>
      <c r="F174" s="9" t="n">
        <v>329014</v>
      </c>
      <c r="G174" s="9" t="n">
        <v>14925</v>
      </c>
      <c r="H174" s="9" t="n">
        <v>11738</v>
      </c>
      <c r="I174" s="9" t="n">
        <v>11179</v>
      </c>
      <c r="J174" s="9" t="n">
        <v>1003</v>
      </c>
      <c r="K174" s="9" t="n">
        <v>108</v>
      </c>
      <c r="L174" s="9" t="n">
        <v>106</v>
      </c>
      <c r="M174" s="10" t="n">
        <f aca="false">IFERROR(G174/F174,"")</f>
        <v>0.0453628113089413</v>
      </c>
      <c r="N174" s="10" t="n">
        <f aca="false">IFERROR(H174/G174,"")</f>
        <v>0.786465661641541</v>
      </c>
      <c r="O174" s="11" t="n">
        <f aca="false">IFERROR(I174/H174,"")</f>
        <v>0.952376895552905</v>
      </c>
      <c r="P174" s="10" t="n">
        <f aca="false">IFERROR(J174/H174,"")</f>
        <v>0.0854489691599932</v>
      </c>
      <c r="Q174" s="10" t="n">
        <f aca="false">IFERROR(K174/H174,"")</f>
        <v>0.00920088601124553</v>
      </c>
      <c r="R174" s="10" t="n">
        <f aca="false">IFERROR(L174/H174,"")</f>
        <v>0.0090304992332595</v>
      </c>
      <c r="S174" s="11" t="n">
        <f aca="false">IFERROR(M174/MEDIAN(INDEX($M$5:$M$627,MATCH($A174-90,$A$5:$A$627,1)):INDEX($M$5:$M$627,MATCH($A174+90,$A$5:$A$627,1))),"")</f>
        <v>0.850885802878024</v>
      </c>
      <c r="T174" s="11" t="n">
        <f aca="false">IFERROR(N174/MEDIAN(INDEX($N$5:$N$627,MATCH($A174-90,$A$5:$A$627,1)):INDEX($N$5:$N$627,MATCH($A174+90,$A$5:$A$627,1))),"")</f>
        <v>1.51072489690879</v>
      </c>
      <c r="U174" s="11" t="n">
        <f aca="false">IFERROR(Q174/MEDIAN(INDEX($Q$5:$Q$627,MATCH($A174-90,$A$5:$A$627,1)):INDEX($Q$5:$Q$627,MATCH($A174+90,$A$5:$A$627,1))),"")</f>
        <v>0.99147527755779</v>
      </c>
    </row>
    <row r="175" customFormat="false" ht="15" hidden="false" customHeight="false" outlineLevel="0" collapsed="false">
      <c r="A175" s="13" t="n">
        <v>45532.4171388542</v>
      </c>
      <c r="B175" s="8" t="n">
        <v>10</v>
      </c>
      <c r="C175" s="8" t="s">
        <v>71</v>
      </c>
      <c r="D175" s="8" t="s">
        <v>241</v>
      </c>
      <c r="E175" s="14" t="s">
        <v>66</v>
      </c>
      <c r="F175" s="9" t="n">
        <v>524892</v>
      </c>
      <c r="G175" s="9" t="n">
        <v>11208</v>
      </c>
      <c r="H175" s="9" t="n">
        <v>5448</v>
      </c>
      <c r="I175" s="9" t="n">
        <v>4745</v>
      </c>
      <c r="J175" s="9" t="n">
        <v>76</v>
      </c>
      <c r="K175" s="9" t="n">
        <v>16</v>
      </c>
      <c r="L175" s="9" t="n">
        <v>18</v>
      </c>
      <c r="M175" s="10" t="n">
        <f aca="false">IFERROR(G175/F175,"")</f>
        <v>0.0213529640383165</v>
      </c>
      <c r="N175" s="10" t="n">
        <f aca="false">IFERROR(H175/G175,"")</f>
        <v>0.486081370449679</v>
      </c>
      <c r="O175" s="11" t="n">
        <f aca="false">IFERROR(I175/H175,"")</f>
        <v>0.870961820851689</v>
      </c>
      <c r="P175" s="10" t="n">
        <f aca="false">IFERROR(J175/H175,"")</f>
        <v>0.0139500734214391</v>
      </c>
      <c r="Q175" s="10" t="n">
        <f aca="false">IFERROR(K175/H175,"")</f>
        <v>0.00293685756240822</v>
      </c>
      <c r="R175" s="10" t="n">
        <f aca="false">IFERROR(L175/H175,"")</f>
        <v>0.00330396475770925</v>
      </c>
      <c r="S175" s="11" t="n">
        <f aca="false">IFERROR(M175/MEDIAN(INDEX($M$5:$M$627,MATCH($A175-90,$A$5:$A$627,1)):INDEX($M$5:$M$627,MATCH($A175+90,$A$5:$A$627,1))),"")</f>
        <v>0.400524866632048</v>
      </c>
      <c r="T175" s="11" t="n">
        <f aca="false">IFERROR(N175/MEDIAN(INDEX($N$5:$N$627,MATCH($A175-90,$A$5:$A$627,1)):INDEX($N$5:$N$627,MATCH($A175+90,$A$5:$A$627,1))),"")</f>
        <v>0.933715563282369</v>
      </c>
      <c r="U175" s="11" t="n">
        <f aca="false">IFERROR(Q175/MEDIAN(INDEX($Q$5:$Q$627,MATCH($A175-90,$A$5:$A$627,1)):INDEX($Q$5:$Q$627,MATCH($A175+90,$A$5:$A$627,1))),"")</f>
        <v>0.319589322982282</v>
      </c>
    </row>
    <row r="176" customFormat="false" ht="15" hidden="false" customHeight="false" outlineLevel="0" collapsed="false">
      <c r="A176" s="13" t="n">
        <v>45534.4172562732</v>
      </c>
      <c r="B176" s="8" t="n">
        <v>10</v>
      </c>
      <c r="C176" s="8" t="s">
        <v>84</v>
      </c>
      <c r="D176" s="8" t="s">
        <v>242</v>
      </c>
      <c r="E176" s="14" t="s">
        <v>66</v>
      </c>
      <c r="F176" s="9" t="n">
        <v>368501</v>
      </c>
      <c r="G176" s="9" t="n">
        <v>3637</v>
      </c>
      <c r="H176" s="9" t="n">
        <v>2462</v>
      </c>
      <c r="I176" s="9" t="n">
        <v>2753</v>
      </c>
      <c r="J176" s="9" t="n">
        <v>93</v>
      </c>
      <c r="K176" s="9" t="n">
        <v>14</v>
      </c>
      <c r="L176" s="9" t="n">
        <v>9</v>
      </c>
      <c r="M176" s="10" t="n">
        <f aca="false">IFERROR(G176/F176,"")</f>
        <v>0.00986971541461217</v>
      </c>
      <c r="N176" s="10" t="n">
        <f aca="false">IFERROR(H176/G176,"")</f>
        <v>0.676931536981028</v>
      </c>
      <c r="O176" s="11" t="n">
        <f aca="false">IFERROR(I176/H176,"")</f>
        <v>1.11819658813972</v>
      </c>
      <c r="P176" s="10" t="n">
        <f aca="false">IFERROR(J176/H176,"")</f>
        <v>0.0377741673436231</v>
      </c>
      <c r="Q176" s="10" t="n">
        <f aca="false">IFERROR(K176/H176,"")</f>
        <v>0.00568643379366369</v>
      </c>
      <c r="R176" s="10" t="n">
        <f aca="false">IFERROR(L176/H176,"")</f>
        <v>0.00365556458164094</v>
      </c>
      <c r="S176" s="11" t="n">
        <f aca="false">IFERROR(M176/MEDIAN(INDEX($M$5:$M$627,MATCH($A176-90,$A$5:$A$627,1)):INDEX($M$5:$M$627,MATCH($A176+90,$A$5:$A$627,1))),"")</f>
        <v>0.187029779708048</v>
      </c>
      <c r="T176" s="11" t="n">
        <f aca="false">IFERROR(N176/MEDIAN(INDEX($N$5:$N$627,MATCH($A176-90,$A$5:$A$627,1)):INDEX($N$5:$N$627,MATCH($A176+90,$A$5:$A$627,1))),"")</f>
        <v>1.30032037798757</v>
      </c>
      <c r="U176" s="11" t="n">
        <f aca="false">IFERROR(Q176/MEDIAN(INDEX($Q$5:$Q$627,MATCH($A176-90,$A$5:$A$627,1)):INDEX($Q$5:$Q$627,MATCH($A176+90,$A$5:$A$627,1))),"")</f>
        <v>0.618798660705337</v>
      </c>
    </row>
    <row r="177" customFormat="false" ht="15" hidden="false" customHeight="false" outlineLevel="0" collapsed="false">
      <c r="A177" s="13" t="n">
        <v>45537.3989713657</v>
      </c>
      <c r="B177" s="8" t="n">
        <v>9</v>
      </c>
      <c r="C177" s="8" t="s">
        <v>80</v>
      </c>
      <c r="D177" s="8" t="s">
        <v>243</v>
      </c>
      <c r="E177" s="14" t="s">
        <v>66</v>
      </c>
      <c r="F177" s="9" t="n">
        <v>992217</v>
      </c>
      <c r="G177" s="9" t="n">
        <v>36893</v>
      </c>
      <c r="H177" s="9" t="n">
        <v>25071</v>
      </c>
      <c r="I177" s="9" t="n">
        <v>20570</v>
      </c>
      <c r="J177" s="9" t="n">
        <v>964</v>
      </c>
      <c r="K177" s="9" t="n">
        <v>128</v>
      </c>
      <c r="L177" s="9" t="n">
        <v>69</v>
      </c>
      <c r="M177" s="10" t="n">
        <f aca="false">IFERROR(G177/F177,"")</f>
        <v>0.0371823905456165</v>
      </c>
      <c r="N177" s="10" t="n">
        <f aca="false">IFERROR(H177/G177,"")</f>
        <v>0.679559808093676</v>
      </c>
      <c r="O177" s="11" t="n">
        <f aca="false">IFERROR(I177/H177,"")</f>
        <v>0.820469865581748</v>
      </c>
      <c r="P177" s="10" t="n">
        <f aca="false">IFERROR(J177/H177,"")</f>
        <v>0.0384507997287703</v>
      </c>
      <c r="Q177" s="10" t="n">
        <f aca="false">IFERROR(K177/H177,"")</f>
        <v>0.00510550037892386</v>
      </c>
      <c r="R177" s="10" t="n">
        <f aca="false">IFERROR(L177/H177,"")</f>
        <v>0.00275218379801364</v>
      </c>
      <c r="S177" s="11" t="n">
        <f aca="false">IFERROR(M177/MEDIAN(INDEX($M$5:$M$627,MATCH($A177-90,$A$5:$A$627,1)):INDEX($M$5:$M$627,MATCH($A177+90,$A$5:$A$627,1))),"")</f>
        <v>0.697442846230634</v>
      </c>
      <c r="T177" s="11" t="n">
        <f aca="false">IFERROR(N177/MEDIAN(INDEX($N$5:$N$627,MATCH($A177-90,$A$5:$A$627,1)):INDEX($N$5:$N$627,MATCH($A177+90,$A$5:$A$627,1))),"")</f>
        <v>1.31534131392184</v>
      </c>
      <c r="U177" s="11" t="n">
        <f aca="false">IFERROR(Q177/MEDIAN(INDEX($Q$5:$Q$627,MATCH($A177-90,$A$5:$A$627,1)):INDEX($Q$5:$Q$627,MATCH($A177+90,$A$5:$A$627,1))),"")</f>
        <v>0.580394479475826</v>
      </c>
    </row>
    <row r="178" customFormat="false" ht="15" hidden="false" customHeight="false" outlineLevel="0" collapsed="false">
      <c r="A178" s="13" t="n">
        <v>45539.550196088</v>
      </c>
      <c r="B178" s="8" t="n">
        <v>13</v>
      </c>
      <c r="C178" s="8" t="s">
        <v>71</v>
      </c>
      <c r="D178" s="8" t="s">
        <v>244</v>
      </c>
      <c r="E178" s="14" t="s">
        <v>66</v>
      </c>
      <c r="F178" s="9" t="n">
        <v>5428</v>
      </c>
      <c r="G178" s="9" t="n">
        <v>258</v>
      </c>
      <c r="H178" s="9" t="n">
        <v>114</v>
      </c>
      <c r="I178" s="9" t="n">
        <v>104</v>
      </c>
      <c r="J178" s="9" t="n">
        <v>26</v>
      </c>
      <c r="K178" s="9" t="n">
        <v>3</v>
      </c>
      <c r="L178" s="9" t="n">
        <v>0</v>
      </c>
      <c r="M178" s="10" t="n">
        <f aca="false">IFERROR(G178/F178,"")</f>
        <v>0.0475313190862196</v>
      </c>
      <c r="N178" s="10" t="n">
        <f aca="false">IFERROR(H178/G178,"")</f>
        <v>0.441860465116279</v>
      </c>
      <c r="O178" s="11" t="n">
        <f aca="false">IFERROR(I178/H178,"")</f>
        <v>0.912280701754386</v>
      </c>
      <c r="P178" s="10" t="n">
        <f aca="false">IFERROR(J178/H178,"")</f>
        <v>0.228070175438596</v>
      </c>
      <c r="Q178" s="10" t="n">
        <f aca="false">IFERROR(K178/H178,"")</f>
        <v>0.0263157894736842</v>
      </c>
      <c r="R178" s="10" t="n">
        <f aca="false">IFERROR(L178/H178,"")</f>
        <v>0</v>
      </c>
      <c r="S178" s="11" t="n">
        <f aca="false">IFERROR(M178/MEDIAN(INDEX($M$5:$M$627,MATCH($A178-90,$A$5:$A$627,1)):INDEX($M$5:$M$627,MATCH($A178+90,$A$5:$A$627,1))),"")</f>
        <v>0.867386922628792</v>
      </c>
      <c r="T178" s="11" t="n">
        <f aca="false">IFERROR(N178/MEDIAN(INDEX($N$5:$N$627,MATCH($A178-90,$A$5:$A$627,1)):INDEX($N$5:$N$627,MATCH($A178+90,$A$5:$A$627,1))),"")</f>
        <v>0.853499341816586</v>
      </c>
      <c r="U178" s="11" t="n">
        <f aca="false">IFERROR(Q178/MEDIAN(INDEX($Q$5:$Q$627,MATCH($A178-90,$A$5:$A$627,1)):INDEX($Q$5:$Q$627,MATCH($A178+90,$A$5:$A$627,1))),"")</f>
        <v>2.8672494592646</v>
      </c>
    </row>
    <row r="179" customFormat="false" ht="15" hidden="false" customHeight="false" outlineLevel="0" collapsed="false">
      <c r="A179" s="13" t="n">
        <v>45541.6058644444</v>
      </c>
      <c r="B179" s="8" t="n">
        <v>14</v>
      </c>
      <c r="C179" s="8" t="s">
        <v>84</v>
      </c>
      <c r="D179" s="8" t="s">
        <v>245</v>
      </c>
      <c r="E179" s="14" t="s">
        <v>66</v>
      </c>
      <c r="F179" s="9" t="n">
        <v>21017</v>
      </c>
      <c r="G179" s="9" t="n">
        <v>547</v>
      </c>
      <c r="H179" s="9" t="n">
        <v>236</v>
      </c>
      <c r="I179" s="9" t="n">
        <v>89</v>
      </c>
      <c r="J179" s="9" t="n">
        <v>29</v>
      </c>
      <c r="K179" s="9" t="n">
        <v>9</v>
      </c>
      <c r="L179" s="9" t="n">
        <v>3</v>
      </c>
      <c r="M179" s="10" t="n">
        <f aca="false">IFERROR(G179/F179,"")</f>
        <v>0.0260265499357663</v>
      </c>
      <c r="N179" s="10" t="n">
        <f aca="false">IFERROR(H179/G179,"")</f>
        <v>0.431444241316271</v>
      </c>
      <c r="O179" s="11" t="n">
        <f aca="false">IFERROR(I179/H179,"")</f>
        <v>0.377118644067797</v>
      </c>
      <c r="P179" s="10" t="n">
        <f aca="false">IFERROR(J179/H179,"")</f>
        <v>0.122881355932203</v>
      </c>
      <c r="Q179" s="10" t="n">
        <f aca="false">IFERROR(K179/H179,"")</f>
        <v>0.038135593220339</v>
      </c>
      <c r="R179" s="10" t="n">
        <f aca="false">IFERROR(L179/H179,"")</f>
        <v>0.0127118644067797</v>
      </c>
      <c r="S179" s="11" t="n">
        <f aca="false">IFERROR(M179/MEDIAN(INDEX($M$5:$M$627,MATCH($A179-90,$A$5:$A$627,1)):INDEX($M$5:$M$627,MATCH($A179+90,$A$5:$A$627,1))),"")</f>
        <v>0.451598087692426</v>
      </c>
      <c r="T179" s="11" t="n">
        <f aca="false">IFERROR(N179/MEDIAN(INDEX($N$5:$N$627,MATCH($A179-90,$A$5:$A$627,1)):INDEX($N$5:$N$627,MATCH($A179+90,$A$5:$A$627,1))),"")</f>
        <v>0.824197324259981</v>
      </c>
      <c r="U179" s="11" t="n">
        <f aca="false">IFERROR(Q179/MEDIAN(INDEX($Q$5:$Q$627,MATCH($A179-90,$A$5:$A$627,1)):INDEX($Q$5:$Q$627,MATCH($A179+90,$A$5:$A$627,1))),"")</f>
        <v>4.53748922723355</v>
      </c>
    </row>
    <row r="180" customFormat="false" ht="15" hidden="false" customHeight="false" outlineLevel="0" collapsed="false">
      <c r="A180" s="13" t="n">
        <v>45544.4991415741</v>
      </c>
      <c r="B180" s="8" t="n">
        <v>11</v>
      </c>
      <c r="C180" s="8" t="s">
        <v>80</v>
      </c>
      <c r="D180" s="8" t="s">
        <v>246</v>
      </c>
      <c r="E180" s="14" t="s">
        <v>66</v>
      </c>
      <c r="F180" s="9" t="n">
        <v>135010</v>
      </c>
      <c r="G180" s="9" t="n">
        <v>16326</v>
      </c>
      <c r="H180" s="9" t="n">
        <v>7937</v>
      </c>
      <c r="I180" s="9" t="n">
        <v>6092</v>
      </c>
      <c r="J180" s="9" t="n">
        <v>525</v>
      </c>
      <c r="K180" s="9" t="n">
        <v>99</v>
      </c>
      <c r="L180" s="9" t="n">
        <v>41</v>
      </c>
      <c r="M180" s="10" t="n">
        <f aca="false">IFERROR(G180/F180,"")</f>
        <v>0.12092437597215</v>
      </c>
      <c r="N180" s="10" t="n">
        <f aca="false">IFERROR(H180/G180,"")</f>
        <v>0.486157050104128</v>
      </c>
      <c r="O180" s="11" t="n">
        <f aca="false">IFERROR(I180/H180,"")</f>
        <v>0.767544412246441</v>
      </c>
      <c r="P180" s="10" t="n">
        <f aca="false">IFERROR(J180/H180,"")</f>
        <v>0.0661458989542648</v>
      </c>
      <c r="Q180" s="10" t="n">
        <f aca="false">IFERROR(K180/H180,"")</f>
        <v>0.0124732266599471</v>
      </c>
      <c r="R180" s="10" t="n">
        <f aca="false">IFERROR(L180/H180,"")</f>
        <v>0.00516567972785687</v>
      </c>
      <c r="S180" s="11" t="n">
        <f aca="false">IFERROR(M180/MEDIAN(INDEX($M$5:$M$627,MATCH($A180-90,$A$5:$A$627,1)):INDEX($M$5:$M$627,MATCH($A180+90,$A$5:$A$627,1))),"")</f>
        <v>2.00471746085091</v>
      </c>
      <c r="T180" s="11" t="n">
        <f aca="false">IFERROR(N180/MEDIAN(INDEX($N$5:$N$627,MATCH($A180-90,$A$5:$A$627,1)):INDEX($N$5:$N$627,MATCH($A180+90,$A$5:$A$627,1))),"")</f>
        <v>0.928716393672346</v>
      </c>
      <c r="U180" s="11" t="n">
        <f aca="false">IFERROR(Q180/MEDIAN(INDEX($Q$5:$Q$627,MATCH($A180-90,$A$5:$A$627,1)):INDEX($Q$5:$Q$627,MATCH($A180+90,$A$5:$A$627,1))),"")</f>
        <v>1.48410256191235</v>
      </c>
    </row>
    <row r="181" customFormat="false" ht="15" hidden="false" customHeight="false" outlineLevel="0" collapsed="false">
      <c r="A181" s="13" t="n">
        <v>45546.7073997801</v>
      </c>
      <c r="B181" s="8" t="n">
        <v>16</v>
      </c>
      <c r="C181" s="8" t="s">
        <v>71</v>
      </c>
      <c r="D181" s="8" t="s">
        <v>247</v>
      </c>
      <c r="E181" s="14" t="s">
        <v>66</v>
      </c>
      <c r="F181" s="9" t="n">
        <v>1105942</v>
      </c>
      <c r="G181" s="9" t="n">
        <v>125957</v>
      </c>
      <c r="H181" s="9" t="n">
        <v>59765</v>
      </c>
      <c r="I181" s="9" t="n">
        <v>51579</v>
      </c>
      <c r="J181" s="9" t="n">
        <v>1043</v>
      </c>
      <c r="K181" s="9" t="n">
        <v>346</v>
      </c>
      <c r="L181" s="9" t="n">
        <v>201</v>
      </c>
      <c r="M181" s="10" t="n">
        <f aca="false">IFERROR(G181/F181,"")</f>
        <v>0.113891144381893</v>
      </c>
      <c r="N181" s="10" t="n">
        <f aca="false">IFERROR(H181/G181,"")</f>
        <v>0.474487325039498</v>
      </c>
      <c r="O181" s="11" t="n">
        <f aca="false">IFERROR(I181/H181,"")</f>
        <v>0.863030201623024</v>
      </c>
      <c r="P181" s="10" t="n">
        <f aca="false">IFERROR(J181/H181,"")</f>
        <v>0.0174516857692629</v>
      </c>
      <c r="Q181" s="10" t="n">
        <f aca="false">IFERROR(K181/H181,"")</f>
        <v>0.00578934158788589</v>
      </c>
      <c r="R181" s="10" t="n">
        <f aca="false">IFERROR(L181/H181,"")</f>
        <v>0.00336317242533255</v>
      </c>
      <c r="S181" s="11" t="n">
        <f aca="false">IFERROR(M181/MEDIAN(INDEX($M$5:$M$627,MATCH($A181-90,$A$5:$A$627,1)):INDEX($M$5:$M$627,MATCH($A181+90,$A$5:$A$627,1))),"")</f>
        <v>1.88811861912157</v>
      </c>
      <c r="T181" s="11" t="n">
        <f aca="false">IFERROR(N181/MEDIAN(INDEX($N$5:$N$627,MATCH($A181-90,$A$5:$A$627,1)):INDEX($N$5:$N$627,MATCH($A181+90,$A$5:$A$627,1))),"")</f>
        <v>0.906423463898212</v>
      </c>
      <c r="U181" s="11" t="n">
        <f aca="false">IFERROR(Q181/MEDIAN(INDEX($Q$5:$Q$627,MATCH($A181-90,$A$5:$A$627,1)):INDEX($Q$5:$Q$627,MATCH($A181+90,$A$5:$A$627,1))),"")</f>
        <v>0.701459544713595</v>
      </c>
    </row>
    <row r="182" customFormat="false" ht="15" hidden="false" customHeight="false" outlineLevel="0" collapsed="false">
      <c r="A182" s="13" t="n">
        <v>45548.6415306019</v>
      </c>
      <c r="B182" s="8" t="n">
        <v>15</v>
      </c>
      <c r="C182" s="8" t="s">
        <v>84</v>
      </c>
      <c r="D182" s="8" t="s">
        <v>248</v>
      </c>
      <c r="E182" s="14" t="s">
        <v>66</v>
      </c>
      <c r="F182" s="9" t="n">
        <v>646268</v>
      </c>
      <c r="G182" s="9" t="n">
        <v>65171</v>
      </c>
      <c r="H182" s="9" t="n">
        <v>37531</v>
      </c>
      <c r="I182" s="9" t="n">
        <v>29568</v>
      </c>
      <c r="J182" s="9" t="n">
        <v>1059</v>
      </c>
      <c r="K182" s="9" t="n">
        <v>245</v>
      </c>
      <c r="L182" s="9" t="n">
        <v>92</v>
      </c>
      <c r="M182" s="10" t="n">
        <f aca="false">IFERROR(G182/F182,"")</f>
        <v>0.100842065520806</v>
      </c>
      <c r="N182" s="10" t="n">
        <f aca="false">IFERROR(H182/G182,"")</f>
        <v>0.575884979515429</v>
      </c>
      <c r="O182" s="11" t="n">
        <f aca="false">IFERROR(I182/H182,"")</f>
        <v>0.787828728251312</v>
      </c>
      <c r="P182" s="10" t="n">
        <f aca="false">IFERROR(J182/H182,"")</f>
        <v>0.0282166742159815</v>
      </c>
      <c r="Q182" s="10" t="n">
        <f aca="false">IFERROR(K182/H182,"")</f>
        <v>0.00652793690549146</v>
      </c>
      <c r="R182" s="10" t="n">
        <f aca="false">IFERROR(L182/H182,"")</f>
        <v>0.00245130691961312</v>
      </c>
      <c r="S182" s="11" t="n">
        <f aca="false">IFERROR(M182/MEDIAN(INDEX($M$5:$M$627,MATCH($A182-90,$A$5:$A$627,1)):INDEX($M$5:$M$627,MATCH($A182+90,$A$5:$A$627,1))),"")</f>
        <v>1.74975492566412</v>
      </c>
      <c r="T182" s="11" t="n">
        <f aca="false">IFERROR(N182/MEDIAN(INDEX($N$5:$N$627,MATCH($A182-90,$A$5:$A$627,1)):INDEX($N$5:$N$627,MATCH($A182+90,$A$5:$A$627,1))),"")</f>
        <v>1.07470759287509</v>
      </c>
      <c r="U182" s="11" t="n">
        <f aca="false">IFERROR(Q182/MEDIAN(INDEX($Q$5:$Q$627,MATCH($A182-90,$A$5:$A$627,1)):INDEX($Q$5:$Q$627,MATCH($A182+90,$A$5:$A$627,1))),"")</f>
        <v>0.776713848755086</v>
      </c>
    </row>
    <row r="183" customFormat="false" ht="15" hidden="false" customHeight="false" outlineLevel="0" collapsed="false">
      <c r="A183" s="13" t="n">
        <v>45551.5183112616</v>
      </c>
      <c r="B183" s="8" t="n">
        <v>12</v>
      </c>
      <c r="C183" s="8" t="s">
        <v>80</v>
      </c>
      <c r="D183" s="8" t="s">
        <v>249</v>
      </c>
      <c r="E183" s="14" t="s">
        <v>66</v>
      </c>
      <c r="F183" s="9" t="n">
        <v>105423</v>
      </c>
      <c r="G183" s="9" t="n">
        <v>5777</v>
      </c>
      <c r="H183" s="9" t="n">
        <v>2839</v>
      </c>
      <c r="I183" s="9" t="n">
        <v>2054</v>
      </c>
      <c r="J183" s="9" t="n">
        <v>117</v>
      </c>
      <c r="K183" s="9" t="n">
        <v>47</v>
      </c>
      <c r="L183" s="9" t="n">
        <v>8</v>
      </c>
      <c r="M183" s="10" t="n">
        <f aca="false">IFERROR(G183/F183,"")</f>
        <v>0.0547982887984595</v>
      </c>
      <c r="N183" s="10" t="n">
        <f aca="false">IFERROR(H183/G183,"")</f>
        <v>0.491431538861001</v>
      </c>
      <c r="O183" s="11" t="n">
        <f aca="false">IFERROR(I183/H183,"")</f>
        <v>0.7234941880944</v>
      </c>
      <c r="P183" s="10" t="n">
        <f aca="false">IFERROR(J183/H183,"")</f>
        <v>0.0412116942585417</v>
      </c>
      <c r="Q183" s="10" t="n">
        <f aca="false">IFERROR(K183/H183,"")</f>
        <v>0.0165551250440296</v>
      </c>
      <c r="R183" s="10" t="n">
        <f aca="false">IFERROR(L183/H183,"")</f>
        <v>0.00281789362451567</v>
      </c>
      <c r="S183" s="11" t="n">
        <f aca="false">IFERROR(M183/MEDIAN(INDEX($M$5:$M$627,MATCH($A183-90,$A$5:$A$627,1)):INDEX($M$5:$M$627,MATCH($A183+90,$A$5:$A$627,1))),"")</f>
        <v>0.908461056721293</v>
      </c>
      <c r="T183" s="11" t="n">
        <f aca="false">IFERROR(N183/MEDIAN(INDEX($N$5:$N$627,MATCH($A183-90,$A$5:$A$627,1)):INDEX($N$5:$N$627,MATCH($A183+90,$A$5:$A$627,1))),"")</f>
        <v>0.916616179101033</v>
      </c>
      <c r="U183" s="11" t="n">
        <f aca="false">IFERROR(Q183/MEDIAN(INDEX($Q$5:$Q$627,MATCH($A183-90,$A$5:$A$627,1)):INDEX($Q$5:$Q$627,MATCH($A183+90,$A$5:$A$627,1))),"")</f>
        <v>1.96977928489979</v>
      </c>
    </row>
    <row r="184" customFormat="false" ht="15" hidden="false" customHeight="false" outlineLevel="0" collapsed="false">
      <c r="A184" s="13" t="n">
        <v>45553.5840791088</v>
      </c>
      <c r="B184" s="8" t="n">
        <v>14</v>
      </c>
      <c r="C184" s="8" t="s">
        <v>71</v>
      </c>
      <c r="D184" s="8" t="s">
        <v>250</v>
      </c>
      <c r="E184" s="14" t="s">
        <v>66</v>
      </c>
      <c r="F184" s="9" t="n">
        <v>379073</v>
      </c>
      <c r="G184" s="9" t="n">
        <v>28751</v>
      </c>
      <c r="H184" s="9" t="n">
        <v>7291</v>
      </c>
      <c r="I184" s="9" t="n">
        <v>4471</v>
      </c>
      <c r="J184" s="9" t="n">
        <v>314</v>
      </c>
      <c r="K184" s="9" t="n">
        <v>28</v>
      </c>
      <c r="L184" s="9" t="n">
        <v>21</v>
      </c>
      <c r="M184" s="10" t="n">
        <f aca="false">IFERROR(G184/F184,"")</f>
        <v>0.0758455495379518</v>
      </c>
      <c r="N184" s="10" t="n">
        <f aca="false">IFERROR(H184/G184,"")</f>
        <v>0.253591179437237</v>
      </c>
      <c r="O184" s="11" t="n">
        <f aca="false">IFERROR(I184/H184,"")</f>
        <v>0.613221780277054</v>
      </c>
      <c r="P184" s="10" t="n">
        <f aca="false">IFERROR(J184/H184,"")</f>
        <v>0.0430667946783706</v>
      </c>
      <c r="Q184" s="10" t="n">
        <f aca="false">IFERROR(K184/H184,"")</f>
        <v>0.00384035111781649</v>
      </c>
      <c r="R184" s="10" t="n">
        <f aca="false">IFERROR(L184/H184,"")</f>
        <v>0.00288026333836236</v>
      </c>
      <c r="S184" s="11" t="n">
        <f aca="false">IFERROR(M184/MEDIAN(INDEX($M$5:$M$627,MATCH($A184-90,$A$5:$A$627,1)):INDEX($M$5:$M$627,MATCH($A184+90,$A$5:$A$627,1))),"")</f>
        <v>1.25738831616202</v>
      </c>
      <c r="T184" s="11" t="n">
        <f aca="false">IFERROR(N184/MEDIAN(INDEX($N$5:$N$627,MATCH($A184-90,$A$5:$A$627,1)):INDEX($N$5:$N$627,MATCH($A184+90,$A$5:$A$627,1))),"")</f>
        <v>0.472997273411121</v>
      </c>
      <c r="U184" s="11" t="n">
        <f aca="false">IFERROR(Q184/MEDIAN(INDEX($Q$5:$Q$627,MATCH($A184-90,$A$5:$A$627,1)):INDEX($Q$5:$Q$627,MATCH($A184+90,$A$5:$A$627,1))),"")</f>
        <v>0.45693669232325</v>
      </c>
    </row>
    <row r="185" customFormat="false" ht="15" hidden="false" customHeight="false" outlineLevel="0" collapsed="false">
      <c r="A185" s="13" t="n">
        <v>45555.5349321991</v>
      </c>
      <c r="B185" s="8" t="n">
        <v>12</v>
      </c>
      <c r="C185" s="8" t="s">
        <v>84</v>
      </c>
      <c r="D185" s="8" t="s">
        <v>251</v>
      </c>
      <c r="E185" s="14" t="s">
        <v>66</v>
      </c>
      <c r="F185" s="9" t="n">
        <v>1725918</v>
      </c>
      <c r="G185" s="9" t="n">
        <v>92345</v>
      </c>
      <c r="H185" s="9" t="n">
        <v>69845</v>
      </c>
      <c r="I185" s="9" t="n">
        <v>87469</v>
      </c>
      <c r="J185" s="9" t="n">
        <v>1356</v>
      </c>
      <c r="K185" s="9" t="n">
        <v>267</v>
      </c>
      <c r="L185" s="9" t="n">
        <v>296</v>
      </c>
      <c r="M185" s="10" t="n">
        <f aca="false">IFERROR(G185/F185,"")</f>
        <v>0.0535048594429168</v>
      </c>
      <c r="N185" s="10" t="n">
        <f aca="false">IFERROR(H185/G185,"")</f>
        <v>0.756348475824354</v>
      </c>
      <c r="O185" s="11" t="n">
        <f aca="false">IFERROR(I185/H185,"")</f>
        <v>1.2523301596392</v>
      </c>
      <c r="P185" s="10" t="n">
        <f aca="false">IFERROR(J185/H185,"")</f>
        <v>0.0194144176390579</v>
      </c>
      <c r="Q185" s="10" t="n">
        <f aca="false">IFERROR(K185/H185,"")</f>
        <v>0.0038227503758322</v>
      </c>
      <c r="R185" s="10" t="n">
        <f aca="false">IFERROR(L185/H185,"")</f>
        <v>0.0042379554728327</v>
      </c>
      <c r="S185" s="11" t="n">
        <f aca="false">IFERROR(M185/MEDIAN(INDEX($M$5:$M$627,MATCH($A185-90,$A$5:$A$627,1)):INDEX($M$5:$M$627,MATCH($A185+90,$A$5:$A$627,1))),"")</f>
        <v>0.887018230222598</v>
      </c>
      <c r="T185" s="11" t="n">
        <f aca="false">IFERROR(N185/MEDIAN(INDEX($N$5:$N$627,MATCH($A185-90,$A$5:$A$627,1)):INDEX($N$5:$N$627,MATCH($A185+90,$A$5:$A$627,1))),"")</f>
        <v>1.41073821103513</v>
      </c>
      <c r="U185" s="11" t="n">
        <f aca="false">IFERROR(Q185/MEDIAN(INDEX($Q$5:$Q$627,MATCH($A185-90,$A$5:$A$627,1)):INDEX($Q$5:$Q$627,MATCH($A185+90,$A$5:$A$627,1))),"")</f>
        <v>0.41650960002432</v>
      </c>
    </row>
    <row r="186" customFormat="false" ht="15" hidden="false" customHeight="false" outlineLevel="0" collapsed="false">
      <c r="A186" s="13" t="n">
        <v>45558.4863435995</v>
      </c>
      <c r="B186" s="8" t="n">
        <v>11</v>
      </c>
      <c r="C186" s="8" t="s">
        <v>80</v>
      </c>
      <c r="D186" s="8" t="s">
        <v>252</v>
      </c>
      <c r="E186" s="14" t="s">
        <v>66</v>
      </c>
      <c r="F186" s="9" t="n">
        <v>15767</v>
      </c>
      <c r="G186" s="9" t="n">
        <v>2294</v>
      </c>
      <c r="H186" s="9" t="n">
        <v>994</v>
      </c>
      <c r="I186" s="9" t="n">
        <v>1446</v>
      </c>
      <c r="J186" s="9" t="n">
        <v>56</v>
      </c>
      <c r="K186" s="9" t="n">
        <v>6</v>
      </c>
      <c r="L186" s="9" t="n">
        <v>7</v>
      </c>
      <c r="M186" s="10" t="n">
        <f aca="false">IFERROR(G186/F186,"")</f>
        <v>0.145493752774783</v>
      </c>
      <c r="N186" s="10" t="n">
        <f aca="false">IFERROR(H186/G186,"")</f>
        <v>0.433304272013949</v>
      </c>
      <c r="O186" s="11" t="n">
        <f aca="false">IFERROR(I186/H186,"")</f>
        <v>1.45472837022133</v>
      </c>
      <c r="P186" s="10" t="n">
        <f aca="false">IFERROR(J186/H186,"")</f>
        <v>0.0563380281690141</v>
      </c>
      <c r="Q186" s="10" t="n">
        <f aca="false">IFERROR(K186/H186,"")</f>
        <v>0.00603621730382294</v>
      </c>
      <c r="R186" s="10" t="n">
        <f aca="false">IFERROR(L186/H186,"")</f>
        <v>0.00704225352112676</v>
      </c>
      <c r="S186" s="11" t="n">
        <f aca="false">IFERROR(M186/MEDIAN(INDEX($M$5:$M$627,MATCH($A186-90,$A$5:$A$627,1)):INDEX($M$5:$M$627,MATCH($A186+90,$A$5:$A$627,1))),"")</f>
        <v>2.41203532610751</v>
      </c>
      <c r="T186" s="11" t="n">
        <f aca="false">IFERROR(N186/MEDIAN(INDEX($N$5:$N$627,MATCH($A186-90,$A$5:$A$627,1)):INDEX($N$5:$N$627,MATCH($A186+90,$A$5:$A$627,1))),"")</f>
        <v>0.805205405582789</v>
      </c>
      <c r="U186" s="11" t="n">
        <f aca="false">IFERROR(Q186/MEDIAN(INDEX($Q$5:$Q$627,MATCH($A186-90,$A$5:$A$627,1)):INDEX($Q$5:$Q$627,MATCH($A186+90,$A$5:$A$627,1))),"")</f>
        <v>0.657678950414818</v>
      </c>
    </row>
    <row r="187" customFormat="false" ht="15" hidden="false" customHeight="false" outlineLevel="0" collapsed="false">
      <c r="A187" s="13" t="n">
        <v>45560.5753668171</v>
      </c>
      <c r="B187" s="8" t="n">
        <v>13</v>
      </c>
      <c r="C187" s="8" t="s">
        <v>71</v>
      </c>
      <c r="D187" s="8" t="s">
        <v>253</v>
      </c>
      <c r="E187" s="14" t="s">
        <v>66</v>
      </c>
      <c r="F187" s="9" t="n">
        <v>3645582</v>
      </c>
      <c r="G187" s="9" t="n">
        <v>154735</v>
      </c>
      <c r="H187" s="9" t="n">
        <v>93801</v>
      </c>
      <c r="I187" s="9" t="n">
        <v>103079</v>
      </c>
      <c r="J187" s="9" t="n">
        <v>2241</v>
      </c>
      <c r="K187" s="9" t="n">
        <v>434</v>
      </c>
      <c r="L187" s="9" t="n">
        <v>458</v>
      </c>
      <c r="M187" s="10" t="n">
        <f aca="false">IFERROR(G187/F187,"")</f>
        <v>0.0424445260043527</v>
      </c>
      <c r="N187" s="10" t="n">
        <f aca="false">IFERROR(H187/G187,"")</f>
        <v>0.606204155491647</v>
      </c>
      <c r="O187" s="11" t="n">
        <f aca="false">IFERROR(I187/H187,"")</f>
        <v>1.09891152546348</v>
      </c>
      <c r="P187" s="10" t="n">
        <f aca="false">IFERROR(J187/H187,"")</f>
        <v>0.023891003294208</v>
      </c>
      <c r="Q187" s="10" t="n">
        <f aca="false">IFERROR(K187/H187,"")</f>
        <v>0.00462681634524152</v>
      </c>
      <c r="R187" s="10" t="n">
        <f aca="false">IFERROR(L187/H187,"")</f>
        <v>0.00488267715695995</v>
      </c>
      <c r="S187" s="11" t="n">
        <f aca="false">IFERROR(M187/MEDIAN(INDEX($M$5:$M$627,MATCH($A187-90,$A$5:$A$627,1)):INDEX($M$5:$M$627,MATCH($A187+90,$A$5:$A$627,1))),"")</f>
        <v>0.719691392094362</v>
      </c>
      <c r="T187" s="11" t="n">
        <f aca="false">IFERROR(N187/MEDIAN(INDEX($N$5:$N$627,MATCH($A187-90,$A$5:$A$627,1)):INDEX($N$5:$N$627,MATCH($A187+90,$A$5:$A$627,1))),"")</f>
        <v>1.12446871244437</v>
      </c>
      <c r="U187" s="11" t="n">
        <f aca="false">IFERROR(Q187/MEDIAN(INDEX($Q$5:$Q$627,MATCH($A187-90,$A$5:$A$627,1)):INDEX($Q$5:$Q$627,MATCH($A187+90,$A$5:$A$627,1))),"")</f>
        <v>0.503490915686962</v>
      </c>
    </row>
    <row r="188" customFormat="false" ht="15" hidden="false" customHeight="false" outlineLevel="0" collapsed="false">
      <c r="A188" s="13" t="n">
        <v>45565.4712250347</v>
      </c>
      <c r="B188" s="8" t="n">
        <v>11</v>
      </c>
      <c r="C188" s="8" t="s">
        <v>80</v>
      </c>
      <c r="D188" s="8" t="s">
        <v>254</v>
      </c>
      <c r="E188" s="14" t="s">
        <v>66</v>
      </c>
      <c r="F188" s="9" t="n">
        <v>66867</v>
      </c>
      <c r="G188" s="9" t="n">
        <v>2162</v>
      </c>
      <c r="H188" s="9" t="n">
        <v>842</v>
      </c>
      <c r="I188" s="9" t="n">
        <v>550</v>
      </c>
      <c r="J188" s="9" t="n">
        <v>65</v>
      </c>
      <c r="K188" s="9" t="n">
        <v>8</v>
      </c>
      <c r="L188" s="9" t="n">
        <v>8</v>
      </c>
      <c r="M188" s="10" t="n">
        <f aca="false">IFERROR(G188/F188,"")</f>
        <v>0.0323328398163519</v>
      </c>
      <c r="N188" s="10" t="n">
        <f aca="false">IFERROR(H188/G188,"")</f>
        <v>0.38945420906568</v>
      </c>
      <c r="O188" s="11" t="n">
        <f aca="false">IFERROR(I188/H188,"")</f>
        <v>0.653206650831354</v>
      </c>
      <c r="P188" s="10" t="n">
        <f aca="false">IFERROR(J188/H188,"")</f>
        <v>0.0771971496437055</v>
      </c>
      <c r="Q188" s="10" t="n">
        <f aca="false">IFERROR(K188/H188,"")</f>
        <v>0.00950118764845606</v>
      </c>
      <c r="R188" s="10" t="n">
        <f aca="false">IFERROR(L188/H188,"")</f>
        <v>0.00950118764845606</v>
      </c>
      <c r="S188" s="11" t="n">
        <f aca="false">IFERROR(M188/MEDIAN(INDEX($M$5:$M$627,MATCH($A188-90,$A$5:$A$627,1)):INDEX($M$5:$M$627,MATCH($A188+90,$A$5:$A$627,1))),"")</f>
        <v>0.52119687125225</v>
      </c>
      <c r="T188" s="11" t="n">
        <f aca="false">IFERROR(N188/MEDIAN(INDEX($N$5:$N$627,MATCH($A188-90,$A$5:$A$627,1)):INDEX($N$5:$N$627,MATCH($A188+90,$A$5:$A$627,1))),"")</f>
        <v>0.719466385892326</v>
      </c>
      <c r="U188" s="11" t="n">
        <f aca="false">IFERROR(Q188/MEDIAN(INDEX($Q$5:$Q$627,MATCH($A188-90,$A$5:$A$627,1)):INDEX($Q$5:$Q$627,MATCH($A188+90,$A$5:$A$627,1))),"")</f>
        <v>1.03392080261726</v>
      </c>
    </row>
    <row r="189" customFormat="false" ht="15" hidden="false" customHeight="false" outlineLevel="0" collapsed="false">
      <c r="A189" s="13" t="n">
        <v>45569.5085251736</v>
      </c>
      <c r="B189" s="8" t="n">
        <v>12</v>
      </c>
      <c r="C189" s="8" t="s">
        <v>84</v>
      </c>
      <c r="D189" s="8" t="s">
        <v>255</v>
      </c>
      <c r="E189" s="14" t="s">
        <v>66</v>
      </c>
      <c r="F189" s="9" t="n">
        <v>105398</v>
      </c>
      <c r="G189" s="9" t="n">
        <v>1871</v>
      </c>
      <c r="H189" s="9" t="n">
        <v>622</v>
      </c>
      <c r="I189" s="9" t="n">
        <v>556</v>
      </c>
      <c r="J189" s="9" t="n">
        <v>65</v>
      </c>
      <c r="K189" s="9" t="n">
        <v>16</v>
      </c>
      <c r="L189" s="9" t="n">
        <v>6</v>
      </c>
      <c r="M189" s="10" t="n">
        <f aca="false">IFERROR(G189/F189,"")</f>
        <v>0.0177517599954458</v>
      </c>
      <c r="N189" s="10" t="n">
        <f aca="false">IFERROR(H189/G189,"")</f>
        <v>0.332442544094067</v>
      </c>
      <c r="O189" s="11" t="n">
        <f aca="false">IFERROR(I189/H189,"")</f>
        <v>0.893890675241158</v>
      </c>
      <c r="P189" s="10" t="n">
        <f aca="false">IFERROR(J189/H189,"")</f>
        <v>0.104501607717042</v>
      </c>
      <c r="Q189" s="10" t="n">
        <f aca="false">IFERROR(K189/H189,"")</f>
        <v>0.0257234726688103</v>
      </c>
      <c r="R189" s="10" t="n">
        <f aca="false">IFERROR(L189/H189,"")</f>
        <v>0.00964630225080386</v>
      </c>
      <c r="S189" s="11" t="n">
        <f aca="false">IFERROR(M189/MEDIAN(INDEX($M$5:$M$627,MATCH($A189-90,$A$5:$A$627,1)):INDEX($M$5:$M$627,MATCH($A189+90,$A$5:$A$627,1))),"")</f>
        <v>0.286153700738902</v>
      </c>
      <c r="T189" s="11" t="n">
        <f aca="false">IFERROR(N189/MEDIAN(INDEX($N$5:$N$627,MATCH($A189-90,$A$5:$A$627,1)):INDEX($N$5:$N$627,MATCH($A189+90,$A$5:$A$627,1))),"")</f>
        <v>0.614144693133544</v>
      </c>
      <c r="U189" s="11" t="n">
        <f aca="false">IFERROR(Q189/MEDIAN(INDEX($Q$5:$Q$627,MATCH($A189-90,$A$5:$A$627,1)):INDEX($Q$5:$Q$627,MATCH($A189+90,$A$5:$A$627,1))),"")</f>
        <v>2.77192730927077</v>
      </c>
    </row>
    <row r="190" customFormat="false" ht="15" hidden="false" customHeight="false" outlineLevel="0" collapsed="false">
      <c r="A190" s="13" t="n">
        <v>45572.4836740741</v>
      </c>
      <c r="B190" s="8" t="n">
        <v>11</v>
      </c>
      <c r="C190" s="8" t="s">
        <v>80</v>
      </c>
      <c r="D190" s="8" t="s">
        <v>256</v>
      </c>
      <c r="E190" s="14" t="s">
        <v>66</v>
      </c>
      <c r="F190" s="9" t="n">
        <v>55431</v>
      </c>
      <c r="G190" s="9" t="n">
        <v>392</v>
      </c>
      <c r="H190" s="9" t="n">
        <v>158</v>
      </c>
      <c r="I190" s="9" t="n">
        <v>169</v>
      </c>
      <c r="J190" s="9" t="n">
        <v>27</v>
      </c>
      <c r="K190" s="9" t="n">
        <v>4</v>
      </c>
      <c r="L190" s="9" t="n">
        <v>1</v>
      </c>
      <c r="M190" s="10" t="n">
        <f aca="false">IFERROR(G190/F190,"")</f>
        <v>0.00707185509913226</v>
      </c>
      <c r="N190" s="10" t="n">
        <f aca="false">IFERROR(H190/G190,"")</f>
        <v>0.403061224489796</v>
      </c>
      <c r="O190" s="11" t="n">
        <f aca="false">IFERROR(I190/H190,"")</f>
        <v>1.06962025316456</v>
      </c>
      <c r="P190" s="10" t="n">
        <f aca="false">IFERROR(J190/H190,"")</f>
        <v>0.170886075949367</v>
      </c>
      <c r="Q190" s="10" t="n">
        <f aca="false">IFERROR(K190/H190,"")</f>
        <v>0.0253164556962025</v>
      </c>
      <c r="R190" s="10" t="n">
        <f aca="false">IFERROR(L190/H190,"")</f>
        <v>0.00632911392405063</v>
      </c>
      <c r="S190" s="11" t="n">
        <f aca="false">IFERROR(M190/MEDIAN(INDEX($M$5:$M$627,MATCH($A190-90,$A$5:$A$627,1)):INDEX($M$5:$M$627,MATCH($A190+90,$A$5:$A$627,1))),"")</f>
        <v>0.110928286218232</v>
      </c>
      <c r="T190" s="11" t="n">
        <f aca="false">IFERROR(N190/MEDIAN(INDEX($N$5:$N$627,MATCH($A190-90,$A$5:$A$627,1)):INDEX($N$5:$N$627,MATCH($A190+90,$A$5:$A$627,1))),"")</f>
        <v>0.741735671904545</v>
      </c>
      <c r="U190" s="11" t="n">
        <f aca="false">IFERROR(Q190/MEDIAN(INDEX($Q$5:$Q$627,MATCH($A190-90,$A$5:$A$627,1)):INDEX($Q$5:$Q$627,MATCH($A190+90,$A$5:$A$627,1))),"")</f>
        <v>2.75152367557431</v>
      </c>
    </row>
    <row r="191" customFormat="false" ht="15" hidden="false" customHeight="false" outlineLevel="0" collapsed="false">
      <c r="A191" s="13" t="n">
        <v>45574.5958315162</v>
      </c>
      <c r="B191" s="8" t="n">
        <v>14</v>
      </c>
      <c r="C191" s="8" t="s">
        <v>71</v>
      </c>
      <c r="D191" s="8" t="s">
        <v>257</v>
      </c>
      <c r="E191" s="14" t="s">
        <v>66</v>
      </c>
      <c r="F191" s="9" t="n">
        <v>1159794</v>
      </c>
      <c r="G191" s="9" t="n">
        <v>47875</v>
      </c>
      <c r="H191" s="9" t="n">
        <v>30327</v>
      </c>
      <c r="I191" s="9" t="n">
        <v>25041</v>
      </c>
      <c r="J191" s="9" t="n">
        <v>1192</v>
      </c>
      <c r="K191" s="9" t="n">
        <v>94</v>
      </c>
      <c r="L191" s="9" t="n">
        <v>254</v>
      </c>
      <c r="M191" s="10" t="n">
        <f aca="false">IFERROR(G191/F191,"")</f>
        <v>0.0412788822842677</v>
      </c>
      <c r="N191" s="10" t="n">
        <f aca="false">IFERROR(H191/G191,"")</f>
        <v>0.633462140992167</v>
      </c>
      <c r="O191" s="11" t="n">
        <f aca="false">IFERROR(I191/H191,"")</f>
        <v>0.825699871401721</v>
      </c>
      <c r="P191" s="10" t="n">
        <f aca="false">IFERROR(J191/H191,"")</f>
        <v>0.0393049098163353</v>
      </c>
      <c r="Q191" s="10" t="n">
        <f aca="false">IFERROR(K191/H191,"")</f>
        <v>0.00309954825732845</v>
      </c>
      <c r="R191" s="10" t="n">
        <f aca="false">IFERROR(L191/H191,"")</f>
        <v>0.00837537507831306</v>
      </c>
      <c r="S191" s="11" t="n">
        <f aca="false">IFERROR(M191/MEDIAN(INDEX($M$5:$M$627,MATCH($A191-90,$A$5:$A$627,1)):INDEX($M$5:$M$627,MATCH($A191+90,$A$5:$A$627,1))),"")</f>
        <v>0.647374799979735</v>
      </c>
      <c r="T191" s="11" t="n">
        <f aca="false">IFERROR(N191/MEDIAN(INDEX($N$5:$N$627,MATCH($A191-90,$A$5:$A$627,1)):INDEX($N$5:$N$627,MATCH($A191+90,$A$5:$A$627,1))),"")</f>
        <v>1.14420822134866</v>
      </c>
      <c r="U191" s="11" t="n">
        <f aca="false">IFERROR(Q191/MEDIAN(INDEX($Q$5:$Q$627,MATCH($A191-90,$A$5:$A$627,1)):INDEX($Q$5:$Q$627,MATCH($A191+90,$A$5:$A$627,1))),"")</f>
        <v>0.33729335116213</v>
      </c>
    </row>
    <row r="192" customFormat="false" ht="15" hidden="false" customHeight="false" outlineLevel="0" collapsed="false">
      <c r="A192" s="13" t="n">
        <v>45576.5090856597</v>
      </c>
      <c r="B192" s="8" t="n">
        <v>12</v>
      </c>
      <c r="C192" s="8" t="s">
        <v>84</v>
      </c>
      <c r="D192" s="8" t="s">
        <v>258</v>
      </c>
      <c r="E192" s="14" t="s">
        <v>66</v>
      </c>
      <c r="F192" s="9" t="n">
        <v>18020</v>
      </c>
      <c r="G192" s="9" t="n">
        <v>314</v>
      </c>
      <c r="H192" s="9" t="n">
        <v>127</v>
      </c>
      <c r="I192" s="9" t="n">
        <v>147</v>
      </c>
      <c r="J192" s="9" t="n">
        <v>26</v>
      </c>
      <c r="K192" s="9" t="n">
        <v>2</v>
      </c>
      <c r="L192" s="9" t="n">
        <v>2</v>
      </c>
      <c r="M192" s="10" t="n">
        <f aca="false">IFERROR(G192/F192,"")</f>
        <v>0.0174250832408435</v>
      </c>
      <c r="N192" s="10" t="n">
        <f aca="false">IFERROR(H192/G192,"")</f>
        <v>0.404458598726115</v>
      </c>
      <c r="O192" s="11" t="n">
        <f aca="false">IFERROR(I192/H192,"")</f>
        <v>1.15748031496063</v>
      </c>
      <c r="P192" s="10" t="n">
        <f aca="false">IFERROR(J192/H192,"")</f>
        <v>0.204724409448819</v>
      </c>
      <c r="Q192" s="10" t="n">
        <f aca="false">IFERROR(K192/H192,"")</f>
        <v>0.015748031496063</v>
      </c>
      <c r="R192" s="10" t="n">
        <f aca="false">IFERROR(L192/H192,"")</f>
        <v>0.015748031496063</v>
      </c>
      <c r="S192" s="11" t="n">
        <f aca="false">IFERROR(M192/MEDIAN(INDEX($M$5:$M$627,MATCH($A192-90,$A$5:$A$627,1)):INDEX($M$5:$M$627,MATCH($A192+90,$A$5:$A$627,1))),"")</f>
        <v>0.27322576316868</v>
      </c>
      <c r="T192" s="11" t="n">
        <f aca="false">IFERROR(N192/MEDIAN(INDEX($N$5:$N$627,MATCH($A192-90,$A$5:$A$627,1)):INDEX($N$5:$N$627,MATCH($A192+90,$A$5:$A$627,1))),"")</f>
        <v>0.739402591697782</v>
      </c>
      <c r="U192" s="11" t="n">
        <f aca="false">IFERROR(Q192/MEDIAN(INDEX($Q$5:$Q$627,MATCH($A192-90,$A$5:$A$627,1)):INDEX($Q$5:$Q$627,MATCH($A192+90,$A$5:$A$627,1))),"")</f>
        <v>1.71157771945174</v>
      </c>
    </row>
    <row r="193" customFormat="false" ht="15" hidden="false" customHeight="false" outlineLevel="0" collapsed="false">
      <c r="A193" s="13" t="n">
        <v>45579.6417655324</v>
      </c>
      <c r="B193" s="8" t="n">
        <v>15</v>
      </c>
      <c r="C193" s="8" t="s">
        <v>80</v>
      </c>
      <c r="D193" s="8" t="s">
        <v>259</v>
      </c>
      <c r="E193" s="14" t="s">
        <v>66</v>
      </c>
      <c r="F193" s="9" t="n">
        <v>1377244</v>
      </c>
      <c r="G193" s="9" t="n">
        <v>62523</v>
      </c>
      <c r="H193" s="9" t="n">
        <v>38562</v>
      </c>
      <c r="I193" s="9" t="n">
        <v>40820</v>
      </c>
      <c r="J193" s="9" t="n">
        <v>745</v>
      </c>
      <c r="K193" s="9" t="n">
        <v>148</v>
      </c>
      <c r="L193" s="9" t="n">
        <v>100</v>
      </c>
      <c r="M193" s="10" t="n">
        <f aca="false">IFERROR(G193/F193,"")</f>
        <v>0.0453971845221326</v>
      </c>
      <c r="N193" s="10" t="n">
        <f aca="false">IFERROR(H193/G193,"")</f>
        <v>0.616765030468788</v>
      </c>
      <c r="O193" s="11" t="n">
        <f aca="false">IFERROR(I193/H193,"")</f>
        <v>1.05855505419843</v>
      </c>
      <c r="P193" s="10" t="n">
        <f aca="false">IFERROR(J193/H193,"")</f>
        <v>0.0193195373683938</v>
      </c>
      <c r="Q193" s="10" t="n">
        <f aca="false">IFERROR(K193/H193,"")</f>
        <v>0.00383797520875473</v>
      </c>
      <c r="R193" s="10" t="n">
        <f aca="false">IFERROR(L193/H193,"")</f>
        <v>0.00259322649240185</v>
      </c>
      <c r="S193" s="11" t="n">
        <f aca="false">IFERROR(M193/MEDIAN(INDEX($M$5:$M$627,MATCH($A193-90,$A$5:$A$627,1)):INDEX($M$5:$M$627,MATCH($A193+90,$A$5:$A$627,1))),"")</f>
        <v>0.7001115728471</v>
      </c>
      <c r="T193" s="11" t="n">
        <f aca="false">IFERROR(N193/MEDIAN(INDEX($N$5:$N$627,MATCH($A193-90,$A$5:$A$627,1)):INDEX($N$5:$N$627,MATCH($A193+90,$A$5:$A$627,1))),"")</f>
        <v>1.12752618793004</v>
      </c>
      <c r="U193" s="11" t="n">
        <f aca="false">IFERROR(Q193/MEDIAN(INDEX($Q$5:$Q$627,MATCH($A193-90,$A$5:$A$627,1)):INDEX($Q$5:$Q$627,MATCH($A193+90,$A$5:$A$627,1))),"")</f>
        <v>0.418168428994972</v>
      </c>
    </row>
    <row r="194" customFormat="false" ht="15" hidden="false" customHeight="false" outlineLevel="0" collapsed="false">
      <c r="A194" s="13" t="n">
        <v>45581.4602553588</v>
      </c>
      <c r="B194" s="8" t="n">
        <v>11</v>
      </c>
      <c r="C194" s="8" t="s">
        <v>71</v>
      </c>
      <c r="D194" s="8" t="s">
        <v>260</v>
      </c>
      <c r="E194" s="14" t="s">
        <v>66</v>
      </c>
      <c r="F194" s="9" t="n">
        <v>15237</v>
      </c>
      <c r="G194" s="9" t="n">
        <v>271</v>
      </c>
      <c r="H194" s="9" t="n">
        <v>121</v>
      </c>
      <c r="I194" s="9" t="n">
        <v>147</v>
      </c>
      <c r="J194" s="9" t="n">
        <v>26</v>
      </c>
      <c r="K194" s="9" t="n">
        <v>3</v>
      </c>
      <c r="L194" s="9" t="n">
        <v>1</v>
      </c>
      <c r="M194" s="10" t="n">
        <f aca="false">IFERROR(G194/F194,"")</f>
        <v>0.0177856533438341</v>
      </c>
      <c r="N194" s="10" t="n">
        <f aca="false">IFERROR(H194/G194,"")</f>
        <v>0.446494464944649</v>
      </c>
      <c r="O194" s="11" t="n">
        <f aca="false">IFERROR(I194/H194,"")</f>
        <v>1.21487603305785</v>
      </c>
      <c r="P194" s="10" t="n">
        <f aca="false">IFERROR(J194/H194,"")</f>
        <v>0.214876033057851</v>
      </c>
      <c r="Q194" s="10" t="n">
        <f aca="false">IFERROR(K194/H194,"")</f>
        <v>0.0247933884297521</v>
      </c>
      <c r="R194" s="10" t="n">
        <f aca="false">IFERROR(L194/H194,"")</f>
        <v>0.00826446280991736</v>
      </c>
      <c r="S194" s="11" t="n">
        <f aca="false">IFERROR(M194/MEDIAN(INDEX($M$5:$M$627,MATCH($A194-90,$A$5:$A$627,1)):INDEX($M$5:$M$627,MATCH($A194+90,$A$5:$A$627,1))),"")</f>
        <v>0.27887951185979</v>
      </c>
      <c r="T194" s="11" t="n">
        <f aca="false">IFERROR(N194/MEDIAN(INDEX($N$5:$N$627,MATCH($A194-90,$A$5:$A$627,1)):INDEX($N$5:$N$627,MATCH($A194+90,$A$5:$A$627,1))),"")</f>
        <v>0.816249587964248</v>
      </c>
      <c r="U194" s="11" t="n">
        <f aca="false">IFERROR(Q194/MEDIAN(INDEX($Q$5:$Q$627,MATCH($A194-90,$A$5:$A$627,1)):INDEX($Q$5:$Q$627,MATCH($A194+90,$A$5:$A$627,1))),"")</f>
        <v>2.69467401285583</v>
      </c>
    </row>
    <row r="195" customFormat="false" ht="15" hidden="false" customHeight="false" outlineLevel="0" collapsed="false">
      <c r="A195" s="13" t="n">
        <v>45583.4742740162</v>
      </c>
      <c r="B195" s="8" t="n">
        <v>11</v>
      </c>
      <c r="C195" s="8" t="s">
        <v>84</v>
      </c>
      <c r="D195" s="8" t="s">
        <v>261</v>
      </c>
      <c r="E195" s="14" t="s">
        <v>66</v>
      </c>
      <c r="F195" s="9" t="n">
        <v>2405466</v>
      </c>
      <c r="G195" s="9" t="n">
        <v>238337</v>
      </c>
      <c r="H195" s="9" t="n">
        <v>111053</v>
      </c>
      <c r="I195" s="9" t="n">
        <v>195829</v>
      </c>
      <c r="J195" s="9" t="n">
        <v>2242</v>
      </c>
      <c r="K195" s="9" t="n">
        <v>1829</v>
      </c>
      <c r="L195" s="9" t="n">
        <v>505</v>
      </c>
      <c r="M195" s="10" t="n">
        <f aca="false">IFERROR(G195/F195,"")</f>
        <v>0.0990814253870144</v>
      </c>
      <c r="N195" s="10" t="n">
        <f aca="false">IFERROR(H195/G195,"")</f>
        <v>0.465949474903183</v>
      </c>
      <c r="O195" s="11" t="n">
        <f aca="false">IFERROR(I195/H195,"")</f>
        <v>1.76338324943946</v>
      </c>
      <c r="P195" s="10" t="n">
        <f aca="false">IFERROR(J195/H195,"")</f>
        <v>0.0201885586161563</v>
      </c>
      <c r="Q195" s="10" t="n">
        <f aca="false">IFERROR(K195/H195,"")</f>
        <v>0.0164696136079169</v>
      </c>
      <c r="R195" s="10" t="n">
        <f aca="false">IFERROR(L195/H195,"")</f>
        <v>0.00454737827883983</v>
      </c>
      <c r="S195" s="11" t="n">
        <f aca="false">IFERROR(M195/MEDIAN(INDEX($M$5:$M$627,MATCH($A195-90,$A$5:$A$627,1)):INDEX($M$5:$M$627,MATCH($A195+90,$A$5:$A$627,1))),"")</f>
        <v>1.55417956959975</v>
      </c>
      <c r="T195" s="11" t="n">
        <f aca="false">IFERROR(N195/MEDIAN(INDEX($N$5:$N$627,MATCH($A195-90,$A$5:$A$627,1)):INDEX($N$5:$N$627,MATCH($A195+90,$A$5:$A$627,1))),"")</f>
        <v>0.831692502769027</v>
      </c>
      <c r="U195" s="11" t="n">
        <f aca="false">IFERROR(Q195/MEDIAN(INDEX($Q$5:$Q$627,MATCH($A195-90,$A$5:$A$627,1)):INDEX($Q$5:$Q$627,MATCH($A195+90,$A$5:$A$627,1))),"")</f>
        <v>1.7900030049049</v>
      </c>
    </row>
    <row r="196" customFormat="false" ht="15" hidden="false" customHeight="false" outlineLevel="0" collapsed="false">
      <c r="A196" s="13" t="n">
        <v>45588.4525216551</v>
      </c>
      <c r="B196" s="8" t="n">
        <v>10</v>
      </c>
      <c r="C196" s="8" t="s">
        <v>71</v>
      </c>
      <c r="D196" s="8" t="s">
        <v>262</v>
      </c>
      <c r="E196" s="14" t="s">
        <v>66</v>
      </c>
      <c r="F196" s="9" t="n">
        <v>538610</v>
      </c>
      <c r="G196" s="9" t="n">
        <v>71159</v>
      </c>
      <c r="H196" s="9" t="n">
        <v>42054</v>
      </c>
      <c r="I196" s="9" t="n">
        <v>41847</v>
      </c>
      <c r="J196" s="9" t="n">
        <v>439</v>
      </c>
      <c r="K196" s="9" t="n">
        <v>987</v>
      </c>
      <c r="L196" s="9" t="n">
        <v>84</v>
      </c>
      <c r="M196" s="10" t="n">
        <f aca="false">IFERROR(G196/F196,"")</f>
        <v>0.132116002302222</v>
      </c>
      <c r="N196" s="10" t="n">
        <f aca="false">IFERROR(H196/G196,"")</f>
        <v>0.590986382607962</v>
      </c>
      <c r="O196" s="11" t="n">
        <f aca="false">IFERROR(I196/H196,"")</f>
        <v>0.995077757169354</v>
      </c>
      <c r="P196" s="10" t="n">
        <f aca="false">IFERROR(J196/H196,"")</f>
        <v>0.0104389594331098</v>
      </c>
      <c r="Q196" s="10" t="n">
        <f aca="false">IFERROR(K196/H196,"")</f>
        <v>0.0234698245113426</v>
      </c>
      <c r="R196" s="10" t="n">
        <f aca="false">IFERROR(L196/H196,"")</f>
        <v>0.00199743187330575</v>
      </c>
      <c r="S196" s="11" t="n">
        <f aca="false">IFERROR(M196/MEDIAN(INDEX($M$5:$M$627,MATCH($A196-90,$A$5:$A$627,1)):INDEX($M$5:$M$627,MATCH($A196+90,$A$5:$A$627,1))),"")</f>
        <v>2.0723560525424</v>
      </c>
      <c r="T196" s="11" t="n">
        <f aca="false">IFERROR(N196/MEDIAN(INDEX($N$5:$N$627,MATCH($A196-90,$A$5:$A$627,1)):INDEX($N$5:$N$627,MATCH($A196+90,$A$5:$A$627,1))),"")</f>
        <v>1.05487605443865</v>
      </c>
      <c r="U196" s="11" t="n">
        <f aca="false">IFERROR(Q196/MEDIAN(INDEX($Q$5:$Q$627,MATCH($A196-90,$A$5:$A$627,1)):INDEX($Q$5:$Q$627,MATCH($A196+90,$A$5:$A$627,1))),"")</f>
        <v>2.5145641827854</v>
      </c>
    </row>
    <row r="197" customFormat="false" ht="15" hidden="false" customHeight="false" outlineLevel="0" collapsed="false">
      <c r="A197" s="13" t="n">
        <v>45590.2995969792</v>
      </c>
      <c r="B197" s="8" t="n">
        <v>7</v>
      </c>
      <c r="C197" s="8" t="s">
        <v>84</v>
      </c>
      <c r="D197" s="8" t="s">
        <v>263</v>
      </c>
      <c r="E197" s="14" t="s">
        <v>66</v>
      </c>
      <c r="F197" s="9" t="n">
        <v>228414</v>
      </c>
      <c r="G197" s="9" t="n">
        <v>14811</v>
      </c>
      <c r="H197" s="9" t="n">
        <v>9104</v>
      </c>
      <c r="I197" s="9" t="n">
        <v>9952</v>
      </c>
      <c r="J197" s="9" t="n">
        <v>392</v>
      </c>
      <c r="K197" s="9" t="n">
        <v>60</v>
      </c>
      <c r="L197" s="9" t="n">
        <v>46</v>
      </c>
      <c r="M197" s="10" t="n">
        <f aca="false">IFERROR(G197/F197,"")</f>
        <v>0.0648427854684914</v>
      </c>
      <c r="N197" s="10" t="n">
        <f aca="false">IFERROR(H197/G197,"")</f>
        <v>0.614678279657012</v>
      </c>
      <c r="O197" s="11" t="n">
        <f aca="false">IFERROR(I197/H197,"")</f>
        <v>1.09314586994728</v>
      </c>
      <c r="P197" s="10" t="n">
        <f aca="false">IFERROR(J197/H197,"")</f>
        <v>0.0430579964850615</v>
      </c>
      <c r="Q197" s="10" t="n">
        <f aca="false">IFERROR(K197/H197,"")</f>
        <v>0.00659050966608084</v>
      </c>
      <c r="R197" s="10" t="n">
        <f aca="false">IFERROR(L197/H197,"")</f>
        <v>0.00505272407732865</v>
      </c>
      <c r="S197" s="11" t="n">
        <f aca="false">IFERROR(M197/MEDIAN(INDEX($M$5:$M$627,MATCH($A197-90,$A$5:$A$627,1)):INDEX($M$5:$M$627,MATCH($A197+90,$A$5:$A$627,1))),"")</f>
        <v>1.07498147659519</v>
      </c>
      <c r="T197" s="11" t="n">
        <f aca="false">IFERROR(N197/MEDIAN(INDEX($N$5:$N$627,MATCH($A197-90,$A$5:$A$627,1)):INDEX($N$5:$N$627,MATCH($A197+90,$A$5:$A$627,1))),"")</f>
        <v>1.1237113377493</v>
      </c>
      <c r="U197" s="11" t="n">
        <f aca="false">IFERROR(Q197/MEDIAN(INDEX($Q$5:$Q$627,MATCH($A197-90,$A$5:$A$627,1)):INDEX($Q$5:$Q$627,MATCH($A197+90,$A$5:$A$627,1))),"")</f>
        <v>0.704181630625812</v>
      </c>
    </row>
    <row r="198" customFormat="false" ht="15" hidden="false" customHeight="false" outlineLevel="0" collapsed="false">
      <c r="A198" s="13" t="n">
        <v>45593.4119841088</v>
      </c>
      <c r="B198" s="8" t="n">
        <v>9</v>
      </c>
      <c r="C198" s="8" t="s">
        <v>80</v>
      </c>
      <c r="D198" s="8" t="s">
        <v>264</v>
      </c>
      <c r="E198" s="14" t="s">
        <v>66</v>
      </c>
      <c r="F198" s="9" t="n">
        <v>2015944</v>
      </c>
      <c r="G198" s="9" t="n">
        <v>105679</v>
      </c>
      <c r="H198" s="9" t="n">
        <v>55320</v>
      </c>
      <c r="I198" s="9" t="n">
        <v>49653</v>
      </c>
      <c r="J198" s="9" t="n">
        <v>956</v>
      </c>
      <c r="K198" s="9" t="n">
        <v>334</v>
      </c>
      <c r="L198" s="9" t="n">
        <v>154</v>
      </c>
      <c r="M198" s="10" t="n">
        <f aca="false">IFERROR(G198/F198,"")</f>
        <v>0.0524215950443068</v>
      </c>
      <c r="N198" s="10" t="n">
        <f aca="false">IFERROR(H198/G198,"")</f>
        <v>0.523472023770096</v>
      </c>
      <c r="O198" s="11" t="n">
        <f aca="false">IFERROR(I198/H198,"")</f>
        <v>0.897559652928416</v>
      </c>
      <c r="P198" s="10" t="n">
        <f aca="false">IFERROR(J198/H198,"")</f>
        <v>0.0172812725958062</v>
      </c>
      <c r="Q198" s="10" t="n">
        <f aca="false">IFERROR(K198/H198,"")</f>
        <v>0.00603759942154736</v>
      </c>
      <c r="R198" s="10" t="n">
        <f aca="false">IFERROR(L198/H198,"")</f>
        <v>0.00278380332610268</v>
      </c>
      <c r="S198" s="11" t="n">
        <f aca="false">IFERROR(M198/MEDIAN(INDEX($M$5:$M$627,MATCH($A198-90,$A$5:$A$627,1)):INDEX($M$5:$M$627,MATCH($A198+90,$A$5:$A$627,1))),"")</f>
        <v>0.869059576004596</v>
      </c>
      <c r="T198" s="11" t="n">
        <f aca="false">IFERROR(N198/MEDIAN(INDEX($N$5:$N$627,MATCH($A198-90,$A$5:$A$627,1)):INDEX($N$5:$N$627,MATCH($A198+90,$A$5:$A$627,1))),"")</f>
        <v>0.934366881021556</v>
      </c>
      <c r="U198" s="11" t="n">
        <f aca="false">IFERROR(Q198/MEDIAN(INDEX($Q$5:$Q$627,MATCH($A198-90,$A$5:$A$627,1)):INDEX($Q$5:$Q$627,MATCH($A198+90,$A$5:$A$627,1))),"")</f>
        <v>0.646870250269305</v>
      </c>
    </row>
    <row r="199" customFormat="false" ht="15" hidden="false" customHeight="false" outlineLevel="0" collapsed="false">
      <c r="A199" s="13" t="n">
        <v>45595.7480570833</v>
      </c>
      <c r="B199" s="8" t="n">
        <v>17</v>
      </c>
      <c r="C199" s="8" t="s">
        <v>71</v>
      </c>
      <c r="D199" s="8" t="s">
        <v>265</v>
      </c>
      <c r="E199" s="14" t="s">
        <v>66</v>
      </c>
      <c r="F199" s="9" t="n">
        <v>42866</v>
      </c>
      <c r="G199" s="9" t="n">
        <v>4541</v>
      </c>
      <c r="H199" s="9" t="n">
        <v>2283</v>
      </c>
      <c r="I199" s="9" t="n">
        <v>1630</v>
      </c>
      <c r="J199" s="9" t="n">
        <v>114</v>
      </c>
      <c r="K199" s="9" t="n">
        <v>196</v>
      </c>
      <c r="L199" s="9" t="n">
        <v>7</v>
      </c>
      <c r="M199" s="10" t="n">
        <f aca="false">IFERROR(G199/F199,"")</f>
        <v>0.105934773480147</v>
      </c>
      <c r="N199" s="10" t="n">
        <f aca="false">IFERROR(H199/G199,"")</f>
        <v>0.502752697643691</v>
      </c>
      <c r="O199" s="11" t="n">
        <f aca="false">IFERROR(I199/H199,"")</f>
        <v>0.713972842750767</v>
      </c>
      <c r="P199" s="10" t="n">
        <f aca="false">IFERROR(J199/H199,"")</f>
        <v>0.049934296977661</v>
      </c>
      <c r="Q199" s="10" t="n">
        <f aca="false">IFERROR(K199/H199,"")</f>
        <v>0.0858519491896627</v>
      </c>
      <c r="R199" s="10" t="n">
        <f aca="false">IFERROR(L199/H199,"")</f>
        <v>0.00306614104248795</v>
      </c>
      <c r="S199" s="11" t="n">
        <f aca="false">IFERROR(M199/MEDIAN(INDEX($M$5:$M$627,MATCH($A199-90,$A$5:$A$627,1)):INDEX($M$5:$M$627,MATCH($A199+90,$A$5:$A$627,1))),"")</f>
        <v>1.66168038065589</v>
      </c>
      <c r="T199" s="11" t="n">
        <f aca="false">IFERROR(N199/MEDIAN(INDEX($N$5:$N$627,MATCH($A199-90,$A$5:$A$627,1)):INDEX($N$5:$N$627,MATCH($A199+90,$A$5:$A$627,1))),"")</f>
        <v>0.875950200684954</v>
      </c>
      <c r="U199" s="11" t="n">
        <f aca="false">IFERROR(Q199/MEDIAN(INDEX($Q$5:$Q$627,MATCH($A199-90,$A$5:$A$627,1)):INDEX($Q$5:$Q$627,MATCH($A199+90,$A$5:$A$627,1))),"")</f>
        <v>9.17309413624331</v>
      </c>
    </row>
    <row r="200" customFormat="false" ht="15" hidden="false" customHeight="false" outlineLevel="0" collapsed="false">
      <c r="A200" s="13" t="n">
        <v>45597.5637632639</v>
      </c>
      <c r="B200" s="8" t="n">
        <v>13</v>
      </c>
      <c r="C200" s="8" t="s">
        <v>84</v>
      </c>
      <c r="D200" s="8" t="s">
        <v>266</v>
      </c>
      <c r="E200" s="14" t="s">
        <v>66</v>
      </c>
      <c r="F200" s="9" t="n">
        <v>363053</v>
      </c>
      <c r="G200" s="9" t="n">
        <v>34328</v>
      </c>
      <c r="H200" s="9" t="n">
        <v>19991</v>
      </c>
      <c r="I200" s="9" t="n">
        <v>18939</v>
      </c>
      <c r="J200" s="9" t="n">
        <v>777</v>
      </c>
      <c r="K200" s="9" t="n">
        <v>137</v>
      </c>
      <c r="L200" s="9" t="n">
        <v>88</v>
      </c>
      <c r="M200" s="10" t="n">
        <f aca="false">IFERROR(G200/F200,"")</f>
        <v>0.0945536877535787</v>
      </c>
      <c r="N200" s="10" t="n">
        <f aca="false">IFERROR(H200/G200,"")</f>
        <v>0.582352598461897</v>
      </c>
      <c r="O200" s="11" t="n">
        <f aca="false">IFERROR(I200/H200,"")</f>
        <v>0.947376319343705</v>
      </c>
      <c r="P200" s="10" t="n">
        <f aca="false">IFERROR(J200/H200,"")</f>
        <v>0.0388674903706668</v>
      </c>
      <c r="Q200" s="10" t="n">
        <f aca="false">IFERROR(K200/H200,"")</f>
        <v>0.00685308388774949</v>
      </c>
      <c r="R200" s="10" t="n">
        <f aca="false">IFERROR(L200/H200,"")</f>
        <v>0.00440198089140113</v>
      </c>
      <c r="S200" s="11" t="n">
        <f aca="false">IFERROR(M200/MEDIAN(INDEX($M$5:$M$627,MATCH($A200-90,$A$5:$A$627,1)):INDEX($M$5:$M$627,MATCH($A200+90,$A$5:$A$627,1))),"")</f>
        <v>1.56753696104332</v>
      </c>
      <c r="T200" s="11" t="n">
        <f aca="false">IFERROR(N200/MEDIAN(INDEX($N$5:$N$627,MATCH($A200-90,$A$5:$A$627,1)):INDEX($N$5:$N$627,MATCH($A200+90,$A$5:$A$627,1))),"")</f>
        <v>1.03946525577577</v>
      </c>
      <c r="U200" s="11" t="n">
        <f aca="false">IFERROR(Q200/MEDIAN(INDEX($Q$5:$Q$627,MATCH($A200-90,$A$5:$A$627,1)):INDEX($Q$5:$Q$627,MATCH($A200+90,$A$5:$A$627,1))),"")</f>
        <v>0.732237115397581</v>
      </c>
    </row>
    <row r="201" customFormat="false" ht="15" hidden="false" customHeight="false" outlineLevel="0" collapsed="false">
      <c r="A201" s="13" t="n">
        <v>45600.4550070833</v>
      </c>
      <c r="B201" s="8" t="n">
        <v>10</v>
      </c>
      <c r="C201" s="8" t="s">
        <v>80</v>
      </c>
      <c r="D201" s="8" t="s">
        <v>267</v>
      </c>
      <c r="E201" s="14" t="s">
        <v>66</v>
      </c>
      <c r="F201" s="9" t="n">
        <v>1481385</v>
      </c>
      <c r="G201" s="9" t="n">
        <v>112601</v>
      </c>
      <c r="H201" s="9" t="n">
        <v>77097</v>
      </c>
      <c r="I201" s="9" t="n">
        <v>63168</v>
      </c>
      <c r="J201" s="9" t="n">
        <v>2242</v>
      </c>
      <c r="K201" s="9" t="n">
        <v>142</v>
      </c>
      <c r="L201" s="9" t="n">
        <v>170</v>
      </c>
      <c r="M201" s="10" t="n">
        <f aca="false">IFERROR(G201/F201,"")</f>
        <v>0.0760106251919656</v>
      </c>
      <c r="N201" s="10" t="n">
        <f aca="false">IFERROR(H201/G201,"")</f>
        <v>0.684691965435476</v>
      </c>
      <c r="O201" s="11" t="n">
        <f aca="false">IFERROR(I201/H201,"")</f>
        <v>0.819331491497724</v>
      </c>
      <c r="P201" s="10" t="n">
        <f aca="false">IFERROR(J201/H201,"")</f>
        <v>0.0290802495557544</v>
      </c>
      <c r="Q201" s="10" t="n">
        <f aca="false">IFERROR(K201/H201,"")</f>
        <v>0.0018418356096865</v>
      </c>
      <c r="R201" s="10" t="n">
        <f aca="false">IFERROR(L201/H201,"")</f>
        <v>0.00220501446230074</v>
      </c>
      <c r="S201" s="11" t="n">
        <f aca="false">IFERROR(M201/MEDIAN(INDEX($M$5:$M$627,MATCH($A201-90,$A$5:$A$627,1)):INDEX($M$5:$M$627,MATCH($A201+90,$A$5:$A$627,1))),"")</f>
        <v>1.22527128012877</v>
      </c>
      <c r="T201" s="11" t="n">
        <f aca="false">IFERROR(N201/MEDIAN(INDEX($N$5:$N$627,MATCH($A201-90,$A$5:$A$627,1)):INDEX($N$5:$N$627,MATCH($A201+90,$A$5:$A$627,1))),"")</f>
        <v>1.20530835937597</v>
      </c>
      <c r="U201" s="11" t="n">
        <f aca="false">IFERROR(Q201/MEDIAN(INDEX($Q$5:$Q$627,MATCH($A201-90,$A$5:$A$627,1)):INDEX($Q$5:$Q$627,MATCH($A201+90,$A$5:$A$627,1))),"")</f>
        <v>0.197065112827784</v>
      </c>
    </row>
    <row r="202" customFormat="false" ht="15" hidden="false" customHeight="false" outlineLevel="0" collapsed="false">
      <c r="A202" s="13" t="n">
        <v>45602.512913287</v>
      </c>
      <c r="B202" s="8" t="n">
        <v>12</v>
      </c>
      <c r="C202" s="8" t="s">
        <v>71</v>
      </c>
      <c r="D202" s="8" t="s">
        <v>268</v>
      </c>
      <c r="E202" s="14" t="s">
        <v>66</v>
      </c>
      <c r="F202" s="9" t="n">
        <v>826102</v>
      </c>
      <c r="G202" s="9" t="n">
        <v>47610</v>
      </c>
      <c r="H202" s="9" t="n">
        <v>23035</v>
      </c>
      <c r="I202" s="9" t="n">
        <v>27310</v>
      </c>
      <c r="J202" s="9" t="n">
        <v>476</v>
      </c>
      <c r="K202" s="9" t="n">
        <v>154</v>
      </c>
      <c r="L202" s="9" t="n">
        <v>135</v>
      </c>
      <c r="M202" s="10" t="n">
        <f aca="false">IFERROR(G202/F202,"")</f>
        <v>0.0576321083837105</v>
      </c>
      <c r="N202" s="10" t="n">
        <f aca="false">IFERROR(H202/G202,"")</f>
        <v>0.483826927116152</v>
      </c>
      <c r="O202" s="11" t="n">
        <f aca="false">IFERROR(I202/H202,"")</f>
        <v>1.18558714998915</v>
      </c>
      <c r="P202" s="10" t="n">
        <f aca="false">IFERROR(J202/H202,"")</f>
        <v>0.0206642066420664</v>
      </c>
      <c r="Q202" s="10" t="n">
        <f aca="false">IFERROR(K202/H202,"")</f>
        <v>0.00668547861949208</v>
      </c>
      <c r="R202" s="10" t="n">
        <f aca="false">IFERROR(L202/H202,"")</f>
        <v>0.00586064684176254</v>
      </c>
      <c r="S202" s="11" t="n">
        <f aca="false">IFERROR(M202/MEDIAN(INDEX($M$5:$M$627,MATCH($A202-90,$A$5:$A$627,1)):INDEX($M$5:$M$627,MATCH($A202+90,$A$5:$A$627,1))),"")</f>
        <v>0.90401046465628</v>
      </c>
      <c r="T202" s="11" t="n">
        <f aca="false">IFERROR(N202/MEDIAN(INDEX($N$5:$N$627,MATCH($A202-90,$A$5:$A$627,1)):INDEX($N$5:$N$627,MATCH($A202+90,$A$5:$A$627,1))),"")</f>
        <v>0.884498153753204</v>
      </c>
      <c r="U202" s="11" t="n">
        <f aca="false">IFERROR(Q202/MEDIAN(INDEX($Q$5:$Q$627,MATCH($A202-90,$A$5:$A$627,1)):INDEX($Q$5:$Q$627,MATCH($A202+90,$A$5:$A$627,1))),"")</f>
        <v>0.716284225867469</v>
      </c>
    </row>
    <row r="203" customFormat="false" ht="15" hidden="false" customHeight="false" outlineLevel="0" collapsed="false">
      <c r="A203" s="13" t="n">
        <v>45604.5738989005</v>
      </c>
      <c r="B203" s="8" t="n">
        <v>13</v>
      </c>
      <c r="C203" s="8" t="s">
        <v>84</v>
      </c>
      <c r="D203" s="8" t="s">
        <v>269</v>
      </c>
      <c r="E203" s="14" t="s">
        <v>66</v>
      </c>
      <c r="F203" s="9" t="n">
        <v>1338101</v>
      </c>
      <c r="G203" s="9" t="n">
        <v>64394</v>
      </c>
      <c r="H203" s="9" t="n">
        <v>37533</v>
      </c>
      <c r="I203" s="9" t="n">
        <v>33107</v>
      </c>
      <c r="J203" s="9" t="n">
        <v>1395</v>
      </c>
      <c r="K203" s="9" t="n">
        <v>303</v>
      </c>
      <c r="L203" s="9" t="n">
        <v>125</v>
      </c>
      <c r="M203" s="10" t="n">
        <f aca="false">IFERROR(G203/F203,"")</f>
        <v>0.0481234226713828</v>
      </c>
      <c r="N203" s="10" t="n">
        <f aca="false">IFERROR(H203/G203,"")</f>
        <v>0.582864863186011</v>
      </c>
      <c r="O203" s="11" t="n">
        <f aca="false">IFERROR(I203/H203,"")</f>
        <v>0.88207710548051</v>
      </c>
      <c r="P203" s="10" t="n">
        <f aca="false">IFERROR(J203/H203,"")</f>
        <v>0.0371672927823515</v>
      </c>
      <c r="Q203" s="10" t="n">
        <f aca="false">IFERROR(K203/H203,"")</f>
        <v>0.00807289585165055</v>
      </c>
      <c r="R203" s="10" t="n">
        <f aca="false">IFERROR(L203/H203,"")</f>
        <v>0.00333040257906376</v>
      </c>
      <c r="S203" s="11" t="n">
        <f aca="false">IFERROR(M203/MEDIAN(INDEX($M$5:$M$627,MATCH($A203-90,$A$5:$A$627,1)):INDEX($M$5:$M$627,MATCH($A203+90,$A$5:$A$627,1))),"")</f>
        <v>0.801489227869873</v>
      </c>
      <c r="T203" s="11" t="n">
        <f aca="false">IFERROR(N203/MEDIAN(INDEX($N$5:$N$627,MATCH($A203-90,$A$5:$A$627,1)):INDEX($N$5:$N$627,MATCH($A203+90,$A$5:$A$627,1))),"")</f>
        <v>1.07733171274116</v>
      </c>
      <c r="U203" s="11" t="n">
        <f aca="false">IFERROR(Q203/MEDIAN(INDEX($Q$5:$Q$627,MATCH($A203-90,$A$5:$A$627,1)):INDEX($Q$5:$Q$627,MATCH($A203+90,$A$5:$A$627,1))),"")</f>
        <v>0.86257137197527</v>
      </c>
    </row>
    <row r="204" customFormat="false" ht="15" hidden="false" customHeight="false" outlineLevel="0" collapsed="false">
      <c r="A204" s="13" t="n">
        <v>45607.5138691898</v>
      </c>
      <c r="B204" s="8" t="n">
        <v>12</v>
      </c>
      <c r="C204" s="8" t="s">
        <v>80</v>
      </c>
      <c r="D204" s="8" t="s">
        <v>270</v>
      </c>
      <c r="E204" s="14" t="s">
        <v>66</v>
      </c>
      <c r="F204" s="9" t="n">
        <v>415875</v>
      </c>
      <c r="G204" s="9" t="n">
        <v>28702</v>
      </c>
      <c r="H204" s="9" t="n">
        <v>20366</v>
      </c>
      <c r="I204" s="9" t="n">
        <v>23617</v>
      </c>
      <c r="J204" s="9" t="n">
        <v>665</v>
      </c>
      <c r="K204" s="9" t="n">
        <v>358</v>
      </c>
      <c r="L204" s="9" t="n">
        <v>49</v>
      </c>
      <c r="M204" s="10" t="n">
        <f aca="false">IFERROR(G204/F204,"")</f>
        <v>0.0690159302675083</v>
      </c>
      <c r="N204" s="10" t="n">
        <f aca="false">IFERROR(H204/G204,"")</f>
        <v>0.709567277541635</v>
      </c>
      <c r="O204" s="11" t="n">
        <f aca="false">IFERROR(I204/H204,"")</f>
        <v>1.15962879308652</v>
      </c>
      <c r="P204" s="10" t="n">
        <f aca="false">IFERROR(J204/H204,"")</f>
        <v>0.0326524599823235</v>
      </c>
      <c r="Q204" s="10" t="n">
        <f aca="false">IFERROR(K204/H204,"")</f>
        <v>0.017578316802514</v>
      </c>
      <c r="R204" s="10" t="n">
        <f aca="false">IFERROR(L204/H204,"")</f>
        <v>0.00240597073553962</v>
      </c>
      <c r="S204" s="11" t="n">
        <f aca="false">IFERROR(M204/MEDIAN(INDEX($M$5:$M$627,MATCH($A204-90,$A$5:$A$627,1)):INDEX($M$5:$M$627,MATCH($A204+90,$A$5:$A$627,1))),"")</f>
        <v>1.17299606158539</v>
      </c>
      <c r="T204" s="11" t="n">
        <f aca="false">IFERROR(N204/MEDIAN(INDEX($N$5:$N$627,MATCH($A204-90,$A$5:$A$627,1)):INDEX($N$5:$N$627,MATCH($A204+90,$A$5:$A$627,1))),"")</f>
        <v>1.31399522664541</v>
      </c>
      <c r="U204" s="11" t="n">
        <f aca="false">IFERROR(Q204/MEDIAN(INDEX($Q$5:$Q$627,MATCH($A204-90,$A$5:$A$627,1)):INDEX($Q$5:$Q$627,MATCH($A204+90,$A$5:$A$627,1))),"")</f>
        <v>1.89682723745852</v>
      </c>
    </row>
    <row r="205" customFormat="false" ht="15" hidden="false" customHeight="false" outlineLevel="0" collapsed="false">
      <c r="A205" s="13" t="n">
        <v>45609.4345279167</v>
      </c>
      <c r="B205" s="8" t="n">
        <v>10</v>
      </c>
      <c r="C205" s="8" t="s">
        <v>71</v>
      </c>
      <c r="D205" s="8" t="s">
        <v>271</v>
      </c>
      <c r="E205" s="14" t="s">
        <v>66</v>
      </c>
      <c r="F205" s="9" t="n">
        <v>1089451</v>
      </c>
      <c r="G205" s="9" t="n">
        <v>88252</v>
      </c>
      <c r="H205" s="9" t="n">
        <v>45303</v>
      </c>
      <c r="I205" s="9" t="n">
        <v>56934</v>
      </c>
      <c r="J205" s="9" t="n">
        <v>888</v>
      </c>
      <c r="K205" s="9" t="n">
        <v>864</v>
      </c>
      <c r="L205" s="9" t="n">
        <v>173</v>
      </c>
      <c r="M205" s="10" t="n">
        <f aca="false">IFERROR(G205/F205,"")</f>
        <v>0.0810059378531022</v>
      </c>
      <c r="N205" s="10" t="n">
        <f aca="false">IFERROR(H205/G205,"")</f>
        <v>0.513336808230975</v>
      </c>
      <c r="O205" s="11" t="n">
        <f aca="false">IFERROR(I205/H205,"")</f>
        <v>1.25673796437322</v>
      </c>
      <c r="P205" s="10" t="n">
        <f aca="false">IFERROR(J205/H205,"")</f>
        <v>0.0196013509039137</v>
      </c>
      <c r="Q205" s="10" t="n">
        <f aca="false">IFERROR(K205/H205,"")</f>
        <v>0.0190715846632673</v>
      </c>
      <c r="R205" s="10" t="n">
        <f aca="false">IFERROR(L205/H205,"")</f>
        <v>0.00381873165132552</v>
      </c>
      <c r="S205" s="11" t="n">
        <f aca="false">IFERROR(M205/MEDIAN(INDEX($M$5:$M$627,MATCH($A205-90,$A$5:$A$627,1)):INDEX($M$5:$M$627,MATCH($A205+90,$A$5:$A$627,1))),"")</f>
        <v>1.30872047900567</v>
      </c>
      <c r="T205" s="11" t="n">
        <f aca="false">IFERROR(N205/MEDIAN(INDEX($N$5:$N$627,MATCH($A205-90,$A$5:$A$627,1)):INDEX($N$5:$N$627,MATCH($A205+90,$A$5:$A$627,1))),"")</f>
        <v>0.953167706783861</v>
      </c>
      <c r="U205" s="11" t="n">
        <f aca="false">IFERROR(Q205/MEDIAN(INDEX($Q$5:$Q$627,MATCH($A205-90,$A$5:$A$627,1)):INDEX($Q$5:$Q$627,MATCH($A205+90,$A$5:$A$627,1))),"")</f>
        <v>2.04054257812462</v>
      </c>
    </row>
    <row r="206" customFormat="false" ht="15" hidden="false" customHeight="false" outlineLevel="0" collapsed="false">
      <c r="A206" s="13" t="n">
        <v>45611.5659215741</v>
      </c>
      <c r="B206" s="8" t="n">
        <v>13</v>
      </c>
      <c r="C206" s="8" t="s">
        <v>84</v>
      </c>
      <c r="D206" s="8" t="s">
        <v>272</v>
      </c>
      <c r="E206" s="14" t="s">
        <v>66</v>
      </c>
      <c r="F206" s="9" t="n">
        <v>101076</v>
      </c>
      <c r="G206" s="9" t="n">
        <v>18826</v>
      </c>
      <c r="H206" s="9" t="n">
        <v>10147</v>
      </c>
      <c r="I206" s="9" t="n">
        <v>9149</v>
      </c>
      <c r="J206" s="9" t="n">
        <v>210</v>
      </c>
      <c r="K206" s="9" t="n">
        <v>52</v>
      </c>
      <c r="L206" s="9" t="n">
        <v>19</v>
      </c>
      <c r="M206" s="10" t="n">
        <f aca="false">IFERROR(G206/F206,"")</f>
        <v>0.186255886659543</v>
      </c>
      <c r="N206" s="10" t="n">
        <f aca="false">IFERROR(H206/G206,"")</f>
        <v>0.538988632741953</v>
      </c>
      <c r="O206" s="11" t="n">
        <f aca="false">IFERROR(I206/H206,"")</f>
        <v>0.901645806642357</v>
      </c>
      <c r="P206" s="10" t="n">
        <f aca="false">IFERROR(J206/H206,"")</f>
        <v>0.0206957721494038</v>
      </c>
      <c r="Q206" s="10" t="n">
        <f aca="false">IFERROR(K206/H206,"")</f>
        <v>0.00512466738937617</v>
      </c>
      <c r="R206" s="10" t="n">
        <f aca="false">IFERROR(L206/H206,"")</f>
        <v>0.00187247462304129</v>
      </c>
      <c r="S206" s="11" t="n">
        <f aca="false">IFERROR(M206/MEDIAN(INDEX($M$5:$M$627,MATCH($A206-90,$A$5:$A$627,1)):INDEX($M$5:$M$627,MATCH($A206+90,$A$5:$A$627,1))),"")</f>
        <v>2.95995680666645</v>
      </c>
      <c r="T206" s="11" t="n">
        <f aca="false">IFERROR(N206/MEDIAN(INDEX($N$5:$N$627,MATCH($A206-90,$A$5:$A$627,1)):INDEX($N$5:$N$627,MATCH($A206+90,$A$5:$A$627,1))),"")</f>
        <v>1.00159769626625</v>
      </c>
      <c r="U206" s="11" t="n">
        <f aca="false">IFERROR(Q206/MEDIAN(INDEX($Q$5:$Q$627,MATCH($A206-90,$A$5:$A$627,1)):INDEX($Q$5:$Q$627,MATCH($A206+90,$A$5:$A$627,1))),"")</f>
        <v>0.549058432873494</v>
      </c>
    </row>
    <row r="207" customFormat="false" ht="15" hidden="false" customHeight="false" outlineLevel="0" collapsed="false">
      <c r="A207" s="13" t="n">
        <v>45614.5467644907</v>
      </c>
      <c r="B207" s="8" t="n">
        <v>13</v>
      </c>
      <c r="C207" s="8" t="s">
        <v>80</v>
      </c>
      <c r="D207" s="8" t="s">
        <v>273</v>
      </c>
      <c r="E207" s="14" t="s">
        <v>66</v>
      </c>
      <c r="F207" s="9" t="n">
        <v>1171149</v>
      </c>
      <c r="G207" s="9" t="n">
        <v>45696</v>
      </c>
      <c r="H207" s="9" t="n">
        <v>31815</v>
      </c>
      <c r="I207" s="9" t="n">
        <v>34113</v>
      </c>
      <c r="J207" s="9" t="n">
        <v>1159</v>
      </c>
      <c r="K207" s="9" t="n">
        <v>292</v>
      </c>
      <c r="L207" s="9" t="n">
        <v>218</v>
      </c>
      <c r="M207" s="10" t="n">
        <f aca="false">IFERROR(G207/F207,"")</f>
        <v>0.0390180924886586</v>
      </c>
      <c r="N207" s="10" t="n">
        <f aca="false">IFERROR(H207/G207,"")</f>
        <v>0.696231617647059</v>
      </c>
      <c r="O207" s="11" t="n">
        <f aca="false">IFERROR(I207/H207,"")</f>
        <v>1.07223008015087</v>
      </c>
      <c r="P207" s="10" t="n">
        <f aca="false">IFERROR(J207/H207,"")</f>
        <v>0.0364293572214364</v>
      </c>
      <c r="Q207" s="10" t="n">
        <f aca="false">IFERROR(K207/H207,"")</f>
        <v>0.00917806066320918</v>
      </c>
      <c r="R207" s="10" t="n">
        <f aca="false">IFERROR(L207/H207,"")</f>
        <v>0.00685211378280685</v>
      </c>
      <c r="S207" s="11" t="n">
        <f aca="false">IFERROR(M207/MEDIAN(INDEX($M$5:$M$627,MATCH($A207-90,$A$5:$A$627,1)):INDEX($M$5:$M$627,MATCH($A207+90,$A$5:$A$627,1))),"")</f>
        <v>0.612033203537</v>
      </c>
      <c r="T207" s="11" t="n">
        <f aca="false">IFERROR(N207/MEDIAN(INDEX($N$5:$N$627,MATCH($A207-90,$A$5:$A$627,1)):INDEX($N$5:$N$627,MATCH($A207+90,$A$5:$A$627,1))),"")</f>
        <v>1.29380091145054</v>
      </c>
      <c r="U207" s="11" t="n">
        <f aca="false">IFERROR(Q207/MEDIAN(INDEX($Q$5:$Q$627,MATCH($A207-90,$A$5:$A$627,1)):INDEX($Q$5:$Q$627,MATCH($A207+90,$A$5:$A$627,1))),"")</f>
        <v>0.980655829558111</v>
      </c>
    </row>
    <row r="208" customFormat="false" ht="15" hidden="false" customHeight="false" outlineLevel="0" collapsed="false">
      <c r="A208" s="13" t="n">
        <v>45616.5138347569</v>
      </c>
      <c r="B208" s="8" t="n">
        <v>12</v>
      </c>
      <c r="C208" s="8" t="s">
        <v>71</v>
      </c>
      <c r="D208" s="8" t="s">
        <v>274</v>
      </c>
      <c r="E208" s="14" t="s">
        <v>66</v>
      </c>
      <c r="F208" s="9" t="n">
        <v>2485128</v>
      </c>
      <c r="G208" s="9" t="n">
        <v>235073</v>
      </c>
      <c r="H208" s="9" t="n">
        <v>146748</v>
      </c>
      <c r="I208" s="9" t="n">
        <v>212098</v>
      </c>
      <c r="J208" s="9" t="n">
        <v>3592</v>
      </c>
      <c r="K208" s="9" t="n">
        <v>1148</v>
      </c>
      <c r="L208" s="9" t="n">
        <v>888</v>
      </c>
      <c r="M208" s="10" t="n">
        <f aca="false">IFERROR(G208/F208,"")</f>
        <v>0.0945919083443589</v>
      </c>
      <c r="N208" s="10" t="n">
        <f aca="false">IFERROR(H208/G208,"")</f>
        <v>0.624265653648016</v>
      </c>
      <c r="O208" s="11" t="n">
        <f aca="false">IFERROR(I208/H208,"")</f>
        <v>1.44532123095374</v>
      </c>
      <c r="P208" s="10" t="n">
        <f aca="false">IFERROR(J208/H208,"")</f>
        <v>0.0244773352958814</v>
      </c>
      <c r="Q208" s="10" t="n">
        <f aca="false">IFERROR(K208/H208,"")</f>
        <v>0.00782293455447434</v>
      </c>
      <c r="R208" s="10" t="n">
        <f aca="false">IFERROR(L208/H208,"")</f>
        <v>0.00605118979475018</v>
      </c>
      <c r="S208" s="11" t="n">
        <f aca="false">IFERROR(M208/MEDIAN(INDEX($M$5:$M$627,MATCH($A208-90,$A$5:$A$627,1)):INDEX($M$5:$M$627,MATCH($A208+90,$A$5:$A$627,1))),"")</f>
        <v>1.48375753400821</v>
      </c>
      <c r="T208" s="11" t="n">
        <f aca="false">IFERROR(N208/MEDIAN(INDEX($N$5:$N$627,MATCH($A208-90,$A$5:$A$627,1)):INDEX($N$5:$N$627,MATCH($A208+90,$A$5:$A$627,1))),"")</f>
        <v>1.16006721212495</v>
      </c>
      <c r="U208" s="11" t="n">
        <f aca="false">IFERROR(Q208/MEDIAN(INDEX($Q$5:$Q$627,MATCH($A208-90,$A$5:$A$627,1)):INDEX($Q$5:$Q$627,MATCH($A208+90,$A$5:$A$627,1))),"")</f>
        <v>0.835863550766117</v>
      </c>
    </row>
    <row r="209" customFormat="false" ht="15" hidden="false" customHeight="false" outlineLevel="0" collapsed="false">
      <c r="A209" s="13" t="n">
        <v>45618.6764435417</v>
      </c>
      <c r="B209" s="8" t="n">
        <v>16</v>
      </c>
      <c r="C209" s="8" t="s">
        <v>84</v>
      </c>
      <c r="D209" s="8" t="s">
        <v>275</v>
      </c>
      <c r="E209" s="14" t="s">
        <v>66</v>
      </c>
      <c r="F209" s="9" t="n">
        <v>184626</v>
      </c>
      <c r="G209" s="9" t="n">
        <v>18267</v>
      </c>
      <c r="H209" s="9" t="n">
        <v>9830</v>
      </c>
      <c r="I209" s="9" t="n">
        <v>10177</v>
      </c>
      <c r="J209" s="9" t="n">
        <v>761</v>
      </c>
      <c r="K209" s="9" t="n">
        <v>92</v>
      </c>
      <c r="L209" s="9" t="n">
        <v>102</v>
      </c>
      <c r="M209" s="10" t="n">
        <f aca="false">IFERROR(G209/F209,"")</f>
        <v>0.0989405609177472</v>
      </c>
      <c r="N209" s="10" t="n">
        <f aca="false">IFERROR(H209/G209,"")</f>
        <v>0.538128866261565</v>
      </c>
      <c r="O209" s="11" t="n">
        <f aca="false">IFERROR(I209/H209,"")</f>
        <v>1.0353001017294</v>
      </c>
      <c r="P209" s="10" t="n">
        <f aca="false">IFERROR(J209/H209,"")</f>
        <v>0.0774160732451679</v>
      </c>
      <c r="Q209" s="10" t="n">
        <f aca="false">IFERROR(K209/H209,"")</f>
        <v>0.00935910478128179</v>
      </c>
      <c r="R209" s="10" t="n">
        <f aca="false">IFERROR(L209/H209,"")</f>
        <v>0.0103763987792472</v>
      </c>
      <c r="S209" s="11" t="n">
        <f aca="false">IFERROR(M209/MEDIAN(INDEX($M$5:$M$627,MATCH($A209-90,$A$5:$A$627,1)):INDEX($M$5:$M$627,MATCH($A209+90,$A$5:$A$627,1))),"")</f>
        <v>1.55139059546783</v>
      </c>
      <c r="T209" s="11" t="n">
        <f aca="false">IFERROR(N209/MEDIAN(INDEX($N$5:$N$627,MATCH($A209-90,$A$5:$A$627,1)):INDEX($N$5:$N$627,MATCH($A209+90,$A$5:$A$627,1))),"")</f>
        <v>1.00371585104179</v>
      </c>
      <c r="U209" s="11" t="n">
        <f aca="false">IFERROR(Q209/MEDIAN(INDEX($Q$5:$Q$627,MATCH($A209-90,$A$5:$A$627,1)):INDEX($Q$5:$Q$627,MATCH($A209+90,$A$5:$A$627,1))),"")</f>
        <v>1.00273735129861</v>
      </c>
    </row>
    <row r="210" customFormat="false" ht="15" hidden="false" customHeight="false" outlineLevel="0" collapsed="false">
      <c r="A210" s="13" t="n">
        <v>45621.4963402778</v>
      </c>
      <c r="B210" s="8" t="n">
        <v>11</v>
      </c>
      <c r="C210" s="8" t="s">
        <v>80</v>
      </c>
      <c r="D210" s="8" t="s">
        <v>276</v>
      </c>
      <c r="E210" s="14" t="s">
        <v>66</v>
      </c>
      <c r="F210" s="9" t="n">
        <v>23865</v>
      </c>
      <c r="G210" s="9" t="n">
        <v>1522</v>
      </c>
      <c r="H210" s="9" t="n">
        <v>816</v>
      </c>
      <c r="I210" s="9" t="n">
        <v>775</v>
      </c>
      <c r="J210" s="9" t="n">
        <v>60</v>
      </c>
      <c r="K210" s="9" t="n">
        <v>6</v>
      </c>
      <c r="L210" s="9" t="n">
        <v>2</v>
      </c>
      <c r="M210" s="10" t="n">
        <f aca="false">IFERROR(G210/F210,"")</f>
        <v>0.063775403310287</v>
      </c>
      <c r="N210" s="10" t="n">
        <f aca="false">IFERROR(H210/G210,"")</f>
        <v>0.536136662286465</v>
      </c>
      <c r="O210" s="11" t="n">
        <f aca="false">IFERROR(I210/H210,"")</f>
        <v>0.949754901960784</v>
      </c>
      <c r="P210" s="10" t="n">
        <f aca="false">IFERROR(J210/H210,"")</f>
        <v>0.0735294117647059</v>
      </c>
      <c r="Q210" s="10" t="n">
        <f aca="false">IFERROR(K210/H210,"")</f>
        <v>0.00735294117647059</v>
      </c>
      <c r="R210" s="10" t="n">
        <f aca="false">IFERROR(L210/H210,"")</f>
        <v>0.00245098039215686</v>
      </c>
      <c r="S210" s="11" t="n">
        <f aca="false">IFERROR(M210/MEDIAN(INDEX($M$5:$M$627,MATCH($A210-90,$A$5:$A$627,1)):INDEX($M$5:$M$627,MATCH($A210+90,$A$5:$A$627,1))),"")</f>
        <v>0.982885325367139</v>
      </c>
      <c r="T210" s="11" t="n">
        <f aca="false">IFERROR(N210/MEDIAN(INDEX($N$5:$N$627,MATCH($A210-90,$A$5:$A$627,1)):INDEX($N$5:$N$627,MATCH($A210+90,$A$5:$A$627,1))),"")</f>
        <v>0.99814551996489</v>
      </c>
      <c r="U210" s="11" t="n">
        <f aca="false">IFERROR(Q210/MEDIAN(INDEX($Q$5:$Q$627,MATCH($A210-90,$A$5:$A$627,1)):INDEX($Q$5:$Q$627,MATCH($A210+90,$A$5:$A$627,1))),"")</f>
        <v>0.786719604581798</v>
      </c>
    </row>
    <row r="211" customFormat="false" ht="15" hidden="false" customHeight="false" outlineLevel="0" collapsed="false">
      <c r="A211" s="13" t="n">
        <v>45623.4746627083</v>
      </c>
      <c r="B211" s="8" t="n">
        <v>11</v>
      </c>
      <c r="C211" s="8" t="s">
        <v>71</v>
      </c>
      <c r="D211" s="8" t="s">
        <v>277</v>
      </c>
      <c r="E211" s="14" t="s">
        <v>66</v>
      </c>
      <c r="F211" s="9" t="n">
        <v>13669</v>
      </c>
      <c r="G211" s="9" t="n">
        <v>403</v>
      </c>
      <c r="H211" s="9" t="n">
        <v>169</v>
      </c>
      <c r="I211" s="9" t="n">
        <v>129</v>
      </c>
      <c r="J211" s="9" t="n">
        <v>19</v>
      </c>
      <c r="K211" s="9" t="n">
        <v>0</v>
      </c>
      <c r="L211" s="9" t="n">
        <v>1</v>
      </c>
      <c r="M211" s="10" t="n">
        <f aca="false">IFERROR(G211/F211,"")</f>
        <v>0.0294827712341795</v>
      </c>
      <c r="N211" s="10" t="n">
        <f aca="false">IFERROR(H211/G211,"")</f>
        <v>0.419354838709677</v>
      </c>
      <c r="O211" s="11" t="n">
        <f aca="false">IFERROR(I211/H211,"")</f>
        <v>0.763313609467456</v>
      </c>
      <c r="P211" s="10" t="n">
        <f aca="false">IFERROR(J211/H211,"")</f>
        <v>0.112426035502959</v>
      </c>
      <c r="Q211" s="10" t="n">
        <f aca="false">IFERROR(K211/H211,"")</f>
        <v>0</v>
      </c>
      <c r="R211" s="10" t="n">
        <f aca="false">IFERROR(L211/H211,"")</f>
        <v>0.00591715976331361</v>
      </c>
      <c r="S211" s="11" t="n">
        <f aca="false">IFERROR(M211/MEDIAN(INDEX($M$5:$M$627,MATCH($A211-90,$A$5:$A$627,1)):INDEX($M$5:$M$627,MATCH($A211+90,$A$5:$A$627,1))),"")</f>
        <v>0.447426340424835</v>
      </c>
      <c r="T211" s="11" t="n">
        <f aca="false">IFERROR(N211/MEDIAN(INDEX($N$5:$N$627,MATCH($A211-90,$A$5:$A$627,1)):INDEX($N$5:$N$627,MATCH($A211+90,$A$5:$A$627,1))),"")</f>
        <v>0.78359993124882</v>
      </c>
      <c r="U211" s="11" t="n">
        <f aca="false">IFERROR(Q211/MEDIAN(INDEX($Q$5:$Q$627,MATCH($A211-90,$A$5:$A$627,1)):INDEX($Q$5:$Q$627,MATCH($A211+90,$A$5:$A$627,1))),"")</f>
        <v>0</v>
      </c>
    </row>
    <row r="212" customFormat="false" ht="15" hidden="false" customHeight="false" outlineLevel="0" collapsed="false">
      <c r="A212" s="13" t="n">
        <v>45625.507554213</v>
      </c>
      <c r="B212" s="8" t="n">
        <v>12</v>
      </c>
      <c r="C212" s="8" t="s">
        <v>84</v>
      </c>
      <c r="D212" s="8" t="s">
        <v>278</v>
      </c>
      <c r="E212" s="14" t="s">
        <v>66</v>
      </c>
      <c r="F212" s="9" t="n">
        <v>133008</v>
      </c>
      <c r="G212" s="9" t="n">
        <v>13305</v>
      </c>
      <c r="H212" s="9" t="n">
        <v>6233</v>
      </c>
      <c r="I212" s="9" t="n">
        <v>6649</v>
      </c>
      <c r="J212" s="9" t="n">
        <v>553</v>
      </c>
      <c r="K212" s="9" t="n">
        <v>41</v>
      </c>
      <c r="L212" s="9" t="n">
        <v>56</v>
      </c>
      <c r="M212" s="10" t="n">
        <f aca="false">IFERROR(G212/F212,"")</f>
        <v>0.100031577047997</v>
      </c>
      <c r="N212" s="10" t="n">
        <f aca="false">IFERROR(H212/G212,"")</f>
        <v>0.468470499812101</v>
      </c>
      <c r="O212" s="11" t="n">
        <f aca="false">IFERROR(I212/H212,"")</f>
        <v>1.06674153698059</v>
      </c>
      <c r="P212" s="10" t="n">
        <f aca="false">IFERROR(J212/H212,"")</f>
        <v>0.0887213219958287</v>
      </c>
      <c r="Q212" s="10" t="n">
        <f aca="false">IFERROR(K212/H212,"")</f>
        <v>0.00657789186587518</v>
      </c>
      <c r="R212" s="10" t="n">
        <f aca="false">IFERROR(L212/H212,"")</f>
        <v>0.00898443767046366</v>
      </c>
      <c r="S212" s="11" t="n">
        <f aca="false">IFERROR(M212/MEDIAN(INDEX($M$5:$M$627,MATCH($A212-90,$A$5:$A$627,1)):INDEX($M$5:$M$627,MATCH($A212+90,$A$5:$A$627,1))),"")</f>
        <v>1.51806497733916</v>
      </c>
      <c r="T212" s="11" t="n">
        <f aca="false">IFERROR(N212/MEDIAN(INDEX($N$5:$N$627,MATCH($A212-90,$A$5:$A$627,1)):INDEX($N$5:$N$627,MATCH($A212+90,$A$5:$A$627,1))),"")</f>
        <v>0.872168914226043</v>
      </c>
      <c r="U212" s="11" t="n">
        <f aca="false">IFERROR(Q212/MEDIAN(INDEX($Q$5:$Q$627,MATCH($A212-90,$A$5:$A$627,1)):INDEX($Q$5:$Q$627,MATCH($A212+90,$A$5:$A$627,1))),"")</f>
        <v>0.703794082327628</v>
      </c>
    </row>
    <row r="213" customFormat="false" ht="15" hidden="false" customHeight="false" outlineLevel="0" collapsed="false">
      <c r="A213" s="13" t="n">
        <v>45628.5567525463</v>
      </c>
      <c r="B213" s="8" t="n">
        <v>13</v>
      </c>
      <c r="C213" s="8" t="s">
        <v>80</v>
      </c>
      <c r="D213" s="8" t="s">
        <v>279</v>
      </c>
      <c r="E213" s="14" t="s">
        <v>66</v>
      </c>
      <c r="F213" s="9" t="n">
        <v>401903</v>
      </c>
      <c r="G213" s="9" t="n">
        <v>70399</v>
      </c>
      <c r="H213" s="9" t="n">
        <v>44694</v>
      </c>
      <c r="I213" s="9" t="n">
        <v>30041</v>
      </c>
      <c r="J213" s="9" t="n">
        <v>1155</v>
      </c>
      <c r="K213" s="9" t="n">
        <v>130</v>
      </c>
      <c r="L213" s="9" t="n">
        <v>104</v>
      </c>
      <c r="M213" s="10" t="n">
        <f aca="false">IFERROR(G213/F213,"")</f>
        <v>0.175164156525331</v>
      </c>
      <c r="N213" s="10" t="n">
        <f aca="false">IFERROR(H213/G213,"")</f>
        <v>0.634866972542224</v>
      </c>
      <c r="O213" s="11" t="n">
        <f aca="false">IFERROR(I213/H213,"")</f>
        <v>0.672148386808073</v>
      </c>
      <c r="P213" s="10" t="n">
        <f aca="false">IFERROR(J213/H213,"")</f>
        <v>0.0258423949523426</v>
      </c>
      <c r="Q213" s="10" t="n">
        <f aca="false">IFERROR(K213/H213,"")</f>
        <v>0.0029086678301338</v>
      </c>
      <c r="R213" s="10" t="n">
        <f aca="false">IFERROR(L213/H213,"")</f>
        <v>0.00232693426410704</v>
      </c>
      <c r="S213" s="11" t="n">
        <f aca="false">IFERROR(M213/MEDIAN(INDEX($M$5:$M$627,MATCH($A213-90,$A$5:$A$627,1)):INDEX($M$5:$M$627,MATCH($A213+90,$A$5:$A$627,1))),"")</f>
        <v>2.59871825646833</v>
      </c>
      <c r="T213" s="11" t="n">
        <f aca="false">IFERROR(N213/MEDIAN(INDEX($N$5:$N$627,MATCH($A213-90,$A$5:$A$627,1)):INDEX($N$5:$N$627,MATCH($A213+90,$A$5:$A$627,1))),"")</f>
        <v>1.18415138751135</v>
      </c>
      <c r="U213" s="11" t="n">
        <f aca="false">IFERROR(Q213/MEDIAN(INDEX($Q$5:$Q$627,MATCH($A213-90,$A$5:$A$627,1)):INDEX($Q$5:$Q$627,MATCH($A213+90,$A$5:$A$627,1))),"")</f>
        <v>0.311635561729055</v>
      </c>
    </row>
    <row r="214" customFormat="false" ht="15" hidden="false" customHeight="false" outlineLevel="0" collapsed="false">
      <c r="A214" s="13" t="n">
        <v>45630.5207715972</v>
      </c>
      <c r="B214" s="8" t="n">
        <v>12</v>
      </c>
      <c r="C214" s="8" t="s">
        <v>71</v>
      </c>
      <c r="D214" s="8" t="s">
        <v>280</v>
      </c>
      <c r="E214" s="14" t="s">
        <v>66</v>
      </c>
      <c r="F214" s="9" t="n">
        <v>442985</v>
      </c>
      <c r="G214" s="9" t="n">
        <v>28241</v>
      </c>
      <c r="H214" s="9" t="n">
        <v>18504</v>
      </c>
      <c r="I214" s="9" t="n">
        <v>14157</v>
      </c>
      <c r="J214" s="9" t="n">
        <v>706</v>
      </c>
      <c r="K214" s="9" t="n">
        <v>99</v>
      </c>
      <c r="L214" s="9" t="n">
        <v>66</v>
      </c>
      <c r="M214" s="10" t="n">
        <f aca="false">IFERROR(G214/F214,"")</f>
        <v>0.0637515942977753</v>
      </c>
      <c r="N214" s="10" t="n">
        <f aca="false">IFERROR(H214/G214,"")</f>
        <v>0.655217591445062</v>
      </c>
      <c r="O214" s="11" t="n">
        <f aca="false">IFERROR(I214/H214,"")</f>
        <v>0.765077821011673</v>
      </c>
      <c r="P214" s="10" t="n">
        <f aca="false">IFERROR(J214/H214,"")</f>
        <v>0.0381539126675314</v>
      </c>
      <c r="Q214" s="10" t="n">
        <f aca="false">IFERROR(K214/H214,"")</f>
        <v>0.00535019455252918</v>
      </c>
      <c r="R214" s="10" t="n">
        <f aca="false">IFERROR(L214/H214,"")</f>
        <v>0.00356679636835279</v>
      </c>
      <c r="S214" s="11" t="n">
        <f aca="false">IFERROR(M214/MEDIAN(INDEX($M$5:$M$627,MATCH($A214-90,$A$5:$A$627,1)):INDEX($M$5:$M$627,MATCH($A214+90,$A$5:$A$627,1))),"")</f>
        <v>0.945812404015619</v>
      </c>
      <c r="T214" s="11" t="n">
        <f aca="false">IFERROR(N214/MEDIAN(INDEX($N$5:$N$627,MATCH($A214-90,$A$5:$A$627,1)):INDEX($N$5:$N$627,MATCH($A214+90,$A$5:$A$627,1))),"")</f>
        <v>1.22210928208258</v>
      </c>
      <c r="U214" s="11" t="n">
        <f aca="false">IFERROR(Q214/MEDIAN(INDEX($Q$5:$Q$627,MATCH($A214-90,$A$5:$A$627,1)):INDEX($Q$5:$Q$627,MATCH($A214+90,$A$5:$A$627,1))),"")</f>
        <v>0.57165665708002</v>
      </c>
    </row>
    <row r="215" customFormat="false" ht="15" hidden="false" customHeight="false" outlineLevel="0" collapsed="false">
      <c r="A215" s="13" t="n">
        <v>45632.4877233681</v>
      </c>
      <c r="B215" s="8" t="n">
        <v>11</v>
      </c>
      <c r="C215" s="8" t="s">
        <v>84</v>
      </c>
      <c r="D215" s="8" t="s">
        <v>281</v>
      </c>
      <c r="E215" s="14" t="s">
        <v>66</v>
      </c>
      <c r="F215" s="9" t="n">
        <v>1212911</v>
      </c>
      <c r="G215" s="9" t="n">
        <v>190333</v>
      </c>
      <c r="H215" s="9" t="n">
        <v>143141</v>
      </c>
      <c r="I215" s="9" t="n">
        <v>71301</v>
      </c>
      <c r="J215" s="9" t="n">
        <v>4704</v>
      </c>
      <c r="K215" s="9" t="n">
        <v>422</v>
      </c>
      <c r="L215" s="9" t="n">
        <v>235</v>
      </c>
      <c r="M215" s="10" t="n">
        <f aca="false">IFERROR(G215/F215,"")</f>
        <v>0.156922478236243</v>
      </c>
      <c r="N215" s="10" t="n">
        <f aca="false">IFERROR(H215/G215,"")</f>
        <v>0.752055607803166</v>
      </c>
      <c r="O215" s="11" t="n">
        <f aca="false">IFERROR(I215/H215,"")</f>
        <v>0.498117241042049</v>
      </c>
      <c r="P215" s="10" t="n">
        <f aca="false">IFERROR(J215/H215,"")</f>
        <v>0.0328627018115006</v>
      </c>
      <c r="Q215" s="10" t="n">
        <f aca="false">IFERROR(K215/H215,"")</f>
        <v>0.00294814204176302</v>
      </c>
      <c r="R215" s="10" t="n">
        <f aca="false">IFERROR(L215/H215,"")</f>
        <v>0.00164173786685855</v>
      </c>
      <c r="S215" s="11" t="n">
        <f aca="false">IFERROR(M215/MEDIAN(INDEX($M$5:$M$627,MATCH($A215-90,$A$5:$A$627,1)):INDEX($M$5:$M$627,MATCH($A215+90,$A$5:$A$627,1))),"")</f>
        <v>2.32808650543645</v>
      </c>
      <c r="T215" s="11" t="n">
        <f aca="false">IFERROR(N215/MEDIAN(INDEX($N$5:$N$627,MATCH($A215-90,$A$5:$A$627,1)):INDEX($N$5:$N$627,MATCH($A215+90,$A$5:$A$627,1))),"")</f>
        <v>1.39753812693189</v>
      </c>
      <c r="U215" s="11" t="n">
        <f aca="false">IFERROR(Q215/MEDIAN(INDEX($Q$5:$Q$627,MATCH($A215-90,$A$5:$A$627,1)):INDEX($Q$5:$Q$627,MATCH($A215+90,$A$5:$A$627,1))),"")</f>
        <v>0.31500256815794</v>
      </c>
    </row>
    <row r="216" customFormat="false" ht="15" hidden="false" customHeight="false" outlineLevel="0" collapsed="false">
      <c r="A216" s="13" t="n">
        <v>45635.4959657292</v>
      </c>
      <c r="B216" s="8" t="n">
        <v>11</v>
      </c>
      <c r="C216" s="8" t="s">
        <v>80</v>
      </c>
      <c r="D216" s="8" t="s">
        <v>282</v>
      </c>
      <c r="E216" s="14" t="s">
        <v>66</v>
      </c>
      <c r="F216" s="9" t="n">
        <v>1000723</v>
      </c>
      <c r="G216" s="9" t="n">
        <v>44342</v>
      </c>
      <c r="H216" s="9" t="n">
        <v>29434</v>
      </c>
      <c r="I216" s="9" t="n">
        <v>19846</v>
      </c>
      <c r="J216" s="9" t="n">
        <v>965</v>
      </c>
      <c r="K216" s="9" t="n">
        <v>163</v>
      </c>
      <c r="L216" s="9" t="n">
        <v>45</v>
      </c>
      <c r="M216" s="10" t="n">
        <f aca="false">IFERROR(G216/F216,"")</f>
        <v>0.0443099638961031</v>
      </c>
      <c r="N216" s="10" t="n">
        <f aca="false">IFERROR(H216/G216,"")</f>
        <v>0.663795047584683</v>
      </c>
      <c r="O216" s="11" t="n">
        <f aca="false">IFERROR(I216/H216,"")</f>
        <v>0.674254263776585</v>
      </c>
      <c r="P216" s="10" t="n">
        <f aca="false">IFERROR(J216/H216,"")</f>
        <v>0.0327852143779303</v>
      </c>
      <c r="Q216" s="10" t="n">
        <f aca="false">IFERROR(K216/H216,"")</f>
        <v>0.00553781341305973</v>
      </c>
      <c r="R216" s="10" t="n">
        <f aca="false">IFERROR(L216/H216,"")</f>
        <v>0.0015288441937895</v>
      </c>
      <c r="S216" s="11" t="n">
        <f aca="false">IFERROR(M216/MEDIAN(INDEX($M$5:$M$627,MATCH($A216-90,$A$5:$A$627,1)):INDEX($M$5:$M$627,MATCH($A216+90,$A$5:$A$627,1))),"")</f>
        <v>0.64961101967163</v>
      </c>
      <c r="T216" s="11" t="n">
        <f aca="false">IFERROR(N216/MEDIAN(INDEX($N$5:$N$627,MATCH($A216-90,$A$5:$A$627,1)):INDEX($N$5:$N$627,MATCH($A216+90,$A$5:$A$627,1))),"")</f>
        <v>1.23253971493135</v>
      </c>
      <c r="U216" s="11" t="n">
        <f aca="false">IFERROR(Q216/MEDIAN(INDEX($Q$5:$Q$627,MATCH($A216-90,$A$5:$A$627,1)):INDEX($Q$5:$Q$627,MATCH($A216+90,$A$5:$A$627,1))),"")</f>
        <v>0.592512067485537</v>
      </c>
    </row>
    <row r="217" customFormat="false" ht="15" hidden="false" customHeight="false" outlineLevel="0" collapsed="false">
      <c r="A217" s="13" t="n">
        <v>45637.5350453009</v>
      </c>
      <c r="B217" s="8" t="n">
        <v>12</v>
      </c>
      <c r="C217" s="8" t="s">
        <v>71</v>
      </c>
      <c r="D217" s="8" t="s">
        <v>283</v>
      </c>
      <c r="E217" s="14" t="s">
        <v>66</v>
      </c>
      <c r="F217" s="9" t="n">
        <v>455103</v>
      </c>
      <c r="G217" s="9" t="n">
        <v>21552</v>
      </c>
      <c r="H217" s="9" t="n">
        <v>12533</v>
      </c>
      <c r="I217" s="9" t="n">
        <v>15532</v>
      </c>
      <c r="J217" s="9" t="n">
        <v>337</v>
      </c>
      <c r="K217" s="9" t="n">
        <v>146</v>
      </c>
      <c r="L217" s="9" t="n">
        <v>33</v>
      </c>
      <c r="M217" s="10" t="n">
        <f aca="false">IFERROR(G217/F217,"")</f>
        <v>0.0473563127467848</v>
      </c>
      <c r="N217" s="10" t="n">
        <f aca="false">IFERROR(H217/G217,"")</f>
        <v>0.581523756495917</v>
      </c>
      <c r="O217" s="11" t="n">
        <f aca="false">IFERROR(I217/H217,"")</f>
        <v>1.23928827894359</v>
      </c>
      <c r="P217" s="10" t="n">
        <f aca="false">IFERROR(J217/H217,"")</f>
        <v>0.026889013005665</v>
      </c>
      <c r="Q217" s="10" t="n">
        <f aca="false">IFERROR(K217/H217,"")</f>
        <v>0.0116492459905849</v>
      </c>
      <c r="R217" s="10" t="n">
        <f aca="false">IFERROR(L217/H217,"")</f>
        <v>0.00263304875129658</v>
      </c>
      <c r="S217" s="11" t="n">
        <f aca="false">IFERROR(M217/MEDIAN(INDEX($M$5:$M$627,MATCH($A217-90,$A$5:$A$627,1)):INDEX($M$5:$M$627,MATCH($A217+90,$A$5:$A$627,1))),"")</f>
        <v>0.69427234658688</v>
      </c>
      <c r="T217" s="11" t="n">
        <f aca="false">IFERROR(N217/MEDIAN(INDEX($N$5:$N$627,MATCH($A217-90,$A$5:$A$627,1)):INDEX($N$5:$N$627,MATCH($A217+90,$A$5:$A$627,1))),"")</f>
        <v>1.07977775318646</v>
      </c>
      <c r="U217" s="11" t="n">
        <f aca="false">IFERROR(Q217/MEDIAN(INDEX($Q$5:$Q$627,MATCH($A217-90,$A$5:$A$627,1)):INDEX($Q$5:$Q$627,MATCH($A217+90,$A$5:$A$627,1))),"")</f>
        <v>1.24639786711691</v>
      </c>
    </row>
    <row r="218" customFormat="false" ht="15" hidden="false" customHeight="false" outlineLevel="0" collapsed="false">
      <c r="A218" s="13" t="n">
        <v>45639.5781163657</v>
      </c>
      <c r="B218" s="8" t="n">
        <v>13</v>
      </c>
      <c r="C218" s="8" t="s">
        <v>84</v>
      </c>
      <c r="D218" s="8" t="s">
        <v>284</v>
      </c>
      <c r="E218" s="14" t="s">
        <v>66</v>
      </c>
      <c r="F218" s="9" t="n">
        <v>419355</v>
      </c>
      <c r="G218" s="9" t="n">
        <v>59304</v>
      </c>
      <c r="H218" s="9" t="n">
        <v>38784</v>
      </c>
      <c r="I218" s="9" t="n">
        <v>29774</v>
      </c>
      <c r="J218" s="9" t="n">
        <v>762</v>
      </c>
      <c r="K218" s="9" t="n">
        <v>635</v>
      </c>
      <c r="L218" s="9" t="n">
        <v>63</v>
      </c>
      <c r="M218" s="10" t="n">
        <f aca="false">IFERROR(G218/F218,"")</f>
        <v>0.141417176378009</v>
      </c>
      <c r="N218" s="10" t="n">
        <f aca="false">IFERROR(H218/G218,"")</f>
        <v>0.653986240388507</v>
      </c>
      <c r="O218" s="11" t="n">
        <f aca="false">IFERROR(I218/H218,"")</f>
        <v>0.767687706270627</v>
      </c>
      <c r="P218" s="10" t="n">
        <f aca="false">IFERROR(J218/H218,"")</f>
        <v>0.0196472772277228</v>
      </c>
      <c r="Q218" s="10" t="n">
        <f aca="false">IFERROR(K218/H218,"")</f>
        <v>0.0163727310231023</v>
      </c>
      <c r="R218" s="10" t="n">
        <f aca="false">IFERROR(L218/H218,"")</f>
        <v>0.00162438118811881</v>
      </c>
      <c r="S218" s="11" t="n">
        <f aca="false">IFERROR(M218/MEDIAN(INDEX($M$5:$M$627,MATCH($A218-90,$A$5:$A$627,1)):INDEX($M$5:$M$627,MATCH($A218+90,$A$5:$A$627,1))),"")</f>
        <v>2.07326181446247</v>
      </c>
      <c r="T218" s="11" t="n">
        <f aca="false">IFERROR(N218/MEDIAN(INDEX($N$5:$N$627,MATCH($A218-90,$A$5:$A$627,1)):INDEX($N$5:$N$627,MATCH($A218+90,$A$5:$A$627,1))),"")</f>
        <v>1.21432664680229</v>
      </c>
      <c r="U218" s="11" t="n">
        <f aca="false">IFERROR(Q218/MEDIAN(INDEX($Q$5:$Q$627,MATCH($A218-90,$A$5:$A$627,1)):INDEX($Q$5:$Q$627,MATCH($A218+90,$A$5:$A$627,1))),"")</f>
        <v>1.7476435529856</v>
      </c>
    </row>
    <row r="219" customFormat="false" ht="15" hidden="false" customHeight="false" outlineLevel="0" collapsed="false">
      <c r="A219" s="13" t="n">
        <v>45642.4762997338</v>
      </c>
      <c r="B219" s="8" t="n">
        <v>11</v>
      </c>
      <c r="C219" s="8" t="s">
        <v>80</v>
      </c>
      <c r="D219" s="8" t="s">
        <v>285</v>
      </c>
      <c r="E219" s="14" t="s">
        <v>66</v>
      </c>
      <c r="F219" s="9" t="n">
        <v>388711</v>
      </c>
      <c r="G219" s="9" t="n">
        <v>43437</v>
      </c>
      <c r="H219" s="9" t="n">
        <v>23162</v>
      </c>
      <c r="I219" s="9" t="n">
        <v>19597</v>
      </c>
      <c r="J219" s="9" t="n">
        <v>454</v>
      </c>
      <c r="K219" s="9" t="n">
        <v>621</v>
      </c>
      <c r="L219" s="9" t="n">
        <v>53</v>
      </c>
      <c r="M219" s="10" t="n">
        <f aca="false">IFERROR(G219/F219,"")</f>
        <v>0.111746258788663</v>
      </c>
      <c r="N219" s="10" t="n">
        <f aca="false">IFERROR(H219/G219,"")</f>
        <v>0.533232037203306</v>
      </c>
      <c r="O219" s="11" t="n">
        <f aca="false">IFERROR(I219/H219,"")</f>
        <v>0.846084103272602</v>
      </c>
      <c r="P219" s="10" t="n">
        <f aca="false">IFERROR(J219/H219,"")</f>
        <v>0.0196010707192816</v>
      </c>
      <c r="Q219" s="10" t="n">
        <f aca="false">IFERROR(K219/H219,"")</f>
        <v>0.0268111562041275</v>
      </c>
      <c r="R219" s="10" t="n">
        <f aca="false">IFERROR(L219/H219,"")</f>
        <v>0.00228823072273552</v>
      </c>
      <c r="S219" s="11" t="n">
        <f aca="false">IFERROR(M219/MEDIAN(INDEX($M$5:$M$627,MATCH($A219-90,$A$5:$A$627,1)):INDEX($M$5:$M$627,MATCH($A219+90,$A$5:$A$627,1))),"")</f>
        <v>1.67136585969004</v>
      </c>
      <c r="T219" s="11" t="n">
        <f aca="false">IFERROR(N219/MEDIAN(INDEX($N$5:$N$627,MATCH($A219-90,$A$5:$A$627,1)):INDEX($N$5:$N$627,MATCH($A219+90,$A$5:$A$627,1))),"")</f>
        <v>0.99144907326503</v>
      </c>
      <c r="U219" s="11" t="n">
        <f aca="false">IFERROR(Q219/MEDIAN(INDEX($Q$5:$Q$627,MATCH($A219-90,$A$5:$A$627,1)):INDEX($Q$5:$Q$627,MATCH($A219+90,$A$5:$A$627,1))),"")</f>
        <v>2.85899732984398</v>
      </c>
    </row>
    <row r="220" customFormat="false" ht="15" hidden="false" customHeight="false" outlineLevel="0" collapsed="false">
      <c r="A220" s="13" t="n">
        <v>45644.4994282176</v>
      </c>
      <c r="B220" s="8" t="n">
        <v>11</v>
      </c>
      <c r="C220" s="8" t="s">
        <v>71</v>
      </c>
      <c r="D220" s="8" t="s">
        <v>286</v>
      </c>
      <c r="E220" s="14" t="s">
        <v>66</v>
      </c>
      <c r="F220" s="9" t="n">
        <v>295305</v>
      </c>
      <c r="G220" s="9" t="n">
        <v>31615</v>
      </c>
      <c r="H220" s="9" t="n">
        <v>16300</v>
      </c>
      <c r="I220" s="9" t="n">
        <v>16806</v>
      </c>
      <c r="J220" s="9" t="n">
        <v>535</v>
      </c>
      <c r="K220" s="9" t="n">
        <v>163</v>
      </c>
      <c r="L220" s="9" t="n">
        <v>38</v>
      </c>
      <c r="M220" s="10" t="n">
        <f aca="false">IFERROR(G220/F220,"")</f>
        <v>0.107058803609827</v>
      </c>
      <c r="N220" s="10" t="n">
        <f aca="false">IFERROR(H220/G220,"")</f>
        <v>0.515578048394749</v>
      </c>
      <c r="O220" s="11" t="n">
        <f aca="false">IFERROR(I220/H220,"")</f>
        <v>1.03104294478528</v>
      </c>
      <c r="P220" s="10" t="n">
        <f aca="false">IFERROR(J220/H220,"")</f>
        <v>0.0328220858895706</v>
      </c>
      <c r="Q220" s="10" t="n">
        <f aca="false">IFERROR(K220/H220,"")</f>
        <v>0.01</v>
      </c>
      <c r="R220" s="10" t="n">
        <f aca="false">IFERROR(L220/H220,"")</f>
        <v>0.00233128834355828</v>
      </c>
      <c r="S220" s="11" t="n">
        <f aca="false">IFERROR(M220/MEDIAN(INDEX($M$5:$M$627,MATCH($A220-90,$A$5:$A$627,1)):INDEX($M$5:$M$627,MATCH($A220+90,$A$5:$A$627,1))),"")</f>
        <v>1.58831391635927</v>
      </c>
      <c r="T220" s="11" t="n">
        <f aca="false">IFERROR(N220/MEDIAN(INDEX($N$5:$N$627,MATCH($A220-90,$A$5:$A$627,1)):INDEX($N$5:$N$627,MATCH($A220+90,$A$5:$A$627,1))),"")</f>
        <v>0.958094019331321</v>
      </c>
      <c r="U220" s="11" t="n">
        <f aca="false">IFERROR(Q220/MEDIAN(INDEX($Q$5:$Q$627,MATCH($A220-90,$A$5:$A$627,1)):INDEX($Q$5:$Q$627,MATCH($A220+90,$A$5:$A$627,1))),"")</f>
        <v>1.06634615384615</v>
      </c>
    </row>
    <row r="221" customFormat="false" ht="15" hidden="false" customHeight="false" outlineLevel="0" collapsed="false">
      <c r="A221" s="13" t="n">
        <v>45646.3857181829</v>
      </c>
      <c r="B221" s="8" t="n">
        <v>9</v>
      </c>
      <c r="C221" s="8" t="s">
        <v>84</v>
      </c>
      <c r="D221" s="8" t="s">
        <v>287</v>
      </c>
      <c r="E221" s="14" t="s">
        <v>66</v>
      </c>
      <c r="F221" s="9" t="n">
        <v>1007971</v>
      </c>
      <c r="G221" s="9" t="n">
        <v>41203</v>
      </c>
      <c r="H221" s="9" t="n">
        <v>27346</v>
      </c>
      <c r="I221" s="9" t="n">
        <v>25258</v>
      </c>
      <c r="J221" s="9" t="n">
        <v>624</v>
      </c>
      <c r="K221" s="9" t="n">
        <v>119</v>
      </c>
      <c r="L221" s="9" t="n">
        <v>67</v>
      </c>
      <c r="M221" s="10" t="n">
        <f aca="false">IFERROR(G221/F221,"")</f>
        <v>0.0408771680931297</v>
      </c>
      <c r="N221" s="10" t="n">
        <f aca="false">IFERROR(H221/G221,"")</f>
        <v>0.663689537169624</v>
      </c>
      <c r="O221" s="11" t="n">
        <f aca="false">IFERROR(I221/H221,"")</f>
        <v>0.923645140057047</v>
      </c>
      <c r="P221" s="10" t="n">
        <f aca="false">IFERROR(J221/H221,"")</f>
        <v>0.022818693776055</v>
      </c>
      <c r="Q221" s="10" t="n">
        <f aca="false">IFERROR(K221/H221,"")</f>
        <v>0.00435164192203613</v>
      </c>
      <c r="R221" s="10" t="n">
        <f aca="false">IFERROR(L221/H221,"")</f>
        <v>0.00245008410736488</v>
      </c>
      <c r="S221" s="11" t="n">
        <f aca="false">IFERROR(M221/MEDIAN(INDEX($M$5:$M$627,MATCH($A221-90,$A$5:$A$627,1)):INDEX($M$5:$M$627,MATCH($A221+90,$A$5:$A$627,1))),"")</f>
        <v>0.606449659014452</v>
      </c>
      <c r="T221" s="11" t="n">
        <f aca="false">IFERROR(N221/MEDIAN(INDEX($N$5:$N$627,MATCH($A221-90,$A$5:$A$627,1)):INDEX($N$5:$N$627,MATCH($A221+90,$A$5:$A$627,1))),"")</f>
        <v>1.23332825793261</v>
      </c>
      <c r="U221" s="11" t="n">
        <f aca="false">IFERROR(Q221/MEDIAN(INDEX($Q$5:$Q$627,MATCH($A221-90,$A$5:$A$627,1)):INDEX($Q$5:$Q$627,MATCH($A221+90,$A$5:$A$627,1))),"")</f>
        <v>0.458010312294303</v>
      </c>
    </row>
    <row r="222" customFormat="false" ht="15" hidden="false" customHeight="false" outlineLevel="0" collapsed="false">
      <c r="A222" s="13" t="n">
        <v>45649.5094732755</v>
      </c>
      <c r="B222" s="8" t="n">
        <v>12</v>
      </c>
      <c r="C222" s="8" t="s">
        <v>80</v>
      </c>
      <c r="D222" s="8" t="s">
        <v>288</v>
      </c>
      <c r="E222" s="14" t="s">
        <v>66</v>
      </c>
      <c r="F222" s="9" t="n">
        <v>448478</v>
      </c>
      <c r="G222" s="9" t="n">
        <v>19795</v>
      </c>
      <c r="H222" s="9" t="n">
        <v>11090</v>
      </c>
      <c r="I222" s="9" t="n">
        <v>9553</v>
      </c>
      <c r="J222" s="9" t="n">
        <v>254</v>
      </c>
      <c r="K222" s="9" t="n">
        <v>104</v>
      </c>
      <c r="L222" s="9" t="n">
        <v>63</v>
      </c>
      <c r="M222" s="10" t="n">
        <f aca="false">IFERROR(G222/F222,"")</f>
        <v>0.0441381740018463</v>
      </c>
      <c r="N222" s="10" t="n">
        <f aca="false">IFERROR(H222/G222,"")</f>
        <v>0.56024248547613</v>
      </c>
      <c r="O222" s="11" t="n">
        <f aca="false">IFERROR(I222/H222,"")</f>
        <v>0.861406672678088</v>
      </c>
      <c r="P222" s="10" t="n">
        <f aca="false">IFERROR(J222/H222,"")</f>
        <v>0.0229035166816952</v>
      </c>
      <c r="Q222" s="10" t="n">
        <f aca="false">IFERROR(K222/H222,"")</f>
        <v>0.00937781785392245</v>
      </c>
      <c r="R222" s="10" t="n">
        <f aca="false">IFERROR(L222/H222,"")</f>
        <v>0.00568079350766456</v>
      </c>
      <c r="S222" s="11" t="n">
        <f aca="false">IFERROR(M222/MEDIAN(INDEX($M$5:$M$627,MATCH($A222-90,$A$5:$A$627,1)):INDEX($M$5:$M$627,MATCH($A222+90,$A$5:$A$627,1))),"")</f>
        <v>0.647092475340626</v>
      </c>
      <c r="T222" s="11" t="n">
        <f aca="false">IFERROR(N222/MEDIAN(INDEX($N$5:$N$627,MATCH($A222-90,$A$5:$A$627,1)):INDEX($N$5:$N$627,MATCH($A222+90,$A$5:$A$627,1))),"")</f>
        <v>1.04138176141707</v>
      </c>
      <c r="U222" s="11" t="n">
        <f aca="false">IFERROR(Q222/MEDIAN(INDEX($Q$5:$Q$627,MATCH($A222-90,$A$5:$A$627,1)):INDEX($Q$5:$Q$627,MATCH($A222+90,$A$5:$A$627,1))),"")</f>
        <v>0.933571065756801</v>
      </c>
    </row>
    <row r="223" customFormat="false" ht="15" hidden="false" customHeight="false" outlineLevel="0" collapsed="false">
      <c r="A223" s="13" t="n">
        <v>45651.4960954398</v>
      </c>
      <c r="B223" s="8" t="n">
        <v>11</v>
      </c>
      <c r="C223" s="8" t="s">
        <v>71</v>
      </c>
      <c r="D223" s="8" t="s">
        <v>289</v>
      </c>
      <c r="E223" s="14" t="s">
        <v>66</v>
      </c>
      <c r="F223" s="9" t="n">
        <v>947989</v>
      </c>
      <c r="G223" s="9" t="n">
        <v>61552</v>
      </c>
      <c r="H223" s="9" t="n">
        <v>40225</v>
      </c>
      <c r="I223" s="9" t="n">
        <v>51235</v>
      </c>
      <c r="J223" s="9" t="n">
        <v>715</v>
      </c>
      <c r="K223" s="9" t="n">
        <v>289</v>
      </c>
      <c r="L223" s="9" t="n">
        <v>111</v>
      </c>
      <c r="M223" s="10" t="n">
        <f aca="false">IFERROR(G223/F223,"")</f>
        <v>0.0649290234380357</v>
      </c>
      <c r="N223" s="10" t="n">
        <f aca="false">IFERROR(H223/G223,"")</f>
        <v>0.653512477255004</v>
      </c>
      <c r="O223" s="11" t="n">
        <f aca="false">IFERROR(I223/H223,"")</f>
        <v>1.27371037911746</v>
      </c>
      <c r="P223" s="10" t="n">
        <f aca="false">IFERROR(J223/H223,"")</f>
        <v>0.017775015537601</v>
      </c>
      <c r="Q223" s="10" t="n">
        <f aca="false">IFERROR(K223/H223,"")</f>
        <v>0.00718458669981355</v>
      </c>
      <c r="R223" s="10" t="n">
        <f aca="false">IFERROR(L223/H223,"")</f>
        <v>0.00275947793660659</v>
      </c>
      <c r="S223" s="11" t="n">
        <f aca="false">IFERROR(M223/MEDIAN(INDEX($M$5:$M$627,MATCH($A223-90,$A$5:$A$627,1)):INDEX($M$5:$M$627,MATCH($A223+90,$A$5:$A$627,1))),"")</f>
        <v>0.967189427198423</v>
      </c>
      <c r="T223" s="11" t="n">
        <f aca="false">IFERROR(N223/MEDIAN(INDEX($N$5:$N$627,MATCH($A223-90,$A$5:$A$627,1)):INDEX($N$5:$N$627,MATCH($A223+90,$A$5:$A$627,1))),"")</f>
        <v>1.21475252647694</v>
      </c>
      <c r="U223" s="11" t="n">
        <f aca="false">IFERROR(Q223/MEDIAN(INDEX($Q$5:$Q$627,MATCH($A223-90,$A$5:$A$627,1)):INDEX($Q$5:$Q$627,MATCH($A223+90,$A$5:$A$627,1))),"")</f>
        <v>0.700937704895196</v>
      </c>
    </row>
    <row r="224" customFormat="false" ht="15" hidden="false" customHeight="false" outlineLevel="0" collapsed="false">
      <c r="A224" s="13" t="n">
        <v>45653.4175995486</v>
      </c>
      <c r="B224" s="8" t="n">
        <v>10</v>
      </c>
      <c r="C224" s="8" t="s">
        <v>84</v>
      </c>
      <c r="D224" s="8" t="s">
        <v>290</v>
      </c>
      <c r="E224" s="14" t="s">
        <v>66</v>
      </c>
      <c r="F224" s="9" t="n">
        <v>1497192</v>
      </c>
      <c r="G224" s="9" t="n">
        <v>85170</v>
      </c>
      <c r="H224" s="9" t="n">
        <v>51748</v>
      </c>
      <c r="I224" s="9" t="n">
        <v>57716</v>
      </c>
      <c r="J224" s="9" t="n">
        <v>1465</v>
      </c>
      <c r="K224" s="9" t="n">
        <v>872</v>
      </c>
      <c r="L224" s="9" t="n">
        <v>165</v>
      </c>
      <c r="M224" s="10" t="n">
        <f aca="false">IFERROR(G224/F224,"")</f>
        <v>0.0568864915121107</v>
      </c>
      <c r="N224" s="10" t="n">
        <f aca="false">IFERROR(H224/G224,"")</f>
        <v>0.607584830339321</v>
      </c>
      <c r="O224" s="11" t="n">
        <f aca="false">IFERROR(I224/H224,"")</f>
        <v>1.11532812862333</v>
      </c>
      <c r="P224" s="10" t="n">
        <f aca="false">IFERROR(J224/H224,"")</f>
        <v>0.0283102728607869</v>
      </c>
      <c r="Q224" s="10" t="n">
        <f aca="false">IFERROR(K224/H224,"")</f>
        <v>0.0168508927881271</v>
      </c>
      <c r="R224" s="10" t="n">
        <f aca="false">IFERROR(L224/H224,"")</f>
        <v>0.00318852902527634</v>
      </c>
      <c r="S224" s="11" t="n">
        <f aca="false">IFERROR(M224/MEDIAN(INDEX($M$5:$M$627,MATCH($A224-90,$A$5:$A$627,1)):INDEX($M$5:$M$627,MATCH($A224+90,$A$5:$A$627,1))),"")</f>
        <v>0.850839579074434</v>
      </c>
      <c r="T224" s="11" t="n">
        <f aca="false">IFERROR(N224/MEDIAN(INDEX($N$5:$N$627,MATCH($A224-90,$A$5:$A$627,1)):INDEX($N$5:$N$627,MATCH($A224+90,$A$5:$A$627,1))),"")</f>
        <v>1.12906938919719</v>
      </c>
      <c r="U224" s="11" t="n">
        <f aca="false">IFERROR(Q224/MEDIAN(INDEX($Q$5:$Q$627,MATCH($A224-90,$A$5:$A$627,1)):INDEX($Q$5:$Q$627,MATCH($A224+90,$A$5:$A$627,1))),"")</f>
        <v>1.61876482887323</v>
      </c>
    </row>
    <row r="225" customFormat="false" ht="15" hidden="false" customHeight="false" outlineLevel="0" collapsed="false">
      <c r="A225" s="13" t="n">
        <v>45656.4066969213</v>
      </c>
      <c r="B225" s="8" t="n">
        <v>9</v>
      </c>
      <c r="C225" s="8" t="s">
        <v>80</v>
      </c>
      <c r="D225" s="8" t="s">
        <v>291</v>
      </c>
      <c r="E225" s="14" t="s">
        <v>66</v>
      </c>
      <c r="F225" s="9" t="n">
        <v>1083257</v>
      </c>
      <c r="G225" s="9" t="n">
        <v>86117</v>
      </c>
      <c r="H225" s="9" t="n">
        <v>45574</v>
      </c>
      <c r="I225" s="9" t="n">
        <v>47551</v>
      </c>
      <c r="J225" s="9" t="n">
        <v>1055</v>
      </c>
      <c r="K225" s="9" t="n">
        <v>1107</v>
      </c>
      <c r="L225" s="9" t="n">
        <v>116</v>
      </c>
      <c r="M225" s="10" t="n">
        <f aca="false">IFERROR(G225/F225,"")</f>
        <v>0.0794982169512867</v>
      </c>
      <c r="N225" s="10" t="n">
        <f aca="false">IFERROR(H225/G225,"")</f>
        <v>0.529210260459607</v>
      </c>
      <c r="O225" s="11" t="n">
        <f aca="false">IFERROR(I225/H225,"")</f>
        <v>1.04337999736692</v>
      </c>
      <c r="P225" s="10" t="n">
        <f aca="false">IFERROR(J225/H225,"")</f>
        <v>0.0231491639970158</v>
      </c>
      <c r="Q225" s="10" t="n">
        <f aca="false">IFERROR(K225/H225,"")</f>
        <v>0.02429016544521</v>
      </c>
      <c r="R225" s="10" t="n">
        <f aca="false">IFERROR(L225/H225,"")</f>
        <v>0.00254531092289463</v>
      </c>
      <c r="S225" s="11" t="n">
        <f aca="false">IFERROR(M225/MEDIAN(INDEX($M$5:$M$627,MATCH($A225-90,$A$5:$A$627,1)):INDEX($M$5:$M$627,MATCH($A225+90,$A$5:$A$627,1))),"")</f>
        <v>1.19443140938415</v>
      </c>
      <c r="T225" s="11" t="n">
        <f aca="false">IFERROR(N225/MEDIAN(INDEX($N$5:$N$627,MATCH($A225-90,$A$5:$A$627,1)):INDEX($N$5:$N$627,MATCH($A225+90,$A$5:$A$627,1))),"")</f>
        <v>0.983698893754982</v>
      </c>
      <c r="U225" s="11" t="n">
        <f aca="false">IFERROR(Q225/MEDIAN(INDEX($Q$5:$Q$627,MATCH($A225-90,$A$5:$A$627,1)):INDEX($Q$5:$Q$627,MATCH($A225+90,$A$5:$A$627,1))),"")</f>
        <v>2.36978041049069</v>
      </c>
    </row>
    <row r="226" customFormat="false" ht="15" hidden="false" customHeight="false" outlineLevel="0" collapsed="false">
      <c r="A226" s="13" t="n">
        <v>45658.5319297917</v>
      </c>
      <c r="B226" s="8" t="n">
        <v>12</v>
      </c>
      <c r="C226" s="8" t="s">
        <v>71</v>
      </c>
      <c r="D226" s="8" t="s">
        <v>292</v>
      </c>
      <c r="E226" s="14" t="s">
        <v>66</v>
      </c>
      <c r="F226" s="9" t="n">
        <v>34811</v>
      </c>
      <c r="G226" s="9" t="n">
        <v>2728</v>
      </c>
      <c r="H226" s="9" t="n">
        <v>1579</v>
      </c>
      <c r="I226" s="9" t="n">
        <v>1047</v>
      </c>
      <c r="J226" s="9" t="n">
        <v>179</v>
      </c>
      <c r="K226" s="9" t="n">
        <v>68</v>
      </c>
      <c r="L226" s="9" t="n">
        <v>1</v>
      </c>
      <c r="M226" s="10" t="n">
        <f aca="false">IFERROR(G226/F226,"")</f>
        <v>0.078366033724972</v>
      </c>
      <c r="N226" s="10" t="n">
        <f aca="false">IFERROR(H226/G226,"")</f>
        <v>0.578812316715543</v>
      </c>
      <c r="O226" s="11" t="n">
        <f aca="false">IFERROR(I226/H226,"")</f>
        <v>0.66307789740342</v>
      </c>
      <c r="P226" s="10" t="n">
        <f aca="false">IFERROR(J226/H226,"")</f>
        <v>0.113362887903737</v>
      </c>
      <c r="Q226" s="10" t="n">
        <f aca="false">IFERROR(K226/H226,"")</f>
        <v>0.0430652311589614</v>
      </c>
      <c r="R226" s="10" t="n">
        <f aca="false">IFERROR(L226/H226,"")</f>
        <v>0.000633312222925903</v>
      </c>
      <c r="S226" s="11" t="n">
        <f aca="false">IFERROR(M226/MEDIAN(INDEX($M$5:$M$627,MATCH($A226-90,$A$5:$A$627,1)):INDEX($M$5:$M$627,MATCH($A226+90,$A$5:$A$627,1))),"")</f>
        <v>1.18278530559267</v>
      </c>
      <c r="T226" s="11" t="n">
        <f aca="false">IFERROR(N226/MEDIAN(INDEX($N$5:$N$627,MATCH($A226-90,$A$5:$A$627,1)):INDEX($N$5:$N$627,MATCH($A226+90,$A$5:$A$627,1))),"")</f>
        <v>1.07619740556439</v>
      </c>
      <c r="U226" s="11" t="n">
        <f aca="false">IFERROR(Q226/MEDIAN(INDEX($Q$5:$Q$627,MATCH($A226-90,$A$5:$A$627,1)):INDEX($Q$5:$Q$627,MATCH($A226+90,$A$5:$A$627,1))),"")</f>
        <v>4.26802267911386</v>
      </c>
    </row>
    <row r="227" customFormat="false" ht="15" hidden="false" customHeight="false" outlineLevel="0" collapsed="false">
      <c r="A227" s="13" t="n">
        <v>45660.3336337384</v>
      </c>
      <c r="B227" s="8" t="n">
        <v>8</v>
      </c>
      <c r="C227" s="8" t="s">
        <v>84</v>
      </c>
      <c r="D227" s="8" t="s">
        <v>293</v>
      </c>
      <c r="E227" s="14" t="s">
        <v>66</v>
      </c>
      <c r="F227" s="9" t="n">
        <v>106616</v>
      </c>
      <c r="G227" s="9" t="n">
        <v>15855</v>
      </c>
      <c r="H227" s="9" t="n">
        <v>10394</v>
      </c>
      <c r="I227" s="9" t="n">
        <v>5334</v>
      </c>
      <c r="J227" s="9" t="n">
        <v>415</v>
      </c>
      <c r="K227" s="9" t="n">
        <v>45</v>
      </c>
      <c r="L227" s="9" t="n">
        <v>15</v>
      </c>
      <c r="M227" s="10" t="n">
        <f aca="false">IFERROR(G227/F227,"")</f>
        <v>0.148711262849854</v>
      </c>
      <c r="N227" s="10" t="n">
        <f aca="false">IFERROR(H227/G227,"")</f>
        <v>0.655566067486597</v>
      </c>
      <c r="O227" s="11" t="n">
        <f aca="false">IFERROR(I227/H227,"")</f>
        <v>0.513180681162209</v>
      </c>
      <c r="P227" s="10" t="n">
        <f aca="false">IFERROR(J227/H227,"")</f>
        <v>0.0399268808928228</v>
      </c>
      <c r="Q227" s="10" t="n">
        <f aca="false">IFERROR(K227/H227,"")</f>
        <v>0.00432942081970368</v>
      </c>
      <c r="R227" s="10" t="n">
        <f aca="false">IFERROR(L227/H227,"")</f>
        <v>0.00144314027323456</v>
      </c>
      <c r="S227" s="11" t="n">
        <f aca="false">IFERROR(M227/MEDIAN(INDEX($M$5:$M$627,MATCH($A227-90,$A$5:$A$627,1)):INDEX($M$5:$M$627,MATCH($A227+90,$A$5:$A$627,1))),"")</f>
        <v>2.22424383932801</v>
      </c>
      <c r="T227" s="11" t="n">
        <f aca="false">IFERROR(N227/MEDIAN(INDEX($N$5:$N$627,MATCH($A227-90,$A$5:$A$627,1)):INDEX($N$5:$N$627,MATCH($A227+90,$A$5:$A$627,1))),"")</f>
        <v>1.21823248776986</v>
      </c>
      <c r="U227" s="11" t="n">
        <f aca="false">IFERROR(Q227/MEDIAN(INDEX($Q$5:$Q$627,MATCH($A227-90,$A$5:$A$627,1)):INDEX($Q$5:$Q$627,MATCH($A227+90,$A$5:$A$627,1))),"")</f>
        <v>0.429071567681065</v>
      </c>
    </row>
    <row r="228" customFormat="false" ht="15" hidden="false" customHeight="false" outlineLevel="0" collapsed="false">
      <c r="A228" s="13" t="n">
        <v>45662.3238629167</v>
      </c>
      <c r="B228" s="8" t="n">
        <v>7</v>
      </c>
      <c r="C228" s="8" t="s">
        <v>86</v>
      </c>
      <c r="D228" s="8" t="s">
        <v>294</v>
      </c>
      <c r="E228" s="14" t="s">
        <v>66</v>
      </c>
      <c r="F228" s="9" t="n">
        <v>66181</v>
      </c>
      <c r="G228" s="9" t="n">
        <v>1383</v>
      </c>
      <c r="H228" s="9" t="n">
        <v>612</v>
      </c>
      <c r="I228" s="9" t="n">
        <v>541</v>
      </c>
      <c r="J228" s="9" t="n">
        <v>72</v>
      </c>
      <c r="K228" s="9" t="n">
        <v>27</v>
      </c>
      <c r="L228" s="9" t="n">
        <v>8</v>
      </c>
      <c r="M228" s="10" t="n">
        <f aca="false">IFERROR(G228/F228,"")</f>
        <v>0.0208972363669331</v>
      </c>
      <c r="N228" s="10" t="n">
        <f aca="false">IFERROR(H228/G228,"")</f>
        <v>0.442516268980477</v>
      </c>
      <c r="O228" s="11" t="n">
        <f aca="false">IFERROR(I228/H228,"")</f>
        <v>0.883986928104575</v>
      </c>
      <c r="P228" s="10" t="n">
        <f aca="false">IFERROR(J228/H228,"")</f>
        <v>0.117647058823529</v>
      </c>
      <c r="Q228" s="10" t="n">
        <f aca="false">IFERROR(K228/H228,"")</f>
        <v>0.0441176470588235</v>
      </c>
      <c r="R228" s="10" t="n">
        <f aca="false">IFERROR(L228/H228,"")</f>
        <v>0.0130718954248366</v>
      </c>
      <c r="S228" s="11" t="n">
        <f aca="false">IFERROR(M228/MEDIAN(INDEX($M$5:$M$627,MATCH($A228-90,$A$5:$A$627,1)):INDEX($M$5:$M$627,MATCH($A228+90,$A$5:$A$627,1))),"")</f>
        <v>0.31128738738929</v>
      </c>
      <c r="T228" s="11" t="n">
        <f aca="false">IFERROR(N228/MEDIAN(INDEX($N$5:$N$627,MATCH($A228-90,$A$5:$A$627,1)):INDEX($N$5:$N$627,MATCH($A228+90,$A$5:$A$627,1))),"")</f>
        <v>0.822551633610858</v>
      </c>
      <c r="U228" s="11" t="n">
        <f aca="false">IFERROR(Q228/MEDIAN(INDEX($Q$5:$Q$627,MATCH($A228-90,$A$5:$A$627,1)):INDEX($Q$5:$Q$627,MATCH($A228+90,$A$5:$A$627,1))),"")</f>
        <v>4.55341745818849</v>
      </c>
    </row>
    <row r="229" customFormat="false" ht="15" hidden="false" customHeight="false" outlineLevel="0" collapsed="false">
      <c r="A229" s="13" t="n">
        <v>45664.3379899884</v>
      </c>
      <c r="B229" s="8" t="n">
        <v>8</v>
      </c>
      <c r="C229" s="8" t="s">
        <v>64</v>
      </c>
      <c r="D229" s="8" t="s">
        <v>295</v>
      </c>
      <c r="E229" s="14" t="s">
        <v>66</v>
      </c>
      <c r="F229" s="9" t="n">
        <v>1168501</v>
      </c>
      <c r="G229" s="9" t="n">
        <v>93215</v>
      </c>
      <c r="H229" s="9" t="n">
        <v>57965</v>
      </c>
      <c r="I229" s="9" t="n">
        <v>55733</v>
      </c>
      <c r="J229" s="9" t="n">
        <v>1085</v>
      </c>
      <c r="K229" s="9" t="n">
        <v>1007</v>
      </c>
      <c r="L229" s="9" t="n">
        <v>162</v>
      </c>
      <c r="M229" s="10" t="n">
        <f aca="false">IFERROR(G229/F229,"")</f>
        <v>0.0797731452519082</v>
      </c>
      <c r="N229" s="10" t="n">
        <f aca="false">IFERROR(H229/G229,"")</f>
        <v>0.621841978222389</v>
      </c>
      <c r="O229" s="11" t="n">
        <f aca="false">IFERROR(I229/H229,"")</f>
        <v>0.961494005003019</v>
      </c>
      <c r="P229" s="10" t="n">
        <f aca="false">IFERROR(J229/H229,"")</f>
        <v>0.0187181920124213</v>
      </c>
      <c r="Q229" s="10" t="n">
        <f aca="false">IFERROR(K229/H229,"")</f>
        <v>0.0173725524023117</v>
      </c>
      <c r="R229" s="10" t="n">
        <f aca="false">IFERROR(L229/H229,"")</f>
        <v>0.00279478995945829</v>
      </c>
      <c r="S229" s="11" t="n">
        <f aca="false">IFERROR(M229/MEDIAN(INDEX($M$5:$M$627,MATCH($A229-90,$A$5:$A$627,1)):INDEX($M$5:$M$627,MATCH($A229+90,$A$5:$A$627,1))),"")</f>
        <v>1.18350656352491</v>
      </c>
      <c r="T229" s="11" t="n">
        <f aca="false">IFERROR(N229/MEDIAN(INDEX($N$5:$N$627,MATCH($A229-90,$A$5:$A$627,1)):INDEX($N$5:$N$627,MATCH($A229+90,$A$5:$A$627,1))),"")</f>
        <v>1.15556331802527</v>
      </c>
      <c r="U229" s="11" t="n">
        <f aca="false">IFERROR(Q229/MEDIAN(INDEX($Q$5:$Q$627,MATCH($A229-90,$A$5:$A$627,1)):INDEX($Q$5:$Q$627,MATCH($A229+90,$A$5:$A$627,1))),"")</f>
        <v>1.85251544366959</v>
      </c>
    </row>
    <row r="230" customFormat="false" ht="15" hidden="false" customHeight="false" outlineLevel="0" collapsed="false">
      <c r="A230" s="13" t="n">
        <v>45666.3254387732</v>
      </c>
      <c r="B230" s="8" t="n">
        <v>7</v>
      </c>
      <c r="C230" s="8" t="s">
        <v>73</v>
      </c>
      <c r="D230" s="8" t="s">
        <v>296</v>
      </c>
      <c r="E230" s="14" t="s">
        <v>66</v>
      </c>
      <c r="F230" s="9" t="n">
        <v>1631037</v>
      </c>
      <c r="G230" s="9" t="n">
        <v>239992</v>
      </c>
      <c r="H230" s="9" t="n">
        <v>129842</v>
      </c>
      <c r="I230" s="9" t="n">
        <v>116331</v>
      </c>
      <c r="J230" s="9" t="n">
        <v>2131</v>
      </c>
      <c r="K230" s="9" t="n">
        <v>1693</v>
      </c>
      <c r="L230" s="9" t="n">
        <v>296</v>
      </c>
      <c r="M230" s="10" t="n">
        <f aca="false">IFERROR(G230/F230,"")</f>
        <v>0.147140745427602</v>
      </c>
      <c r="N230" s="10" t="n">
        <f aca="false">IFERROR(H230/G230,"")</f>
        <v>0.541026367545585</v>
      </c>
      <c r="O230" s="11" t="n">
        <f aca="false">IFERROR(I230/H230,"")</f>
        <v>0.895942761202076</v>
      </c>
      <c r="P230" s="10" t="n">
        <f aca="false">IFERROR(J230/H230,"")</f>
        <v>0.0164122548944101</v>
      </c>
      <c r="Q230" s="10" t="n">
        <f aca="false">IFERROR(K230/H230,"")</f>
        <v>0.0130389242309884</v>
      </c>
      <c r="R230" s="10" t="n">
        <f aca="false">IFERROR(L230/H230,"")</f>
        <v>0.00227969378167311</v>
      </c>
      <c r="S230" s="11" t="n">
        <f aca="false">IFERROR(M230/MEDIAN(INDEX($M$5:$M$627,MATCH($A230-90,$A$5:$A$627,1)):INDEX($M$5:$M$627,MATCH($A230+90,$A$5:$A$627,1))),"")</f>
        <v>2.17827089469214</v>
      </c>
      <c r="T230" s="11" t="n">
        <f aca="false">IFERROR(N230/MEDIAN(INDEX($N$5:$N$627,MATCH($A230-90,$A$5:$A$627,1)):INDEX($N$5:$N$627,MATCH($A230+90,$A$5:$A$627,1))),"")</f>
        <v>1.00538440040236</v>
      </c>
      <c r="U230" s="11" t="n">
        <f aca="false">IFERROR(Q230/MEDIAN(INDEX($Q$5:$Q$627,MATCH($A230-90,$A$5:$A$627,1)):INDEX($Q$5:$Q$627,MATCH($A230+90,$A$5:$A$627,1))),"")</f>
        <v>1.39318070859366</v>
      </c>
    </row>
    <row r="231" customFormat="false" ht="15" hidden="false" customHeight="false" outlineLevel="0" collapsed="false">
      <c r="A231" s="13" t="n">
        <v>45670.3780123264</v>
      </c>
      <c r="B231" s="8" t="n">
        <v>9</v>
      </c>
      <c r="C231" s="8" t="s">
        <v>80</v>
      </c>
      <c r="D231" s="8" t="s">
        <v>297</v>
      </c>
      <c r="E231" s="14" t="s">
        <v>66</v>
      </c>
      <c r="F231" s="9" t="n">
        <v>1015221</v>
      </c>
      <c r="G231" s="9" t="n">
        <v>32475</v>
      </c>
      <c r="H231" s="9" t="n">
        <v>15264</v>
      </c>
      <c r="I231" s="9" t="n">
        <v>16157</v>
      </c>
      <c r="J231" s="9" t="n">
        <v>512</v>
      </c>
      <c r="K231" s="9" t="n">
        <v>321</v>
      </c>
      <c r="L231" s="9" t="n">
        <v>77</v>
      </c>
      <c r="M231" s="10" t="n">
        <f aca="false">IFERROR(G231/F231,"")</f>
        <v>0.0319881089930173</v>
      </c>
      <c r="N231" s="10" t="n">
        <f aca="false">IFERROR(H231/G231,"")</f>
        <v>0.470023094688222</v>
      </c>
      <c r="O231" s="11" t="n">
        <f aca="false">IFERROR(I231/H231,"")</f>
        <v>1.0585036687631</v>
      </c>
      <c r="P231" s="10" t="n">
        <f aca="false">IFERROR(J231/H231,"")</f>
        <v>0.0335429769392034</v>
      </c>
      <c r="Q231" s="10" t="n">
        <f aca="false">IFERROR(K231/H231,"")</f>
        <v>0.0210298742138365</v>
      </c>
      <c r="R231" s="10" t="n">
        <f aca="false">IFERROR(L231/H231,"")</f>
        <v>0.00504454926624738</v>
      </c>
      <c r="S231" s="11" t="n">
        <f aca="false">IFERROR(M231/MEDIAN(INDEX($M$5:$M$627,MATCH($A231-90,$A$5:$A$627,1)):INDEX($M$5:$M$627,MATCH($A231+90,$A$5:$A$627,1))),"")</f>
        <v>0.468466259902561</v>
      </c>
      <c r="T231" s="11" t="n">
        <f aca="false">IFERROR(N231/MEDIAN(INDEX($N$5:$N$627,MATCH($A231-90,$A$5:$A$627,1)):INDEX($N$5:$N$627,MATCH($A231+90,$A$5:$A$627,1))),"")</f>
        <v>0.873681469974801</v>
      </c>
      <c r="U231" s="11" t="n">
        <f aca="false">IFERROR(Q231/MEDIAN(INDEX($Q$5:$Q$627,MATCH($A231-90,$A$5:$A$627,1)):INDEX($Q$5:$Q$627,MATCH($A231+90,$A$5:$A$627,1))),"")</f>
        <v>2.24475220646149</v>
      </c>
    </row>
    <row r="232" customFormat="false" ht="15" hidden="false" customHeight="false" outlineLevel="0" collapsed="false">
      <c r="A232" s="13" t="n">
        <v>45672.334294456</v>
      </c>
      <c r="B232" s="8" t="n">
        <v>8</v>
      </c>
      <c r="C232" s="8" t="s">
        <v>71</v>
      </c>
      <c r="D232" s="8" t="s">
        <v>298</v>
      </c>
      <c r="E232" s="14" t="s">
        <v>66</v>
      </c>
      <c r="F232" s="9" t="n">
        <v>2205470</v>
      </c>
      <c r="G232" s="9" t="n">
        <v>116503</v>
      </c>
      <c r="H232" s="9" t="n">
        <v>75231</v>
      </c>
      <c r="I232" s="9" t="n">
        <v>92514</v>
      </c>
      <c r="J232" s="9" t="n">
        <v>2085</v>
      </c>
      <c r="K232" s="9" t="n">
        <v>1381</v>
      </c>
      <c r="L232" s="9" t="n">
        <v>399</v>
      </c>
      <c r="M232" s="10" t="n">
        <f aca="false">IFERROR(G232/F232,"")</f>
        <v>0.0528245680059126</v>
      </c>
      <c r="N232" s="10" t="n">
        <f aca="false">IFERROR(H232/G232,"")</f>
        <v>0.64574302807653</v>
      </c>
      <c r="O232" s="11" t="n">
        <f aca="false">IFERROR(I232/H232,"")</f>
        <v>1.22973242413367</v>
      </c>
      <c r="P232" s="10" t="n">
        <f aca="false">IFERROR(J232/H232,"")</f>
        <v>0.0277146389121506</v>
      </c>
      <c r="Q232" s="10" t="n">
        <f aca="false">IFERROR(K232/H232,"")</f>
        <v>0.0183567944065611</v>
      </c>
      <c r="R232" s="10" t="n">
        <f aca="false">IFERROR(L232/H232,"")</f>
        <v>0.00530366471268493</v>
      </c>
      <c r="S232" s="11" t="n">
        <f aca="false">IFERROR(M232/MEDIAN(INDEX($M$5:$M$627,MATCH($A232-90,$A$5:$A$627,1)):INDEX($M$5:$M$627,MATCH($A232+90,$A$5:$A$627,1))),"")</f>
        <v>0.760688643632362</v>
      </c>
      <c r="T232" s="11" t="n">
        <f aca="false">IFERROR(N232/MEDIAN(INDEX($N$5:$N$627,MATCH($A232-90,$A$5:$A$627,1)):INDEX($N$5:$N$627,MATCH($A232+90,$A$5:$A$627,1))),"")</f>
        <v>1.20253720182569</v>
      </c>
      <c r="U232" s="11" t="n">
        <f aca="false">IFERROR(Q232/MEDIAN(INDEX($Q$5:$Q$627,MATCH($A232-90,$A$5:$A$627,1)):INDEX($Q$5:$Q$627,MATCH($A232+90,$A$5:$A$627,1))),"")</f>
        <v>1.95942468931062</v>
      </c>
    </row>
    <row r="233" customFormat="false" ht="15" hidden="false" customHeight="false" outlineLevel="0" collapsed="false">
      <c r="A233" s="13" t="n">
        <v>45674.3874206134</v>
      </c>
      <c r="B233" s="8" t="n">
        <v>9</v>
      </c>
      <c r="C233" s="8" t="s">
        <v>84</v>
      </c>
      <c r="D233" s="8" t="s">
        <v>299</v>
      </c>
      <c r="E233" s="14" t="s">
        <v>66</v>
      </c>
      <c r="F233" s="9" t="n">
        <v>1000268</v>
      </c>
      <c r="G233" s="9" t="n">
        <v>115732</v>
      </c>
      <c r="H233" s="9" t="n">
        <v>53421</v>
      </c>
      <c r="I233" s="9" t="n">
        <v>73179</v>
      </c>
      <c r="J233" s="9" t="n">
        <v>1284</v>
      </c>
      <c r="K233" s="9" t="n">
        <v>725</v>
      </c>
      <c r="L233" s="9" t="n">
        <v>178</v>
      </c>
      <c r="M233" s="10" t="n">
        <f aca="false">IFERROR(G233/F233,"")</f>
        <v>0.115700992134108</v>
      </c>
      <c r="N233" s="10" t="n">
        <f aca="false">IFERROR(H233/G233,"")</f>
        <v>0.461592299450455</v>
      </c>
      <c r="O233" s="11" t="n">
        <f aca="false">IFERROR(I233/H233,"")</f>
        <v>1.36985455158084</v>
      </c>
      <c r="P233" s="10" t="n">
        <f aca="false">IFERROR(J233/H233,"")</f>
        <v>0.0240354916605829</v>
      </c>
      <c r="Q233" s="10" t="n">
        <f aca="false">IFERROR(K233/H233,"")</f>
        <v>0.0135714419423073</v>
      </c>
      <c r="R233" s="10" t="n">
        <f aca="false">IFERROR(L233/H233,"")</f>
        <v>0.00333202298721477</v>
      </c>
      <c r="S233" s="11" t="n">
        <f aca="false">IFERROR(M233/MEDIAN(INDEX($M$5:$M$627,MATCH($A233-90,$A$5:$A$627,1)):INDEX($M$5:$M$627,MATCH($A233+90,$A$5:$A$627,1))),"")</f>
        <v>1.65010903588034</v>
      </c>
      <c r="T233" s="11" t="n">
        <f aca="false">IFERROR(N233/MEDIAN(INDEX($N$5:$N$627,MATCH($A233-90,$A$5:$A$627,1)):INDEX($N$5:$N$627,MATCH($A233+90,$A$5:$A$627,1))),"")</f>
        <v>0.859601866424877</v>
      </c>
      <c r="U233" s="11" t="n">
        <f aca="false">IFERROR(Q233/MEDIAN(INDEX($Q$5:$Q$627,MATCH($A233-90,$A$5:$A$627,1)):INDEX($Q$5:$Q$627,MATCH($A233+90,$A$5:$A$627,1))),"")</f>
        <v>1.44863083512</v>
      </c>
    </row>
    <row r="234" customFormat="false" ht="15" hidden="false" customHeight="false" outlineLevel="0" collapsed="false">
      <c r="A234" s="13" t="n">
        <v>45677.3967803009</v>
      </c>
      <c r="B234" s="8" t="n">
        <v>9</v>
      </c>
      <c r="C234" s="8" t="s">
        <v>80</v>
      </c>
      <c r="D234" s="8" t="s">
        <v>300</v>
      </c>
      <c r="E234" s="14" t="s">
        <v>66</v>
      </c>
      <c r="F234" s="9" t="n">
        <v>511351</v>
      </c>
      <c r="G234" s="9" t="n">
        <v>104826</v>
      </c>
      <c r="H234" s="9" t="n">
        <v>41999</v>
      </c>
      <c r="I234" s="9" t="n">
        <v>20274</v>
      </c>
      <c r="J234" s="9" t="n">
        <v>1662</v>
      </c>
      <c r="K234" s="9" t="n">
        <v>392</v>
      </c>
      <c r="L234" s="9" t="n">
        <v>169</v>
      </c>
      <c r="M234" s="10" t="n">
        <f aca="false">IFERROR(G234/F234,"")</f>
        <v>0.204998132398294</v>
      </c>
      <c r="N234" s="10" t="n">
        <f aca="false">IFERROR(H234/G234,"")</f>
        <v>0.400654417797111</v>
      </c>
      <c r="O234" s="11" t="n">
        <f aca="false">IFERROR(I234/H234,"")</f>
        <v>0.482725779185219</v>
      </c>
      <c r="P234" s="10" t="n">
        <f aca="false">IFERROR(J234/H234,"")</f>
        <v>0.0395723707707326</v>
      </c>
      <c r="Q234" s="10" t="n">
        <f aca="false">IFERROR(K234/H234,"")</f>
        <v>0.00933355556084669</v>
      </c>
      <c r="R234" s="10" t="n">
        <f aca="false">IFERROR(L234/H234,"")</f>
        <v>0.00402390533107931</v>
      </c>
      <c r="S234" s="11" t="n">
        <f aca="false">IFERROR(M234/MEDIAN(INDEX($M$5:$M$627,MATCH($A234-90,$A$5:$A$627,1)):INDEX($M$5:$M$627,MATCH($A234+90,$A$5:$A$627,1))),"")</f>
        <v>2.95203079112301</v>
      </c>
      <c r="T234" s="11" t="n">
        <f aca="false">IFERROR(N234/MEDIAN(INDEX($N$5:$N$627,MATCH($A234-90,$A$5:$A$627,1)):INDEX($N$5:$N$627,MATCH($A234+90,$A$5:$A$627,1))),"")</f>
        <v>0.74473859827052</v>
      </c>
      <c r="U234" s="11" t="n">
        <f aca="false">IFERROR(Q234/MEDIAN(INDEX($Q$5:$Q$627,MATCH($A234-90,$A$5:$A$627,1)):INDEX($Q$5:$Q$627,MATCH($A234+90,$A$5:$A$627,1))),"")</f>
        <v>0.998633195063331</v>
      </c>
    </row>
    <row r="235" customFormat="false" ht="15" hidden="false" customHeight="false" outlineLevel="0" collapsed="false">
      <c r="A235" s="13" t="n">
        <v>45679.2953454861</v>
      </c>
      <c r="B235" s="8" t="n">
        <v>7</v>
      </c>
      <c r="C235" s="8" t="s">
        <v>71</v>
      </c>
      <c r="D235" s="8" t="s">
        <v>301</v>
      </c>
      <c r="E235" s="14" t="s">
        <v>66</v>
      </c>
      <c r="F235" s="9" t="n">
        <v>625307</v>
      </c>
      <c r="G235" s="9" t="n">
        <v>37545</v>
      </c>
      <c r="H235" s="9" t="n">
        <v>14043</v>
      </c>
      <c r="I235" s="9" t="n">
        <v>12060</v>
      </c>
      <c r="J235" s="9" t="n">
        <v>615</v>
      </c>
      <c r="K235" s="9" t="n">
        <v>149</v>
      </c>
      <c r="L235" s="9" t="n">
        <v>58</v>
      </c>
      <c r="M235" s="10" t="n">
        <f aca="false">IFERROR(G235/F235,"")</f>
        <v>0.0600425071205024</v>
      </c>
      <c r="N235" s="10" t="n">
        <f aca="false">IFERROR(H235/G235,"")</f>
        <v>0.374031162604874</v>
      </c>
      <c r="O235" s="11" t="n">
        <f aca="false">IFERROR(I235/H235,"")</f>
        <v>0.858790856654561</v>
      </c>
      <c r="P235" s="10" t="n">
        <f aca="false">IFERROR(J235/H235,"")</f>
        <v>0.043794061098056</v>
      </c>
      <c r="Q235" s="10" t="n">
        <f aca="false">IFERROR(K235/H235,"")</f>
        <v>0.010610268461155</v>
      </c>
      <c r="R235" s="10" t="n">
        <f aca="false">IFERROR(L235/H235,"")</f>
        <v>0.00413017161575162</v>
      </c>
      <c r="S235" s="11" t="n">
        <f aca="false">IFERROR(M235/MEDIAN(INDEX($M$5:$M$627,MATCH($A235-90,$A$5:$A$627,1)):INDEX($M$5:$M$627,MATCH($A235+90,$A$5:$A$627,1))),"")</f>
        <v>0.864628997944086</v>
      </c>
      <c r="T235" s="11" t="n">
        <f aca="false">IFERROR(N235/MEDIAN(INDEX($N$5:$N$627,MATCH($A235-90,$A$5:$A$627,1)):INDEX($N$5:$N$627,MATCH($A235+90,$A$5:$A$627,1))),"")</f>
        <v>0.695251147558556</v>
      </c>
      <c r="U235" s="11" t="n">
        <f aca="false">IFERROR(Q235/MEDIAN(INDEX($Q$5:$Q$627,MATCH($A235-90,$A$5:$A$627,1)):INDEX($Q$5:$Q$627,MATCH($A235+90,$A$5:$A$627,1))),"")</f>
        <v>1.13523364432426</v>
      </c>
    </row>
    <row r="236" customFormat="false" ht="15" hidden="false" customHeight="false" outlineLevel="0" collapsed="false">
      <c r="A236" s="13" t="n">
        <v>45681.351603206</v>
      </c>
      <c r="B236" s="8" t="n">
        <v>8</v>
      </c>
      <c r="C236" s="8" t="s">
        <v>84</v>
      </c>
      <c r="D236" s="8" t="s">
        <v>302</v>
      </c>
      <c r="E236" s="14" t="s">
        <v>66</v>
      </c>
      <c r="F236" s="9" t="n">
        <v>1314772</v>
      </c>
      <c r="G236" s="9" t="n">
        <v>65482</v>
      </c>
      <c r="H236" s="9" t="n">
        <v>42171</v>
      </c>
      <c r="I236" s="9" t="n">
        <v>51529</v>
      </c>
      <c r="J236" s="9" t="n">
        <v>1208</v>
      </c>
      <c r="K236" s="9" t="n">
        <v>856</v>
      </c>
      <c r="L236" s="9" t="n">
        <v>134</v>
      </c>
      <c r="M236" s="10" t="n">
        <f aca="false">IFERROR(G236/F236,"")</f>
        <v>0.0498048330813251</v>
      </c>
      <c r="N236" s="10" t="n">
        <f aca="false">IFERROR(H236/G236,"")</f>
        <v>0.644009040652393</v>
      </c>
      <c r="O236" s="11" t="n">
        <f aca="false">IFERROR(I236/H236,"")</f>
        <v>1.22190604918072</v>
      </c>
      <c r="P236" s="10" t="n">
        <f aca="false">IFERROR(J236/H236,"")</f>
        <v>0.0286452775604088</v>
      </c>
      <c r="Q236" s="10" t="n">
        <f aca="false">IFERROR(K236/H236,"")</f>
        <v>0.0202983092646605</v>
      </c>
      <c r="R236" s="10" t="n">
        <f aca="false">IFERROR(L236/H236,"")</f>
        <v>0.00317753906713144</v>
      </c>
      <c r="S236" s="11" t="n">
        <f aca="false">IFERROR(M236/MEDIAN(INDEX($M$5:$M$627,MATCH($A236-90,$A$5:$A$627,1)):INDEX($M$5:$M$627,MATCH($A236+90,$A$5:$A$627,1))),"")</f>
        <v>0.71720361099269</v>
      </c>
      <c r="T236" s="11" t="n">
        <f aca="false">IFERROR(N236/MEDIAN(INDEX($N$5:$N$627,MATCH($A236-90,$A$5:$A$627,1)):INDEX($N$5:$N$627,MATCH($A236+90,$A$5:$A$627,1))),"")</f>
        <v>1.19930807770919</v>
      </c>
      <c r="U236" s="11" t="n">
        <f aca="false">IFERROR(Q236/MEDIAN(INDEX($Q$5:$Q$627,MATCH($A236-90,$A$5:$A$627,1)):INDEX($Q$5:$Q$627,MATCH($A236+90,$A$5:$A$627,1))),"")</f>
        <v>2.1717945860187</v>
      </c>
    </row>
    <row r="237" customFormat="false" ht="15" hidden="false" customHeight="false" outlineLevel="0" collapsed="false">
      <c r="A237" s="13" t="n">
        <v>45682.3297885417</v>
      </c>
      <c r="B237" s="8" t="n">
        <v>7</v>
      </c>
      <c r="C237" s="8" t="s">
        <v>68</v>
      </c>
      <c r="D237" s="8" t="s">
        <v>303</v>
      </c>
      <c r="E237" s="14" t="s">
        <v>66</v>
      </c>
      <c r="F237" s="9" t="n">
        <v>1053915</v>
      </c>
      <c r="G237" s="9" t="n">
        <v>114645</v>
      </c>
      <c r="H237" s="9" t="n">
        <v>71822</v>
      </c>
      <c r="I237" s="9" t="n">
        <v>98455</v>
      </c>
      <c r="J237" s="9" t="n">
        <v>2530</v>
      </c>
      <c r="K237" s="9" t="n">
        <v>518</v>
      </c>
      <c r="L237" s="9" t="n">
        <v>702</v>
      </c>
      <c r="M237" s="10" t="n">
        <f aca="false">IFERROR(G237/F237,"")</f>
        <v>0.108780119838886</v>
      </c>
      <c r="N237" s="10" t="n">
        <f aca="false">IFERROR(H237/G237,"")</f>
        <v>0.626473025426316</v>
      </c>
      <c r="O237" s="11" t="n">
        <f aca="false">IFERROR(I237/H237,"")</f>
        <v>1.37081952605051</v>
      </c>
      <c r="P237" s="10" t="n">
        <f aca="false">IFERROR(J237/H237,"")</f>
        <v>0.035225975327894</v>
      </c>
      <c r="Q237" s="10" t="n">
        <f aca="false">IFERROR(K237/H237,"")</f>
        <v>0.00721227479045418</v>
      </c>
      <c r="R237" s="10" t="n">
        <f aca="false">IFERROR(L237/H237,"")</f>
        <v>0.0097741639052101</v>
      </c>
      <c r="S237" s="11" t="n">
        <f aca="false">IFERROR(M237/MEDIAN(INDEX($M$5:$M$627,MATCH($A237-90,$A$5:$A$627,1)):INDEX($M$5:$M$627,MATCH($A237+90,$A$5:$A$627,1))),"")</f>
        <v>1.57615958253769</v>
      </c>
      <c r="T237" s="11" t="n">
        <f aca="false">IFERROR(N237/MEDIAN(INDEX($N$5:$N$627,MATCH($A237-90,$A$5:$A$627,1)):INDEX($N$5:$N$627,MATCH($A237+90,$A$5:$A$627,1))),"")</f>
        <v>1.1684950302682</v>
      </c>
      <c r="U237" s="11" t="n">
        <f aca="false">IFERROR(Q237/MEDIAN(INDEX($Q$5:$Q$627,MATCH($A237-90,$A$5:$A$627,1)):INDEX($Q$5:$Q$627,MATCH($A237+90,$A$5:$A$627,1))),"")</f>
        <v>0.770615882501789</v>
      </c>
    </row>
    <row r="238" customFormat="false" ht="15" hidden="false" customHeight="false" outlineLevel="0" collapsed="false">
      <c r="A238" s="13" t="n">
        <v>45684.3916087037</v>
      </c>
      <c r="B238" s="8" t="n">
        <v>9</v>
      </c>
      <c r="C238" s="8" t="s">
        <v>80</v>
      </c>
      <c r="D238" s="8" t="s">
        <v>304</v>
      </c>
      <c r="E238" s="14" t="s">
        <v>66</v>
      </c>
      <c r="F238" s="9" t="n">
        <v>4016806</v>
      </c>
      <c r="G238" s="9" t="n">
        <v>282639</v>
      </c>
      <c r="H238" s="9" t="n">
        <v>179496</v>
      </c>
      <c r="I238" s="9" t="n">
        <v>194726</v>
      </c>
      <c r="J238" s="9" t="n">
        <v>10060</v>
      </c>
      <c r="K238" s="9" t="n">
        <v>6844</v>
      </c>
      <c r="L238" s="9" t="n">
        <v>756</v>
      </c>
      <c r="M238" s="10" t="n">
        <f aca="false">IFERROR(G238/F238,"")</f>
        <v>0.0703641151701128</v>
      </c>
      <c r="N238" s="10" t="n">
        <f aca="false">IFERROR(H238/G238,"")</f>
        <v>0.635071593092248</v>
      </c>
      <c r="O238" s="11" t="n">
        <f aca="false">IFERROR(I238/H238,"")</f>
        <v>1.08484868743593</v>
      </c>
      <c r="P238" s="10" t="n">
        <f aca="false">IFERROR(J238/H238,"")</f>
        <v>0.0560458171769844</v>
      </c>
      <c r="Q238" s="10" t="n">
        <f aca="false">IFERROR(K238/H238,"")</f>
        <v>0.0381289833756741</v>
      </c>
      <c r="R238" s="10" t="n">
        <f aca="false">IFERROR(L238/H238,"")</f>
        <v>0.00421179302045728</v>
      </c>
      <c r="S238" s="11" t="n">
        <f aca="false">IFERROR(M238/MEDIAN(INDEX($M$5:$M$627,MATCH($A238-90,$A$5:$A$627,1)):INDEX($M$5:$M$627,MATCH($A238+90,$A$5:$A$627,1))),"")</f>
        <v>1.0195344016574</v>
      </c>
      <c r="T238" s="11" t="n">
        <f aca="false">IFERROR(N238/MEDIAN(INDEX($N$5:$N$627,MATCH($A238-90,$A$5:$A$627,1)):INDEX($N$5:$N$627,MATCH($A238+90,$A$5:$A$627,1))),"")</f>
        <v>1.18884459634523</v>
      </c>
      <c r="U238" s="11" t="n">
        <f aca="false">IFERROR(Q238/MEDIAN(INDEX($Q$5:$Q$627,MATCH($A238-90,$A$5:$A$627,1)):INDEX($Q$5:$Q$627,MATCH($A238+90,$A$5:$A$627,1))),"")</f>
        <v>4.0658694772714</v>
      </c>
    </row>
    <row r="239" customFormat="false" ht="15" hidden="false" customHeight="false" outlineLevel="0" collapsed="false">
      <c r="A239" s="13" t="n">
        <v>45686.4463797917</v>
      </c>
      <c r="B239" s="8" t="n">
        <v>10</v>
      </c>
      <c r="C239" s="8" t="s">
        <v>71</v>
      </c>
      <c r="D239" s="8" t="s">
        <v>305</v>
      </c>
      <c r="E239" s="14" t="s">
        <v>66</v>
      </c>
      <c r="F239" s="9" t="n">
        <v>72583</v>
      </c>
      <c r="G239" s="9" t="n">
        <v>1009</v>
      </c>
      <c r="H239" s="9" t="n">
        <v>539</v>
      </c>
      <c r="I239" s="9" t="n">
        <v>593</v>
      </c>
      <c r="J239" s="9" t="n">
        <v>87</v>
      </c>
      <c r="K239" s="9" t="n">
        <v>10</v>
      </c>
      <c r="L239" s="9" t="n">
        <v>8</v>
      </c>
      <c r="M239" s="10" t="n">
        <f aca="false">IFERROR(G239/F239,"")</f>
        <v>0.0139013267569541</v>
      </c>
      <c r="N239" s="10" t="n">
        <f aca="false">IFERROR(H239/G239,"")</f>
        <v>0.534192269573836</v>
      </c>
      <c r="O239" s="11" t="n">
        <f aca="false">IFERROR(I239/H239,"")</f>
        <v>1.10018552875696</v>
      </c>
      <c r="P239" s="10" t="n">
        <f aca="false">IFERROR(J239/H239,"")</f>
        <v>0.161410018552876</v>
      </c>
      <c r="Q239" s="10" t="n">
        <f aca="false">IFERROR(K239/H239,"")</f>
        <v>0.0185528756957328</v>
      </c>
      <c r="R239" s="10" t="n">
        <f aca="false">IFERROR(L239/H239,"")</f>
        <v>0.0148423005565863</v>
      </c>
      <c r="S239" s="11" t="n">
        <f aca="false">IFERROR(M239/MEDIAN(INDEX($M$5:$M$627,MATCH($A239-90,$A$5:$A$627,1)):INDEX($M$5:$M$627,MATCH($A239+90,$A$5:$A$627,1))),"")</f>
        <v>0.198959182524953</v>
      </c>
      <c r="T239" s="11" t="n">
        <f aca="false">IFERROR(N239/MEDIAN(INDEX($N$5:$N$627,MATCH($A239-90,$A$5:$A$627,1)):INDEX($N$5:$N$627,MATCH($A239+90,$A$5:$A$627,1))),"")</f>
        <v>0.996373326337473</v>
      </c>
      <c r="U239" s="11" t="n">
        <f aca="false">IFERROR(Q239/MEDIAN(INDEX($Q$5:$Q$627,MATCH($A239-90,$A$5:$A$627,1)):INDEX($Q$5:$Q$627,MATCH($A239+90,$A$5:$A$627,1))),"")</f>
        <v>1.97837876409305</v>
      </c>
    </row>
    <row r="240" customFormat="false" ht="15" hidden="false" customHeight="false" outlineLevel="0" collapsed="false">
      <c r="A240" s="13" t="n">
        <v>45688.3826849306</v>
      </c>
      <c r="B240" s="8" t="n">
        <v>9</v>
      </c>
      <c r="C240" s="8" t="s">
        <v>84</v>
      </c>
      <c r="D240" s="8" t="s">
        <v>306</v>
      </c>
      <c r="E240" s="14" t="s">
        <v>66</v>
      </c>
      <c r="F240" s="9" t="n">
        <v>887543</v>
      </c>
      <c r="G240" s="9" t="n">
        <v>59824</v>
      </c>
      <c r="H240" s="9" t="n">
        <v>35996</v>
      </c>
      <c r="I240" s="9" t="n">
        <v>52606</v>
      </c>
      <c r="J240" s="9" t="n">
        <v>1440</v>
      </c>
      <c r="K240" s="9" t="n">
        <v>230</v>
      </c>
      <c r="L240" s="9" t="n">
        <v>319</v>
      </c>
      <c r="M240" s="10" t="n">
        <f aca="false">IFERROR(G240/F240,"")</f>
        <v>0.067404058169576</v>
      </c>
      <c r="N240" s="10" t="n">
        <f aca="false">IFERROR(H240/G240,"")</f>
        <v>0.601698315057502</v>
      </c>
      <c r="O240" s="11" t="n">
        <f aca="false">IFERROR(I240/H240,"")</f>
        <v>1.46144016001778</v>
      </c>
      <c r="P240" s="10" t="n">
        <f aca="false">IFERROR(J240/H240,"")</f>
        <v>0.0400044449383265</v>
      </c>
      <c r="Q240" s="10" t="n">
        <f aca="false">IFERROR(K240/H240,"")</f>
        <v>0.00638959884431604</v>
      </c>
      <c r="R240" s="10" t="n">
        <f aca="false">IFERROR(L240/H240,"")</f>
        <v>0.00886209578842094</v>
      </c>
      <c r="S240" s="11" t="n">
        <f aca="false">IFERROR(M240/MEDIAN(INDEX($M$5:$M$627,MATCH($A240-90,$A$5:$A$627,1)):INDEX($M$5:$M$627,MATCH($A240+90,$A$5:$A$627,1))),"")</f>
        <v>0.964703337080727</v>
      </c>
      <c r="T240" s="11" t="n">
        <f aca="false">IFERROR(N240/MEDIAN(INDEX($N$5:$N$627,MATCH($A240-90,$A$5:$A$627,1)):INDEX($N$5:$N$627,MATCH($A240+90,$A$5:$A$627,1))),"")</f>
        <v>1.12228533764402</v>
      </c>
      <c r="U240" s="11" t="n">
        <f aca="false">IFERROR(Q240/MEDIAN(INDEX($Q$5:$Q$627,MATCH($A240-90,$A$5:$A$627,1)):INDEX($Q$5:$Q$627,MATCH($A240+90,$A$5:$A$627,1))),"")</f>
        <v>0.682714746082898</v>
      </c>
    </row>
    <row r="241" customFormat="false" ht="15" hidden="false" customHeight="false" outlineLevel="0" collapsed="false">
      <c r="A241" s="13" t="n">
        <v>45689.3673748958</v>
      </c>
      <c r="B241" s="8" t="n">
        <v>8</v>
      </c>
      <c r="C241" s="8" t="s">
        <v>68</v>
      </c>
      <c r="D241" s="8" t="s">
        <v>307</v>
      </c>
      <c r="E241" s="14" t="s">
        <v>66</v>
      </c>
      <c r="F241" s="9" t="n">
        <v>1597400</v>
      </c>
      <c r="G241" s="9" t="n">
        <v>179988</v>
      </c>
      <c r="H241" s="9" t="n">
        <v>73700</v>
      </c>
      <c r="I241" s="9" t="n">
        <v>83930</v>
      </c>
      <c r="J241" s="9" t="n">
        <v>1883</v>
      </c>
      <c r="K241" s="9" t="n">
        <v>788</v>
      </c>
      <c r="L241" s="9" t="n">
        <v>315</v>
      </c>
      <c r="M241" s="10" t="n">
        <f aca="false">IFERROR(G241/F241,"")</f>
        <v>0.112675597846501</v>
      </c>
      <c r="N241" s="10" t="n">
        <f aca="false">IFERROR(H241/G241,"")</f>
        <v>0.409471742560615</v>
      </c>
      <c r="O241" s="11" t="n">
        <f aca="false">IFERROR(I241/H241,"")</f>
        <v>1.13880597014925</v>
      </c>
      <c r="P241" s="10" t="n">
        <f aca="false">IFERROR(J241/H241,"")</f>
        <v>0.0255495251017639</v>
      </c>
      <c r="Q241" s="10" t="n">
        <f aca="false">IFERROR(K241/H241,"")</f>
        <v>0.0106919945725916</v>
      </c>
      <c r="R241" s="10" t="n">
        <f aca="false">IFERROR(L241/H241,"")</f>
        <v>0.00427408412483039</v>
      </c>
      <c r="S241" s="11" t="n">
        <f aca="false">IFERROR(M241/MEDIAN(INDEX($M$5:$M$627,MATCH($A241-90,$A$5:$A$627,1)):INDEX($M$5:$M$627,MATCH($A241+90,$A$5:$A$627,1))),"")</f>
        <v>1.60696134666005</v>
      </c>
      <c r="T241" s="11" t="n">
        <f aca="false">IFERROR(N241/MEDIAN(INDEX($N$5:$N$627,MATCH($A241-90,$A$5:$A$627,1)):INDEX($N$5:$N$627,MATCH($A241+90,$A$5:$A$627,1))),"")</f>
        <v>0.765132531452601</v>
      </c>
      <c r="U241" s="11" t="n">
        <f aca="false">IFERROR(Q241/MEDIAN(INDEX($Q$5:$Q$627,MATCH($A241-90,$A$5:$A$627,1)):INDEX($Q$5:$Q$627,MATCH($A241+90,$A$5:$A$627,1))),"")</f>
        <v>1.14127541440586</v>
      </c>
    </row>
    <row r="242" customFormat="false" ht="15" hidden="false" customHeight="false" outlineLevel="0" collapsed="false">
      <c r="A242" s="13" t="n">
        <v>45691.3881039699</v>
      </c>
      <c r="B242" s="8" t="n">
        <v>9</v>
      </c>
      <c r="C242" s="8" t="s">
        <v>80</v>
      </c>
      <c r="D242" s="8" t="s">
        <v>308</v>
      </c>
      <c r="E242" s="14" t="s">
        <v>66</v>
      </c>
      <c r="F242" s="9" t="n">
        <v>9503553</v>
      </c>
      <c r="G242" s="9" t="n">
        <v>439695</v>
      </c>
      <c r="H242" s="9" t="n">
        <v>233423</v>
      </c>
      <c r="I242" s="9" t="n">
        <v>283249</v>
      </c>
      <c r="J242" s="9" t="n">
        <v>7148</v>
      </c>
      <c r="K242" s="9" t="n">
        <v>1318</v>
      </c>
      <c r="L242" s="9" t="n">
        <v>1610</v>
      </c>
      <c r="M242" s="10" t="n">
        <f aca="false">IFERROR(G242/F242,"")</f>
        <v>0.0462663805841878</v>
      </c>
      <c r="N242" s="10" t="n">
        <f aca="false">IFERROR(H242/G242,"")</f>
        <v>0.530874810948498</v>
      </c>
      <c r="O242" s="11" t="n">
        <f aca="false">IFERROR(I242/H242,"")</f>
        <v>1.21345797115109</v>
      </c>
      <c r="P242" s="10" t="n">
        <f aca="false">IFERROR(J242/H242,"")</f>
        <v>0.0306225179181143</v>
      </c>
      <c r="Q242" s="10" t="n">
        <f aca="false">IFERROR(K242/H242,"")</f>
        <v>0.00564640159710054</v>
      </c>
      <c r="R242" s="10" t="n">
        <f aca="false">IFERROR(L242/H242,"")</f>
        <v>0.00689734944714103</v>
      </c>
      <c r="S242" s="11" t="n">
        <f aca="false">IFERROR(M242/MEDIAN(INDEX($M$5:$M$627,MATCH($A242-90,$A$5:$A$627,1)):INDEX($M$5:$M$627,MATCH($A242+90,$A$5:$A$627,1))),"")</f>
        <v>0.666248899345949</v>
      </c>
      <c r="T242" s="11" t="n">
        <f aca="false">IFERROR(N242/MEDIAN(INDEX($N$5:$N$627,MATCH($A242-90,$A$5:$A$627,1)):INDEX($N$5:$N$627,MATCH($A242+90,$A$5:$A$627,1))),"")</f>
        <v>0.994683758984955</v>
      </c>
      <c r="U242" s="11" t="n">
        <f aca="false">IFERROR(Q242/MEDIAN(INDEX($Q$5:$Q$627,MATCH($A242-90,$A$5:$A$627,1)):INDEX($Q$5:$Q$627,MATCH($A242+90,$A$5:$A$627,1))),"")</f>
        <v>0.582769601785435</v>
      </c>
    </row>
    <row r="243" customFormat="false" ht="15" hidden="false" customHeight="false" outlineLevel="0" collapsed="false">
      <c r="A243" s="13" t="n">
        <v>45693.4654777315</v>
      </c>
      <c r="B243" s="8" t="n">
        <v>11</v>
      </c>
      <c r="C243" s="8" t="s">
        <v>71</v>
      </c>
      <c r="D243" s="8" t="s">
        <v>309</v>
      </c>
      <c r="E243" s="14" t="s">
        <v>66</v>
      </c>
      <c r="F243" s="9" t="n">
        <v>537611</v>
      </c>
      <c r="G243" s="9" t="n">
        <v>24570</v>
      </c>
      <c r="H243" s="9" t="n">
        <v>10518</v>
      </c>
      <c r="I243" s="9" t="n">
        <v>11357</v>
      </c>
      <c r="J243" s="9" t="n">
        <v>642</v>
      </c>
      <c r="K243" s="9" t="n">
        <v>209</v>
      </c>
      <c r="L243" s="9" t="n">
        <v>54</v>
      </c>
      <c r="M243" s="10" t="n">
        <f aca="false">IFERROR(G243/F243,"")</f>
        <v>0.0457021898733471</v>
      </c>
      <c r="N243" s="10" t="n">
        <f aca="false">IFERROR(H243/G243,"")</f>
        <v>0.428083028083028</v>
      </c>
      <c r="O243" s="11" t="n">
        <f aca="false">IFERROR(I243/H243,"")</f>
        <v>1.07976801673322</v>
      </c>
      <c r="P243" s="10" t="n">
        <f aca="false">IFERROR(J243/H243,"")</f>
        <v>0.0610382201939532</v>
      </c>
      <c r="Q243" s="10" t="n">
        <f aca="false">IFERROR(K243/H243,"")</f>
        <v>0.0198706978513025</v>
      </c>
      <c r="R243" s="10" t="n">
        <f aca="false">IFERROR(L243/H243,"")</f>
        <v>0.00513405590416429</v>
      </c>
      <c r="S243" s="11" t="n">
        <f aca="false">IFERROR(M243/MEDIAN(INDEX($M$5:$M$627,MATCH($A243-90,$A$5:$A$627,1)):INDEX($M$5:$M$627,MATCH($A243+90,$A$5:$A$627,1))),"")</f>
        <v>0.658124394351769</v>
      </c>
      <c r="T243" s="11" t="n">
        <f aca="false">IFERROR(N243/MEDIAN(INDEX($N$5:$N$627,MATCH($A243-90,$A$5:$A$627,1)):INDEX($N$5:$N$627,MATCH($A243+90,$A$5:$A$627,1))),"")</f>
        <v>0.802085965937075</v>
      </c>
      <c r="U243" s="11" t="n">
        <f aca="false">IFERROR(Q243/MEDIAN(INDEX($Q$5:$Q$627,MATCH($A243-90,$A$5:$A$627,1)):INDEX($Q$5:$Q$627,MATCH($A243+90,$A$5:$A$627,1))),"")</f>
        <v>1.9855441431359</v>
      </c>
    </row>
    <row r="244" customFormat="false" ht="15" hidden="false" customHeight="false" outlineLevel="0" collapsed="false">
      <c r="A244" s="13" t="n">
        <v>45695.596815544</v>
      </c>
      <c r="B244" s="8" t="n">
        <v>14</v>
      </c>
      <c r="C244" s="8" t="s">
        <v>84</v>
      </c>
      <c r="D244" s="8" t="s">
        <v>310</v>
      </c>
      <c r="E244" s="14" t="s">
        <v>66</v>
      </c>
      <c r="F244" s="9" t="n">
        <v>19545020</v>
      </c>
      <c r="G244" s="9" t="n">
        <v>916542</v>
      </c>
      <c r="H244" s="9" t="n">
        <v>557859</v>
      </c>
      <c r="I244" s="9" t="n">
        <v>831204</v>
      </c>
      <c r="J244" s="9" t="n">
        <v>12071</v>
      </c>
      <c r="K244" s="9" t="n">
        <v>4562</v>
      </c>
      <c r="L244" s="9" t="n">
        <v>2474</v>
      </c>
      <c r="M244" s="10" t="n">
        <f aca="false">IFERROR(G244/F244,"")</f>
        <v>0.0468938890827433</v>
      </c>
      <c r="N244" s="10" t="n">
        <f aca="false">IFERROR(H244/G244,"")</f>
        <v>0.608656231792978</v>
      </c>
      <c r="O244" s="11" t="n">
        <f aca="false">IFERROR(I244/H244,"")</f>
        <v>1.48998940592515</v>
      </c>
      <c r="P244" s="10" t="n">
        <f aca="false">IFERROR(J244/H244,"")</f>
        <v>0.021638084175392</v>
      </c>
      <c r="Q244" s="10" t="n">
        <f aca="false">IFERROR(K244/H244,"")</f>
        <v>0.00817769364660246</v>
      </c>
      <c r="R244" s="10" t="n">
        <f aca="false">IFERROR(L244/H244,"")</f>
        <v>0.00443481238090629</v>
      </c>
      <c r="S244" s="11" t="n">
        <f aca="false">IFERROR(M244/MEDIAN(INDEX($M$5:$M$627,MATCH($A244-90,$A$5:$A$627,1)):INDEX($M$5:$M$627,MATCH($A244+90,$A$5:$A$627,1))),"")</f>
        <v>0.668793142355379</v>
      </c>
      <c r="T244" s="11" t="n">
        <f aca="false">IFERROR(N244/MEDIAN(INDEX($N$5:$N$627,MATCH($A244-90,$A$5:$A$627,1)):INDEX($N$5:$N$627,MATCH($A244+90,$A$5:$A$627,1))),"")</f>
        <v>1.14042040813308</v>
      </c>
      <c r="U244" s="11" t="n">
        <f aca="false">IFERROR(Q244/MEDIAN(INDEX($Q$5:$Q$627,MATCH($A244-90,$A$5:$A$627,1)):INDEX($Q$5:$Q$627,MATCH($A244+90,$A$5:$A$627,1))),"")</f>
        <v>0.817141493765243</v>
      </c>
    </row>
    <row r="245" customFormat="false" ht="15" hidden="false" customHeight="false" outlineLevel="0" collapsed="false">
      <c r="A245" s="13" t="n">
        <v>45696.4797741088</v>
      </c>
      <c r="B245" s="8" t="n">
        <v>11</v>
      </c>
      <c r="C245" s="8" t="s">
        <v>68</v>
      </c>
      <c r="D245" s="8" t="s">
        <v>311</v>
      </c>
      <c r="E245" s="14" t="s">
        <v>66</v>
      </c>
      <c r="F245" s="9" t="n">
        <v>446873</v>
      </c>
      <c r="G245" s="9" t="n">
        <v>32358</v>
      </c>
      <c r="H245" s="9" t="n">
        <v>11594</v>
      </c>
      <c r="I245" s="9" t="n">
        <v>15190</v>
      </c>
      <c r="J245" s="9" t="n">
        <v>690</v>
      </c>
      <c r="K245" s="9" t="n">
        <v>55</v>
      </c>
      <c r="L245" s="9" t="n">
        <v>81</v>
      </c>
      <c r="M245" s="10" t="n">
        <f aca="false">IFERROR(G245/F245,"")</f>
        <v>0.0724098345614973</v>
      </c>
      <c r="N245" s="10" t="n">
        <f aca="false">IFERROR(H245/G245,"")</f>
        <v>0.358303974287657</v>
      </c>
      <c r="O245" s="11" t="n">
        <f aca="false">IFERROR(I245/H245,"")</f>
        <v>1.31016042780749</v>
      </c>
      <c r="P245" s="10" t="n">
        <f aca="false">IFERROR(J245/H245,"")</f>
        <v>0.059513541486976</v>
      </c>
      <c r="Q245" s="10" t="n">
        <f aca="false">IFERROR(K245/H245,"")</f>
        <v>0.0047438330170778</v>
      </c>
      <c r="R245" s="10" t="n">
        <f aca="false">IFERROR(L245/H245,"")</f>
        <v>0.00698637226151458</v>
      </c>
      <c r="S245" s="11" t="n">
        <f aca="false">IFERROR(M245/MEDIAN(INDEX($M$5:$M$627,MATCH($A245-90,$A$5:$A$627,1)):INDEX($M$5:$M$627,MATCH($A245+90,$A$5:$A$627,1))),"")</f>
        <v>1.02907333356554</v>
      </c>
      <c r="T245" s="11" t="n">
        <f aca="false">IFERROR(N245/MEDIAN(INDEX($N$5:$N$627,MATCH($A245-90,$A$5:$A$627,1)):INDEX($N$5:$N$627,MATCH($A245+90,$A$5:$A$627,1))),"")</f>
        <v>0.670739721811217</v>
      </c>
      <c r="U245" s="11" t="n">
        <f aca="false">IFERROR(Q245/MEDIAN(INDEX($Q$5:$Q$627,MATCH($A245-90,$A$5:$A$627,1)):INDEX($Q$5:$Q$627,MATCH($A245+90,$A$5:$A$627,1))),"")</f>
        <v>0.47438330170778</v>
      </c>
    </row>
    <row r="246" customFormat="false" ht="15" hidden="false" customHeight="false" outlineLevel="0" collapsed="false">
      <c r="A246" s="13" t="n">
        <v>45698.4779978357</v>
      </c>
      <c r="B246" s="8" t="n">
        <v>11</v>
      </c>
      <c r="C246" s="8" t="s">
        <v>80</v>
      </c>
      <c r="D246" s="8" t="s">
        <v>312</v>
      </c>
      <c r="E246" s="14" t="s">
        <v>66</v>
      </c>
      <c r="F246" s="9" t="n">
        <v>1129279</v>
      </c>
      <c r="G246" s="9" t="n">
        <v>78903</v>
      </c>
      <c r="H246" s="9" t="n">
        <v>39834</v>
      </c>
      <c r="I246" s="9" t="n">
        <v>63158</v>
      </c>
      <c r="J246" s="9" t="n">
        <v>995</v>
      </c>
      <c r="K246" s="9" t="n">
        <v>422</v>
      </c>
      <c r="L246" s="9" t="n">
        <v>192</v>
      </c>
      <c r="M246" s="10" t="n">
        <f aca="false">IFERROR(G246/F246,"")</f>
        <v>0.0698702446428208</v>
      </c>
      <c r="N246" s="10" t="n">
        <f aca="false">IFERROR(H246/G246,"")</f>
        <v>0.504847724421125</v>
      </c>
      <c r="O246" s="11" t="n">
        <f aca="false">IFERROR(I246/H246,"")</f>
        <v>1.58552994928955</v>
      </c>
      <c r="P246" s="10" t="n">
        <f aca="false">IFERROR(J246/H246,"")</f>
        <v>0.0249786614449967</v>
      </c>
      <c r="Q246" s="10" t="n">
        <f aca="false">IFERROR(K246/H246,"")</f>
        <v>0.0105939649545614</v>
      </c>
      <c r="R246" s="10" t="n">
        <f aca="false">IFERROR(L246/H246,"")</f>
        <v>0.00482000301250188</v>
      </c>
      <c r="S246" s="11" t="n">
        <f aca="false">IFERROR(M246/MEDIAN(INDEX($M$5:$M$627,MATCH($A246-90,$A$5:$A$627,1)):INDEX($M$5:$M$627,MATCH($A246+90,$A$5:$A$627,1))),"")</f>
        <v>0.964927555296101</v>
      </c>
      <c r="T246" s="11" t="n">
        <f aca="false">IFERROR(N246/MEDIAN(INDEX($N$5:$N$627,MATCH($A246-90,$A$5:$A$627,1)):INDEX($N$5:$N$627,MATCH($A246+90,$A$5:$A$627,1))),"")</f>
        <v>0.945067447014684</v>
      </c>
      <c r="U246" s="11" t="n">
        <f aca="false">IFERROR(Q246/MEDIAN(INDEX($Q$5:$Q$627,MATCH($A246-90,$A$5:$A$627,1)):INDEX($Q$5:$Q$627,MATCH($A246+90,$A$5:$A$627,1))),"")</f>
        <v>1.05777096644195</v>
      </c>
    </row>
    <row r="247" customFormat="false" ht="15" hidden="false" customHeight="false" outlineLevel="0" collapsed="false">
      <c r="A247" s="13" t="n">
        <v>45700.5047806019</v>
      </c>
      <c r="B247" s="8" t="n">
        <v>12</v>
      </c>
      <c r="C247" s="8" t="s">
        <v>71</v>
      </c>
      <c r="D247" s="8" t="s">
        <v>313</v>
      </c>
      <c r="E247" s="14" t="s">
        <v>66</v>
      </c>
      <c r="F247" s="9" t="n">
        <v>1144009</v>
      </c>
      <c r="G247" s="9" t="n">
        <v>71987</v>
      </c>
      <c r="H247" s="9" t="n">
        <v>30632</v>
      </c>
      <c r="I247" s="9" t="n">
        <v>22495</v>
      </c>
      <c r="J247" s="9" t="n">
        <v>1774</v>
      </c>
      <c r="K247" s="9" t="n">
        <v>84</v>
      </c>
      <c r="L247" s="9" t="n">
        <v>149</v>
      </c>
      <c r="M247" s="10" t="n">
        <f aca="false">IFERROR(G247/F247,"")</f>
        <v>0.0629252042597567</v>
      </c>
      <c r="N247" s="10" t="n">
        <f aca="false">IFERROR(H247/G247,"")</f>
        <v>0.425521274674594</v>
      </c>
      <c r="O247" s="11" t="n">
        <f aca="false">IFERROR(I247/H247,"")</f>
        <v>0.734362757900235</v>
      </c>
      <c r="P247" s="10" t="n">
        <f aca="false">IFERROR(J247/H247,"")</f>
        <v>0.0579132932880648</v>
      </c>
      <c r="Q247" s="10" t="n">
        <f aca="false">IFERROR(K247/H247,"")</f>
        <v>0.00274223034734918</v>
      </c>
      <c r="R247" s="10" t="n">
        <f aca="false">IFERROR(L247/H247,"")</f>
        <v>0.00486419430660747</v>
      </c>
      <c r="S247" s="11" t="n">
        <f aca="false">IFERROR(M247/MEDIAN(INDEX($M$5:$M$627,MATCH($A247-90,$A$5:$A$627,1)):INDEX($M$5:$M$627,MATCH($A247+90,$A$5:$A$627,1))),"")</f>
        <v>0.869014611631444</v>
      </c>
      <c r="T247" s="11" t="n">
        <f aca="false">IFERROR(N247/MEDIAN(INDEX($N$5:$N$627,MATCH($A247-90,$A$5:$A$627,1)):INDEX($N$5:$N$627,MATCH($A247+90,$A$5:$A$627,1))),"")</f>
        <v>0.798003955100611</v>
      </c>
      <c r="U247" s="11" t="n">
        <f aca="false">IFERROR(Q247/MEDIAN(INDEX($Q$5:$Q$627,MATCH($A247-90,$A$5:$A$627,1)):INDEX($Q$5:$Q$627,MATCH($A247+90,$A$5:$A$627,1))),"")</f>
        <v>0.274223034734918</v>
      </c>
    </row>
    <row r="248" customFormat="false" ht="15" hidden="false" customHeight="false" outlineLevel="0" collapsed="false">
      <c r="A248" s="13" t="n">
        <v>45702.4375936458</v>
      </c>
      <c r="B248" s="8" t="n">
        <v>10</v>
      </c>
      <c r="C248" s="8" t="s">
        <v>84</v>
      </c>
      <c r="D248" s="8" t="s">
        <v>314</v>
      </c>
      <c r="E248" s="14" t="s">
        <v>66</v>
      </c>
      <c r="F248" s="9" t="n">
        <v>245966</v>
      </c>
      <c r="G248" s="9" t="n">
        <v>9317</v>
      </c>
      <c r="H248" s="9" t="n">
        <v>4161</v>
      </c>
      <c r="I248" s="9" t="n">
        <v>4332</v>
      </c>
      <c r="J248" s="9" t="n">
        <v>151</v>
      </c>
      <c r="K248" s="9" t="n">
        <v>223</v>
      </c>
      <c r="L248" s="9" t="n">
        <v>20</v>
      </c>
      <c r="M248" s="10" t="n">
        <f aca="false">IFERROR(G248/F248,"")</f>
        <v>0.0378792190790597</v>
      </c>
      <c r="N248" s="10" t="n">
        <f aca="false">IFERROR(H248/G248,"")</f>
        <v>0.446602983793066</v>
      </c>
      <c r="O248" s="11" t="n">
        <f aca="false">IFERROR(I248/H248,"")</f>
        <v>1.04109589041096</v>
      </c>
      <c r="P248" s="10" t="n">
        <f aca="false">IFERROR(J248/H248,"")</f>
        <v>0.0362893535207883</v>
      </c>
      <c r="Q248" s="10" t="n">
        <f aca="false">IFERROR(K248/H248,"")</f>
        <v>0.0535928863254025</v>
      </c>
      <c r="R248" s="10" t="n">
        <f aca="false">IFERROR(L248/H248,"")</f>
        <v>0.00480653689017063</v>
      </c>
      <c r="S248" s="11" t="n">
        <f aca="false">IFERROR(M248/MEDIAN(INDEX($M$5:$M$627,MATCH($A248-90,$A$5:$A$627,1)):INDEX($M$5:$M$627,MATCH($A248+90,$A$5:$A$627,1))),"")</f>
        <v>0.523122574557038</v>
      </c>
      <c r="T248" s="11" t="n">
        <f aca="false">IFERROR(N248/MEDIAN(INDEX($N$5:$N$627,MATCH($A248-90,$A$5:$A$627,1)):INDEX($N$5:$N$627,MATCH($A248+90,$A$5:$A$627,1))),"")</f>
        <v>0.836034157044906</v>
      </c>
      <c r="U248" s="11" t="n">
        <f aca="false">IFERROR(Q248/MEDIAN(INDEX($Q$5:$Q$627,MATCH($A248-90,$A$5:$A$627,1)):INDEX($Q$5:$Q$627,MATCH($A248+90,$A$5:$A$627,1))),"")</f>
        <v>5.45881827857315</v>
      </c>
    </row>
    <row r="249" customFormat="false" ht="15" hidden="false" customHeight="false" outlineLevel="0" collapsed="false">
      <c r="A249" s="13" t="n">
        <v>45703.5472759838</v>
      </c>
      <c r="B249" s="8" t="n">
        <v>13</v>
      </c>
      <c r="C249" s="8" t="s">
        <v>68</v>
      </c>
      <c r="D249" s="8" t="s">
        <v>315</v>
      </c>
      <c r="E249" s="14" t="s">
        <v>66</v>
      </c>
      <c r="F249" s="9" t="n">
        <v>115620</v>
      </c>
      <c r="G249" s="9" t="n">
        <v>15561</v>
      </c>
      <c r="H249" s="9" t="n">
        <v>6608</v>
      </c>
      <c r="I249" s="9" t="n">
        <v>5227</v>
      </c>
      <c r="J249" s="9" t="n">
        <v>517</v>
      </c>
      <c r="K249" s="9" t="n">
        <v>184</v>
      </c>
      <c r="L249" s="9" t="n">
        <v>26</v>
      </c>
      <c r="M249" s="10" t="n">
        <f aca="false">IFERROR(G249/F249,"")</f>
        <v>0.134587441619097</v>
      </c>
      <c r="N249" s="10" t="n">
        <f aca="false">IFERROR(H249/G249,"")</f>
        <v>0.424651372019793</v>
      </c>
      <c r="O249" s="11" t="n">
        <f aca="false">IFERROR(I249/H249,"")</f>
        <v>0.791010895883777</v>
      </c>
      <c r="P249" s="10" t="n">
        <f aca="false">IFERROR(J249/H249,"")</f>
        <v>0.0782384987893462</v>
      </c>
      <c r="Q249" s="10" t="n">
        <f aca="false">IFERROR(K249/H249,"")</f>
        <v>0.0278450363196126</v>
      </c>
      <c r="R249" s="10" t="n">
        <f aca="false">IFERROR(L249/H249,"")</f>
        <v>0.00393462469733656</v>
      </c>
      <c r="S249" s="11" t="n">
        <f aca="false">IFERROR(M249/MEDIAN(INDEX($M$5:$M$627,MATCH($A249-90,$A$5:$A$627,1)):INDEX($M$5:$M$627,MATCH($A249+90,$A$5:$A$627,1))),"")</f>
        <v>1.88532210353636</v>
      </c>
      <c r="T249" s="11" t="n">
        <f aca="false">IFERROR(N249/MEDIAN(INDEX($N$5:$N$627,MATCH($A249-90,$A$5:$A$627,1)):INDEX($N$5:$N$627,MATCH($A249+90,$A$5:$A$627,1))),"")</f>
        <v>0.795656177817305</v>
      </c>
      <c r="U249" s="11" t="n">
        <f aca="false">IFERROR(Q249/MEDIAN(INDEX($Q$5:$Q$627,MATCH($A249-90,$A$5:$A$627,1)):INDEX($Q$5:$Q$627,MATCH($A249+90,$A$5:$A$627,1))),"")</f>
        <v>2.81012185362828</v>
      </c>
    </row>
    <row r="250" customFormat="false" ht="15" hidden="false" customHeight="false" outlineLevel="0" collapsed="false">
      <c r="A250" s="13" t="n">
        <v>45705.3844305093</v>
      </c>
      <c r="B250" s="8" t="n">
        <v>9</v>
      </c>
      <c r="C250" s="8" t="s">
        <v>80</v>
      </c>
      <c r="D250" s="8" t="s">
        <v>316</v>
      </c>
      <c r="E250" s="14" t="s">
        <v>66</v>
      </c>
      <c r="F250" s="9" t="n">
        <v>316950</v>
      </c>
      <c r="G250" s="9" t="n">
        <v>23019</v>
      </c>
      <c r="H250" s="9" t="n">
        <v>15664</v>
      </c>
      <c r="I250" s="9" t="n">
        <v>14667</v>
      </c>
      <c r="J250" s="9" t="n">
        <v>196</v>
      </c>
      <c r="K250" s="9" t="n">
        <v>122</v>
      </c>
      <c r="L250" s="9" t="n">
        <v>31</v>
      </c>
      <c r="M250" s="10" t="n">
        <f aca="false">IFERROR(G250/F250,"")</f>
        <v>0.0726265972550876</v>
      </c>
      <c r="N250" s="10" t="n">
        <f aca="false">IFERROR(H250/G250,"")</f>
        <v>0.6804813415005</v>
      </c>
      <c r="O250" s="11" t="n">
        <f aca="false">IFERROR(I250/H250,"")</f>
        <v>0.936350868232891</v>
      </c>
      <c r="P250" s="10" t="n">
        <f aca="false">IFERROR(J250/H250,"")</f>
        <v>0.0125127681307457</v>
      </c>
      <c r="Q250" s="10" t="n">
        <f aca="false">IFERROR(K250/H250,"")</f>
        <v>0.00778855975485189</v>
      </c>
      <c r="R250" s="10" t="n">
        <f aca="false">IFERROR(L250/H250,"")</f>
        <v>0.00197906026557712</v>
      </c>
      <c r="S250" s="11" t="n">
        <f aca="false">IFERROR(M250/MEDIAN(INDEX($M$5:$M$627,MATCH($A250-90,$A$5:$A$627,1)):INDEX($M$5:$M$627,MATCH($A250+90,$A$5:$A$627,1))),"")</f>
        <v>1.01736482588894</v>
      </c>
      <c r="T250" s="11" t="n">
        <f aca="false">IFERROR(N250/MEDIAN(INDEX($N$5:$N$627,MATCH($A250-90,$A$5:$A$627,1)):INDEX($N$5:$N$627,MATCH($A250+90,$A$5:$A$627,1))),"")</f>
        <v>1.27897183009844</v>
      </c>
      <c r="U250" s="11" t="n">
        <f aca="false">IFERROR(Q250/MEDIAN(INDEX($Q$5:$Q$627,MATCH($A250-90,$A$5:$A$627,1)):INDEX($Q$5:$Q$627,MATCH($A250+90,$A$5:$A$627,1))),"")</f>
        <v>0.78602167094259</v>
      </c>
    </row>
    <row r="251" customFormat="false" ht="15" hidden="false" customHeight="false" outlineLevel="0" collapsed="false">
      <c r="A251" s="13" t="n">
        <v>45707.4675837616</v>
      </c>
      <c r="B251" s="8" t="n">
        <v>11</v>
      </c>
      <c r="C251" s="8" t="s">
        <v>71</v>
      </c>
      <c r="D251" s="8" t="s">
        <v>317</v>
      </c>
      <c r="E251" s="14" t="s">
        <v>66</v>
      </c>
      <c r="F251" s="9" t="n">
        <v>1056027</v>
      </c>
      <c r="G251" s="9" t="n">
        <v>84105</v>
      </c>
      <c r="H251" s="9" t="n">
        <v>15993</v>
      </c>
      <c r="I251" s="9" t="n">
        <v>15676</v>
      </c>
      <c r="J251" s="9" t="n">
        <v>497</v>
      </c>
      <c r="K251" s="9" t="n">
        <v>76</v>
      </c>
      <c r="L251" s="9" t="n">
        <v>143</v>
      </c>
      <c r="M251" s="10" t="n">
        <f aca="false">IFERROR(G251/F251,"")</f>
        <v>0.079642850040766</v>
      </c>
      <c r="N251" s="10" t="n">
        <f aca="false">IFERROR(H251/G251,"")</f>
        <v>0.190155163188871</v>
      </c>
      <c r="O251" s="11" t="n">
        <f aca="false">IFERROR(I251/H251,"")</f>
        <v>0.980178828237354</v>
      </c>
      <c r="P251" s="10" t="n">
        <f aca="false">IFERROR(J251/H251,"")</f>
        <v>0.031076095791909</v>
      </c>
      <c r="Q251" s="10" t="n">
        <f aca="false">IFERROR(K251/H251,"")</f>
        <v>0.00475207903457763</v>
      </c>
      <c r="R251" s="10" t="n">
        <f aca="false">IFERROR(L251/H251,"")</f>
        <v>0.00894141186769212</v>
      </c>
      <c r="S251" s="11" t="n">
        <f aca="false">IFERROR(M251/MEDIAN(INDEX($M$5:$M$627,MATCH($A251-90,$A$5:$A$627,1)):INDEX($M$5:$M$627,MATCH($A251+90,$A$5:$A$627,1))),"")</f>
        <v>1.11564960121199</v>
      </c>
      <c r="T251" s="11" t="n">
        <f aca="false">IFERROR(N251/MEDIAN(INDEX($N$5:$N$627,MATCH($A251-90,$A$5:$A$627,1)):INDEX($N$5:$N$627,MATCH($A251+90,$A$5:$A$627,1))),"")</f>
        <v>0.358754534551249</v>
      </c>
      <c r="U251" s="11" t="n">
        <f aca="false">IFERROR(Q251/MEDIAN(INDEX($Q$5:$Q$627,MATCH($A251-90,$A$5:$A$627,1)):INDEX($Q$5:$Q$627,MATCH($A251+90,$A$5:$A$627,1))),"")</f>
        <v>0.479579950694105</v>
      </c>
    </row>
    <row r="252" customFormat="false" ht="15" hidden="false" customHeight="false" outlineLevel="0" collapsed="false">
      <c r="A252" s="13" t="n">
        <v>45709.4153989583</v>
      </c>
      <c r="B252" s="8" t="n">
        <v>9</v>
      </c>
      <c r="C252" s="8" t="s">
        <v>84</v>
      </c>
      <c r="D252" s="8" t="s">
        <v>318</v>
      </c>
      <c r="E252" s="14" t="s">
        <v>66</v>
      </c>
      <c r="F252" s="9" t="n">
        <v>4484765</v>
      </c>
      <c r="G252" s="9" t="n">
        <v>299848</v>
      </c>
      <c r="H252" s="9" t="n">
        <v>142118</v>
      </c>
      <c r="I252" s="9" t="n">
        <v>169525</v>
      </c>
      <c r="J252" s="9" t="n">
        <v>4048</v>
      </c>
      <c r="K252" s="9" t="n">
        <v>1434</v>
      </c>
      <c r="L252" s="9" t="n">
        <v>654</v>
      </c>
      <c r="M252" s="10" t="n">
        <f aca="false">IFERROR(G252/F252,"")</f>
        <v>0.0668592445758028</v>
      </c>
      <c r="N252" s="10" t="n">
        <f aca="false">IFERROR(H252/G252,"")</f>
        <v>0.473966809850324</v>
      </c>
      <c r="O252" s="11" t="n">
        <f aca="false">IFERROR(I252/H252,"")</f>
        <v>1.19284678928778</v>
      </c>
      <c r="P252" s="10" t="n">
        <f aca="false">IFERROR(J252/H252,"")</f>
        <v>0.0284833729717559</v>
      </c>
      <c r="Q252" s="10" t="n">
        <f aca="false">IFERROR(K252/H252,"")</f>
        <v>0.010090206729619</v>
      </c>
      <c r="R252" s="10" t="n">
        <f aca="false">IFERROR(L252/H252,"")</f>
        <v>0.00460180976371747</v>
      </c>
      <c r="S252" s="11" t="n">
        <f aca="false">IFERROR(M252/MEDIAN(INDEX($M$5:$M$627,MATCH($A252-90,$A$5:$A$627,1)):INDEX($M$5:$M$627,MATCH($A252+90,$A$5:$A$627,1))),"")</f>
        <v>0.936574840178987</v>
      </c>
      <c r="T252" s="11" t="n">
        <f aca="false">IFERROR(N252/MEDIAN(INDEX($N$5:$N$627,MATCH($A252-90,$A$5:$A$627,1)):INDEX($N$5:$N$627,MATCH($A252+90,$A$5:$A$627,1))),"")</f>
        <v>0.894205234341724</v>
      </c>
      <c r="U252" s="11" t="n">
        <f aca="false">IFERROR(Q252/MEDIAN(INDEX($Q$5:$Q$627,MATCH($A252-90,$A$5:$A$627,1)):INDEX($Q$5:$Q$627,MATCH($A252+90,$A$5:$A$627,1))),"")</f>
        <v>1.01830394879241</v>
      </c>
    </row>
    <row r="253" customFormat="false" ht="15" hidden="false" customHeight="false" outlineLevel="0" collapsed="false">
      <c r="A253" s="13" t="n">
        <v>45710.5076061806</v>
      </c>
      <c r="B253" s="8" t="n">
        <v>12</v>
      </c>
      <c r="C253" s="8" t="s">
        <v>68</v>
      </c>
      <c r="D253" s="8" t="s">
        <v>319</v>
      </c>
      <c r="E253" s="14" t="s">
        <v>66</v>
      </c>
      <c r="F253" s="9" t="n">
        <v>15243</v>
      </c>
      <c r="G253" s="9" t="n">
        <v>2522</v>
      </c>
      <c r="H253" s="9" t="n">
        <v>1539</v>
      </c>
      <c r="I253" s="9" t="n">
        <v>0</v>
      </c>
      <c r="J253" s="9" t="n">
        <v>283</v>
      </c>
      <c r="K253" s="9" t="n">
        <v>37</v>
      </c>
      <c r="L253" s="9" t="n">
        <v>7</v>
      </c>
      <c r="M253" s="10" t="n">
        <f aca="false">IFERROR(G253/F253,"")</f>
        <v>0.165452994817293</v>
      </c>
      <c r="N253" s="10" t="n">
        <f aca="false">IFERROR(H253/G253,"")</f>
        <v>0.610229976209358</v>
      </c>
      <c r="O253" s="11" t="n">
        <f aca="false">IFERROR(I253/H253,"")</f>
        <v>0</v>
      </c>
      <c r="P253" s="10" t="n">
        <f aca="false">IFERROR(J253/H253,"")</f>
        <v>0.183885640025991</v>
      </c>
      <c r="Q253" s="10" t="n">
        <f aca="false">IFERROR(K253/H253,"")</f>
        <v>0.0240415854450942</v>
      </c>
      <c r="R253" s="10" t="n">
        <f aca="false">IFERROR(L253/H253,"")</f>
        <v>0.00454840805717999</v>
      </c>
      <c r="S253" s="11" t="n">
        <f aca="false">IFERROR(M253/MEDIAN(INDEX($M$5:$M$627,MATCH($A253-90,$A$5:$A$627,1)):INDEX($M$5:$M$627,MATCH($A253+90,$A$5:$A$627,1))),"")</f>
        <v>2.35138315059165</v>
      </c>
      <c r="T253" s="11" t="n">
        <f aca="false">IFERROR(N253/MEDIAN(INDEX($N$5:$N$627,MATCH($A253-90,$A$5:$A$627,1)):INDEX($N$5:$N$627,MATCH($A253+90,$A$5:$A$627,1))),"")</f>
        <v>1.14947999721267</v>
      </c>
      <c r="U253" s="11" t="n">
        <f aca="false">IFERROR(Q253/MEDIAN(INDEX($Q$5:$Q$627,MATCH($A253-90,$A$5:$A$627,1)):INDEX($Q$5:$Q$627,MATCH($A253+90,$A$5:$A$627,1))),"")</f>
        <v>2.44880720319317</v>
      </c>
    </row>
    <row r="254" customFormat="false" ht="15" hidden="false" customHeight="false" outlineLevel="0" collapsed="false">
      <c r="A254" s="13" t="n">
        <v>45712.3344646875</v>
      </c>
      <c r="B254" s="8" t="n">
        <v>8</v>
      </c>
      <c r="C254" s="8" t="s">
        <v>80</v>
      </c>
      <c r="D254" s="8" t="s">
        <v>320</v>
      </c>
      <c r="E254" s="14" t="s">
        <v>66</v>
      </c>
      <c r="F254" s="9" t="n">
        <v>3116365</v>
      </c>
      <c r="G254" s="9" t="n">
        <v>230079</v>
      </c>
      <c r="H254" s="9" t="n">
        <v>116210</v>
      </c>
      <c r="I254" s="9" t="n">
        <v>103168</v>
      </c>
      <c r="J254" s="9" t="n">
        <v>4454</v>
      </c>
      <c r="K254" s="9" t="n">
        <v>649</v>
      </c>
      <c r="L254" s="9" t="n">
        <v>322</v>
      </c>
      <c r="M254" s="10" t="n">
        <f aca="false">IFERROR(G254/F254,"")</f>
        <v>0.0738292850805345</v>
      </c>
      <c r="N254" s="10" t="n">
        <f aca="false">IFERROR(H254/G254,"")</f>
        <v>0.505087383029307</v>
      </c>
      <c r="O254" s="11" t="n">
        <f aca="false">IFERROR(I254/H254,"")</f>
        <v>0.88777213664917</v>
      </c>
      <c r="P254" s="10" t="n">
        <f aca="false">IFERROR(J254/H254,"")</f>
        <v>0.0383271663368041</v>
      </c>
      <c r="Q254" s="10" t="n">
        <f aca="false">IFERROR(K254/H254,"")</f>
        <v>0.00558471732208932</v>
      </c>
      <c r="R254" s="10" t="n">
        <f aca="false">IFERROR(L254/H254,"")</f>
        <v>0.00277084588245418</v>
      </c>
      <c r="S254" s="11" t="n">
        <f aca="false">IFERROR(M254/MEDIAN(INDEX($M$5:$M$627,MATCH($A254-90,$A$5:$A$627,1)):INDEX($M$5:$M$627,MATCH($A254+90,$A$5:$A$627,1))),"")</f>
        <v>1.04944063516134</v>
      </c>
      <c r="T254" s="11" t="n">
        <f aca="false">IFERROR(N254/MEDIAN(INDEX($N$5:$N$627,MATCH($A254-90,$A$5:$A$627,1)):INDEX($N$5:$N$627,MATCH($A254+90,$A$5:$A$627,1))),"")</f>
        <v>0.95441721517389</v>
      </c>
      <c r="U254" s="11" t="n">
        <f aca="false">IFERROR(Q254/MEDIAN(INDEX($Q$5:$Q$627,MATCH($A254-90,$A$5:$A$627,1)):INDEX($Q$5:$Q$627,MATCH($A254+90,$A$5:$A$627,1))),"")</f>
        <v>0.568843350092812</v>
      </c>
    </row>
    <row r="255" customFormat="false" ht="15" hidden="false" customHeight="false" outlineLevel="0" collapsed="false">
      <c r="A255" s="13" t="n">
        <v>45714.2922194907</v>
      </c>
      <c r="B255" s="8" t="n">
        <v>7</v>
      </c>
      <c r="C255" s="8" t="s">
        <v>71</v>
      </c>
      <c r="D255" s="8" t="s">
        <v>321</v>
      </c>
      <c r="E255" s="14" t="s">
        <v>66</v>
      </c>
      <c r="F255" s="9" t="n">
        <v>1721327</v>
      </c>
      <c r="G255" s="9" t="n">
        <v>61431</v>
      </c>
      <c r="H255" s="9" t="n">
        <v>36503</v>
      </c>
      <c r="I255" s="9" t="n">
        <v>52837</v>
      </c>
      <c r="J255" s="9" t="n">
        <v>517</v>
      </c>
      <c r="K255" s="9" t="n">
        <v>340</v>
      </c>
      <c r="L255" s="9" t="n">
        <v>101</v>
      </c>
      <c r="M255" s="10" t="n">
        <f aca="false">IFERROR(G255/F255,"")</f>
        <v>0.0356881638410366</v>
      </c>
      <c r="N255" s="10" t="n">
        <f aca="false">IFERROR(H255/G255,"")</f>
        <v>0.594211391642656</v>
      </c>
      <c r="O255" s="11" t="n">
        <f aca="false">IFERROR(I255/H255,"")</f>
        <v>1.44747007095307</v>
      </c>
      <c r="P255" s="10" t="n">
        <f aca="false">IFERROR(J255/H255,"")</f>
        <v>0.0141632194614141</v>
      </c>
      <c r="Q255" s="10" t="n">
        <f aca="false">IFERROR(K255/H255,"")</f>
        <v>0.00931430293400542</v>
      </c>
      <c r="R255" s="10" t="n">
        <f aca="false">IFERROR(L255/H255,"")</f>
        <v>0.0027668958715722</v>
      </c>
      <c r="S255" s="11" t="n">
        <f aca="false">IFERROR(M255/MEDIAN(INDEX($M$5:$M$627,MATCH($A255-90,$A$5:$A$627,1)):INDEX($M$5:$M$627,MATCH($A255+90,$A$5:$A$627,1))),"")</f>
        <v>0.507192675623884</v>
      </c>
      <c r="T255" s="11" t="n">
        <f aca="false">IFERROR(N255/MEDIAN(INDEX($N$5:$N$627,MATCH($A255-90,$A$5:$A$627,1)):INDEX($N$5:$N$627,MATCH($A255+90,$A$5:$A$627,1))),"")</f>
        <v>1.12438470121849</v>
      </c>
      <c r="U255" s="11" t="n">
        <f aca="false">IFERROR(Q255/MEDIAN(INDEX($Q$5:$Q$627,MATCH($A255-90,$A$5:$A$627,1)):INDEX($Q$5:$Q$627,MATCH($A255+90,$A$5:$A$627,1))),"")</f>
        <v>0.948728284563695</v>
      </c>
    </row>
    <row r="256" customFormat="false" ht="15" hidden="false" customHeight="false" outlineLevel="0" collapsed="false">
      <c r="A256" s="13" t="n">
        <v>45716.3076656134</v>
      </c>
      <c r="B256" s="8" t="n">
        <v>7</v>
      </c>
      <c r="C256" s="8" t="s">
        <v>84</v>
      </c>
      <c r="D256" s="8" t="s">
        <v>322</v>
      </c>
      <c r="E256" s="14" t="s">
        <v>66</v>
      </c>
      <c r="F256" s="9" t="n">
        <v>729086</v>
      </c>
      <c r="G256" s="9" t="n">
        <v>129579</v>
      </c>
      <c r="H256" s="9" t="n">
        <v>54799</v>
      </c>
      <c r="I256" s="9" t="n">
        <v>35801</v>
      </c>
      <c r="J256" s="9" t="n">
        <v>1754</v>
      </c>
      <c r="K256" s="9" t="n">
        <v>322</v>
      </c>
      <c r="L256" s="9" t="n">
        <v>99</v>
      </c>
      <c r="M256" s="10" t="n">
        <f aca="false">IFERROR(G256/F256,"")</f>
        <v>0.1777280046524</v>
      </c>
      <c r="N256" s="10" t="n">
        <f aca="false">IFERROR(H256/G256,"")</f>
        <v>0.422900315637565</v>
      </c>
      <c r="O256" s="11" t="n">
        <f aca="false">IFERROR(I256/H256,"")</f>
        <v>0.653314841511706</v>
      </c>
      <c r="P256" s="10" t="n">
        <f aca="false">IFERROR(J256/H256,"")</f>
        <v>0.0320078833555357</v>
      </c>
      <c r="Q256" s="10" t="n">
        <f aca="false">IFERROR(K256/H256,"")</f>
        <v>0.00587601963539481</v>
      </c>
      <c r="R256" s="10" t="n">
        <f aca="false">IFERROR(L256/H256,"")</f>
        <v>0.00180660231026114</v>
      </c>
      <c r="S256" s="11" t="n">
        <f aca="false">IFERROR(M256/MEDIAN(INDEX($M$5:$M$627,MATCH($A256-90,$A$5:$A$627,1)):INDEX($M$5:$M$627,MATCH($A256+90,$A$5:$A$627,1))),"")</f>
        <v>2.52583300767336</v>
      </c>
      <c r="T256" s="11" t="n">
        <f aca="false">IFERROR(N256/MEDIAN(INDEX($N$5:$N$627,MATCH($A256-90,$A$5:$A$627,1)):INDEX($N$5:$N$627,MATCH($A256+90,$A$5:$A$627,1))),"")</f>
        <v>0.800224720917673</v>
      </c>
      <c r="U256" s="11" t="n">
        <f aca="false">IFERROR(Q256/MEDIAN(INDEX($Q$5:$Q$627,MATCH($A256-90,$A$5:$A$627,1)):INDEX($Q$5:$Q$627,MATCH($A256+90,$A$5:$A$627,1))),"")</f>
        <v>0.598514571433785</v>
      </c>
    </row>
    <row r="257" customFormat="false" ht="15" hidden="false" customHeight="false" outlineLevel="0" collapsed="false">
      <c r="A257" s="13" t="n">
        <v>45717.3613328819</v>
      </c>
      <c r="B257" s="8" t="n">
        <v>8</v>
      </c>
      <c r="C257" s="8" t="s">
        <v>68</v>
      </c>
      <c r="D257" s="8" t="s">
        <v>323</v>
      </c>
      <c r="E257" s="14" t="s">
        <v>66</v>
      </c>
      <c r="F257" s="9" t="n">
        <v>653173</v>
      </c>
      <c r="G257" s="9" t="n">
        <v>81928</v>
      </c>
      <c r="H257" s="9" t="n">
        <v>52611</v>
      </c>
      <c r="I257" s="9" t="n">
        <v>31154</v>
      </c>
      <c r="J257" s="9" t="n">
        <v>1615</v>
      </c>
      <c r="K257" s="9" t="n">
        <v>406</v>
      </c>
      <c r="L257" s="9" t="n">
        <v>84</v>
      </c>
      <c r="M257" s="10" t="n">
        <f aca="false">IFERROR(G257/F257,"")</f>
        <v>0.125430781737763</v>
      </c>
      <c r="N257" s="10" t="n">
        <f aca="false">IFERROR(H257/G257,"")</f>
        <v>0.642161410018553</v>
      </c>
      <c r="O257" s="11" t="n">
        <f aca="false">IFERROR(I257/H257,"")</f>
        <v>0.592157533595636</v>
      </c>
      <c r="P257" s="10" t="n">
        <f aca="false">IFERROR(J257/H257,"")</f>
        <v>0.0306970025279884</v>
      </c>
      <c r="Q257" s="10" t="n">
        <f aca="false">IFERROR(K257/H257,"")</f>
        <v>0.00771701735378533</v>
      </c>
      <c r="R257" s="10" t="n">
        <f aca="false">IFERROR(L257/H257,"")</f>
        <v>0.00159662428009352</v>
      </c>
      <c r="S257" s="11" t="n">
        <f aca="false">IFERROR(M257/MEDIAN(INDEX($M$5:$M$627,MATCH($A257-90,$A$5:$A$627,1)):INDEX($M$5:$M$627,MATCH($A257+90,$A$5:$A$627,1))),"")</f>
        <v>1.7827609738533</v>
      </c>
      <c r="T257" s="11" t="n">
        <f aca="false">IFERROR(N257/MEDIAN(INDEX($N$5:$N$627,MATCH($A257-90,$A$5:$A$627,1)):INDEX($N$5:$N$627,MATCH($A257+90,$A$5:$A$627,1))),"")</f>
        <v>1.2200169158706</v>
      </c>
      <c r="U257" s="11" t="n">
        <f aca="false">IFERROR(Q257/MEDIAN(INDEX($Q$5:$Q$627,MATCH($A257-90,$A$5:$A$627,1)):INDEX($Q$5:$Q$627,MATCH($A257+90,$A$5:$A$627,1))),"")</f>
        <v>0.77880160980169</v>
      </c>
    </row>
    <row r="258" customFormat="false" ht="15" hidden="false" customHeight="false" outlineLevel="0" collapsed="false">
      <c r="A258" s="13" t="n">
        <v>45719.2873557176</v>
      </c>
      <c r="B258" s="8" t="n">
        <v>6</v>
      </c>
      <c r="C258" s="8" t="s">
        <v>80</v>
      </c>
      <c r="D258" s="8" t="s">
        <v>324</v>
      </c>
      <c r="E258" s="14" t="s">
        <v>66</v>
      </c>
      <c r="F258" s="9" t="n">
        <v>646054</v>
      </c>
      <c r="G258" s="9" t="n">
        <v>28892</v>
      </c>
      <c r="H258" s="9" t="n">
        <v>15973</v>
      </c>
      <c r="I258" s="9" t="n">
        <v>15720</v>
      </c>
      <c r="J258" s="9" t="n">
        <v>595</v>
      </c>
      <c r="K258" s="9" t="n">
        <v>277</v>
      </c>
      <c r="L258" s="9" t="n">
        <v>84</v>
      </c>
      <c r="M258" s="10" t="n">
        <f aca="false">IFERROR(G258/F258,"")</f>
        <v>0.0447207199398193</v>
      </c>
      <c r="N258" s="10" t="n">
        <f aca="false">IFERROR(H258/G258,"")</f>
        <v>0.552852000553787</v>
      </c>
      <c r="O258" s="11" t="n">
        <f aca="false">IFERROR(I258/H258,"")</f>
        <v>0.984160771301571</v>
      </c>
      <c r="P258" s="10" t="n">
        <f aca="false">IFERROR(J258/H258,"")</f>
        <v>0.0372503599824704</v>
      </c>
      <c r="Q258" s="10" t="n">
        <f aca="false">IFERROR(K258/H258,"")</f>
        <v>0.0173417642271333</v>
      </c>
      <c r="R258" s="10" t="n">
        <f aca="false">IFERROR(L258/H258,"")</f>
        <v>0.00525887435046641</v>
      </c>
      <c r="S258" s="11" t="n">
        <f aca="false">IFERROR(M258/MEDIAN(INDEX($M$5:$M$627,MATCH($A258-90,$A$5:$A$627,1)):INDEX($M$5:$M$627,MATCH($A258+90,$A$5:$A$627,1))),"")</f>
        <v>0.635620324825974</v>
      </c>
      <c r="T258" s="11" t="n">
        <f aca="false">IFERROR(N258/MEDIAN(INDEX($N$5:$N$627,MATCH($A258-90,$A$5:$A$627,1)):INDEX($N$5:$N$627,MATCH($A258+90,$A$5:$A$627,1))),"")</f>
        <v>1.0453979169302</v>
      </c>
      <c r="U258" s="11" t="n">
        <f aca="false">IFERROR(Q258/MEDIAN(INDEX($Q$5:$Q$627,MATCH($A258-90,$A$5:$A$627,1)):INDEX($Q$5:$Q$627,MATCH($A258+90,$A$5:$A$627,1))),"")</f>
        <v>1.7328449484008</v>
      </c>
    </row>
    <row r="259" customFormat="false" ht="15" hidden="false" customHeight="false" outlineLevel="0" collapsed="false">
      <c r="A259" s="13" t="n">
        <v>45721.2466629051</v>
      </c>
      <c r="B259" s="8" t="n">
        <v>5</v>
      </c>
      <c r="C259" s="8" t="s">
        <v>71</v>
      </c>
      <c r="D259" s="8" t="s">
        <v>325</v>
      </c>
      <c r="E259" s="14" t="s">
        <v>66</v>
      </c>
      <c r="F259" s="9" t="n">
        <v>524257</v>
      </c>
      <c r="G259" s="9" t="n">
        <v>29782</v>
      </c>
      <c r="H259" s="9" t="n">
        <v>19501</v>
      </c>
      <c r="I259" s="9" t="n">
        <v>20046</v>
      </c>
      <c r="J259" s="9" t="n">
        <v>291</v>
      </c>
      <c r="K259" s="9" t="n">
        <v>203</v>
      </c>
      <c r="L259" s="9" t="n">
        <v>38</v>
      </c>
      <c r="M259" s="10" t="n">
        <f aca="false">IFERROR(G259/F259,"")</f>
        <v>0.0568080159158581</v>
      </c>
      <c r="N259" s="10" t="n">
        <f aca="false">IFERROR(H259/G259,"")</f>
        <v>0.65479148478947</v>
      </c>
      <c r="O259" s="11" t="n">
        <f aca="false">IFERROR(I259/H259,"")</f>
        <v>1.02794728475463</v>
      </c>
      <c r="P259" s="10" t="n">
        <f aca="false">IFERROR(J259/H259,"")</f>
        <v>0.0149223116763243</v>
      </c>
      <c r="Q259" s="10" t="n">
        <f aca="false">IFERROR(K259/H259,"")</f>
        <v>0.0104097225783293</v>
      </c>
      <c r="R259" s="10" t="n">
        <f aca="false">IFERROR(L259/H259,"")</f>
        <v>0.00194861801958874</v>
      </c>
      <c r="S259" s="11" t="n">
        <f aca="false">IFERROR(M259/MEDIAN(INDEX($M$5:$M$627,MATCH($A259-90,$A$5:$A$627,1)):INDEX($M$5:$M$627,MATCH($A259+90,$A$5:$A$627,1))),"")</f>
        <v>0.810262132411363</v>
      </c>
      <c r="T259" s="11" t="n">
        <f aca="false">IFERROR(N259/MEDIAN(INDEX($N$5:$N$627,MATCH($A259-90,$A$5:$A$627,1)):INDEX($N$5:$N$627,MATCH($A259+90,$A$5:$A$627,1))),"")</f>
        <v>1.23815714429335</v>
      </c>
      <c r="U259" s="11" t="n">
        <f aca="false">IFERROR(Q259/MEDIAN(INDEX($Q$5:$Q$627,MATCH($A259-90,$A$5:$A$627,1)):INDEX($Q$5:$Q$627,MATCH($A259+90,$A$5:$A$627,1))),"")</f>
        <v>1.03550612004226</v>
      </c>
    </row>
    <row r="260" customFormat="false" ht="15" hidden="false" customHeight="false" outlineLevel="0" collapsed="false">
      <c r="A260" s="13" t="n">
        <v>45723.2543588542</v>
      </c>
      <c r="B260" s="8" t="n">
        <v>6</v>
      </c>
      <c r="C260" s="8" t="s">
        <v>84</v>
      </c>
      <c r="D260" s="8" t="s">
        <v>326</v>
      </c>
      <c r="E260" s="14" t="s">
        <v>66</v>
      </c>
      <c r="F260" s="9" t="n">
        <v>1238790</v>
      </c>
      <c r="G260" s="9" t="n">
        <v>77141</v>
      </c>
      <c r="H260" s="9" t="n">
        <v>43355</v>
      </c>
      <c r="I260" s="9" t="n">
        <v>46298</v>
      </c>
      <c r="J260" s="9" t="n">
        <v>652</v>
      </c>
      <c r="K260" s="9" t="n">
        <v>1256</v>
      </c>
      <c r="L260" s="9" t="n">
        <v>102</v>
      </c>
      <c r="M260" s="10" t="n">
        <f aca="false">IFERROR(G260/F260,"")</f>
        <v>0.0622712485570597</v>
      </c>
      <c r="N260" s="10" t="n">
        <f aca="false">IFERROR(H260/G260,"")</f>
        <v>0.562022789437524</v>
      </c>
      <c r="O260" s="11" t="n">
        <f aca="false">IFERROR(I260/H260,"")</f>
        <v>1.06788144389344</v>
      </c>
      <c r="P260" s="10" t="n">
        <f aca="false">IFERROR(J260/H260,"")</f>
        <v>0.0150386345288894</v>
      </c>
      <c r="Q260" s="10" t="n">
        <f aca="false">IFERROR(K260/H260,"")</f>
        <v>0.0289701303194557</v>
      </c>
      <c r="R260" s="10" t="n">
        <f aca="false">IFERROR(L260/H260,"")</f>
        <v>0.00235266981893669</v>
      </c>
      <c r="S260" s="11" t="n">
        <f aca="false">IFERROR(M260/MEDIAN(INDEX($M$5:$M$627,MATCH($A260-90,$A$5:$A$627,1)):INDEX($M$5:$M$627,MATCH($A260+90,$A$5:$A$627,1))),"")</f>
        <v>0.885067845249837</v>
      </c>
      <c r="T260" s="11" t="n">
        <f aca="false">IFERROR(N260/MEDIAN(INDEX($N$5:$N$627,MATCH($A260-90,$A$5:$A$627,1)):INDEX($N$5:$N$627,MATCH($A260+90,$A$5:$A$627,1))),"")</f>
        <v>1.067764738773</v>
      </c>
      <c r="U260" s="11" t="n">
        <f aca="false">IFERROR(Q260/MEDIAN(INDEX($Q$5:$Q$627,MATCH($A260-90,$A$5:$A$627,1)):INDEX($Q$5:$Q$627,MATCH($A260+90,$A$5:$A$627,1))),"")</f>
        <v>2.82636392392077</v>
      </c>
    </row>
    <row r="261" customFormat="false" ht="15" hidden="false" customHeight="false" outlineLevel="0" collapsed="false">
      <c r="A261" s="13" t="n">
        <v>45724.320009456</v>
      </c>
      <c r="B261" s="8" t="n">
        <v>7</v>
      </c>
      <c r="C261" s="8" t="s">
        <v>68</v>
      </c>
      <c r="D261" s="8" t="s">
        <v>327</v>
      </c>
      <c r="E261" s="14" t="s">
        <v>66</v>
      </c>
      <c r="F261" s="9" t="n">
        <v>2914837</v>
      </c>
      <c r="G261" s="9" t="n">
        <v>564686</v>
      </c>
      <c r="H261" s="9" t="n">
        <v>188756</v>
      </c>
      <c r="I261" s="9" t="n">
        <v>133728</v>
      </c>
      <c r="J261" s="9" t="n">
        <v>2644</v>
      </c>
      <c r="K261" s="9" t="n">
        <v>1129</v>
      </c>
      <c r="L261" s="9" t="n">
        <v>501</v>
      </c>
      <c r="M261" s="10" t="n">
        <f aca="false">IFERROR(G261/F261,"")</f>
        <v>0.193728157011867</v>
      </c>
      <c r="N261" s="10" t="n">
        <f aca="false">IFERROR(H261/G261,"")</f>
        <v>0.334267185657162</v>
      </c>
      <c r="O261" s="11" t="n">
        <f aca="false">IFERROR(I261/H261,"")</f>
        <v>0.708470194324949</v>
      </c>
      <c r="P261" s="10" t="n">
        <f aca="false">IFERROR(J261/H261,"")</f>
        <v>0.0140075017482888</v>
      </c>
      <c r="Q261" s="10" t="n">
        <f aca="false">IFERROR(K261/H261,"")</f>
        <v>0.00598126682065736</v>
      </c>
      <c r="R261" s="10" t="n">
        <f aca="false">IFERROR(L261/H261,"")</f>
        <v>0.00265422026319693</v>
      </c>
      <c r="S261" s="11" t="n">
        <f aca="false">IFERROR(M261/MEDIAN(INDEX($M$5:$M$627,MATCH($A261-90,$A$5:$A$627,1)):INDEX($M$5:$M$627,MATCH($A261+90,$A$5:$A$627,1))),"")</f>
        <v>2.75322380653134</v>
      </c>
      <c r="T261" s="11" t="n">
        <f aca="false">IFERROR(N261/MEDIAN(INDEX($N$5:$N$627,MATCH($A261-90,$A$5:$A$627,1)):INDEX($N$5:$N$627,MATCH($A261+90,$A$5:$A$627,1))),"")</f>
        <v>0.637632066390289</v>
      </c>
      <c r="U261" s="11" t="n">
        <f aca="false">IFERROR(Q261/MEDIAN(INDEX($Q$5:$Q$627,MATCH($A261-90,$A$5:$A$627,1)):INDEX($Q$5:$Q$627,MATCH($A261+90,$A$5:$A$627,1))),"")</f>
        <v>0.574584651574577</v>
      </c>
    </row>
    <row r="262" customFormat="false" ht="15" hidden="false" customHeight="false" outlineLevel="0" collapsed="false">
      <c r="A262" s="13" t="n">
        <v>45726.2652874653</v>
      </c>
      <c r="B262" s="8" t="n">
        <v>6</v>
      </c>
      <c r="C262" s="8" t="s">
        <v>80</v>
      </c>
      <c r="D262" s="8" t="s">
        <v>328</v>
      </c>
      <c r="E262" s="14" t="s">
        <v>66</v>
      </c>
      <c r="F262" s="9" t="n">
        <v>36199</v>
      </c>
      <c r="G262" s="9" t="n">
        <v>2754</v>
      </c>
      <c r="H262" s="9" t="n">
        <v>1402</v>
      </c>
      <c r="I262" s="9" t="n">
        <v>951</v>
      </c>
      <c r="J262" s="9" t="n">
        <v>166</v>
      </c>
      <c r="K262" s="9" t="n">
        <v>29</v>
      </c>
      <c r="L262" s="9" t="n">
        <v>2</v>
      </c>
      <c r="M262" s="10" t="n">
        <f aca="false">IFERROR(G262/F262,"")</f>
        <v>0.0760794497085555</v>
      </c>
      <c r="N262" s="10" t="n">
        <f aca="false">IFERROR(H262/G262,"")</f>
        <v>0.509077705156137</v>
      </c>
      <c r="O262" s="11" t="n">
        <f aca="false">IFERROR(I262/H262,"")</f>
        <v>0.678316690442225</v>
      </c>
      <c r="P262" s="10" t="n">
        <f aca="false">IFERROR(J262/H262,"")</f>
        <v>0.118402282453638</v>
      </c>
      <c r="Q262" s="10" t="n">
        <f aca="false">IFERROR(K262/H262,"")</f>
        <v>0.0206847360912981</v>
      </c>
      <c r="R262" s="10" t="n">
        <f aca="false">IFERROR(L262/H262,"")</f>
        <v>0.0014265335235378</v>
      </c>
      <c r="S262" s="11" t="n">
        <f aca="false">IFERROR(M262/MEDIAN(INDEX($M$5:$M$627,MATCH($A262-90,$A$5:$A$627,1)):INDEX($M$5:$M$627,MATCH($A262+90,$A$5:$A$627,1))),"")</f>
        <v>1.08142542539562</v>
      </c>
      <c r="T262" s="11" t="n">
        <f aca="false">IFERROR(N262/MEDIAN(INDEX($N$5:$N$627,MATCH($A262-90,$A$5:$A$627,1)):INDEX($N$5:$N$627,MATCH($A262+90,$A$5:$A$627,1))),"")</f>
        <v>0.976159673438046</v>
      </c>
      <c r="U262" s="11" t="n">
        <f aca="false">IFERROR(Q262/MEDIAN(INDEX($Q$5:$Q$627,MATCH($A262-90,$A$5:$A$627,1)):INDEX($Q$5:$Q$627,MATCH($A262+90,$A$5:$A$627,1))),"")</f>
        <v>1.96798874363711</v>
      </c>
    </row>
    <row r="263" customFormat="false" ht="15" hidden="false" customHeight="false" outlineLevel="0" collapsed="false">
      <c r="A263" s="13" t="n">
        <v>45728.2498283912</v>
      </c>
      <c r="B263" s="8" t="n">
        <v>5</v>
      </c>
      <c r="C263" s="8" t="s">
        <v>71</v>
      </c>
      <c r="D263" s="8" t="s">
        <v>329</v>
      </c>
      <c r="E263" s="14" t="s">
        <v>66</v>
      </c>
      <c r="F263" s="9" t="n">
        <v>1058218</v>
      </c>
      <c r="G263" s="9" t="n">
        <v>102231</v>
      </c>
      <c r="H263" s="9" t="n">
        <v>54983</v>
      </c>
      <c r="I263" s="9" t="n">
        <v>89957</v>
      </c>
      <c r="J263" s="9" t="n">
        <v>1431</v>
      </c>
      <c r="K263" s="9" t="n">
        <v>928</v>
      </c>
      <c r="L263" s="9" t="n">
        <v>284</v>
      </c>
      <c r="M263" s="10" t="n">
        <f aca="false">IFERROR(G263/F263,"")</f>
        <v>0.0966067483259593</v>
      </c>
      <c r="N263" s="10" t="n">
        <f aca="false">IFERROR(H263/G263,"")</f>
        <v>0.53783099059972</v>
      </c>
      <c r="O263" s="11" t="n">
        <f aca="false">IFERROR(I263/H263,"")</f>
        <v>1.6360875179601</v>
      </c>
      <c r="P263" s="10" t="n">
        <f aca="false">IFERROR(J263/H263,"")</f>
        <v>0.0260262262881254</v>
      </c>
      <c r="Q263" s="10" t="n">
        <f aca="false">IFERROR(K263/H263,"")</f>
        <v>0.0168779440918102</v>
      </c>
      <c r="R263" s="10" t="n">
        <f aca="false">IFERROR(L263/H263,"")</f>
        <v>0.00516523289016605</v>
      </c>
      <c r="S263" s="11" t="n">
        <f aca="false">IFERROR(M263/MEDIAN(INDEX($M$5:$M$627,MATCH($A263-90,$A$5:$A$627,1)):INDEX($M$5:$M$627,MATCH($A263+90,$A$5:$A$627,1))),"")</f>
        <v>1.37320911632119</v>
      </c>
      <c r="T263" s="11" t="n">
        <f aca="false">IFERROR(N263/MEDIAN(INDEX($N$5:$N$627,MATCH($A263-90,$A$5:$A$627,1)):INDEX($N$5:$N$627,MATCH($A263+90,$A$5:$A$627,1))),"")</f>
        <v>1.03734500648055</v>
      </c>
      <c r="U263" s="11" t="n">
        <f aca="false">IFERROR(Q263/MEDIAN(INDEX($Q$5:$Q$627,MATCH($A263-90,$A$5:$A$627,1)):INDEX($Q$5:$Q$627,MATCH($A263+90,$A$5:$A$627,1))),"")</f>
        <v>1.59316593590798</v>
      </c>
    </row>
    <row r="264" customFormat="false" ht="15" hidden="false" customHeight="false" outlineLevel="0" collapsed="false">
      <c r="A264" s="13" t="n">
        <v>45730.225201412</v>
      </c>
      <c r="B264" s="8" t="n">
        <v>5</v>
      </c>
      <c r="C264" s="8" t="s">
        <v>84</v>
      </c>
      <c r="D264" s="8" t="s">
        <v>330</v>
      </c>
      <c r="E264" s="14" t="s">
        <v>66</v>
      </c>
      <c r="F264" s="9" t="n">
        <v>105878</v>
      </c>
      <c r="G264" s="9" t="n">
        <v>7015</v>
      </c>
      <c r="H264" s="9" t="n">
        <v>3129</v>
      </c>
      <c r="I264" s="9" t="n">
        <v>2972</v>
      </c>
      <c r="J264" s="9" t="n">
        <v>256</v>
      </c>
      <c r="K264" s="9" t="n">
        <v>48</v>
      </c>
      <c r="L264" s="9" t="n">
        <v>15</v>
      </c>
      <c r="M264" s="10" t="n">
        <f aca="false">IFERROR(G264/F264,"")</f>
        <v>0.0662555016150664</v>
      </c>
      <c r="N264" s="10" t="n">
        <f aca="false">IFERROR(H264/G264,"")</f>
        <v>0.446044191019245</v>
      </c>
      <c r="O264" s="11" t="n">
        <f aca="false">IFERROR(I264/H264,"")</f>
        <v>0.94982422499201</v>
      </c>
      <c r="P264" s="10" t="n">
        <f aca="false">IFERROR(J264/H264,"")</f>
        <v>0.0818152764461489</v>
      </c>
      <c r="Q264" s="10" t="n">
        <f aca="false">IFERROR(K264/H264,"")</f>
        <v>0.0153403643336529</v>
      </c>
      <c r="R264" s="10" t="n">
        <f aca="false">IFERROR(L264/H264,"")</f>
        <v>0.00479386385426654</v>
      </c>
      <c r="S264" s="11" t="n">
        <f aca="false">IFERROR(M264/MEDIAN(INDEX($M$5:$M$627,MATCH($A264-90,$A$5:$A$627,1)):INDEX($M$5:$M$627,MATCH($A264+90,$A$5:$A$627,1))),"")</f>
        <v>0.941783678685255</v>
      </c>
      <c r="T264" s="11" t="n">
        <f aca="false">IFERROR(N264/MEDIAN(INDEX($N$5:$N$627,MATCH($A264-90,$A$5:$A$627,1)):INDEX($N$5:$N$627,MATCH($A264+90,$A$5:$A$627,1))),"")</f>
        <v>0.861351228428969</v>
      </c>
      <c r="U264" s="11" t="n">
        <f aca="false">IFERROR(Q264/MEDIAN(INDEX($Q$5:$Q$627,MATCH($A264-90,$A$5:$A$627,1)):INDEX($Q$5:$Q$627,MATCH($A264+90,$A$5:$A$627,1))),"")</f>
        <v>1.44802860868894</v>
      </c>
    </row>
    <row r="265" customFormat="false" ht="15" hidden="false" customHeight="false" outlineLevel="0" collapsed="false">
      <c r="A265" s="13" t="n">
        <v>45731.3108029745</v>
      </c>
      <c r="B265" s="8" t="n">
        <v>7</v>
      </c>
      <c r="C265" s="8" t="s">
        <v>68</v>
      </c>
      <c r="D265" s="8" t="s">
        <v>331</v>
      </c>
      <c r="E265" s="14" t="s">
        <v>66</v>
      </c>
      <c r="F265" s="9" t="n">
        <v>433328</v>
      </c>
      <c r="G265" s="9" t="n">
        <v>23473</v>
      </c>
      <c r="H265" s="9" t="n">
        <v>3196</v>
      </c>
      <c r="I265" s="9" t="n">
        <v>3063</v>
      </c>
      <c r="J265" s="9" t="n">
        <v>313</v>
      </c>
      <c r="K265" s="9" t="n">
        <v>24</v>
      </c>
      <c r="L265" s="9" t="n">
        <v>55</v>
      </c>
      <c r="M265" s="10" t="n">
        <f aca="false">IFERROR(G265/F265,"")</f>
        <v>0.0541691282354244</v>
      </c>
      <c r="N265" s="10" t="n">
        <f aca="false">IFERROR(H265/G265,"")</f>
        <v>0.13615643505304</v>
      </c>
      <c r="O265" s="11" t="n">
        <f aca="false">IFERROR(I265/H265,"")</f>
        <v>0.958385481852315</v>
      </c>
      <c r="P265" s="10" t="n">
        <f aca="false">IFERROR(J265/H265,"")</f>
        <v>0.0979349186483104</v>
      </c>
      <c r="Q265" s="10" t="n">
        <f aca="false">IFERROR(K265/H265,"")</f>
        <v>0.00750938673341677</v>
      </c>
      <c r="R265" s="10" t="n">
        <f aca="false">IFERROR(L265/H265,"")</f>
        <v>0.0172090112640801</v>
      </c>
      <c r="S265" s="11" t="n">
        <f aca="false">IFERROR(M265/MEDIAN(INDEX($M$5:$M$627,MATCH($A265-90,$A$5:$A$627,1)):INDEX($M$5:$M$627,MATCH($A265+90,$A$5:$A$627,1))),"")</f>
        <v>0.772623240704438</v>
      </c>
      <c r="T265" s="11" t="n">
        <f aca="false">IFERROR(N265/MEDIAN(INDEX($N$5:$N$627,MATCH($A265-90,$A$5:$A$627,1)):INDEX($N$5:$N$627,MATCH($A265+90,$A$5:$A$627,1))),"")</f>
        <v>0.262771334148782</v>
      </c>
      <c r="U265" s="11" t="n">
        <f aca="false">IFERROR(Q265/MEDIAN(INDEX($Q$5:$Q$627,MATCH($A265-90,$A$5:$A$627,1)):INDEX($Q$5:$Q$627,MATCH($A265+90,$A$5:$A$627,1))),"")</f>
        <v>0.711636359838257</v>
      </c>
    </row>
    <row r="266" customFormat="false" ht="15" hidden="false" customHeight="false" outlineLevel="0" collapsed="false">
      <c r="A266" s="13" t="n">
        <v>45734.2430296991</v>
      </c>
      <c r="B266" s="8" t="n">
        <v>5</v>
      </c>
      <c r="C266" s="8" t="s">
        <v>64</v>
      </c>
      <c r="D266" s="8" t="s">
        <v>332</v>
      </c>
      <c r="E266" s="14" t="s">
        <v>66</v>
      </c>
      <c r="F266" s="9" t="n">
        <v>186995</v>
      </c>
      <c r="G266" s="9" t="n">
        <v>25065</v>
      </c>
      <c r="H266" s="9" t="n">
        <v>14323</v>
      </c>
      <c r="I266" s="9" t="n">
        <v>9049</v>
      </c>
      <c r="J266" s="9" t="n">
        <v>686</v>
      </c>
      <c r="K266" s="9" t="n">
        <v>636</v>
      </c>
      <c r="L266" s="9" t="n">
        <v>39</v>
      </c>
      <c r="M266" s="10" t="n">
        <f aca="false">IFERROR(G266/F266,"")</f>
        <v>0.134041017139496</v>
      </c>
      <c r="N266" s="10" t="n">
        <f aca="false">IFERROR(H266/G266,"")</f>
        <v>0.571434270895671</v>
      </c>
      <c r="O266" s="11" t="n">
        <f aca="false">IFERROR(I266/H266,"")</f>
        <v>0.631781051455701</v>
      </c>
      <c r="P266" s="10" t="n">
        <f aca="false">IFERROR(J266/H266,"")</f>
        <v>0.0478949940654891</v>
      </c>
      <c r="Q266" s="10" t="n">
        <f aca="false">IFERROR(K266/H266,"")</f>
        <v>0.0444041052852056</v>
      </c>
      <c r="R266" s="10" t="n">
        <f aca="false">IFERROR(L266/H266,"")</f>
        <v>0.0027228932486211</v>
      </c>
      <c r="S266" s="11" t="n">
        <f aca="false">IFERROR(M266/MEDIAN(INDEX($M$5:$M$627,MATCH($A266-90,$A$5:$A$627,1)):INDEX($M$5:$M$627,MATCH($A266+90,$A$5:$A$627,1))),"")</f>
        <v>1.98434257949003</v>
      </c>
      <c r="T266" s="11" t="n">
        <f aca="false">IFERROR(N266/MEDIAN(INDEX($N$5:$N$627,MATCH($A266-90,$A$5:$A$627,1)):INDEX($N$5:$N$627,MATCH($A266+90,$A$5:$A$627,1))),"")</f>
        <v>1.10215755098919</v>
      </c>
      <c r="U266" s="11" t="n">
        <f aca="false">IFERROR(Q266/MEDIAN(INDEX($Q$5:$Q$627,MATCH($A266-90,$A$5:$A$627,1)):INDEX($Q$5:$Q$627,MATCH($A266+90,$A$5:$A$627,1))),"")</f>
        <v>4.26563772003347</v>
      </c>
    </row>
    <row r="267" customFormat="false" ht="15" hidden="false" customHeight="false" outlineLevel="0" collapsed="false">
      <c r="A267" s="13" t="n">
        <v>45735.4949668519</v>
      </c>
      <c r="B267" s="8" t="n">
        <v>11</v>
      </c>
      <c r="C267" s="8" t="s">
        <v>71</v>
      </c>
      <c r="D267" s="8" t="s">
        <v>333</v>
      </c>
      <c r="E267" s="14" t="s">
        <v>66</v>
      </c>
      <c r="F267" s="9" t="n">
        <v>106912</v>
      </c>
      <c r="G267" s="9" t="n">
        <v>12516</v>
      </c>
      <c r="H267" s="9" t="n">
        <v>4957</v>
      </c>
      <c r="I267" s="9" t="n">
        <v>2925</v>
      </c>
      <c r="J267" s="9" t="n">
        <v>251</v>
      </c>
      <c r="K267" s="9" t="n">
        <v>123</v>
      </c>
      <c r="L267" s="9" t="n">
        <v>17</v>
      </c>
      <c r="M267" s="10" t="n">
        <f aca="false">IFERROR(G267/F267,"")</f>
        <v>0.117068243041006</v>
      </c>
      <c r="N267" s="10" t="n">
        <f aca="false">IFERROR(H267/G267,"")</f>
        <v>0.396053052093321</v>
      </c>
      <c r="O267" s="11" t="n">
        <f aca="false">IFERROR(I267/H267,"")</f>
        <v>0.590074641920516</v>
      </c>
      <c r="P267" s="10" t="n">
        <f aca="false">IFERROR(J267/H267,"")</f>
        <v>0.0506354649989913</v>
      </c>
      <c r="Q267" s="10" t="n">
        <f aca="false">IFERROR(K267/H267,"")</f>
        <v>0.0248133951987089</v>
      </c>
      <c r="R267" s="10" t="n">
        <f aca="false">IFERROR(L267/H267,"")</f>
        <v>0.00342949364535001</v>
      </c>
      <c r="S267" s="11" t="n">
        <f aca="false">IFERROR(M267/MEDIAN(INDEX($M$5:$M$627,MATCH($A267-90,$A$5:$A$627,1)):INDEX($M$5:$M$627,MATCH($A267+90,$A$5:$A$627,1))),"")</f>
        <v>1.73494333512092</v>
      </c>
      <c r="T267" s="11" t="n">
        <f aca="false">IFERROR(N267/MEDIAN(INDEX($N$5:$N$627,MATCH($A267-90,$A$5:$A$627,1)):INDEX($N$5:$N$627,MATCH($A267+90,$A$5:$A$627,1))),"")</f>
        <v>0.764351599332914</v>
      </c>
      <c r="U267" s="11" t="n">
        <f aca="false">IFERROR(Q267/MEDIAN(INDEX($Q$5:$Q$627,MATCH($A267-90,$A$5:$A$627,1)):INDEX($Q$5:$Q$627,MATCH($A267+90,$A$5:$A$627,1))),"")</f>
        <v>2.42082739174014</v>
      </c>
    </row>
    <row r="268" customFormat="false" ht="15" hidden="false" customHeight="false" outlineLevel="0" collapsed="false">
      <c r="A268" s="13" t="n">
        <v>45737.6325184607</v>
      </c>
      <c r="B268" s="8" t="n">
        <v>15</v>
      </c>
      <c r="C268" s="8" t="s">
        <v>84</v>
      </c>
      <c r="D268" s="8" t="s">
        <v>334</v>
      </c>
      <c r="E268" s="14" t="s">
        <v>66</v>
      </c>
      <c r="F268" s="9" t="n">
        <v>1117099</v>
      </c>
      <c r="G268" s="9" t="n">
        <v>112006</v>
      </c>
      <c r="H268" s="9" t="n">
        <v>69644</v>
      </c>
      <c r="I268" s="9" t="n">
        <v>113342</v>
      </c>
      <c r="J268" s="9" t="n">
        <v>1685</v>
      </c>
      <c r="K268" s="9" t="n">
        <v>732</v>
      </c>
      <c r="L268" s="9" t="n">
        <v>226</v>
      </c>
      <c r="M268" s="10" t="n">
        <f aca="false">IFERROR(G268/F268,"")</f>
        <v>0.100265061556764</v>
      </c>
      <c r="N268" s="10" t="n">
        <f aca="false">IFERROR(H268/G268,"")</f>
        <v>0.621788118493652</v>
      </c>
      <c r="O268" s="11" t="n">
        <f aca="false">IFERROR(I268/H268,"")</f>
        <v>1.62744816495319</v>
      </c>
      <c r="P268" s="10" t="n">
        <f aca="false">IFERROR(J268/H268,"")</f>
        <v>0.0241944747573373</v>
      </c>
      <c r="Q268" s="10" t="n">
        <f aca="false">IFERROR(K268/H268,"")</f>
        <v>0.0105105967491816</v>
      </c>
      <c r="R268" s="10" t="n">
        <f aca="false">IFERROR(L268/H268,"")</f>
        <v>0.00324507495261616</v>
      </c>
      <c r="S268" s="11" t="n">
        <f aca="false">IFERROR(M268/MEDIAN(INDEX($M$5:$M$627,MATCH($A268-90,$A$5:$A$627,1)):INDEX($M$5:$M$627,MATCH($A268+90,$A$5:$A$627,1))),"")</f>
        <v>1.49964394890952</v>
      </c>
      <c r="T268" s="11" t="n">
        <f aca="false">IFERROR(N268/MEDIAN(INDEX($N$5:$N$627,MATCH($A268-90,$A$5:$A$627,1)):INDEX($N$5:$N$627,MATCH($A268+90,$A$5:$A$627,1))),"")</f>
        <v>1.20072847146201</v>
      </c>
      <c r="U268" s="11" t="n">
        <f aca="false">IFERROR(Q268/MEDIAN(INDEX($Q$5:$Q$627,MATCH($A268-90,$A$5:$A$627,1)):INDEX($Q$5:$Q$627,MATCH($A268+90,$A$5:$A$627,1))),"")</f>
        <v>1</v>
      </c>
    </row>
    <row r="269" customFormat="false" ht="15" hidden="false" customHeight="false" outlineLevel="0" collapsed="false">
      <c r="A269" s="13" t="n">
        <v>45738.6360770486</v>
      </c>
      <c r="B269" s="8" t="n">
        <v>15</v>
      </c>
      <c r="C269" s="8" t="s">
        <v>68</v>
      </c>
      <c r="D269" s="8" t="s">
        <v>335</v>
      </c>
      <c r="E269" s="14" t="s">
        <v>66</v>
      </c>
      <c r="F269" s="9" t="n">
        <v>4225693</v>
      </c>
      <c r="G269" s="9" t="n">
        <v>154995</v>
      </c>
      <c r="H269" s="9" t="n">
        <v>76513</v>
      </c>
      <c r="I269" s="9" t="n">
        <v>117237</v>
      </c>
      <c r="J269" s="9" t="n">
        <v>3301</v>
      </c>
      <c r="K269" s="9" t="n">
        <v>1434</v>
      </c>
      <c r="L269" s="9" t="n">
        <v>561</v>
      </c>
      <c r="M269" s="10" t="n">
        <f aca="false">IFERROR(G269/F269,"")</f>
        <v>0.0366791908451466</v>
      </c>
      <c r="N269" s="10" t="n">
        <f aca="false">IFERROR(H269/G269,"")</f>
        <v>0.493648182199426</v>
      </c>
      <c r="O269" s="11" t="n">
        <f aca="false">IFERROR(I269/H269,"")</f>
        <v>1.53224942166691</v>
      </c>
      <c r="P269" s="10" t="n">
        <f aca="false">IFERROR(J269/H269,"")</f>
        <v>0.0431429953079869</v>
      </c>
      <c r="Q269" s="10" t="n">
        <f aca="false">IFERROR(K269/H269,"")</f>
        <v>0.0187419131389437</v>
      </c>
      <c r="R269" s="10" t="n">
        <f aca="false">IFERROR(L269/H269,"")</f>
        <v>0.00733208735770392</v>
      </c>
      <c r="S269" s="11" t="n">
        <f aca="false">IFERROR(M269/MEDIAN(INDEX($M$5:$M$627,MATCH($A269-90,$A$5:$A$627,1)):INDEX($M$5:$M$627,MATCH($A269+90,$A$5:$A$627,1))),"")</f>
        <v>0.548603130021324</v>
      </c>
      <c r="T269" s="11" t="n">
        <f aca="false">IFERROR(N269/MEDIAN(INDEX($N$5:$N$627,MATCH($A269-90,$A$5:$A$627,1)):INDEX($N$5:$N$627,MATCH($A269+90,$A$5:$A$627,1))),"")</f>
        <v>0.953278793245975</v>
      </c>
      <c r="U269" s="11" t="n">
        <f aca="false">IFERROR(Q269/MEDIAN(INDEX($Q$5:$Q$627,MATCH($A269-90,$A$5:$A$627,1)):INDEX($Q$5:$Q$627,MATCH($A269+90,$A$5:$A$627,1))),"")</f>
        <v>1.78314453367294</v>
      </c>
    </row>
    <row r="270" customFormat="false" ht="15" hidden="false" customHeight="false" outlineLevel="0" collapsed="false">
      <c r="A270" s="13" t="n">
        <v>45740.5399932986</v>
      </c>
      <c r="B270" s="8" t="n">
        <v>12</v>
      </c>
      <c r="C270" s="8" t="s">
        <v>80</v>
      </c>
      <c r="D270" s="8" t="s">
        <v>336</v>
      </c>
      <c r="E270" s="14" t="s">
        <v>66</v>
      </c>
      <c r="F270" s="9" t="n">
        <v>826170</v>
      </c>
      <c r="G270" s="9" t="n">
        <v>32967</v>
      </c>
      <c r="H270" s="9" t="n">
        <v>16359</v>
      </c>
      <c r="I270" s="9" t="n">
        <v>18357</v>
      </c>
      <c r="J270" s="9" t="n">
        <v>292</v>
      </c>
      <c r="K270" s="9" t="n">
        <v>174</v>
      </c>
      <c r="L270" s="9" t="n">
        <v>88</v>
      </c>
      <c r="M270" s="10" t="n">
        <f aca="false">IFERROR(G270/F270,"")</f>
        <v>0.039903409709866</v>
      </c>
      <c r="N270" s="10" t="n">
        <f aca="false">IFERROR(H270/G270,"")</f>
        <v>0.496223496223496</v>
      </c>
      <c r="O270" s="11" t="n">
        <f aca="false">IFERROR(I270/H270,"")</f>
        <v>1.12213460480469</v>
      </c>
      <c r="P270" s="10" t="n">
        <f aca="false">IFERROR(J270/H270,"")</f>
        <v>0.0178495018032887</v>
      </c>
      <c r="Q270" s="10" t="n">
        <f aca="false">IFERROR(K270/H270,"")</f>
        <v>0.0106363469649734</v>
      </c>
      <c r="R270" s="10" t="n">
        <f aca="false">IFERROR(L270/H270,"")</f>
        <v>0.00537930191331989</v>
      </c>
      <c r="S270" s="11" t="n">
        <f aca="false">IFERROR(M270/MEDIAN(INDEX($M$5:$M$627,MATCH($A270-90,$A$5:$A$627,1)):INDEX($M$5:$M$627,MATCH($A270+90,$A$5:$A$627,1))),"")</f>
        <v>0.596827109893904</v>
      </c>
      <c r="T270" s="11" t="n">
        <f aca="false">IFERROR(N270/MEDIAN(INDEX($N$5:$N$627,MATCH($A270-90,$A$5:$A$627,1)):INDEX($N$5:$N$627,MATCH($A270+90,$A$5:$A$627,1))),"")</f>
        <v>0.9582519549705</v>
      </c>
      <c r="U270" s="11" t="n">
        <f aca="false">IFERROR(Q270/MEDIAN(INDEX($Q$5:$Q$627,MATCH($A270-90,$A$5:$A$627,1)):INDEX($Q$5:$Q$627,MATCH($A270+90,$A$5:$A$627,1))),"")</f>
        <v>1.00400058057524</v>
      </c>
    </row>
    <row r="271" customFormat="false" ht="15" hidden="false" customHeight="false" outlineLevel="0" collapsed="false">
      <c r="A271" s="13" t="n">
        <v>45742.4672379398</v>
      </c>
      <c r="B271" s="8" t="n">
        <v>11</v>
      </c>
      <c r="C271" s="8" t="s">
        <v>71</v>
      </c>
      <c r="D271" s="8" t="s">
        <v>337</v>
      </c>
      <c r="E271" s="14" t="s">
        <v>66</v>
      </c>
      <c r="F271" s="9" t="n">
        <v>18873</v>
      </c>
      <c r="G271" s="9" t="n">
        <v>1106</v>
      </c>
      <c r="H271" s="9" t="n">
        <v>626</v>
      </c>
      <c r="I271" s="9" t="n">
        <v>0</v>
      </c>
      <c r="J271" s="9" t="n">
        <v>89</v>
      </c>
      <c r="K271" s="9" t="n">
        <v>11</v>
      </c>
      <c r="L271" s="9" t="n">
        <v>8</v>
      </c>
      <c r="M271" s="10" t="n">
        <f aca="false">IFERROR(G271/F271,"")</f>
        <v>0.0586022359985164</v>
      </c>
      <c r="N271" s="10" t="n">
        <f aca="false">IFERROR(H271/G271,"")</f>
        <v>0.566003616636528</v>
      </c>
      <c r="O271" s="11" t="n">
        <f aca="false">IFERROR(I271/H271,"")</f>
        <v>0</v>
      </c>
      <c r="P271" s="10" t="n">
        <f aca="false">IFERROR(J271/H271,"")</f>
        <v>0.142172523961661</v>
      </c>
      <c r="Q271" s="10" t="n">
        <f aca="false">IFERROR(K271/H271,"")</f>
        <v>0.0175718849840256</v>
      </c>
      <c r="R271" s="10" t="n">
        <f aca="false">IFERROR(L271/H271,"")</f>
        <v>0.012779552715655</v>
      </c>
      <c r="S271" s="11" t="n">
        <f aca="false">IFERROR(M271/MEDIAN(INDEX($M$5:$M$627,MATCH($A271-90,$A$5:$A$627,1)):INDEX($M$5:$M$627,MATCH($A271+90,$A$5:$A$627,1))),"")</f>
        <v>0.869417029032349</v>
      </c>
      <c r="T271" s="11" t="n">
        <f aca="false">IFERROR(N271/MEDIAN(INDEX($N$5:$N$627,MATCH($A271-90,$A$5:$A$627,1)):INDEX($N$5:$N$627,MATCH($A271+90,$A$5:$A$627,1))),"")</f>
        <v>1.11182165493366</v>
      </c>
      <c r="U271" s="11" t="n">
        <f aca="false">IFERROR(Q271/MEDIAN(INDEX($Q$5:$Q$627,MATCH($A271-90,$A$5:$A$627,1)):INDEX($Q$5:$Q$627,MATCH($A271+90,$A$5:$A$627,1))),"")</f>
        <v>1.65612067671591</v>
      </c>
    </row>
    <row r="272" customFormat="false" ht="15" hidden="false" customHeight="false" outlineLevel="0" collapsed="false">
      <c r="A272" s="13" t="n">
        <v>45744.250539757</v>
      </c>
      <c r="B272" s="8" t="n">
        <v>6</v>
      </c>
      <c r="C272" s="8" t="s">
        <v>84</v>
      </c>
      <c r="D272" s="8" t="s">
        <v>338</v>
      </c>
      <c r="E272" s="14" t="s">
        <v>66</v>
      </c>
      <c r="F272" s="9" t="n">
        <v>3020370</v>
      </c>
      <c r="G272" s="9" t="n">
        <v>198977</v>
      </c>
      <c r="H272" s="9" t="n">
        <v>95354</v>
      </c>
      <c r="I272" s="9" t="n">
        <v>113752</v>
      </c>
      <c r="J272" s="9" t="n">
        <v>2418</v>
      </c>
      <c r="K272" s="9" t="n">
        <v>680</v>
      </c>
      <c r="L272" s="9" t="n">
        <v>615</v>
      </c>
      <c r="M272" s="10" t="n">
        <f aca="false">IFERROR(G272/F272,"")</f>
        <v>0.0658783526521585</v>
      </c>
      <c r="N272" s="10" t="n">
        <f aca="false">IFERROR(H272/G272,"")</f>
        <v>0.479221216522513</v>
      </c>
      <c r="O272" s="11" t="n">
        <f aca="false">IFERROR(I272/H272,"")</f>
        <v>1.19294418692451</v>
      </c>
      <c r="P272" s="10" t="n">
        <f aca="false">IFERROR(J272/H272,"")</f>
        <v>0.0253581391446609</v>
      </c>
      <c r="Q272" s="10" t="n">
        <f aca="false">IFERROR(K272/H272,"")</f>
        <v>0.00713132118212136</v>
      </c>
      <c r="R272" s="10" t="n">
        <f aca="false">IFERROR(L272/H272,"")</f>
        <v>0.00644965077500682</v>
      </c>
      <c r="S272" s="11" t="n">
        <f aca="false">IFERROR(M272/MEDIAN(INDEX($M$5:$M$627,MATCH($A272-90,$A$5:$A$627,1)):INDEX($M$5:$M$627,MATCH($A272+90,$A$5:$A$627,1))),"")</f>
        <v>0.977364782494563</v>
      </c>
      <c r="T272" s="11" t="n">
        <f aca="false">IFERROR(N272/MEDIAN(INDEX($N$5:$N$627,MATCH($A272-90,$A$5:$A$627,1)):INDEX($N$5:$N$627,MATCH($A272+90,$A$5:$A$627,1))),"")</f>
        <v>0.944957748869011</v>
      </c>
      <c r="U272" s="11" t="n">
        <f aca="false">IFERROR(Q272/MEDIAN(INDEX($Q$5:$Q$627,MATCH($A272-90,$A$5:$A$627,1)):INDEX($Q$5:$Q$627,MATCH($A272+90,$A$5:$A$627,1))),"")</f>
        <v>0.670467144932893</v>
      </c>
    </row>
    <row r="273" customFormat="false" ht="15" hidden="false" customHeight="false" outlineLevel="0" collapsed="false">
      <c r="A273" s="13" t="n">
        <v>45745.2504658912</v>
      </c>
      <c r="B273" s="8" t="n">
        <v>6</v>
      </c>
      <c r="C273" s="8" t="s">
        <v>68</v>
      </c>
      <c r="D273" s="8" t="s">
        <v>339</v>
      </c>
      <c r="E273" s="14" t="s">
        <v>66</v>
      </c>
      <c r="F273" s="9" t="n">
        <v>10139251</v>
      </c>
      <c r="G273" s="9" t="n">
        <v>460746</v>
      </c>
      <c r="H273" s="9" t="n">
        <v>265459</v>
      </c>
      <c r="I273" s="9" t="n">
        <v>254549</v>
      </c>
      <c r="J273" s="9" t="n">
        <v>14921</v>
      </c>
      <c r="K273" s="9" t="n">
        <v>2083</v>
      </c>
      <c r="L273" s="9" t="n">
        <v>2551</v>
      </c>
      <c r="M273" s="10" t="n">
        <f aca="false">IFERROR(G273/F273,"")</f>
        <v>0.0454418181382432</v>
      </c>
      <c r="N273" s="10" t="n">
        <f aca="false">IFERROR(H273/G273,"")</f>
        <v>0.57615041693254</v>
      </c>
      <c r="O273" s="11" t="n">
        <f aca="false">IFERROR(I273/H273,"")</f>
        <v>0.958901374600221</v>
      </c>
      <c r="P273" s="10" t="n">
        <f aca="false">IFERROR(J273/H273,"")</f>
        <v>0.0562083033538136</v>
      </c>
      <c r="Q273" s="10" t="n">
        <f aca="false">IFERROR(K273/H273,"")</f>
        <v>0.00784678613269846</v>
      </c>
      <c r="R273" s="10" t="n">
        <f aca="false">IFERROR(L273/H273,"")</f>
        <v>0.00960977024700613</v>
      </c>
      <c r="S273" s="11" t="n">
        <f aca="false">IFERROR(M273/MEDIAN(INDEX($M$5:$M$627,MATCH($A273-90,$A$5:$A$627,1)):INDEX($M$5:$M$627,MATCH($A273+90,$A$5:$A$627,1))),"")</f>
        <v>0.67344462910498</v>
      </c>
      <c r="T273" s="11" t="n">
        <f aca="false">IFERROR(N273/MEDIAN(INDEX($N$5:$N$627,MATCH($A273-90,$A$5:$A$627,1)):INDEX($N$5:$N$627,MATCH($A273+90,$A$5:$A$627,1))),"")</f>
        <v>1.13391689137619</v>
      </c>
      <c r="U273" s="11" t="n">
        <f aca="false">IFERROR(Q273/MEDIAN(INDEX($Q$5:$Q$627,MATCH($A273-90,$A$5:$A$627,1)):INDEX($Q$5:$Q$627,MATCH($A273+90,$A$5:$A$627,1))),"")</f>
        <v>0.735808372055384</v>
      </c>
    </row>
    <row r="274" customFormat="false" ht="15" hidden="false" customHeight="false" outlineLevel="0" collapsed="false">
      <c r="A274" s="13" t="n">
        <v>45747.554515</v>
      </c>
      <c r="B274" s="8" t="n">
        <v>13</v>
      </c>
      <c r="C274" s="8" t="s">
        <v>80</v>
      </c>
      <c r="D274" s="8" t="s">
        <v>340</v>
      </c>
      <c r="E274" s="14" t="s">
        <v>66</v>
      </c>
      <c r="F274" s="9" t="n">
        <v>1729786</v>
      </c>
      <c r="G274" s="9" t="n">
        <v>96464</v>
      </c>
      <c r="H274" s="9" t="n">
        <v>50979</v>
      </c>
      <c r="I274" s="9" t="n">
        <v>34555</v>
      </c>
      <c r="J274" s="9" t="n">
        <v>2102</v>
      </c>
      <c r="K274" s="9" t="n">
        <v>429</v>
      </c>
      <c r="L274" s="9" t="n">
        <v>157</v>
      </c>
      <c r="M274" s="10" t="n">
        <f aca="false">IFERROR(G274/F274,"")</f>
        <v>0.0557664358481338</v>
      </c>
      <c r="N274" s="10" t="n">
        <f aca="false">IFERROR(H274/G274,"")</f>
        <v>0.52847694476696</v>
      </c>
      <c r="O274" s="11" t="n">
        <f aca="false">IFERROR(I274/H274,"")</f>
        <v>0.677828125306499</v>
      </c>
      <c r="P274" s="10" t="n">
        <f aca="false">IFERROR(J274/H274,"")</f>
        <v>0.0412326644304518</v>
      </c>
      <c r="Q274" s="10" t="n">
        <f aca="false">IFERROR(K274/H274,"")</f>
        <v>0.00841522980050609</v>
      </c>
      <c r="R274" s="10" t="n">
        <f aca="false">IFERROR(L274/H274,"")</f>
        <v>0.0030796994841013</v>
      </c>
      <c r="S274" s="11" t="n">
        <f aca="false">IFERROR(M274/MEDIAN(INDEX($M$5:$M$627,MATCH($A274-90,$A$5:$A$627,1)):INDEX($M$5:$M$627,MATCH($A274+90,$A$5:$A$627,1))),"")</f>
        <v>0.826454755661436</v>
      </c>
      <c r="T274" s="11" t="n">
        <f aca="false">IFERROR(N274/MEDIAN(INDEX($N$5:$N$627,MATCH($A274-90,$A$5:$A$627,1)):INDEX($N$5:$N$627,MATCH($A274+90,$A$5:$A$627,1))),"")</f>
        <v>1.04009112336424</v>
      </c>
      <c r="U274" s="11" t="n">
        <f aca="false">IFERROR(Q274/MEDIAN(INDEX($Q$5:$Q$627,MATCH($A274-90,$A$5:$A$627,1)):INDEX($Q$5:$Q$627,MATCH($A274+90,$A$5:$A$627,1))),"")</f>
        <v>0.789112438553611</v>
      </c>
    </row>
    <row r="275" customFormat="false" ht="15" hidden="false" customHeight="false" outlineLevel="0" collapsed="false">
      <c r="A275" s="13" t="n">
        <v>45749.1686136227</v>
      </c>
      <c r="B275" s="8" t="n">
        <v>4</v>
      </c>
      <c r="C275" s="8" t="s">
        <v>71</v>
      </c>
      <c r="D275" s="8" t="s">
        <v>341</v>
      </c>
      <c r="E275" s="14" t="s">
        <v>66</v>
      </c>
      <c r="F275" s="9" t="n">
        <v>550180</v>
      </c>
      <c r="G275" s="9" t="n">
        <v>91364</v>
      </c>
      <c r="H275" s="9" t="n">
        <v>56497</v>
      </c>
      <c r="I275" s="9" t="n">
        <v>37727</v>
      </c>
      <c r="J275" s="9" t="n">
        <v>2740</v>
      </c>
      <c r="K275" s="9" t="n">
        <v>244</v>
      </c>
      <c r="L275" s="9" t="n">
        <v>296</v>
      </c>
      <c r="M275" s="10" t="n">
        <f aca="false">IFERROR(G275/F275,"")</f>
        <v>0.166062016067469</v>
      </c>
      <c r="N275" s="10" t="n">
        <f aca="false">IFERROR(H275/G275,"")</f>
        <v>0.61837266319338</v>
      </c>
      <c r="O275" s="11" t="n">
        <f aca="false">IFERROR(I275/H275,"")</f>
        <v>0.667769970086907</v>
      </c>
      <c r="P275" s="10" t="n">
        <f aca="false">IFERROR(J275/H275,"")</f>
        <v>0.0484981503442661</v>
      </c>
      <c r="Q275" s="10" t="n">
        <f aca="false">IFERROR(K275/H275,"")</f>
        <v>0.0043188133883215</v>
      </c>
      <c r="R275" s="10" t="n">
        <f aca="false">IFERROR(L275/H275,"")</f>
        <v>0.00523921624157035</v>
      </c>
      <c r="S275" s="11" t="n">
        <f aca="false">IFERROR(M275/MEDIAN(INDEX($M$5:$M$627,MATCH($A275-90,$A$5:$A$627,1)):INDEX($M$5:$M$627,MATCH($A275+90,$A$5:$A$627,1))),"")</f>
        <v>2.46102769213066</v>
      </c>
      <c r="T275" s="11" t="n">
        <f aca="false">IFERROR(N275/MEDIAN(INDEX($N$5:$N$627,MATCH($A275-90,$A$5:$A$627,1)):INDEX($N$5:$N$627,MATCH($A275+90,$A$5:$A$627,1))),"")</f>
        <v>1.22181178611358</v>
      </c>
      <c r="U275" s="11" t="n">
        <f aca="false">IFERROR(Q275/MEDIAN(INDEX($Q$5:$Q$627,MATCH($A275-90,$A$5:$A$627,1)):INDEX($Q$5:$Q$627,MATCH($A275+90,$A$5:$A$627,1))),"")</f>
        <v>0.404983517421165</v>
      </c>
    </row>
    <row r="276" customFormat="false" ht="15" hidden="false" customHeight="false" outlineLevel="0" collapsed="false">
      <c r="A276" s="13" t="n">
        <v>45751.2850262153</v>
      </c>
      <c r="B276" s="8" t="n">
        <v>6</v>
      </c>
      <c r="C276" s="8" t="s">
        <v>84</v>
      </c>
      <c r="D276" s="8" t="s">
        <v>342</v>
      </c>
      <c r="E276" s="14" t="s">
        <v>66</v>
      </c>
      <c r="F276" s="9" t="n">
        <v>6</v>
      </c>
      <c r="G276" s="9" t="n">
        <v>4</v>
      </c>
      <c r="H276" s="9" t="n">
        <v>4</v>
      </c>
      <c r="I276" s="9" t="n">
        <v>9</v>
      </c>
      <c r="J276" s="9" t="n">
        <v>1</v>
      </c>
      <c r="K276" s="9" t="n">
        <v>0</v>
      </c>
      <c r="L276" s="9" t="n">
        <v>0</v>
      </c>
      <c r="M276" s="10" t="n">
        <f aca="false">IFERROR(G276/F276,"")</f>
        <v>0.666666666666667</v>
      </c>
      <c r="N276" s="10" t="n">
        <f aca="false">IFERROR(H276/G276,"")</f>
        <v>1</v>
      </c>
      <c r="O276" s="11" t="n">
        <f aca="false">IFERROR(I276/H276,"")</f>
        <v>2.25</v>
      </c>
      <c r="P276" s="10" t="n">
        <f aca="false">IFERROR(J276/H276,"")</f>
        <v>0.25</v>
      </c>
      <c r="Q276" s="10" t="n">
        <f aca="false">IFERROR(K276/H276,"")</f>
        <v>0</v>
      </c>
      <c r="R276" s="10" t="n">
        <f aca="false">IFERROR(L276/H276,"")</f>
        <v>0</v>
      </c>
      <c r="S276" s="11" t="n">
        <f aca="false">IFERROR(M276/MEDIAN(INDEX($M$5:$M$627,MATCH($A276-90,$A$5:$A$627,1)):INDEX($M$5:$M$627,MATCH($A276+90,$A$5:$A$627,1))),"")</f>
        <v>9.8799542902124</v>
      </c>
      <c r="T276" s="11" t="n">
        <f aca="false">IFERROR(N276/MEDIAN(INDEX($N$5:$N$627,MATCH($A276-90,$A$5:$A$627,1)):INDEX($N$5:$N$627,MATCH($A276+90,$A$5:$A$627,1))),"")</f>
        <v>1.98032525579685</v>
      </c>
      <c r="U276" s="11" t="n">
        <f aca="false">IFERROR(Q276/MEDIAN(INDEX($Q$5:$Q$627,MATCH($A276-90,$A$5:$A$627,1)):INDEX($Q$5:$Q$627,MATCH($A276+90,$A$5:$A$627,1))),"")</f>
        <v>0</v>
      </c>
    </row>
    <row r="277" customFormat="false" ht="15" hidden="false" customHeight="false" outlineLevel="0" collapsed="false">
      <c r="A277" s="13" t="n">
        <v>45751.6400495139</v>
      </c>
      <c r="B277" s="8" t="n">
        <v>15</v>
      </c>
      <c r="C277" s="8" t="s">
        <v>84</v>
      </c>
      <c r="D277" s="8" t="s">
        <v>343</v>
      </c>
      <c r="E277" s="14" t="s">
        <v>66</v>
      </c>
      <c r="F277" s="9" t="n">
        <v>795922</v>
      </c>
      <c r="G277" s="9" t="n">
        <v>53764</v>
      </c>
      <c r="H277" s="9" t="n">
        <v>20964</v>
      </c>
      <c r="I277" s="9" t="n">
        <v>18504</v>
      </c>
      <c r="J277" s="9" t="n">
        <v>1168</v>
      </c>
      <c r="K277" s="9" t="n">
        <v>171</v>
      </c>
      <c r="L277" s="9" t="n">
        <v>120</v>
      </c>
      <c r="M277" s="10" t="n">
        <f aca="false">IFERROR(G277/F277,"")</f>
        <v>0.0675493327235583</v>
      </c>
      <c r="N277" s="10" t="n">
        <f aca="false">IFERROR(H277/G277,"")</f>
        <v>0.389926344766014</v>
      </c>
      <c r="O277" s="11" t="n">
        <f aca="false">IFERROR(I277/H277,"")</f>
        <v>0.882655981682885</v>
      </c>
      <c r="P277" s="10" t="n">
        <f aca="false">IFERROR(J277/H277,"")</f>
        <v>0.0557145582904026</v>
      </c>
      <c r="Q277" s="10" t="n">
        <f aca="false">IFERROR(K277/H277,"")</f>
        <v>0.00815684029765312</v>
      </c>
      <c r="R277" s="10" t="n">
        <f aca="false">IFERROR(L277/H277,"")</f>
        <v>0.00572409845449342</v>
      </c>
      <c r="S277" s="11" t="n">
        <f aca="false">IFERROR(M277/MEDIAN(INDEX($M$5:$M$627,MATCH($A277-90,$A$5:$A$627,1)):INDEX($M$5:$M$627,MATCH($A277+90,$A$5:$A$627,1))),"")</f>
        <v>1.00107647946466</v>
      </c>
      <c r="T277" s="11" t="n">
        <f aca="false">IFERROR(N277/MEDIAN(INDEX($N$5:$N$627,MATCH($A277-90,$A$5:$A$627,1)):INDEX($N$5:$N$627,MATCH($A277+90,$A$5:$A$627,1))),"")</f>
        <v>0.77218098844069</v>
      </c>
      <c r="U277" s="11" t="n">
        <f aca="false">IFERROR(Q277/MEDIAN(INDEX($Q$5:$Q$627,MATCH($A277-90,$A$5:$A$627,1)):INDEX($Q$5:$Q$627,MATCH($A277+90,$A$5:$A$627,1))),"")</f>
        <v>0.764882753146719</v>
      </c>
    </row>
    <row r="278" customFormat="false" ht="15" hidden="false" customHeight="false" outlineLevel="0" collapsed="false">
      <c r="A278" s="13" t="n">
        <v>45752.2769161806</v>
      </c>
      <c r="B278" s="8" t="n">
        <v>6</v>
      </c>
      <c r="C278" s="8" t="s">
        <v>68</v>
      </c>
      <c r="D278" s="8" t="s">
        <v>344</v>
      </c>
      <c r="E278" s="14" t="s">
        <v>66</v>
      </c>
      <c r="F278" s="9" t="n">
        <v>11938121</v>
      </c>
      <c r="G278" s="9" t="n">
        <v>538110</v>
      </c>
      <c r="H278" s="9" t="n">
        <v>264102</v>
      </c>
      <c r="I278" s="9" t="n">
        <v>326524</v>
      </c>
      <c r="J278" s="9" t="n">
        <v>7916</v>
      </c>
      <c r="K278" s="9" t="n">
        <v>2025</v>
      </c>
      <c r="L278" s="9" t="n">
        <v>1620</v>
      </c>
      <c r="M278" s="10" t="n">
        <f aca="false">IFERROR(G278/F278,"")</f>
        <v>0.0450749326464357</v>
      </c>
      <c r="N278" s="10" t="n">
        <f aca="false">IFERROR(H278/G278,"")</f>
        <v>0.490795562245638</v>
      </c>
      <c r="O278" s="11" t="n">
        <f aca="false">IFERROR(I278/H278,"")</f>
        <v>1.23635565046838</v>
      </c>
      <c r="P278" s="10" t="n">
        <f aca="false">IFERROR(J278/H278,"")</f>
        <v>0.0299732679040674</v>
      </c>
      <c r="Q278" s="10" t="n">
        <f aca="false">IFERROR(K278/H278,"")</f>
        <v>0.00766749210532294</v>
      </c>
      <c r="R278" s="10" t="n">
        <f aca="false">IFERROR(L278/H278,"")</f>
        <v>0.00613399368425836</v>
      </c>
      <c r="S278" s="11" t="n">
        <f aca="false">IFERROR(M278/MEDIAN(INDEX($M$5:$M$627,MATCH($A278-90,$A$5:$A$627,1)):INDEX($M$5:$M$627,MATCH($A278+90,$A$5:$A$627,1))),"")</f>
        <v>0.668727282458804</v>
      </c>
      <c r="T278" s="11" t="n">
        <f aca="false">IFERROR(N278/MEDIAN(INDEX($N$5:$N$627,MATCH($A278-90,$A$5:$A$627,1)):INDEX($N$5:$N$627,MATCH($A278+90,$A$5:$A$627,1))),"")</f>
        <v>0.972165543200973</v>
      </c>
      <c r="U278" s="11" t="n">
        <f aca="false">IFERROR(Q278/MEDIAN(INDEX($Q$5:$Q$627,MATCH($A278-90,$A$5:$A$627,1)):INDEX($Q$5:$Q$627,MATCH($A278+90,$A$5:$A$627,1))),"")</f>
        <v>0.717124578886169</v>
      </c>
    </row>
    <row r="279" customFormat="false" ht="15" hidden="false" customHeight="false" outlineLevel="0" collapsed="false">
      <c r="A279" s="13" t="n">
        <v>45754.5592069792</v>
      </c>
      <c r="B279" s="8" t="n">
        <v>13</v>
      </c>
      <c r="C279" s="8" t="s">
        <v>80</v>
      </c>
      <c r="D279" s="8" t="s">
        <v>345</v>
      </c>
      <c r="E279" s="14" t="s">
        <v>66</v>
      </c>
      <c r="F279" s="9" t="n">
        <v>1090347</v>
      </c>
      <c r="G279" s="9" t="n">
        <v>123150</v>
      </c>
      <c r="H279" s="9" t="n">
        <v>49536</v>
      </c>
      <c r="I279" s="9" t="n">
        <v>67592</v>
      </c>
      <c r="J279" s="9" t="n">
        <v>904</v>
      </c>
      <c r="K279" s="9" t="n">
        <v>428</v>
      </c>
      <c r="L279" s="9" t="n">
        <v>214</v>
      </c>
      <c r="M279" s="10" t="n">
        <f aca="false">IFERROR(G279/F279,"")</f>
        <v>0.112945695269488</v>
      </c>
      <c r="N279" s="10" t="n">
        <f aca="false">IFERROR(H279/G279,"")</f>
        <v>0.402241169305725</v>
      </c>
      <c r="O279" s="11" t="n">
        <f aca="false">IFERROR(I279/H279,"")</f>
        <v>1.36450258397933</v>
      </c>
      <c r="P279" s="10" t="n">
        <f aca="false">IFERROR(J279/H279,"")</f>
        <v>0.018249354005168</v>
      </c>
      <c r="Q279" s="10" t="n">
        <f aca="false">IFERROR(K279/H279,"")</f>
        <v>0.00864018087855297</v>
      </c>
      <c r="R279" s="10" t="n">
        <f aca="false">IFERROR(L279/H279,"")</f>
        <v>0.00432009043927649</v>
      </c>
      <c r="S279" s="11" t="n">
        <f aca="false">IFERROR(M279/MEDIAN(INDEX($M$5:$M$627,MATCH($A279-90,$A$5:$A$627,1)):INDEX($M$5:$M$627,MATCH($A279+90,$A$5:$A$627,1))),"")</f>
        <v>1.68245072123217</v>
      </c>
      <c r="T279" s="11" t="n">
        <f aca="false">IFERROR(N279/MEDIAN(INDEX($N$5:$N$627,MATCH($A279-90,$A$5:$A$627,1)):INDEX($N$5:$N$627,MATCH($A279+90,$A$5:$A$627,1))),"")</f>
        <v>0.796568346497385</v>
      </c>
      <c r="U279" s="11" t="n">
        <f aca="false">IFERROR(Q279/MEDIAN(INDEX($Q$5:$Q$627,MATCH($A279-90,$A$5:$A$627,1)):INDEX($Q$5:$Q$627,MATCH($A279+90,$A$5:$A$627,1))),"")</f>
        <v>0.81020653793782</v>
      </c>
    </row>
    <row r="280" customFormat="false" ht="15" hidden="false" customHeight="false" outlineLevel="0" collapsed="false">
      <c r="A280" s="13" t="n">
        <v>45756.5732807407</v>
      </c>
      <c r="B280" s="8" t="n">
        <v>13</v>
      </c>
      <c r="C280" s="8" t="s">
        <v>71</v>
      </c>
      <c r="D280" s="8" t="s">
        <v>346</v>
      </c>
      <c r="E280" s="14" t="s">
        <v>66</v>
      </c>
      <c r="F280" s="9" t="n">
        <v>540122</v>
      </c>
      <c r="G280" s="9" t="n">
        <v>61074</v>
      </c>
      <c r="H280" s="9" t="n">
        <v>18871</v>
      </c>
      <c r="I280" s="9" t="n">
        <v>18749</v>
      </c>
      <c r="J280" s="9" t="n">
        <v>428</v>
      </c>
      <c r="K280" s="9" t="n">
        <v>189</v>
      </c>
      <c r="L280" s="9" t="n">
        <v>53</v>
      </c>
      <c r="M280" s="10" t="n">
        <f aca="false">IFERROR(G280/F280,"")</f>
        <v>0.113074453549383</v>
      </c>
      <c r="N280" s="10" t="n">
        <f aca="false">IFERROR(H280/G280,"")</f>
        <v>0.308985820480073</v>
      </c>
      <c r="O280" s="11" t="n">
        <f aca="false">IFERROR(I280/H280,"")</f>
        <v>0.993535053786233</v>
      </c>
      <c r="P280" s="10" t="n">
        <f aca="false">IFERROR(J280/H280,"")</f>
        <v>0.022680303110593</v>
      </c>
      <c r="Q280" s="10" t="n">
        <f aca="false">IFERROR(K280/H280,"")</f>
        <v>0.0100153674950983</v>
      </c>
      <c r="R280" s="10" t="n">
        <f aca="false">IFERROR(L280/H280,"")</f>
        <v>0.00280854220762016</v>
      </c>
      <c r="S280" s="11" t="n">
        <f aca="false">IFERROR(M280/MEDIAN(INDEX($M$5:$M$627,MATCH($A280-90,$A$5:$A$627,1)):INDEX($M$5:$M$627,MATCH($A280+90,$A$5:$A$627,1))),"")</f>
        <v>1.69890198922438</v>
      </c>
      <c r="T280" s="11" t="n">
        <f aca="false">IFERROR(N280/MEDIAN(INDEX($N$5:$N$627,MATCH($A280-90,$A$5:$A$627,1)):INDEX($N$5:$N$627,MATCH($A280+90,$A$5:$A$627,1))),"")</f>
        <v>0.612749716349205</v>
      </c>
      <c r="U280" s="11" t="n">
        <f aca="false">IFERROR(Q280/MEDIAN(INDEX($Q$5:$Q$627,MATCH($A280-90,$A$5:$A$627,1)):INDEX($Q$5:$Q$627,MATCH($A280+90,$A$5:$A$627,1))),"")</f>
        <v>0.942745495348327</v>
      </c>
    </row>
    <row r="281" customFormat="false" ht="15" hidden="false" customHeight="false" outlineLevel="0" collapsed="false">
      <c r="A281" s="13" t="n">
        <v>45758.6289081134</v>
      </c>
      <c r="B281" s="8" t="n">
        <v>15</v>
      </c>
      <c r="C281" s="8" t="s">
        <v>84</v>
      </c>
      <c r="D281" s="8" t="s">
        <v>347</v>
      </c>
      <c r="E281" s="14" t="s">
        <v>66</v>
      </c>
      <c r="F281" s="9" t="n">
        <v>4475645</v>
      </c>
      <c r="G281" s="9" t="n">
        <v>183703</v>
      </c>
      <c r="H281" s="9" t="n">
        <v>105823</v>
      </c>
      <c r="I281" s="9" t="n">
        <v>126635</v>
      </c>
      <c r="J281" s="9" t="n">
        <v>3006</v>
      </c>
      <c r="K281" s="9" t="n">
        <v>207</v>
      </c>
      <c r="L281" s="9" t="n">
        <v>420</v>
      </c>
      <c r="M281" s="10" t="n">
        <f aca="false">IFERROR(G281/F281,"")</f>
        <v>0.0410450337325682</v>
      </c>
      <c r="N281" s="10" t="n">
        <f aca="false">IFERROR(H281/G281,"")</f>
        <v>0.57605482762938</v>
      </c>
      <c r="O281" s="11" t="n">
        <f aca="false">IFERROR(I281/H281,"")</f>
        <v>1.19666802112962</v>
      </c>
      <c r="P281" s="10" t="n">
        <f aca="false">IFERROR(J281/H281,"")</f>
        <v>0.0284059230980033</v>
      </c>
      <c r="Q281" s="10" t="n">
        <f aca="false">IFERROR(K281/H281,"")</f>
        <v>0.0019560965007607</v>
      </c>
      <c r="R281" s="10" t="n">
        <f aca="false">IFERROR(L281/H281,"")</f>
        <v>0.00396889145081882</v>
      </c>
      <c r="S281" s="11" t="n">
        <f aca="false">IFERROR(M281/MEDIAN(INDEX($M$5:$M$627,MATCH($A281-90,$A$5:$A$627,1)):INDEX($M$5:$M$627,MATCH($A281+90,$A$5:$A$627,1))),"")</f>
        <v>0.619496234003828</v>
      </c>
      <c r="T281" s="11" t="n">
        <f aca="false">IFERROR(N281/MEDIAN(INDEX($N$5:$N$627,MATCH($A281-90,$A$5:$A$627,1)):INDEX($N$5:$N$627,MATCH($A281+90,$A$5:$A$627,1))),"")</f>
        <v>1.14370481490053</v>
      </c>
      <c r="U281" s="11" t="n">
        <f aca="false">IFERROR(Q281/MEDIAN(INDEX($Q$5:$Q$627,MATCH($A281-90,$A$5:$A$627,1)):INDEX($Q$5:$Q$627,MATCH($A281+90,$A$5:$A$627,1))),"")</f>
        <v>0.183906796873243</v>
      </c>
    </row>
    <row r="282" customFormat="false" ht="15" hidden="false" customHeight="false" outlineLevel="0" collapsed="false">
      <c r="A282" s="13" t="n">
        <v>45759.6386958565</v>
      </c>
      <c r="B282" s="8" t="n">
        <v>15</v>
      </c>
      <c r="C282" s="8" t="s">
        <v>68</v>
      </c>
      <c r="D282" s="8" t="s">
        <v>348</v>
      </c>
      <c r="E282" s="14" t="s">
        <v>66</v>
      </c>
      <c r="F282" s="9" t="n">
        <v>470815</v>
      </c>
      <c r="G282" s="9" t="n">
        <v>22046</v>
      </c>
      <c r="H282" s="9" t="n">
        <v>10827</v>
      </c>
      <c r="I282" s="9" t="n">
        <v>10962</v>
      </c>
      <c r="J282" s="9" t="n">
        <v>345</v>
      </c>
      <c r="K282" s="9" t="n">
        <v>125</v>
      </c>
      <c r="L282" s="9" t="n">
        <v>42</v>
      </c>
      <c r="M282" s="10" t="n">
        <f aca="false">IFERROR(G282/F282,"")</f>
        <v>0.0468251861134416</v>
      </c>
      <c r="N282" s="10" t="n">
        <f aca="false">IFERROR(H282/G282,"")</f>
        <v>0.491109498321691</v>
      </c>
      <c r="O282" s="11" t="n">
        <f aca="false">IFERROR(I282/H282,"")</f>
        <v>1.01246882793017</v>
      </c>
      <c r="P282" s="10" t="n">
        <f aca="false">IFERROR(J282/H282,"")</f>
        <v>0.0318647824882239</v>
      </c>
      <c r="Q282" s="10" t="n">
        <f aca="false">IFERROR(K282/H282,"")</f>
        <v>0.0115452110464579</v>
      </c>
      <c r="R282" s="10" t="n">
        <f aca="false">IFERROR(L282/H282,"")</f>
        <v>0.00387919091160986</v>
      </c>
      <c r="S282" s="11" t="n">
        <f aca="false">IFERROR(M282/MEDIAN(INDEX($M$5:$M$627,MATCH($A282-90,$A$5:$A$627,1)):INDEX($M$5:$M$627,MATCH($A282+90,$A$5:$A$627,1))),"")</f>
        <v>0.708753806859266</v>
      </c>
      <c r="T282" s="11" t="n">
        <f aca="false">IFERROR(N282/MEDIAN(INDEX($N$5:$N$627,MATCH($A282-90,$A$5:$A$627,1)):INDEX($N$5:$N$627,MATCH($A282+90,$A$5:$A$627,1))),"")</f>
        <v>0.982319302705952</v>
      </c>
      <c r="U282" s="11" t="n">
        <f aca="false">IFERROR(Q282/MEDIAN(INDEX($Q$5:$Q$627,MATCH($A282-90,$A$5:$A$627,1)):INDEX($Q$5:$Q$627,MATCH($A282+90,$A$5:$A$627,1))),"")</f>
        <v>1.08261685758583</v>
      </c>
    </row>
    <row r="283" customFormat="false" ht="15" hidden="false" customHeight="false" outlineLevel="0" collapsed="false">
      <c r="A283" s="13" t="n">
        <v>45761.2481758333</v>
      </c>
      <c r="B283" s="8" t="n">
        <v>5</v>
      </c>
      <c r="C283" s="8" t="s">
        <v>80</v>
      </c>
      <c r="D283" s="8" t="s">
        <v>349</v>
      </c>
      <c r="E283" s="14" t="s">
        <v>66</v>
      </c>
      <c r="F283" s="9" t="n">
        <v>1549255</v>
      </c>
      <c r="G283" s="9" t="n">
        <v>208107</v>
      </c>
      <c r="H283" s="9" t="n">
        <v>90070</v>
      </c>
      <c r="I283" s="9" t="n">
        <v>125888</v>
      </c>
      <c r="J283" s="9" t="n">
        <v>2572</v>
      </c>
      <c r="K283" s="9" t="n">
        <v>496</v>
      </c>
      <c r="L283" s="9" t="n">
        <v>524</v>
      </c>
      <c r="M283" s="10" t="n">
        <f aca="false">IFERROR(G283/F283,"")</f>
        <v>0.134327144337117</v>
      </c>
      <c r="N283" s="10" t="n">
        <f aca="false">IFERROR(H283/G283,"")</f>
        <v>0.432806200656393</v>
      </c>
      <c r="O283" s="11" t="n">
        <f aca="false">IFERROR(I283/H283,"")</f>
        <v>1.39766848007106</v>
      </c>
      <c r="P283" s="10" t="n">
        <f aca="false">IFERROR(J283/H283,"")</f>
        <v>0.0285555678916398</v>
      </c>
      <c r="Q283" s="10" t="n">
        <f aca="false">IFERROR(K283/H283,"")</f>
        <v>0.00550682802264905</v>
      </c>
      <c r="R283" s="10" t="n">
        <f aca="false">IFERROR(L283/H283,"")</f>
        <v>0.00581769734650827</v>
      </c>
      <c r="S283" s="11" t="n">
        <f aca="false">IFERROR(M283/MEDIAN(INDEX($M$5:$M$627,MATCH($A283-90,$A$5:$A$627,1)):INDEX($M$5:$M$627,MATCH($A283+90,$A$5:$A$627,1))),"")</f>
        <v>2.03319800337401</v>
      </c>
      <c r="T283" s="11" t="n">
        <f aca="false">IFERROR(N283/MEDIAN(INDEX($N$5:$N$627,MATCH($A283-90,$A$5:$A$627,1)):INDEX($N$5:$N$627,MATCH($A283+90,$A$5:$A$627,1))),"")</f>
        <v>0.872975666254937</v>
      </c>
      <c r="U283" s="11" t="n">
        <f aca="false">IFERROR(Q283/MEDIAN(INDEX($Q$5:$Q$627,MATCH($A283-90,$A$5:$A$627,1)):INDEX($Q$5:$Q$627,MATCH($A283+90,$A$5:$A$627,1))),"")</f>
        <v>0.51835714611083</v>
      </c>
    </row>
    <row r="284" customFormat="false" ht="15" hidden="false" customHeight="false" outlineLevel="0" collapsed="false">
      <c r="A284" s="13" t="n">
        <v>45763.2444617245</v>
      </c>
      <c r="B284" s="8" t="n">
        <v>5</v>
      </c>
      <c r="C284" s="8" t="s">
        <v>71</v>
      </c>
      <c r="D284" s="8" t="s">
        <v>350</v>
      </c>
      <c r="E284" s="14" t="s">
        <v>66</v>
      </c>
      <c r="F284" s="9" t="n">
        <v>109322</v>
      </c>
      <c r="G284" s="9" t="n">
        <v>19223</v>
      </c>
      <c r="H284" s="9" t="n">
        <v>10025</v>
      </c>
      <c r="I284" s="9" t="n">
        <v>7096</v>
      </c>
      <c r="J284" s="9" t="n">
        <v>544</v>
      </c>
      <c r="K284" s="9" t="n">
        <v>195</v>
      </c>
      <c r="L284" s="9" t="n">
        <v>27</v>
      </c>
      <c r="M284" s="10" t="n">
        <f aca="false">IFERROR(G284/F284,"")</f>
        <v>0.175838349097163</v>
      </c>
      <c r="N284" s="10" t="n">
        <f aca="false">IFERROR(H284/G284,"")</f>
        <v>0.521510690318889</v>
      </c>
      <c r="O284" s="11" t="n">
        <f aca="false">IFERROR(I284/H284,"")</f>
        <v>0.70783042394015</v>
      </c>
      <c r="P284" s="10" t="n">
        <f aca="false">IFERROR(J284/H284,"")</f>
        <v>0.0542643391521197</v>
      </c>
      <c r="Q284" s="10" t="n">
        <f aca="false">IFERROR(K284/H284,"")</f>
        <v>0.0194513715710723</v>
      </c>
      <c r="R284" s="10" t="n">
        <f aca="false">IFERROR(L284/H284,"")</f>
        <v>0.00269326683291771</v>
      </c>
      <c r="S284" s="11" t="n">
        <f aca="false">IFERROR(M284/MEDIAN(INDEX($M$5:$M$627,MATCH($A284-90,$A$5:$A$627,1)):INDEX($M$5:$M$627,MATCH($A284+90,$A$5:$A$627,1))),"")</f>
        <v>2.6615185044334</v>
      </c>
      <c r="T284" s="11" t="n">
        <f aca="false">IFERROR(N284/MEDIAN(INDEX($N$5:$N$627,MATCH($A284-90,$A$5:$A$627,1)):INDEX($N$5:$N$627,MATCH($A284+90,$A$5:$A$627,1))),"")</f>
        <v>1.0518937613411</v>
      </c>
      <c r="U284" s="11" t="n">
        <f aca="false">IFERROR(Q284/MEDIAN(INDEX($Q$5:$Q$627,MATCH($A284-90,$A$5:$A$627,1)):INDEX($Q$5:$Q$627,MATCH($A284+90,$A$5:$A$627,1))),"")</f>
        <v>1.83095557261875</v>
      </c>
    </row>
    <row r="285" customFormat="false" ht="15" hidden="false" customHeight="false" outlineLevel="0" collapsed="false">
      <c r="A285" s="13" t="n">
        <v>45765.2274509144</v>
      </c>
      <c r="B285" s="8" t="n">
        <v>5</v>
      </c>
      <c r="C285" s="8" t="s">
        <v>84</v>
      </c>
      <c r="D285" s="8" t="s">
        <v>351</v>
      </c>
      <c r="E285" s="14" t="s">
        <v>66</v>
      </c>
      <c r="F285" s="9" t="n">
        <v>5276218</v>
      </c>
      <c r="G285" s="9" t="n">
        <v>235338</v>
      </c>
      <c r="H285" s="9" t="n">
        <v>159207</v>
      </c>
      <c r="I285" s="9" t="n">
        <v>192733</v>
      </c>
      <c r="J285" s="9" t="n">
        <v>3912</v>
      </c>
      <c r="K285" s="9" t="n">
        <v>1136</v>
      </c>
      <c r="L285" s="9" t="n">
        <v>639</v>
      </c>
      <c r="M285" s="10" t="n">
        <f aca="false">IFERROR(G285/F285,"")</f>
        <v>0.0446035398840609</v>
      </c>
      <c r="N285" s="10" t="n">
        <f aca="false">IFERROR(H285/G285,"")</f>
        <v>0.676503582081942</v>
      </c>
      <c r="O285" s="11" t="n">
        <f aca="false">IFERROR(I285/H285,"")</f>
        <v>1.21058119303799</v>
      </c>
      <c r="P285" s="10" t="n">
        <f aca="false">IFERROR(J285/H285,"")</f>
        <v>0.0245717839039741</v>
      </c>
      <c r="Q285" s="10" t="n">
        <f aca="false">IFERROR(K285/H285,"")</f>
        <v>0.00713536465105178</v>
      </c>
      <c r="R285" s="10" t="n">
        <f aca="false">IFERROR(L285/H285,"")</f>
        <v>0.00401364261621662</v>
      </c>
      <c r="S285" s="11" t="n">
        <f aca="false">IFERROR(M285/MEDIAN(INDEX($M$5:$M$627,MATCH($A285-90,$A$5:$A$627,1)):INDEX($M$5:$M$627,MATCH($A285+90,$A$5:$A$627,1))),"")</f>
        <v>0.670151747427069</v>
      </c>
      <c r="T285" s="11" t="n">
        <f aca="false">IFERROR(N285/MEDIAN(INDEX($N$5:$N$627,MATCH($A285-90,$A$5:$A$627,1)):INDEX($N$5:$N$627,MATCH($A285+90,$A$5:$A$627,1))),"")</f>
        <v>1.36451641495934</v>
      </c>
      <c r="U285" s="11" t="n">
        <f aca="false">IFERROR(Q285/MEDIAN(INDEX($Q$5:$Q$627,MATCH($A285-90,$A$5:$A$627,1)):INDEX($Q$5:$Q$627,MATCH($A285+90,$A$5:$A$627,1))),"")</f>
        <v>0.672476515226417</v>
      </c>
    </row>
    <row r="286" customFormat="false" ht="15" hidden="false" customHeight="false" outlineLevel="0" collapsed="false">
      <c r="A286" s="13" t="n">
        <v>45766.2286032523</v>
      </c>
      <c r="B286" s="8" t="n">
        <v>5</v>
      </c>
      <c r="C286" s="8" t="s">
        <v>68</v>
      </c>
      <c r="D286" s="8" t="s">
        <v>352</v>
      </c>
      <c r="E286" s="14" t="s">
        <v>66</v>
      </c>
      <c r="F286" s="9" t="n">
        <v>501502</v>
      </c>
      <c r="G286" s="9" t="n">
        <v>32263</v>
      </c>
      <c r="H286" s="9" t="n">
        <v>17917</v>
      </c>
      <c r="I286" s="9" t="n">
        <v>20701</v>
      </c>
      <c r="J286" s="9" t="n">
        <v>1279</v>
      </c>
      <c r="K286" s="9" t="n">
        <v>150</v>
      </c>
      <c r="L286" s="9" t="n">
        <v>93</v>
      </c>
      <c r="M286" s="10" t="n">
        <f aca="false">IFERROR(G286/F286,"")</f>
        <v>0.0643327444357151</v>
      </c>
      <c r="N286" s="10" t="n">
        <f aca="false">IFERROR(H286/G286,"")</f>
        <v>0.555342032669002</v>
      </c>
      <c r="O286" s="11" t="n">
        <f aca="false">IFERROR(I286/H286,"")</f>
        <v>1.15538315566222</v>
      </c>
      <c r="P286" s="10" t="n">
        <f aca="false">IFERROR(J286/H286,"")</f>
        <v>0.0713847184238433</v>
      </c>
      <c r="Q286" s="10" t="n">
        <f aca="false">IFERROR(K286/H286,"")</f>
        <v>0.00837193726628342</v>
      </c>
      <c r="R286" s="10" t="n">
        <f aca="false">IFERROR(L286/H286,"")</f>
        <v>0.00519060110509572</v>
      </c>
      <c r="S286" s="11" t="n">
        <f aca="false">IFERROR(M286/MEDIAN(INDEX($M$5:$M$627,MATCH($A286-90,$A$5:$A$627,1)):INDEX($M$5:$M$627,MATCH($A286+90,$A$5:$A$627,1))),"")</f>
        <v>0.966575774309337</v>
      </c>
      <c r="T286" s="11" t="n">
        <f aca="false">IFERROR(N286/MEDIAN(INDEX($N$5:$N$627,MATCH($A286-90,$A$5:$A$627,1)):INDEX($N$5:$N$627,MATCH($A286+90,$A$5:$A$627,1))),"")</f>
        <v>1.1169711367016</v>
      </c>
      <c r="U286" s="11" t="n">
        <f aca="false">IFERROR(Q286/MEDIAN(INDEX($Q$5:$Q$627,MATCH($A286-90,$A$5:$A$627,1)):INDEX($Q$5:$Q$627,MATCH($A286+90,$A$5:$A$627,1))),"")</f>
        <v>0.789018007327009</v>
      </c>
    </row>
    <row r="287" customFormat="false" ht="15" hidden="false" customHeight="false" outlineLevel="0" collapsed="false">
      <c r="A287" s="13" t="n">
        <v>45768.1908917593</v>
      </c>
      <c r="B287" s="8" t="n">
        <v>4</v>
      </c>
      <c r="C287" s="8" t="s">
        <v>80</v>
      </c>
      <c r="D287" s="8" t="s">
        <v>353</v>
      </c>
      <c r="E287" s="14" t="s">
        <v>66</v>
      </c>
      <c r="F287" s="9" t="n">
        <v>1046821</v>
      </c>
      <c r="G287" s="9" t="n">
        <v>90316</v>
      </c>
      <c r="H287" s="9" t="n">
        <v>42007</v>
      </c>
      <c r="I287" s="9" t="n">
        <v>54274</v>
      </c>
      <c r="J287" s="9" t="n">
        <v>878</v>
      </c>
      <c r="K287" s="9" t="n">
        <v>464</v>
      </c>
      <c r="L287" s="9" t="n">
        <v>147</v>
      </c>
      <c r="M287" s="10" t="n">
        <f aca="false">IFERROR(G287/F287,"")</f>
        <v>0.0862764503195866</v>
      </c>
      <c r="N287" s="10" t="n">
        <f aca="false">IFERROR(H287/G287,"")</f>
        <v>0.465111386686744</v>
      </c>
      <c r="O287" s="11" t="n">
        <f aca="false">IFERROR(I287/H287,"")</f>
        <v>1.29202275811174</v>
      </c>
      <c r="P287" s="10" t="n">
        <f aca="false">IFERROR(J287/H287,"")</f>
        <v>0.0209012783583688</v>
      </c>
      <c r="Q287" s="10" t="n">
        <f aca="false">IFERROR(K287/H287,"")</f>
        <v>0.0110457780846049</v>
      </c>
      <c r="R287" s="10" t="n">
        <f aca="false">IFERROR(L287/H287,"")</f>
        <v>0.00349941676387269</v>
      </c>
      <c r="S287" s="11" t="n">
        <f aca="false">IFERROR(M287/MEDIAN(INDEX($M$5:$M$627,MATCH($A287-90,$A$5:$A$627,1)):INDEX($M$5:$M$627,MATCH($A287+90,$A$5:$A$627,1))),"")</f>
        <v>1.30589470500274</v>
      </c>
      <c r="T287" s="11" t="n">
        <f aca="false">IFERROR(N287/MEDIAN(INDEX($N$5:$N$627,MATCH($A287-90,$A$5:$A$627,1)):INDEX($N$5:$N$627,MATCH($A287+90,$A$5:$A$627,1))),"")</f>
        <v>0.928530788190967</v>
      </c>
      <c r="U287" s="11" t="n">
        <f aca="false">IFERROR(Q287/MEDIAN(INDEX($Q$5:$Q$627,MATCH($A287-90,$A$5:$A$627,1)):INDEX($Q$5:$Q$627,MATCH($A287+90,$A$5:$A$627,1))),"")</f>
        <v>1.04101566178605</v>
      </c>
    </row>
    <row r="288" customFormat="false" ht="15" hidden="false" customHeight="false" outlineLevel="0" collapsed="false">
      <c r="A288" s="13" t="n">
        <v>45770.6548403704</v>
      </c>
      <c r="B288" s="8" t="n">
        <v>15</v>
      </c>
      <c r="C288" s="8" t="s">
        <v>71</v>
      </c>
      <c r="D288" s="8" t="s">
        <v>354</v>
      </c>
      <c r="E288" s="14" t="s">
        <v>66</v>
      </c>
      <c r="F288" s="9" t="n">
        <v>45639</v>
      </c>
      <c r="G288" s="9" t="n">
        <v>4201</v>
      </c>
      <c r="H288" s="9" t="n">
        <v>2048</v>
      </c>
      <c r="I288" s="9" t="n">
        <v>1885</v>
      </c>
      <c r="J288" s="9" t="n">
        <v>291</v>
      </c>
      <c r="K288" s="9" t="n">
        <v>74</v>
      </c>
      <c r="L288" s="9" t="n">
        <v>7</v>
      </c>
      <c r="M288" s="10" t="n">
        <f aca="false">IFERROR(G288/F288,"")</f>
        <v>0.092048467319617</v>
      </c>
      <c r="N288" s="10" t="n">
        <f aca="false">IFERROR(H288/G288,"")</f>
        <v>0.487502975482028</v>
      </c>
      <c r="O288" s="11" t="n">
        <f aca="false">IFERROR(I288/H288,"")</f>
        <v>0.92041015625</v>
      </c>
      <c r="P288" s="10" t="n">
        <f aca="false">IFERROR(J288/H288,"")</f>
        <v>0.14208984375</v>
      </c>
      <c r="Q288" s="10" t="n">
        <f aca="false">IFERROR(K288/H288,"")</f>
        <v>0.0361328125</v>
      </c>
      <c r="R288" s="10" t="n">
        <f aca="false">IFERROR(L288/H288,"")</f>
        <v>0.00341796875</v>
      </c>
      <c r="S288" s="11" t="n">
        <f aca="false">IFERROR(M288/MEDIAN(INDEX($M$5:$M$627,MATCH($A288-90,$A$5:$A$627,1)):INDEX($M$5:$M$627,MATCH($A288+90,$A$5:$A$627,1))),"")</f>
        <v>1.40987918346082</v>
      </c>
      <c r="T288" s="11" t="n">
        <f aca="false">IFERROR(N288/MEDIAN(INDEX($N$5:$N$627,MATCH($A288-90,$A$5:$A$627,1)):INDEX($N$5:$N$627,MATCH($A288+90,$A$5:$A$627,1))),"")</f>
        <v>0.966767049316007</v>
      </c>
      <c r="U288" s="11" t="n">
        <f aca="false">IFERROR(Q288/MEDIAN(INDEX($Q$5:$Q$627,MATCH($A288-90,$A$5:$A$627,1)):INDEX($Q$5:$Q$627,MATCH($A288+90,$A$5:$A$627,1))),"")</f>
        <v>3.40117786344957</v>
      </c>
    </row>
    <row r="289" customFormat="false" ht="15" hidden="false" customHeight="false" outlineLevel="0" collapsed="false">
      <c r="A289" s="13" t="n">
        <v>45772.2565823264</v>
      </c>
      <c r="B289" s="8" t="n">
        <v>6</v>
      </c>
      <c r="C289" s="8" t="s">
        <v>84</v>
      </c>
      <c r="D289" s="8" t="s">
        <v>355</v>
      </c>
      <c r="E289" s="14" t="s">
        <v>66</v>
      </c>
      <c r="F289" s="9" t="n">
        <v>573612</v>
      </c>
      <c r="G289" s="9" t="n">
        <v>23292</v>
      </c>
      <c r="H289" s="9" t="n">
        <v>10828</v>
      </c>
      <c r="I289" s="9" t="n">
        <v>11867</v>
      </c>
      <c r="J289" s="9" t="n">
        <v>387</v>
      </c>
      <c r="K289" s="9" t="n">
        <v>175</v>
      </c>
      <c r="L289" s="9" t="n">
        <v>51</v>
      </c>
      <c r="M289" s="10" t="n">
        <f aca="false">IFERROR(G289/F289,"")</f>
        <v>0.0406058450660028</v>
      </c>
      <c r="N289" s="10" t="n">
        <f aca="false">IFERROR(H289/G289,"")</f>
        <v>0.464880645715267</v>
      </c>
      <c r="O289" s="11" t="n">
        <f aca="false">IFERROR(I289/H289,"")</f>
        <v>1.09595493165866</v>
      </c>
      <c r="P289" s="10" t="n">
        <f aca="false">IFERROR(J289/H289,"")</f>
        <v>0.0357406723309937</v>
      </c>
      <c r="Q289" s="10" t="n">
        <f aca="false">IFERROR(K289/H289,"")</f>
        <v>0.0161618027336535</v>
      </c>
      <c r="R289" s="10" t="n">
        <f aca="false">IFERROR(L289/H289,"")</f>
        <v>0.00471001108237902</v>
      </c>
      <c r="S289" s="11" t="n">
        <f aca="false">IFERROR(M289/MEDIAN(INDEX($M$5:$M$627,MATCH($A289-90,$A$5:$A$627,1)):INDEX($M$5:$M$627,MATCH($A289+90,$A$5:$A$627,1))),"")</f>
        <v>0.621947734193201</v>
      </c>
      <c r="T289" s="11" t="n">
        <f aca="false">IFERROR(N289/MEDIAN(INDEX($N$5:$N$627,MATCH($A289-90,$A$5:$A$627,1)):INDEX($N$5:$N$627,MATCH($A289+90,$A$5:$A$627,1))),"")</f>
        <v>0.920614883641093</v>
      </c>
      <c r="U289" s="11" t="n">
        <f aca="false">IFERROR(Q289/MEDIAN(INDEX($Q$5:$Q$627,MATCH($A289-90,$A$5:$A$627,1)):INDEX($Q$5:$Q$627,MATCH($A289+90,$A$5:$A$627,1))),"")</f>
        <v>1.5213088018305</v>
      </c>
    </row>
    <row r="290" customFormat="false" ht="15" hidden="false" customHeight="false" outlineLevel="0" collapsed="false">
      <c r="A290" s="13" t="n">
        <v>45773.268597581</v>
      </c>
      <c r="B290" s="8" t="n">
        <v>6</v>
      </c>
      <c r="C290" s="8" t="s">
        <v>68</v>
      </c>
      <c r="D290" s="8" t="s">
        <v>356</v>
      </c>
      <c r="E290" s="14" t="s">
        <v>66</v>
      </c>
      <c r="F290" s="9" t="n">
        <v>52490</v>
      </c>
      <c r="G290" s="9" t="n">
        <v>3396</v>
      </c>
      <c r="H290" s="9" t="n">
        <v>1579</v>
      </c>
      <c r="I290" s="9" t="n">
        <v>1633</v>
      </c>
      <c r="J290" s="9" t="n">
        <v>229</v>
      </c>
      <c r="K290" s="9" t="n">
        <v>77</v>
      </c>
      <c r="L290" s="9" t="n">
        <v>18</v>
      </c>
      <c r="M290" s="10" t="n">
        <f aca="false">IFERROR(G290/F290,"")</f>
        <v>0.0646980377214708</v>
      </c>
      <c r="N290" s="10" t="n">
        <f aca="false">IFERROR(H290/G290,"")</f>
        <v>0.464958775029446</v>
      </c>
      <c r="O290" s="11" t="n">
        <f aca="false">IFERROR(I290/H290,"")</f>
        <v>1.034198860038</v>
      </c>
      <c r="P290" s="10" t="n">
        <f aca="false">IFERROR(J290/H290,"")</f>
        <v>0.145028499050032</v>
      </c>
      <c r="Q290" s="10" t="n">
        <f aca="false">IFERROR(K290/H290,"")</f>
        <v>0.0487650411652945</v>
      </c>
      <c r="R290" s="10" t="n">
        <f aca="false">IFERROR(L290/H290,"")</f>
        <v>0.0113996200126662</v>
      </c>
      <c r="S290" s="11" t="n">
        <f aca="false">IFERROR(M290/MEDIAN(INDEX($M$5:$M$627,MATCH($A290-90,$A$5:$A$627,1)):INDEX($M$5:$M$627,MATCH($A290+90,$A$5:$A$627,1))),"")</f>
        <v>0.982083417645249</v>
      </c>
      <c r="T290" s="11" t="n">
        <f aca="false">IFERROR(N290/MEDIAN(INDEX($N$5:$N$627,MATCH($A290-90,$A$5:$A$627,1)):INDEX($N$5:$N$627,MATCH($A290+90,$A$5:$A$627,1))),"")</f>
        <v>0.920988156503198</v>
      </c>
      <c r="U290" s="11" t="n">
        <f aca="false">IFERROR(Q290/MEDIAN(INDEX($Q$5:$Q$627,MATCH($A290-90,$A$5:$A$627,1)):INDEX($Q$5:$Q$627,MATCH($A290+90,$A$5:$A$627,1))),"")</f>
        <v>4.59575498919401</v>
      </c>
    </row>
    <row r="291" customFormat="false" ht="15" hidden="false" customHeight="false" outlineLevel="0" collapsed="false">
      <c r="A291" s="13" t="n">
        <v>45775.2504059838</v>
      </c>
      <c r="B291" s="8" t="n">
        <v>6</v>
      </c>
      <c r="C291" s="8" t="s">
        <v>80</v>
      </c>
      <c r="D291" s="8" t="s">
        <v>357</v>
      </c>
      <c r="E291" s="14" t="s">
        <v>66</v>
      </c>
      <c r="F291" s="9" t="n">
        <v>341664</v>
      </c>
      <c r="G291" s="9" t="n">
        <v>69539</v>
      </c>
      <c r="H291" s="9" t="n">
        <v>38768</v>
      </c>
      <c r="I291" s="9" t="n">
        <v>28710</v>
      </c>
      <c r="J291" s="9" t="n">
        <v>2037</v>
      </c>
      <c r="K291" s="9" t="n">
        <v>309</v>
      </c>
      <c r="L291" s="9" t="n">
        <v>74</v>
      </c>
      <c r="M291" s="10" t="n">
        <f aca="false">IFERROR(G291/F291,"")</f>
        <v>0.203530369017514</v>
      </c>
      <c r="N291" s="10" t="n">
        <f aca="false">IFERROR(H291/G291,"")</f>
        <v>0.557500107853147</v>
      </c>
      <c r="O291" s="11" t="n">
        <f aca="false">IFERROR(I291/H291,"")</f>
        <v>0.740559224102352</v>
      </c>
      <c r="P291" s="10" t="n">
        <f aca="false">IFERROR(J291/H291,"")</f>
        <v>0.0525433347090384</v>
      </c>
      <c r="Q291" s="10" t="n">
        <f aca="false">IFERROR(K291/H291,"")</f>
        <v>0.00797049112670244</v>
      </c>
      <c r="R291" s="10" t="n">
        <f aca="false">IFERROR(L291/H291,"")</f>
        <v>0.00190879075526207</v>
      </c>
      <c r="S291" s="11" t="n">
        <f aca="false">IFERROR(M291/MEDIAN(INDEX($M$5:$M$627,MATCH($A291-90,$A$5:$A$627,1)):INDEX($M$5:$M$627,MATCH($A291+90,$A$5:$A$627,1))),"")</f>
        <v>3.15475680476884</v>
      </c>
      <c r="T291" s="11" t="n">
        <f aca="false">IFERROR(N291/MEDIAN(INDEX($N$5:$N$627,MATCH($A291-90,$A$5:$A$627,1)):INDEX($N$5:$N$627,MATCH($A291+90,$A$5:$A$627,1))),"")</f>
        <v>1.10557834796726</v>
      </c>
      <c r="U291" s="11" t="n">
        <f aca="false">IFERROR(Q291/MEDIAN(INDEX($Q$5:$Q$627,MATCH($A291-90,$A$5:$A$627,1)):INDEX($Q$5:$Q$627,MATCH($A291+90,$A$5:$A$627,1))),"")</f>
        <v>0.751761039641077</v>
      </c>
    </row>
    <row r="292" customFormat="false" ht="15" hidden="false" customHeight="false" outlineLevel="0" collapsed="false">
      <c r="A292" s="13" t="n">
        <v>45777.2506964699</v>
      </c>
      <c r="B292" s="8" t="n">
        <v>6</v>
      </c>
      <c r="C292" s="8" t="s">
        <v>71</v>
      </c>
      <c r="D292" s="8" t="s">
        <v>358</v>
      </c>
      <c r="E292" s="14" t="s">
        <v>66</v>
      </c>
      <c r="F292" s="9" t="n">
        <v>84644</v>
      </c>
      <c r="G292" s="9" t="n">
        <v>13438</v>
      </c>
      <c r="H292" s="9" t="n">
        <v>5454</v>
      </c>
      <c r="I292" s="9" t="n">
        <v>5815</v>
      </c>
      <c r="J292" s="9" t="n">
        <v>593</v>
      </c>
      <c r="K292" s="9" t="n">
        <v>48</v>
      </c>
      <c r="L292" s="9" t="n">
        <v>18</v>
      </c>
      <c r="M292" s="10" t="n">
        <f aca="false">IFERROR(G292/F292,"")</f>
        <v>0.158759037852653</v>
      </c>
      <c r="N292" s="10" t="n">
        <f aca="false">IFERROR(H292/G292,"")</f>
        <v>0.405863967852359</v>
      </c>
      <c r="O292" s="11" t="n">
        <f aca="false">IFERROR(I292/H292,"")</f>
        <v>1.06618995232857</v>
      </c>
      <c r="P292" s="10" t="n">
        <f aca="false">IFERROR(J292/H292,"")</f>
        <v>0.108727539420609</v>
      </c>
      <c r="Q292" s="10" t="n">
        <f aca="false">IFERROR(K292/H292,"")</f>
        <v>0.0088008800880088</v>
      </c>
      <c r="R292" s="10" t="n">
        <f aca="false">IFERROR(L292/H292,"")</f>
        <v>0.0033003300330033</v>
      </c>
      <c r="S292" s="11" t="n">
        <f aca="false">IFERROR(M292/MEDIAN(INDEX($M$5:$M$627,MATCH($A292-90,$A$5:$A$627,1)):INDEX($M$5:$M$627,MATCH($A292+90,$A$5:$A$627,1))),"")</f>
        <v>2.49507460209914</v>
      </c>
      <c r="T292" s="11" t="n">
        <f aca="false">IFERROR(N292/MEDIAN(INDEX($N$5:$N$627,MATCH($A292-90,$A$5:$A$627,1)):INDEX($N$5:$N$627,MATCH($A292+90,$A$5:$A$627,1))),"")</f>
        <v>0.804868750260124</v>
      </c>
      <c r="U292" s="11" t="n">
        <f aca="false">IFERROR(Q292/MEDIAN(INDEX($Q$5:$Q$627,MATCH($A292-90,$A$5:$A$627,1)):INDEX($Q$5:$Q$627,MATCH($A292+90,$A$5:$A$627,1))),"")</f>
        <v>0.834026331515611</v>
      </c>
    </row>
    <row r="293" customFormat="false" ht="15" hidden="false" customHeight="false" outlineLevel="0" collapsed="false">
      <c r="A293" s="13" t="n">
        <v>45779.2512486111</v>
      </c>
      <c r="B293" s="8" t="n">
        <v>6</v>
      </c>
      <c r="C293" s="8" t="s">
        <v>84</v>
      </c>
      <c r="D293" s="8" t="s">
        <v>359</v>
      </c>
      <c r="E293" s="14" t="s">
        <v>66</v>
      </c>
      <c r="F293" s="9" t="n">
        <v>84148</v>
      </c>
      <c r="G293" s="9" t="n">
        <v>16115</v>
      </c>
      <c r="H293" s="9" t="n">
        <v>8448</v>
      </c>
      <c r="I293" s="9" t="n">
        <v>6188</v>
      </c>
      <c r="J293" s="9" t="n">
        <v>674</v>
      </c>
      <c r="K293" s="9" t="n">
        <v>97</v>
      </c>
      <c r="L293" s="9" t="n">
        <v>15</v>
      </c>
      <c r="M293" s="10" t="n">
        <f aca="false">IFERROR(G293/F293,"")</f>
        <v>0.19150781955602</v>
      </c>
      <c r="N293" s="10" t="n">
        <f aca="false">IFERROR(H293/G293,"")</f>
        <v>0.524232081911263</v>
      </c>
      <c r="O293" s="11" t="n">
        <f aca="false">IFERROR(I293/H293,"")</f>
        <v>0.732481060606061</v>
      </c>
      <c r="P293" s="10" t="n">
        <f aca="false">IFERROR(J293/H293,"")</f>
        <v>0.079782196969697</v>
      </c>
      <c r="Q293" s="10" t="n">
        <f aca="false">IFERROR(K293/H293,"")</f>
        <v>0.0114820075757576</v>
      </c>
      <c r="R293" s="10" t="n">
        <f aca="false">IFERROR(L293/H293,"")</f>
        <v>0.00177556818181818</v>
      </c>
      <c r="S293" s="11" t="n">
        <f aca="false">IFERROR(M293/MEDIAN(INDEX($M$5:$M$627,MATCH($A293-90,$A$5:$A$627,1)):INDEX($M$5:$M$627,MATCH($A293+90,$A$5:$A$627,1))),"")</f>
        <v>3.00975807828395</v>
      </c>
      <c r="T293" s="11" t="n">
        <f aca="false">IFERROR(N293/MEDIAN(INDEX($N$5:$N$627,MATCH($A293-90,$A$5:$A$627,1)):INDEX($N$5:$N$627,MATCH($A293+90,$A$5:$A$627,1))),"")</f>
        <v>1.03960453263905</v>
      </c>
      <c r="U293" s="11" t="n">
        <f aca="false">IFERROR(Q293/MEDIAN(INDEX($Q$5:$Q$627,MATCH($A293-90,$A$5:$A$627,1)):INDEX($Q$5:$Q$627,MATCH($A293+90,$A$5:$A$627,1))),"")</f>
        <v>1.09768951381716</v>
      </c>
    </row>
    <row r="294" customFormat="false" ht="15" hidden="false" customHeight="false" outlineLevel="0" collapsed="false">
      <c r="A294" s="13" t="n">
        <v>45780.2506470718</v>
      </c>
      <c r="B294" s="8" t="n">
        <v>6</v>
      </c>
      <c r="C294" s="8" t="s">
        <v>68</v>
      </c>
      <c r="D294" s="8" t="s">
        <v>360</v>
      </c>
      <c r="E294" s="14" t="s">
        <v>66</v>
      </c>
      <c r="F294" s="9" t="n">
        <v>277515</v>
      </c>
      <c r="G294" s="9" t="n">
        <v>6328</v>
      </c>
      <c r="H294" s="9" t="n">
        <v>2340</v>
      </c>
      <c r="I294" s="9" t="n">
        <v>2783</v>
      </c>
      <c r="J294" s="9" t="n">
        <v>230</v>
      </c>
      <c r="K294" s="9" t="n">
        <v>57</v>
      </c>
      <c r="L294" s="9" t="n">
        <v>48</v>
      </c>
      <c r="M294" s="10" t="n">
        <f aca="false">IFERROR(G294/F294,"")</f>
        <v>0.0228023710430067</v>
      </c>
      <c r="N294" s="10" t="n">
        <f aca="false">IFERROR(H294/G294,"")</f>
        <v>0.369785082174463</v>
      </c>
      <c r="O294" s="11" t="n">
        <f aca="false">IFERROR(I294/H294,"")</f>
        <v>1.18931623931624</v>
      </c>
      <c r="P294" s="10" t="n">
        <f aca="false">IFERROR(J294/H294,"")</f>
        <v>0.0982905982905983</v>
      </c>
      <c r="Q294" s="10" t="n">
        <f aca="false">IFERROR(K294/H294,"")</f>
        <v>0.0243589743589744</v>
      </c>
      <c r="R294" s="10" t="n">
        <f aca="false">IFERROR(L294/H294,"")</f>
        <v>0.0205128205128205</v>
      </c>
      <c r="S294" s="11" t="n">
        <f aca="false">IFERROR(M294/MEDIAN(INDEX($M$5:$M$627,MATCH($A294-90,$A$5:$A$627,1)):INDEX($M$5:$M$627,MATCH($A294+90,$A$5:$A$627,1))),"")</f>
        <v>0.35836458589432</v>
      </c>
      <c r="T294" s="11" t="n">
        <f aca="false">IFERROR(N294/MEDIAN(INDEX($N$5:$N$627,MATCH($A294-90,$A$5:$A$627,1)):INDEX($N$5:$N$627,MATCH($A294+90,$A$5:$A$627,1))),"")</f>
        <v>0.733320719573868</v>
      </c>
      <c r="U294" s="11" t="n">
        <f aca="false">IFERROR(Q294/MEDIAN(INDEX($Q$5:$Q$627,MATCH($A294-90,$A$5:$A$627,1)):INDEX($Q$5:$Q$627,MATCH($A294+90,$A$5:$A$627,1))),"")</f>
        <v>2.3287382929133</v>
      </c>
    </row>
    <row r="295" customFormat="false" ht="15" hidden="false" customHeight="false" outlineLevel="0" collapsed="false">
      <c r="A295" s="13" t="n">
        <v>45782.6855206482</v>
      </c>
      <c r="B295" s="8" t="n">
        <v>16</v>
      </c>
      <c r="C295" s="8" t="s">
        <v>80</v>
      </c>
      <c r="D295" s="8" t="s">
        <v>361</v>
      </c>
      <c r="E295" s="14" t="s">
        <v>66</v>
      </c>
      <c r="F295" s="9" t="n">
        <v>326006</v>
      </c>
      <c r="G295" s="9" t="n">
        <v>46371</v>
      </c>
      <c r="H295" s="9" t="n">
        <v>30332</v>
      </c>
      <c r="I295" s="9" t="n">
        <v>46264</v>
      </c>
      <c r="J295" s="9" t="n">
        <v>1860</v>
      </c>
      <c r="K295" s="9" t="n">
        <v>831</v>
      </c>
      <c r="L295" s="9" t="n">
        <v>100</v>
      </c>
      <c r="M295" s="10" t="n">
        <f aca="false">IFERROR(G295/F295,"")</f>
        <v>0.142239713379508</v>
      </c>
      <c r="N295" s="10" t="n">
        <f aca="false">IFERROR(H295/G295,"")</f>
        <v>0.654115718876022</v>
      </c>
      <c r="O295" s="11" t="n">
        <f aca="false">IFERROR(I295/H295,"")</f>
        <v>1.52525385731241</v>
      </c>
      <c r="P295" s="10" t="n">
        <f aca="false">IFERROR(J295/H295,"")</f>
        <v>0.0613213767638138</v>
      </c>
      <c r="Q295" s="10" t="n">
        <f aca="false">IFERROR(K295/H295,"")</f>
        <v>0.0273968086509297</v>
      </c>
      <c r="R295" s="10" t="n">
        <f aca="false">IFERROR(L295/H295,"")</f>
        <v>0.00329684821310827</v>
      </c>
      <c r="S295" s="11" t="n">
        <f aca="false">IFERROR(M295/MEDIAN(INDEX($M$5:$M$627,MATCH($A295-90,$A$5:$A$627,1)):INDEX($M$5:$M$627,MATCH($A295+90,$A$5:$A$627,1))),"")</f>
        <v>2.23545507117811</v>
      </c>
      <c r="T295" s="11" t="n">
        <f aca="false">IFERROR(N295/MEDIAN(INDEX($N$5:$N$627,MATCH($A295-90,$A$5:$A$627,1)):INDEX($N$5:$N$627,MATCH($A295+90,$A$5:$A$627,1))),"")</f>
        <v>1.2953618783039</v>
      </c>
      <c r="U295" s="11" t="n">
        <f aca="false">IFERROR(Q295/MEDIAN(INDEX($Q$5:$Q$627,MATCH($A295-90,$A$5:$A$627,1)):INDEX($Q$5:$Q$627,MATCH($A295+90,$A$5:$A$627,1))),"")</f>
        <v>2.65277911966795</v>
      </c>
    </row>
    <row r="296" customFormat="false" ht="15" hidden="false" customHeight="false" outlineLevel="0" collapsed="false">
      <c r="A296" s="13" t="n">
        <v>45784.2524523958</v>
      </c>
      <c r="B296" s="8" t="n">
        <v>6</v>
      </c>
      <c r="C296" s="8" t="s">
        <v>71</v>
      </c>
      <c r="D296" s="8" t="s">
        <v>362</v>
      </c>
      <c r="E296" s="14" t="s">
        <v>66</v>
      </c>
      <c r="F296" s="9" t="n">
        <v>187261</v>
      </c>
      <c r="G296" s="9" t="n">
        <v>29474</v>
      </c>
      <c r="H296" s="9" t="n">
        <v>9957</v>
      </c>
      <c r="I296" s="9" t="n">
        <v>10758</v>
      </c>
      <c r="J296" s="9" t="n">
        <v>713</v>
      </c>
      <c r="K296" s="9" t="n">
        <v>71</v>
      </c>
      <c r="L296" s="9" t="n">
        <v>35</v>
      </c>
      <c r="M296" s="10" t="n">
        <f aca="false">IFERROR(G296/F296,"")</f>
        <v>0.157395293200399</v>
      </c>
      <c r="N296" s="10" t="n">
        <f aca="false">IFERROR(H296/G296,"")</f>
        <v>0.337823166180362</v>
      </c>
      <c r="O296" s="11" t="n">
        <f aca="false">IFERROR(I296/H296,"")</f>
        <v>1.08044591744501</v>
      </c>
      <c r="P296" s="10" t="n">
        <f aca="false">IFERROR(J296/H296,"")</f>
        <v>0.0716079140303304</v>
      </c>
      <c r="Q296" s="10" t="n">
        <f aca="false">IFERROR(K296/H296,"")</f>
        <v>0.00713066184593753</v>
      </c>
      <c r="R296" s="10" t="n">
        <f aca="false">IFERROR(L296/H296,"")</f>
        <v>0.00351511499447625</v>
      </c>
      <c r="S296" s="11" t="n">
        <f aca="false">IFERROR(M296/MEDIAN(INDEX($M$5:$M$627,MATCH($A296-90,$A$5:$A$627,1)):INDEX($M$5:$M$627,MATCH($A296+90,$A$5:$A$627,1))),"")</f>
        <v>2.47364184027587</v>
      </c>
      <c r="T296" s="11" t="n">
        <f aca="false">IFERROR(N296/MEDIAN(INDEX($N$5:$N$627,MATCH($A296-90,$A$5:$A$627,1)):INDEX($N$5:$N$627,MATCH($A296+90,$A$5:$A$627,1))),"")</f>
        <v>0.669937050611541</v>
      </c>
      <c r="U296" s="11" t="n">
        <f aca="false">IFERROR(Q296/MEDIAN(INDEX($Q$5:$Q$627,MATCH($A296-90,$A$5:$A$627,1)):INDEX($Q$5:$Q$627,MATCH($A296+90,$A$5:$A$627,1))),"")</f>
        <v>0.690447967693277</v>
      </c>
    </row>
    <row r="297" customFormat="false" ht="15" hidden="false" customHeight="false" outlineLevel="0" collapsed="false">
      <c r="A297" s="13" t="n">
        <v>45786.2298335995</v>
      </c>
      <c r="B297" s="8" t="n">
        <v>5</v>
      </c>
      <c r="C297" s="8" t="s">
        <v>84</v>
      </c>
      <c r="D297" s="8" t="s">
        <v>363</v>
      </c>
      <c r="E297" s="14" t="s">
        <v>66</v>
      </c>
      <c r="F297" s="9" t="n">
        <v>625027</v>
      </c>
      <c r="G297" s="9" t="n">
        <v>99763</v>
      </c>
      <c r="H297" s="9" t="n">
        <v>54524</v>
      </c>
      <c r="I297" s="9" t="n">
        <v>45033</v>
      </c>
      <c r="J297" s="9" t="n">
        <v>2312</v>
      </c>
      <c r="K297" s="9" t="n">
        <v>364</v>
      </c>
      <c r="L297" s="9" t="n">
        <v>232</v>
      </c>
      <c r="M297" s="10" t="n">
        <f aca="false">IFERROR(G297/F297,"")</f>
        <v>0.159613904679318</v>
      </c>
      <c r="N297" s="10" t="n">
        <f aca="false">IFERROR(H297/G297,"")</f>
        <v>0.546535288634063</v>
      </c>
      <c r="O297" s="11" t="n">
        <f aca="false">IFERROR(I297/H297,"")</f>
        <v>0.825929865747194</v>
      </c>
      <c r="P297" s="10" t="n">
        <f aca="false">IFERROR(J297/H297,"")</f>
        <v>0.0424033453158242</v>
      </c>
      <c r="Q297" s="10" t="n">
        <f aca="false">IFERROR(K297/H297,"")</f>
        <v>0.00667595921062285</v>
      </c>
      <c r="R297" s="10" t="n">
        <f aca="false">IFERROR(L297/H297,"")</f>
        <v>0.00425500696940797</v>
      </c>
      <c r="S297" s="11" t="n">
        <f aca="false">IFERROR(M297/MEDIAN(INDEX($M$5:$M$627,MATCH($A297-90,$A$5:$A$627,1)):INDEX($M$5:$M$627,MATCH($A297+90,$A$5:$A$627,1))),"")</f>
        <v>2.50850978371927</v>
      </c>
      <c r="T297" s="11" t="n">
        <f aca="false">IFERROR(N297/MEDIAN(INDEX($N$5:$N$627,MATCH($A297-90,$A$5:$A$627,1)):INDEX($N$5:$N$627,MATCH($A297+90,$A$5:$A$627,1))),"")</f>
        <v>1.08383401725371</v>
      </c>
      <c r="U297" s="11" t="n">
        <f aca="false">IFERROR(Q297/MEDIAN(INDEX($Q$5:$Q$627,MATCH($A297-90,$A$5:$A$627,1)):INDEX($Q$5:$Q$627,MATCH($A297+90,$A$5:$A$627,1))),"")</f>
        <v>0.653712909344943</v>
      </c>
    </row>
    <row r="298" customFormat="false" ht="15" hidden="false" customHeight="false" outlineLevel="0" collapsed="false">
      <c r="A298" s="13" t="n">
        <v>45787.2504982523</v>
      </c>
      <c r="B298" s="8" t="n">
        <v>6</v>
      </c>
      <c r="C298" s="8" t="s">
        <v>68</v>
      </c>
      <c r="D298" s="8" t="s">
        <v>342</v>
      </c>
      <c r="E298" s="14" t="s">
        <v>66</v>
      </c>
      <c r="F298" s="9" t="n">
        <v>26069</v>
      </c>
      <c r="G298" s="9" t="n">
        <v>3144</v>
      </c>
      <c r="H298" s="9" t="n">
        <v>1993</v>
      </c>
      <c r="I298" s="9" t="n">
        <v>0</v>
      </c>
      <c r="J298" s="9" t="n">
        <v>402</v>
      </c>
      <c r="K298" s="9" t="n">
        <v>104</v>
      </c>
      <c r="L298" s="9" t="n">
        <v>8</v>
      </c>
      <c r="M298" s="10" t="n">
        <f aca="false">IFERROR(G298/F298,"")</f>
        <v>0.120603015075377</v>
      </c>
      <c r="N298" s="10" t="n">
        <f aca="false">IFERROR(H298/G298,"")</f>
        <v>0.633905852417303</v>
      </c>
      <c r="O298" s="11" t="n">
        <f aca="false">IFERROR(I298/H298,"")</f>
        <v>0</v>
      </c>
      <c r="P298" s="10" t="n">
        <f aca="false">IFERROR(J298/H298,"")</f>
        <v>0.201705970898144</v>
      </c>
      <c r="Q298" s="10" t="n">
        <f aca="false">IFERROR(K298/H298,"")</f>
        <v>0.0521826392373307</v>
      </c>
      <c r="R298" s="10" t="n">
        <f aca="false">IFERROR(L298/H298,"")</f>
        <v>0.00401404917210236</v>
      </c>
      <c r="S298" s="11" t="n">
        <f aca="false">IFERROR(M298/MEDIAN(INDEX($M$5:$M$627,MATCH($A298-90,$A$5:$A$627,1)):INDEX($M$5:$M$627,MATCH($A298+90,$A$5:$A$627,1))),"")</f>
        <v>1.86936811602766</v>
      </c>
      <c r="T298" s="11" t="n">
        <f aca="false">IFERROR(N298/MEDIAN(INDEX($N$5:$N$627,MATCH($A298-90,$A$5:$A$627,1)):INDEX($N$5:$N$627,MATCH($A298+90,$A$5:$A$627,1))),"")</f>
        <v>1.26550567806316</v>
      </c>
      <c r="U298" s="11" t="n">
        <f aca="false">IFERROR(Q298/MEDIAN(INDEX($Q$5:$Q$627,MATCH($A298-90,$A$5:$A$627,1)):INDEX($Q$5:$Q$627,MATCH($A298+90,$A$5:$A$627,1))),"")</f>
        <v>5.10974735418589</v>
      </c>
    </row>
    <row r="299" customFormat="false" ht="15" hidden="false" customHeight="false" outlineLevel="0" collapsed="false">
      <c r="A299" s="13" t="n">
        <v>45789.5716047917</v>
      </c>
      <c r="B299" s="8" t="n">
        <v>13</v>
      </c>
      <c r="C299" s="8" t="s">
        <v>80</v>
      </c>
      <c r="D299" s="8" t="s">
        <v>364</v>
      </c>
      <c r="E299" s="14" t="s">
        <v>66</v>
      </c>
      <c r="F299" s="9" t="n">
        <v>306680</v>
      </c>
      <c r="G299" s="9" t="n">
        <v>13644</v>
      </c>
      <c r="H299" s="9" t="n">
        <v>6417</v>
      </c>
      <c r="I299" s="9" t="n">
        <v>8313</v>
      </c>
      <c r="J299" s="9" t="n">
        <v>310</v>
      </c>
      <c r="K299" s="9" t="n">
        <v>63</v>
      </c>
      <c r="L299" s="9" t="n">
        <v>51</v>
      </c>
      <c r="M299" s="10" t="n">
        <f aca="false">IFERROR(G299/F299,"")</f>
        <v>0.0444893700273901</v>
      </c>
      <c r="N299" s="10" t="n">
        <f aca="false">IFERROR(H299/G299,"")</f>
        <v>0.470316622691293</v>
      </c>
      <c r="O299" s="11" t="n">
        <f aca="false">IFERROR(I299/H299,"")</f>
        <v>1.29546517064049</v>
      </c>
      <c r="P299" s="10" t="n">
        <f aca="false">IFERROR(J299/H299,"")</f>
        <v>0.0483091787439614</v>
      </c>
      <c r="Q299" s="10" t="n">
        <f aca="false">IFERROR(K299/H299,"")</f>
        <v>0.00981767180925666</v>
      </c>
      <c r="R299" s="10" t="n">
        <f aca="false">IFERROR(L299/H299,"")</f>
        <v>0.00794763908368396</v>
      </c>
      <c r="S299" s="11" t="n">
        <f aca="false">IFERROR(M299/MEDIAN(INDEX($M$5:$M$627,MATCH($A299-90,$A$5:$A$627,1)):INDEX($M$5:$M$627,MATCH($A299+90,$A$5:$A$627,1))),"")</f>
        <v>0.699199861123853</v>
      </c>
      <c r="T299" s="11" t="n">
        <f aca="false">IFERROR(N299/MEDIAN(INDEX($N$5:$N$627,MATCH($A299-90,$A$5:$A$627,1)):INDEX($N$5:$N$627,MATCH($A299+90,$A$5:$A$627,1))),"")</f>
        <v>0.932684796670114</v>
      </c>
      <c r="U299" s="11" t="n">
        <f aca="false">IFERROR(Q299/MEDIAN(INDEX($Q$5:$Q$627,MATCH($A299-90,$A$5:$A$627,1)):INDEX($Q$5:$Q$627,MATCH($A299+90,$A$5:$A$627,1))),"")</f>
        <v>0.961350811013153</v>
      </c>
    </row>
    <row r="300" customFormat="false" ht="15" hidden="false" customHeight="false" outlineLevel="0" collapsed="false">
      <c r="A300" s="13" t="n">
        <v>45791.2401094792</v>
      </c>
      <c r="B300" s="8" t="n">
        <v>5</v>
      </c>
      <c r="C300" s="8" t="s">
        <v>71</v>
      </c>
      <c r="D300" s="8" t="s">
        <v>365</v>
      </c>
      <c r="E300" s="14" t="s">
        <v>66</v>
      </c>
      <c r="F300" s="9" t="n">
        <v>10984</v>
      </c>
      <c r="G300" s="9" t="n">
        <v>15533</v>
      </c>
      <c r="H300" s="9" t="n">
        <v>12044</v>
      </c>
      <c r="I300" s="9" t="n">
        <v>6236</v>
      </c>
      <c r="J300" s="9" t="n">
        <v>753</v>
      </c>
      <c r="K300" s="9" t="n">
        <v>53</v>
      </c>
      <c r="L300" s="9" t="n">
        <v>127</v>
      </c>
      <c r="M300" s="10" t="n">
        <f aca="false">IFERROR(G300/F300,"")</f>
        <v>1.41414785142025</v>
      </c>
      <c r="N300" s="10" t="n">
        <f aca="false">IFERROR(H300/G300,"")</f>
        <v>0.775381445953776</v>
      </c>
      <c r="O300" s="11" t="n">
        <f aca="false">IFERROR(I300/H300,"")</f>
        <v>0.517768183327798</v>
      </c>
      <c r="P300" s="10" t="n">
        <f aca="false">IFERROR(J300/H300,"")</f>
        <v>0.0625207572235138</v>
      </c>
      <c r="Q300" s="10" t="n">
        <f aca="false">IFERROR(K300/H300,"")</f>
        <v>0.00440053138492195</v>
      </c>
      <c r="R300" s="10" t="n">
        <f aca="false">IFERROR(L300/H300,"")</f>
        <v>0.0105446695450017</v>
      </c>
      <c r="S300" s="11" t="n">
        <f aca="false">IFERROR(M300/MEDIAN(INDEX($M$5:$M$627,MATCH($A300-90,$A$5:$A$627,1)):INDEX($M$5:$M$627,MATCH($A300+90,$A$5:$A$627,1))),"")</f>
        <v>22.5908613160053</v>
      </c>
      <c r="T300" s="11" t="n">
        <f aca="false">IFERROR(N300/MEDIAN(INDEX($N$5:$N$627,MATCH($A300-90,$A$5:$A$627,1)):INDEX($N$5:$N$627,MATCH($A300+90,$A$5:$A$627,1))),"")</f>
        <v>1.53866435031623</v>
      </c>
      <c r="U300" s="11" t="n">
        <f aca="false">IFERROR(Q300/MEDIAN(INDEX($Q$5:$Q$627,MATCH($A300-90,$A$5:$A$627,1)):INDEX($Q$5:$Q$627,MATCH($A300+90,$A$5:$A$627,1))),"")</f>
        <v>0.430901999779096</v>
      </c>
    </row>
    <row r="301" customFormat="false" ht="15" hidden="false" customHeight="false" outlineLevel="0" collapsed="false">
      <c r="A301" s="13" t="n">
        <v>45793.2509971528</v>
      </c>
      <c r="B301" s="8" t="n">
        <v>6</v>
      </c>
      <c r="C301" s="8" t="s">
        <v>84</v>
      </c>
      <c r="D301" s="8" t="s">
        <v>366</v>
      </c>
      <c r="E301" s="14" t="s">
        <v>66</v>
      </c>
      <c r="F301" s="9" t="n">
        <v>704111</v>
      </c>
      <c r="G301" s="9" t="n">
        <v>34515</v>
      </c>
      <c r="H301" s="9" t="n">
        <v>12779</v>
      </c>
      <c r="I301" s="9" t="n">
        <v>20535</v>
      </c>
      <c r="J301" s="9" t="n">
        <v>582</v>
      </c>
      <c r="K301" s="9" t="n">
        <v>191</v>
      </c>
      <c r="L301" s="9" t="n">
        <v>143</v>
      </c>
      <c r="M301" s="10" t="n">
        <f aca="false">IFERROR(G301/F301,"")</f>
        <v>0.0490192597473978</v>
      </c>
      <c r="N301" s="10" t="n">
        <f aca="false">IFERROR(H301/G301,"")</f>
        <v>0.370244821092279</v>
      </c>
      <c r="O301" s="11" t="n">
        <f aca="false">IFERROR(I301/H301,"")</f>
        <v>1.60693324986306</v>
      </c>
      <c r="P301" s="10" t="n">
        <f aca="false">IFERROR(J301/H301,"")</f>
        <v>0.0455434697550669</v>
      </c>
      <c r="Q301" s="10" t="n">
        <f aca="false">IFERROR(K301/H301,"")</f>
        <v>0.0149463964316457</v>
      </c>
      <c r="R301" s="10" t="n">
        <f aca="false">IFERROR(L301/H301,"")</f>
        <v>0.0111902339776195</v>
      </c>
      <c r="S301" s="11" t="n">
        <f aca="false">IFERROR(M301/MEDIAN(INDEX($M$5:$M$627,MATCH($A301-90,$A$5:$A$627,1)):INDEX($M$5:$M$627,MATCH($A301+90,$A$5:$A$627,1))),"")</f>
        <v>0.774371464732479</v>
      </c>
      <c r="T301" s="11" t="n">
        <f aca="false">IFERROR(N301/MEDIAN(INDEX($N$5:$N$627,MATCH($A301-90,$A$5:$A$627,1)):INDEX($N$5:$N$627,MATCH($A301+90,$A$5:$A$627,1))),"")</f>
        <v>0.733683984999417</v>
      </c>
      <c r="U301" s="11" t="n">
        <f aca="false">IFERROR(Q301/MEDIAN(INDEX($Q$5:$Q$627,MATCH($A301-90,$A$5:$A$627,1)):INDEX($Q$5:$Q$627,MATCH($A301+90,$A$5:$A$627,1))),"")</f>
        <v>1.46355781802963</v>
      </c>
    </row>
    <row r="302" customFormat="false" ht="15" hidden="false" customHeight="false" outlineLevel="0" collapsed="false">
      <c r="A302" s="13" t="n">
        <v>45794.2586699769</v>
      </c>
      <c r="B302" s="8" t="n">
        <v>6</v>
      </c>
      <c r="C302" s="8" t="s">
        <v>68</v>
      </c>
      <c r="D302" s="8" t="s">
        <v>367</v>
      </c>
      <c r="E302" s="14" t="s">
        <v>66</v>
      </c>
      <c r="F302" s="9" t="n">
        <v>139999</v>
      </c>
      <c r="G302" s="9" t="n">
        <v>20597</v>
      </c>
      <c r="H302" s="9" t="n">
        <v>10666</v>
      </c>
      <c r="I302" s="9" t="n">
        <v>7084</v>
      </c>
      <c r="J302" s="9" t="n">
        <v>710</v>
      </c>
      <c r="K302" s="9" t="n">
        <v>65</v>
      </c>
      <c r="L302" s="9" t="n">
        <v>39</v>
      </c>
      <c r="M302" s="10" t="n">
        <f aca="false">IFERROR(G302/F302,"")</f>
        <v>0.147122479446282</v>
      </c>
      <c r="N302" s="10" t="n">
        <f aca="false">IFERROR(H302/G302,"")</f>
        <v>0.517842404233626</v>
      </c>
      <c r="O302" s="11" t="n">
        <f aca="false">IFERROR(I302/H302,"")</f>
        <v>0.6641665104069</v>
      </c>
      <c r="P302" s="10" t="n">
        <f aca="false">IFERROR(J302/H302,"")</f>
        <v>0.066566660416276</v>
      </c>
      <c r="Q302" s="10" t="n">
        <f aca="false">IFERROR(K302/H302,"")</f>
        <v>0.0060941308831802</v>
      </c>
      <c r="R302" s="10" t="n">
        <f aca="false">IFERROR(L302/H302,"")</f>
        <v>0.00365647852990812</v>
      </c>
      <c r="S302" s="11" t="n">
        <f aca="false">IFERROR(M302/MEDIAN(INDEX($M$5:$M$627,MATCH($A302-90,$A$5:$A$627,1)):INDEX($M$5:$M$627,MATCH($A302+90,$A$5:$A$627,1))),"")</f>
        <v>2.32413648208833</v>
      </c>
      <c r="T302" s="11" t="n">
        <f aca="false">IFERROR(N302/MEDIAN(INDEX($N$5:$N$627,MATCH($A302-90,$A$5:$A$627,1)):INDEX($N$5:$N$627,MATCH($A302+90,$A$5:$A$627,1))),"")</f>
        <v>1.02317904801069</v>
      </c>
      <c r="U302" s="11" t="n">
        <f aca="false">IFERROR(Q302/MEDIAN(INDEX($Q$5:$Q$627,MATCH($A302-90,$A$5:$A$627,1)):INDEX($Q$5:$Q$627,MATCH($A302+90,$A$5:$A$627,1))),"")</f>
        <v>0.596740019506638</v>
      </c>
    </row>
    <row r="303" customFormat="false" ht="15" hidden="false" customHeight="false" outlineLevel="0" collapsed="false">
      <c r="A303" s="13" t="n">
        <v>45796.1884796412</v>
      </c>
      <c r="B303" s="8" t="n">
        <v>4</v>
      </c>
      <c r="C303" s="8" t="s">
        <v>80</v>
      </c>
      <c r="D303" s="8" t="s">
        <v>368</v>
      </c>
      <c r="E303" s="14" t="s">
        <v>66</v>
      </c>
      <c r="F303" s="9" t="n">
        <v>1070545</v>
      </c>
      <c r="G303" s="9" t="n">
        <v>75314</v>
      </c>
      <c r="H303" s="9" t="n">
        <v>32262</v>
      </c>
      <c r="I303" s="9" t="n">
        <v>46636</v>
      </c>
      <c r="J303" s="9" t="n">
        <v>1218</v>
      </c>
      <c r="K303" s="9" t="n">
        <v>300</v>
      </c>
      <c r="L303" s="9" t="n">
        <v>276</v>
      </c>
      <c r="M303" s="10" t="n">
        <f aca="false">IFERROR(G303/F303,"")</f>
        <v>0.0703510828596649</v>
      </c>
      <c r="N303" s="10" t="n">
        <f aca="false">IFERROR(H303/G303,"")</f>
        <v>0.428366571952094</v>
      </c>
      <c r="O303" s="11" t="n">
        <f aca="false">IFERROR(I303/H303,"")</f>
        <v>1.44553964416341</v>
      </c>
      <c r="P303" s="10" t="n">
        <f aca="false">IFERROR(J303/H303,"")</f>
        <v>0.0377533940859215</v>
      </c>
      <c r="Q303" s="10" t="n">
        <f aca="false">IFERROR(K303/H303,"")</f>
        <v>0.00929886553840431</v>
      </c>
      <c r="R303" s="10" t="n">
        <f aca="false">IFERROR(L303/H303,"")</f>
        <v>0.00855495629533197</v>
      </c>
      <c r="S303" s="11" t="n">
        <f aca="false">IFERROR(M303/MEDIAN(INDEX($M$5:$M$627,MATCH($A303-90,$A$5:$A$627,1)):INDEX($M$5:$M$627,MATCH($A303+90,$A$5:$A$627,1))),"")</f>
        <v>1.11135646193529</v>
      </c>
      <c r="T303" s="11" t="n">
        <f aca="false">IFERROR(N303/MEDIAN(INDEX($N$5:$N$627,MATCH($A303-90,$A$5:$A$627,1)):INDEX($N$5:$N$627,MATCH($A303+90,$A$5:$A$627,1))),"")</f>
        <v>0.843064722964989</v>
      </c>
      <c r="U303" s="11" t="n">
        <f aca="false">IFERROR(Q303/MEDIAN(INDEX($Q$5:$Q$627,MATCH($A303-90,$A$5:$A$627,1)):INDEX($Q$5:$Q$627,MATCH($A303+90,$A$5:$A$627,1))),"")</f>
        <v>0.917523042681464</v>
      </c>
    </row>
    <row r="304" customFormat="false" ht="15" hidden="false" customHeight="false" outlineLevel="0" collapsed="false">
      <c r="A304" s="13" t="n">
        <v>45798.2617933565</v>
      </c>
      <c r="B304" s="8" t="n">
        <v>6</v>
      </c>
      <c r="C304" s="8" t="s">
        <v>71</v>
      </c>
      <c r="D304" s="8" t="s">
        <v>369</v>
      </c>
      <c r="E304" s="14" t="s">
        <v>66</v>
      </c>
      <c r="F304" s="9" t="n">
        <v>962899</v>
      </c>
      <c r="G304" s="9" t="n">
        <v>138876</v>
      </c>
      <c r="H304" s="9" t="n">
        <v>92565</v>
      </c>
      <c r="I304" s="9" t="n">
        <v>74078</v>
      </c>
      <c r="J304" s="9" t="n">
        <v>3073</v>
      </c>
      <c r="K304" s="9" t="n">
        <v>470</v>
      </c>
      <c r="L304" s="9" t="n">
        <v>484</v>
      </c>
      <c r="M304" s="10" t="n">
        <f aca="false">IFERROR(G304/F304,"")</f>
        <v>0.14422696461415</v>
      </c>
      <c r="N304" s="10" t="n">
        <f aca="false">IFERROR(H304/G304,"")</f>
        <v>0.666529853970449</v>
      </c>
      <c r="O304" s="11" t="n">
        <f aca="false">IFERROR(I304/H304,"")</f>
        <v>0.800280883703344</v>
      </c>
      <c r="P304" s="10" t="n">
        <f aca="false">IFERROR(J304/H304,"")</f>
        <v>0.0331982930913412</v>
      </c>
      <c r="Q304" s="10" t="n">
        <f aca="false">IFERROR(K304/H304,"")</f>
        <v>0.00507751309890347</v>
      </c>
      <c r="R304" s="10" t="n">
        <f aca="false">IFERROR(L304/H304,"")</f>
        <v>0.00522875816993464</v>
      </c>
      <c r="S304" s="11" t="n">
        <f aca="false">IFERROR(M304/MEDIAN(INDEX($M$5:$M$627,MATCH($A304-90,$A$5:$A$627,1)):INDEX($M$5:$M$627,MATCH($A304+90,$A$5:$A$627,1))),"")</f>
        <v>2.32272442026984</v>
      </c>
      <c r="T304" s="11" t="n">
        <f aca="false">IFERROR(N304/MEDIAN(INDEX($N$5:$N$627,MATCH($A304-90,$A$5:$A$627,1)):INDEX($N$5:$N$627,MATCH($A304+90,$A$5:$A$627,1))),"")</f>
        <v>1.31179191720014</v>
      </c>
      <c r="U304" s="11" t="n">
        <f aca="false">IFERROR(Q304/MEDIAN(INDEX($Q$5:$Q$627,MATCH($A304-90,$A$5:$A$627,1)):INDEX($Q$5:$Q$627,MATCH($A304+90,$A$5:$A$627,1))),"")</f>
        <v>0.497192351750689</v>
      </c>
    </row>
    <row r="305" customFormat="false" ht="15" hidden="false" customHeight="false" outlineLevel="0" collapsed="false">
      <c r="A305" s="13" t="n">
        <v>45800.2617443634</v>
      </c>
      <c r="B305" s="8" t="n">
        <v>6</v>
      </c>
      <c r="C305" s="8" t="s">
        <v>84</v>
      </c>
      <c r="D305" s="8" t="s">
        <v>370</v>
      </c>
      <c r="E305" s="14" t="s">
        <v>66</v>
      </c>
      <c r="F305" s="9" t="n">
        <v>599340</v>
      </c>
      <c r="G305" s="9" t="n">
        <v>34530</v>
      </c>
      <c r="H305" s="9" t="n">
        <v>19706</v>
      </c>
      <c r="I305" s="9" t="n">
        <v>22295</v>
      </c>
      <c r="J305" s="9" t="n">
        <v>1973</v>
      </c>
      <c r="K305" s="9" t="n">
        <v>183</v>
      </c>
      <c r="L305" s="9" t="n">
        <v>175</v>
      </c>
      <c r="M305" s="10" t="n">
        <f aca="false">IFERROR(G305/F305,"")</f>
        <v>0.0576133747121834</v>
      </c>
      <c r="N305" s="10" t="n">
        <f aca="false">IFERROR(H305/G305,"")</f>
        <v>0.5706921517521</v>
      </c>
      <c r="O305" s="11" t="n">
        <f aca="false">IFERROR(I305/H305,"")</f>
        <v>1.13138130518624</v>
      </c>
      <c r="P305" s="10" t="n">
        <f aca="false">IFERROR(J305/H305,"")</f>
        <v>0.10012179031767</v>
      </c>
      <c r="Q305" s="10" t="n">
        <f aca="false">IFERROR(K305/H305,"")</f>
        <v>0.00928651172231808</v>
      </c>
      <c r="R305" s="10" t="n">
        <f aca="false">IFERROR(L305/H305,"")</f>
        <v>0.00888054399675226</v>
      </c>
      <c r="S305" s="11" t="n">
        <f aca="false">IFERROR(M305/MEDIAN(INDEX($M$5:$M$627,MATCH($A305-90,$A$5:$A$627,1)):INDEX($M$5:$M$627,MATCH($A305+90,$A$5:$A$627,1))),"")</f>
        <v>0.938302698590959</v>
      </c>
      <c r="T305" s="11" t="n">
        <f aca="false">IFERROR(N305/MEDIAN(INDEX($N$5:$N$627,MATCH($A305-90,$A$5:$A$627,1)):INDEX($N$5:$N$627,MATCH($A305+90,$A$5:$A$627,1))),"")</f>
        <v>1.12033918548019</v>
      </c>
      <c r="U305" s="11" t="n">
        <f aca="false">IFERROR(Q305/MEDIAN(INDEX($Q$5:$Q$627,MATCH($A305-90,$A$5:$A$627,1)):INDEX($Q$5:$Q$627,MATCH($A305+90,$A$5:$A$627,1))),"")</f>
        <v>0.909339377928298</v>
      </c>
    </row>
    <row r="306" customFormat="false" ht="15" hidden="false" customHeight="false" outlineLevel="0" collapsed="false">
      <c r="A306" s="13" t="n">
        <v>45801.2612540625</v>
      </c>
      <c r="B306" s="8" t="n">
        <v>6</v>
      </c>
      <c r="C306" s="8" t="s">
        <v>68</v>
      </c>
      <c r="D306" s="8" t="s">
        <v>371</v>
      </c>
      <c r="E306" s="14" t="s">
        <v>66</v>
      </c>
      <c r="F306" s="9" t="n">
        <v>17325586</v>
      </c>
      <c r="G306" s="9" t="n">
        <v>741021</v>
      </c>
      <c r="H306" s="9" t="n">
        <v>319226</v>
      </c>
      <c r="I306" s="9" t="n">
        <v>427431</v>
      </c>
      <c r="J306" s="9" t="n">
        <v>11652</v>
      </c>
      <c r="K306" s="9" t="n">
        <v>1282</v>
      </c>
      <c r="L306" s="9" t="n">
        <v>2608</v>
      </c>
      <c r="M306" s="10" t="n">
        <f aca="false">IFERROR(G306/F306,"")</f>
        <v>0.0427703282301678</v>
      </c>
      <c r="N306" s="10" t="n">
        <f aca="false">IFERROR(H306/G306,"")</f>
        <v>0.430792109805255</v>
      </c>
      <c r="O306" s="11" t="n">
        <f aca="false">IFERROR(I306/H306,"")</f>
        <v>1.33896048567473</v>
      </c>
      <c r="P306" s="10" t="n">
        <f aca="false">IFERROR(J306/H306,"")</f>
        <v>0.036500786276807</v>
      </c>
      <c r="Q306" s="10" t="n">
        <f aca="false">IFERROR(K306/H306,"")</f>
        <v>0.00401596361198649</v>
      </c>
      <c r="R306" s="10" t="n">
        <f aca="false">IFERROR(L306/H306,"")</f>
        <v>0.00816976060847174</v>
      </c>
      <c r="S306" s="11" t="n">
        <f aca="false">IFERROR(M306/MEDIAN(INDEX($M$5:$M$627,MATCH($A306-90,$A$5:$A$627,1)):INDEX($M$5:$M$627,MATCH($A306+90,$A$5:$A$627,1))),"")</f>
        <v>0.702455557367469</v>
      </c>
      <c r="T306" s="11" t="n">
        <f aca="false">IFERROR(N306/MEDIAN(INDEX($N$5:$N$627,MATCH($A306-90,$A$5:$A$627,1)):INDEX($N$5:$N$627,MATCH($A306+90,$A$5:$A$627,1))),"")</f>
        <v>0.845176155682155</v>
      </c>
      <c r="U306" s="11" t="n">
        <f aca="false">IFERROR(Q306/MEDIAN(INDEX($Q$5:$Q$627,MATCH($A306-90,$A$5:$A$627,1)):INDEX($Q$5:$Q$627,MATCH($A306+90,$A$5:$A$627,1))),"")</f>
        <v>0.391975229122874</v>
      </c>
    </row>
    <row r="307" customFormat="false" ht="15" hidden="false" customHeight="false" outlineLevel="0" collapsed="false">
      <c r="A307" s="13" t="n">
        <v>45803.217368669</v>
      </c>
      <c r="B307" s="8" t="n">
        <v>5</v>
      </c>
      <c r="C307" s="8" t="s">
        <v>80</v>
      </c>
      <c r="D307" s="8" t="s">
        <v>372</v>
      </c>
      <c r="E307" s="14" t="s">
        <v>66</v>
      </c>
      <c r="F307" s="9" t="n">
        <v>2153314</v>
      </c>
      <c r="G307" s="9" t="n">
        <v>252503</v>
      </c>
      <c r="H307" s="9" t="n">
        <v>77333</v>
      </c>
      <c r="I307" s="9" t="n">
        <v>71202</v>
      </c>
      <c r="J307" s="9" t="n">
        <v>2682</v>
      </c>
      <c r="K307" s="9" t="n">
        <v>496</v>
      </c>
      <c r="L307" s="9" t="n">
        <v>460</v>
      </c>
      <c r="M307" s="10" t="n">
        <f aca="false">IFERROR(G307/F307,"")</f>
        <v>0.117262507929638</v>
      </c>
      <c r="N307" s="10" t="n">
        <f aca="false">IFERROR(H307/G307,"")</f>
        <v>0.306265668130676</v>
      </c>
      <c r="O307" s="11" t="n">
        <f aca="false">IFERROR(I307/H307,"")</f>
        <v>0.920719485859853</v>
      </c>
      <c r="P307" s="10" t="n">
        <f aca="false">IFERROR(J307/H307,"")</f>
        <v>0.0346811839706206</v>
      </c>
      <c r="Q307" s="10" t="n">
        <f aca="false">IFERROR(K307/H307,"")</f>
        <v>0.00641382074922737</v>
      </c>
      <c r="R307" s="10" t="n">
        <f aca="false">IFERROR(L307/H307,"")</f>
        <v>0.00594830150129957</v>
      </c>
      <c r="S307" s="11" t="n">
        <f aca="false">IFERROR(M307/MEDIAN(INDEX($M$5:$M$627,MATCH($A307-90,$A$5:$A$627,1)):INDEX($M$5:$M$627,MATCH($A307+90,$A$5:$A$627,1))),"")</f>
        <v>1.90976015870592</v>
      </c>
      <c r="T307" s="11" t="n">
        <f aca="false">IFERROR(N307/MEDIAN(INDEX($N$5:$N$627,MATCH($A307-90,$A$5:$A$627,1)):INDEX($N$5:$N$627,MATCH($A307+90,$A$5:$A$627,1))),"")</f>
        <v>0.601237336312827</v>
      </c>
      <c r="U307" s="11" t="n">
        <f aca="false">IFERROR(Q307/MEDIAN(INDEX($Q$5:$Q$627,MATCH($A307-90,$A$5:$A$627,1)):INDEX($Q$5:$Q$627,MATCH($A307+90,$A$5:$A$627,1))),"")</f>
        <v>0.628044194057203</v>
      </c>
    </row>
    <row r="308" customFormat="false" ht="15" hidden="false" customHeight="false" outlineLevel="0" collapsed="false">
      <c r="A308" s="13" t="n">
        <v>45805.2182403935</v>
      </c>
      <c r="B308" s="8" t="n">
        <v>5</v>
      </c>
      <c r="C308" s="8" t="s">
        <v>71</v>
      </c>
      <c r="D308" s="8" t="s">
        <v>373</v>
      </c>
      <c r="E308" s="14" t="s">
        <v>66</v>
      </c>
      <c r="F308" s="9" t="n">
        <v>462497</v>
      </c>
      <c r="G308" s="9" t="n">
        <v>28160</v>
      </c>
      <c r="H308" s="9" t="n">
        <v>11238</v>
      </c>
      <c r="I308" s="9" t="n">
        <v>18591</v>
      </c>
      <c r="J308" s="9" t="n">
        <v>719</v>
      </c>
      <c r="K308" s="9" t="n">
        <v>85</v>
      </c>
      <c r="L308" s="9" t="n">
        <v>84</v>
      </c>
      <c r="M308" s="10" t="n">
        <f aca="false">IFERROR(G308/F308,"")</f>
        <v>0.0608868814284201</v>
      </c>
      <c r="N308" s="10" t="n">
        <f aca="false">IFERROR(H308/G308,"")</f>
        <v>0.399076704545455</v>
      </c>
      <c r="O308" s="11" t="n">
        <f aca="false">IFERROR(I308/H308,"")</f>
        <v>1.65429791777896</v>
      </c>
      <c r="P308" s="10" t="n">
        <f aca="false">IFERROR(J308/H308,"")</f>
        <v>0.0639793557572522</v>
      </c>
      <c r="Q308" s="10" t="n">
        <f aca="false">IFERROR(K308/H308,"")</f>
        <v>0.00756362342053746</v>
      </c>
      <c r="R308" s="10" t="n">
        <f aca="false">IFERROR(L308/H308,"")</f>
        <v>0.00747463961558996</v>
      </c>
      <c r="S308" s="11" t="n">
        <f aca="false">IFERROR(M308/MEDIAN(INDEX($M$5:$M$627,MATCH($A308-90,$A$5:$A$627,1)):INDEX($M$5:$M$627,MATCH($A308+90,$A$5:$A$627,1))),"")</f>
        <v>1.00065023812203</v>
      </c>
      <c r="T308" s="11" t="n">
        <f aca="false">IFERROR(N308/MEDIAN(INDEX($N$5:$N$627,MATCH($A308-90,$A$5:$A$627,1)):INDEX($N$5:$N$627,MATCH($A308+90,$A$5:$A$627,1))),"")</f>
        <v>0.779912846227812</v>
      </c>
      <c r="U308" s="11" t="n">
        <f aca="false">IFERROR(Q308/MEDIAN(INDEX($Q$5:$Q$627,MATCH($A308-90,$A$5:$A$627,1)):INDEX($Q$5:$Q$627,MATCH($A308+90,$A$5:$A$627,1))),"")</f>
        <v>0.740633385470879</v>
      </c>
    </row>
    <row r="309" customFormat="false" ht="15" hidden="false" customHeight="false" outlineLevel="0" collapsed="false">
      <c r="A309" s="13" t="n">
        <v>45807.2220872222</v>
      </c>
      <c r="B309" s="8" t="n">
        <v>5</v>
      </c>
      <c r="C309" s="8" t="s">
        <v>84</v>
      </c>
      <c r="D309" s="8" t="s">
        <v>374</v>
      </c>
      <c r="E309" s="14" t="s">
        <v>66</v>
      </c>
      <c r="F309" s="9" t="n">
        <v>76078</v>
      </c>
      <c r="G309" s="9" t="n">
        <v>1769</v>
      </c>
      <c r="H309" s="9" t="n">
        <v>891</v>
      </c>
      <c r="I309" s="9" t="n">
        <v>1531</v>
      </c>
      <c r="J309" s="9" t="n">
        <v>134</v>
      </c>
      <c r="K309" s="9" t="n">
        <v>37</v>
      </c>
      <c r="L309" s="9" t="n">
        <v>18</v>
      </c>
      <c r="M309" s="10" t="n">
        <f aca="false">IFERROR(G309/F309,"")</f>
        <v>0.0232524514314256</v>
      </c>
      <c r="N309" s="10" t="n">
        <f aca="false">IFERROR(H309/G309,"")</f>
        <v>0.503674392312041</v>
      </c>
      <c r="O309" s="11" t="n">
        <f aca="false">IFERROR(I309/H309,"")</f>
        <v>1.71829405162739</v>
      </c>
      <c r="P309" s="10" t="n">
        <f aca="false">IFERROR(J309/H309,"")</f>
        <v>0.150392817059484</v>
      </c>
      <c r="Q309" s="10" t="n">
        <f aca="false">IFERROR(K309/H309,"")</f>
        <v>0.0415263748597082</v>
      </c>
      <c r="R309" s="10" t="n">
        <f aca="false">IFERROR(L309/H309,"")</f>
        <v>0.0202020202020202</v>
      </c>
      <c r="S309" s="11" t="n">
        <f aca="false">IFERROR(M309/MEDIAN(INDEX($M$5:$M$627,MATCH($A309-90,$A$5:$A$627,1)):INDEX($M$5:$M$627,MATCH($A309+90,$A$5:$A$627,1))),"")</f>
        <v>0.382144240531203</v>
      </c>
      <c r="T309" s="11" t="n">
        <f aca="false">IFERROR(N309/MEDIAN(INDEX($N$5:$N$627,MATCH($A309-90,$A$5:$A$627,1)):INDEX($N$5:$N$627,MATCH($A309+90,$A$5:$A$627,1))),"")</f>
        <v>0.984327384700565</v>
      </c>
      <c r="U309" s="11" t="n">
        <f aca="false">IFERROR(Q309/MEDIAN(INDEX($Q$5:$Q$627,MATCH($A309-90,$A$5:$A$627,1)):INDEX($Q$5:$Q$627,MATCH($A309+90,$A$5:$A$627,1))),"")</f>
        <v>4.02091723700088</v>
      </c>
    </row>
    <row r="310" customFormat="false" ht="15" hidden="false" customHeight="false" outlineLevel="0" collapsed="false">
      <c r="A310" s="13" t="n">
        <v>45808.2234335069</v>
      </c>
      <c r="B310" s="8" t="n">
        <v>5</v>
      </c>
      <c r="C310" s="8" t="s">
        <v>68</v>
      </c>
      <c r="D310" s="8" t="s">
        <v>375</v>
      </c>
      <c r="E310" s="14" t="s">
        <v>66</v>
      </c>
      <c r="F310" s="9" t="n">
        <v>422571</v>
      </c>
      <c r="G310" s="9" t="n">
        <v>89007</v>
      </c>
      <c r="H310" s="9" t="n">
        <v>61376</v>
      </c>
      <c r="I310" s="9" t="n">
        <v>41894</v>
      </c>
      <c r="J310" s="9" t="n">
        <v>3747</v>
      </c>
      <c r="K310" s="9" t="n">
        <v>1251</v>
      </c>
      <c r="L310" s="9" t="n">
        <v>138</v>
      </c>
      <c r="M310" s="10" t="n">
        <f aca="false">IFERROR(G310/F310,"")</f>
        <v>0.210632059464563</v>
      </c>
      <c r="N310" s="10" t="n">
        <f aca="false">IFERROR(H310/G310,"")</f>
        <v>0.689563742177582</v>
      </c>
      <c r="O310" s="11" t="n">
        <f aca="false">IFERROR(I310/H310,"")</f>
        <v>0.682579509906152</v>
      </c>
      <c r="P310" s="10" t="n">
        <f aca="false">IFERROR(J310/H310,"")</f>
        <v>0.0610499217935349</v>
      </c>
      <c r="Q310" s="10" t="n">
        <f aca="false">IFERROR(K310/H310,"")</f>
        <v>0.0203825599582899</v>
      </c>
      <c r="R310" s="10" t="n">
        <f aca="false">IFERROR(L310/H310,"")</f>
        <v>0.00224843587069864</v>
      </c>
      <c r="S310" s="11" t="n">
        <f aca="false">IFERROR(M310/MEDIAN(INDEX($M$5:$M$627,MATCH($A310-90,$A$5:$A$627,1)):INDEX($M$5:$M$627,MATCH($A310+90,$A$5:$A$627,1))),"")</f>
        <v>3.46390149629346</v>
      </c>
      <c r="T310" s="11" t="n">
        <f aca="false">IFERROR(N310/MEDIAN(INDEX($N$5:$N$627,MATCH($A310-90,$A$5:$A$627,1)):INDEX($N$5:$N$627,MATCH($A310+90,$A$5:$A$627,1))),"")</f>
        <v>1.34239666496327</v>
      </c>
      <c r="U310" s="11" t="n">
        <f aca="false">IFERROR(Q310/MEDIAN(INDEX($Q$5:$Q$627,MATCH($A310-90,$A$5:$A$627,1)):INDEX($Q$5:$Q$627,MATCH($A310+90,$A$5:$A$627,1))),"")</f>
        <v>1.95803104308675</v>
      </c>
    </row>
    <row r="311" customFormat="false" ht="15" hidden="false" customHeight="false" outlineLevel="0" collapsed="false">
      <c r="A311" s="13" t="n">
        <v>45810.2196927199</v>
      </c>
      <c r="B311" s="8" t="n">
        <v>5</v>
      </c>
      <c r="C311" s="8" t="s">
        <v>80</v>
      </c>
      <c r="D311" s="8" t="s">
        <v>376</v>
      </c>
      <c r="E311" s="14" t="s">
        <v>66</v>
      </c>
      <c r="F311" s="9" t="n">
        <v>3877521</v>
      </c>
      <c r="G311" s="9" t="n">
        <v>180217</v>
      </c>
      <c r="H311" s="9" t="n">
        <v>133424</v>
      </c>
      <c r="I311" s="9" t="n">
        <v>204089</v>
      </c>
      <c r="J311" s="9" t="n">
        <v>4051</v>
      </c>
      <c r="K311" s="9" t="n">
        <v>1467</v>
      </c>
      <c r="L311" s="9" t="n">
        <v>415</v>
      </c>
      <c r="M311" s="10" t="n">
        <f aca="false">IFERROR(G311/F311,"")</f>
        <v>0.0464773756222081</v>
      </c>
      <c r="N311" s="10" t="n">
        <f aca="false">IFERROR(H311/G311,"")</f>
        <v>0.740351909087378</v>
      </c>
      <c r="O311" s="11" t="n">
        <f aca="false">IFERROR(I311/H311,"")</f>
        <v>1.52962735339969</v>
      </c>
      <c r="P311" s="10" t="n">
        <f aca="false">IFERROR(J311/H311,"")</f>
        <v>0.0303618539393213</v>
      </c>
      <c r="Q311" s="10" t="n">
        <f aca="false">IFERROR(K311/H311,"")</f>
        <v>0.0109950233840988</v>
      </c>
      <c r="R311" s="10" t="n">
        <f aca="false">IFERROR(L311/H311,"")</f>
        <v>0.003110384938242</v>
      </c>
      <c r="S311" s="11" t="n">
        <f aca="false">IFERROR(M311/MEDIAN(INDEX($M$5:$M$627,MATCH($A311-90,$A$5:$A$627,1)):INDEX($M$5:$M$627,MATCH($A311+90,$A$5:$A$627,1))),"")</f>
        <v>0.763836082462606</v>
      </c>
      <c r="T311" s="11" t="n">
        <f aca="false">IFERROR(N311/MEDIAN(INDEX($N$5:$N$627,MATCH($A311-90,$A$5:$A$627,1)):INDEX($N$5:$N$627,MATCH($A311+90,$A$5:$A$627,1))),"")</f>
        <v>1.43727133282858</v>
      </c>
      <c r="U311" s="11" t="n">
        <f aca="false">IFERROR(Q311/MEDIAN(INDEX($Q$5:$Q$627,MATCH($A311-90,$A$5:$A$627,1)):INDEX($Q$5:$Q$627,MATCH($A311+90,$A$5:$A$627,1))),"")</f>
        <v>1.06462649811617</v>
      </c>
    </row>
    <row r="312" customFormat="false" ht="15" hidden="false" customHeight="false" outlineLevel="0" collapsed="false">
      <c r="A312" s="13" t="n">
        <v>45812.2161970255</v>
      </c>
      <c r="B312" s="8" t="n">
        <v>5</v>
      </c>
      <c r="C312" s="8" t="s">
        <v>71</v>
      </c>
      <c r="D312" s="8" t="s">
        <v>377</v>
      </c>
      <c r="E312" s="14" t="s">
        <v>66</v>
      </c>
      <c r="F312" s="9" t="n">
        <v>1276336</v>
      </c>
      <c r="G312" s="9" t="n">
        <v>162347</v>
      </c>
      <c r="H312" s="9" t="n">
        <v>60639</v>
      </c>
      <c r="I312" s="9" t="n">
        <v>88890</v>
      </c>
      <c r="J312" s="9" t="n">
        <v>1916</v>
      </c>
      <c r="K312" s="9" t="n">
        <v>1342</v>
      </c>
      <c r="L312" s="9" t="n">
        <v>232</v>
      </c>
      <c r="M312" s="10" t="n">
        <f aca="false">IFERROR(G312/F312,"")</f>
        <v>0.127197697158115</v>
      </c>
      <c r="N312" s="10" t="n">
        <f aca="false">IFERROR(H312/G312,"")</f>
        <v>0.373514755431268</v>
      </c>
      <c r="O312" s="11" t="n">
        <f aca="false">IFERROR(I312/H312,"")</f>
        <v>1.46588828971454</v>
      </c>
      <c r="P312" s="10" t="n">
        <f aca="false">IFERROR(J312/H312,"")</f>
        <v>0.0315968271244579</v>
      </c>
      <c r="Q312" s="10" t="n">
        <f aca="false">IFERROR(K312/H312,"")</f>
        <v>0.0221309718168176</v>
      </c>
      <c r="R312" s="10" t="n">
        <f aca="false">IFERROR(L312/H312,"")</f>
        <v>0.0038259206121473</v>
      </c>
      <c r="S312" s="11" t="n">
        <f aca="false">IFERROR(M312/MEDIAN(INDEX($M$5:$M$627,MATCH($A312-90,$A$5:$A$627,1)):INDEX($M$5:$M$627,MATCH($A312+90,$A$5:$A$627,1))),"")</f>
        <v>2.09044055080199</v>
      </c>
      <c r="T312" s="11" t="n">
        <f aca="false">IFERROR(N312/MEDIAN(INDEX($N$5:$N$627,MATCH($A312-90,$A$5:$A$627,1)):INDEX($N$5:$N$627,MATCH($A312+90,$A$5:$A$627,1))),"")</f>
        <v>0.725117398605209</v>
      </c>
      <c r="U312" s="11" t="n">
        <f aca="false">IFERROR(Q312/MEDIAN(INDEX($Q$5:$Q$627,MATCH($A312-90,$A$5:$A$627,1)):INDEX($Q$5:$Q$627,MATCH($A312+90,$A$5:$A$627,1))),"")</f>
        <v>2.14289849163221</v>
      </c>
    </row>
    <row r="313" customFormat="false" ht="15" hidden="false" customHeight="false" outlineLevel="0" collapsed="false">
      <c r="A313" s="13" t="n">
        <v>45814.2224753357</v>
      </c>
      <c r="B313" s="8" t="n">
        <v>5</v>
      </c>
      <c r="C313" s="8" t="s">
        <v>84</v>
      </c>
      <c r="D313" s="8" t="s">
        <v>378</v>
      </c>
      <c r="E313" s="14" t="s">
        <v>66</v>
      </c>
      <c r="F313" s="9" t="n">
        <v>260022</v>
      </c>
      <c r="G313" s="9" t="n">
        <v>52436</v>
      </c>
      <c r="H313" s="9" t="n">
        <v>19587</v>
      </c>
      <c r="I313" s="9" t="n">
        <v>12414</v>
      </c>
      <c r="J313" s="9" t="n">
        <v>1536</v>
      </c>
      <c r="K313" s="9" t="n">
        <v>213</v>
      </c>
      <c r="L313" s="9" t="n">
        <v>80</v>
      </c>
      <c r="M313" s="10" t="n">
        <f aca="false">IFERROR(G313/F313,"")</f>
        <v>0.201659859550346</v>
      </c>
      <c r="N313" s="10" t="n">
        <f aca="false">IFERROR(H313/G313,"")</f>
        <v>0.373541078648257</v>
      </c>
      <c r="O313" s="11" t="n">
        <f aca="false">IFERROR(I313/H313,"")</f>
        <v>0.633787716342472</v>
      </c>
      <c r="P313" s="10" t="n">
        <f aca="false">IFERROR(J313/H313,"")</f>
        <v>0.0784193597794455</v>
      </c>
      <c r="Q313" s="10" t="n">
        <f aca="false">IFERROR(K313/H313,"")</f>
        <v>0.0108745596569153</v>
      </c>
      <c r="R313" s="10" t="n">
        <f aca="false">IFERROR(L313/H313,"")</f>
        <v>0.00408434165517946</v>
      </c>
      <c r="S313" s="11" t="n">
        <f aca="false">IFERROR(M313/MEDIAN(INDEX($M$5:$M$627,MATCH($A313-90,$A$5:$A$627,1)):INDEX($M$5:$M$627,MATCH($A313+90,$A$5:$A$627,1))),"")</f>
        <v>3.30806614909459</v>
      </c>
      <c r="T313" s="11" t="n">
        <f aca="false">IFERROR(N313/MEDIAN(INDEX($N$5:$N$627,MATCH($A313-90,$A$5:$A$627,1)):INDEX($N$5:$N$627,MATCH($A313+90,$A$5:$A$627,1))),"")</f>
        <v>0.725168500796886</v>
      </c>
      <c r="U313" s="11" t="n">
        <f aca="false">IFERROR(Q313/MEDIAN(INDEX($Q$5:$Q$627,MATCH($A313-90,$A$5:$A$627,1)):INDEX($Q$5:$Q$627,MATCH($A313+90,$A$5:$A$627,1))),"")</f>
        <v>1.04784484740036</v>
      </c>
    </row>
    <row r="314" customFormat="false" ht="15" hidden="false" customHeight="false" outlineLevel="0" collapsed="false">
      <c r="A314" s="13" t="n">
        <v>45815.2245673611</v>
      </c>
      <c r="B314" s="8" t="n">
        <v>5</v>
      </c>
      <c r="C314" s="8" t="s">
        <v>68</v>
      </c>
      <c r="D314" s="8" t="s">
        <v>379</v>
      </c>
      <c r="E314" s="14" t="s">
        <v>66</v>
      </c>
      <c r="F314" s="9" t="n">
        <v>1158436</v>
      </c>
      <c r="G314" s="9" t="n">
        <v>20846</v>
      </c>
      <c r="H314" s="9" t="n">
        <v>10808</v>
      </c>
      <c r="I314" s="9" t="n">
        <v>13942</v>
      </c>
      <c r="J314" s="9" t="n">
        <v>425</v>
      </c>
      <c r="K314" s="9" t="n">
        <v>125</v>
      </c>
      <c r="L314" s="9" t="n">
        <v>52</v>
      </c>
      <c r="M314" s="10" t="n">
        <f aca="false">IFERROR(G314/F314,"")</f>
        <v>0.0179949518143428</v>
      </c>
      <c r="N314" s="10" t="n">
        <f aca="false">IFERROR(H314/G314,"")</f>
        <v>0.51846877098724</v>
      </c>
      <c r="O314" s="11" t="n">
        <f aca="false">IFERROR(I314/H314,"")</f>
        <v>1.289970392302</v>
      </c>
      <c r="P314" s="10" t="n">
        <f aca="false">IFERROR(J314/H314,"")</f>
        <v>0.0393227239082161</v>
      </c>
      <c r="Q314" s="10" t="n">
        <f aca="false">IFERROR(K314/H314,"")</f>
        <v>0.0115655070318283</v>
      </c>
      <c r="R314" s="10" t="n">
        <f aca="false">IFERROR(L314/H314,"")</f>
        <v>0.00481125092524056</v>
      </c>
      <c r="S314" s="11" t="n">
        <f aca="false">IFERROR(M314/MEDIAN(INDEX($M$5:$M$627,MATCH($A314-90,$A$5:$A$627,1)):INDEX($M$5:$M$627,MATCH($A314+90,$A$5:$A$627,1))),"")</f>
        <v>0.295547273766978</v>
      </c>
      <c r="T314" s="11" t="n">
        <f aca="false">IFERROR(N314/MEDIAN(INDEX($N$5:$N$627,MATCH($A314-90,$A$5:$A$627,1)):INDEX($N$5:$N$627,MATCH($A314+90,$A$5:$A$627,1))),"")</f>
        <v>1.00932039562143</v>
      </c>
      <c r="U314" s="11" t="n">
        <f aca="false">IFERROR(Q314/MEDIAN(INDEX($Q$5:$Q$627,MATCH($A314-90,$A$5:$A$627,1)):INDEX($Q$5:$Q$627,MATCH($A314+90,$A$5:$A$627,1))),"")</f>
        <v>1.12884296441139</v>
      </c>
    </row>
    <row r="315" customFormat="false" ht="15" hidden="false" customHeight="false" outlineLevel="0" collapsed="false">
      <c r="A315" s="13" t="n">
        <v>45817.1507768056</v>
      </c>
      <c r="B315" s="8" t="n">
        <v>3</v>
      </c>
      <c r="C315" s="8" t="s">
        <v>80</v>
      </c>
      <c r="D315" s="8" t="s">
        <v>380</v>
      </c>
      <c r="E315" s="14" t="s">
        <v>66</v>
      </c>
      <c r="F315" s="9" t="n">
        <v>1738229</v>
      </c>
      <c r="G315" s="9" t="n">
        <v>45002</v>
      </c>
      <c r="H315" s="9" t="n">
        <v>18969</v>
      </c>
      <c r="I315" s="9" t="n">
        <v>32592</v>
      </c>
      <c r="J315" s="9" t="n">
        <v>1198</v>
      </c>
      <c r="K315" s="9" t="n">
        <v>278</v>
      </c>
      <c r="L315" s="9" t="n">
        <v>231</v>
      </c>
      <c r="M315" s="10" t="n">
        <f aca="false">IFERROR(G315/F315,"")</f>
        <v>0.0258895692109613</v>
      </c>
      <c r="N315" s="10" t="n">
        <f aca="false">IFERROR(H315/G315,"")</f>
        <v>0.42151459935114</v>
      </c>
      <c r="O315" s="11" t="n">
        <f aca="false">IFERROR(I315/H315,"")</f>
        <v>1.71817175391428</v>
      </c>
      <c r="P315" s="10" t="n">
        <f aca="false">IFERROR(J315/H315,"")</f>
        <v>0.0631556750487638</v>
      </c>
      <c r="Q315" s="10" t="n">
        <f aca="false">IFERROR(K315/H315,"")</f>
        <v>0.0146554905371923</v>
      </c>
      <c r="R315" s="10" t="n">
        <f aca="false">IFERROR(L315/H315,"")</f>
        <v>0.0121777637197533</v>
      </c>
      <c r="S315" s="11" t="n">
        <f aca="false">IFERROR(M315/MEDIAN(INDEX($M$5:$M$627,MATCH($A315-90,$A$5:$A$627,1)):INDEX($M$5:$M$627,MATCH($A315+90,$A$5:$A$627,1))),"")</f>
        <v>0.42469734786283</v>
      </c>
      <c r="T315" s="11" t="n">
        <f aca="false">IFERROR(N315/MEDIAN(INDEX($N$5:$N$627,MATCH($A315-90,$A$5:$A$627,1)):INDEX($N$5:$N$627,MATCH($A315+90,$A$5:$A$627,1))),"")</f>
        <v>0.815009140619679</v>
      </c>
      <c r="U315" s="11" t="n">
        <f aca="false">IFERROR(Q315/MEDIAN(INDEX($Q$5:$Q$627,MATCH($A315-90,$A$5:$A$627,1)):INDEX($Q$5:$Q$627,MATCH($A315+90,$A$5:$A$627,1))),"")</f>
        <v>1.43502247729772</v>
      </c>
    </row>
    <row r="316" customFormat="false" ht="15" hidden="false" customHeight="false" outlineLevel="0" collapsed="false">
      <c r="A316" s="13" t="n">
        <v>45819.1961831944</v>
      </c>
      <c r="B316" s="8" t="n">
        <v>4</v>
      </c>
      <c r="C316" s="8" t="s">
        <v>71</v>
      </c>
      <c r="D316" s="8" t="s">
        <v>381</v>
      </c>
      <c r="E316" s="14" t="s">
        <v>66</v>
      </c>
      <c r="F316" s="9" t="n">
        <v>140440</v>
      </c>
      <c r="G316" s="9" t="n">
        <v>2581</v>
      </c>
      <c r="H316" s="9" t="n">
        <v>1067</v>
      </c>
      <c r="I316" s="9" t="n">
        <v>934</v>
      </c>
      <c r="J316" s="9" t="n">
        <v>154</v>
      </c>
      <c r="K316" s="9" t="n">
        <v>37</v>
      </c>
      <c r="L316" s="9" t="n">
        <v>13</v>
      </c>
      <c r="M316" s="10" t="n">
        <f aca="false">IFERROR(G316/F316,"")</f>
        <v>0.0183779549985759</v>
      </c>
      <c r="N316" s="10" t="n">
        <f aca="false">IFERROR(H316/G316,"")</f>
        <v>0.413405656722201</v>
      </c>
      <c r="O316" s="11" t="n">
        <f aca="false">IFERROR(I316/H316,"")</f>
        <v>0.87535145267104</v>
      </c>
      <c r="P316" s="10" t="n">
        <f aca="false">IFERROR(J316/H316,"")</f>
        <v>0.144329896907216</v>
      </c>
      <c r="Q316" s="10" t="n">
        <f aca="false">IFERROR(K316/H316,"")</f>
        <v>0.0346766635426429</v>
      </c>
      <c r="R316" s="10" t="n">
        <f aca="false">IFERROR(L316/H316,"")</f>
        <v>0.0121836925960637</v>
      </c>
      <c r="S316" s="11" t="n">
        <f aca="false">IFERROR(M316/MEDIAN(INDEX($M$5:$M$627,MATCH($A316-90,$A$5:$A$627,1)):INDEX($M$5:$M$627,MATCH($A316+90,$A$5:$A$627,1))),"")</f>
        <v>0.301475419827885</v>
      </c>
      <c r="T316" s="11" t="n">
        <f aca="false">IFERROR(N316/MEDIAN(INDEX($N$5:$N$627,MATCH($A316-90,$A$5:$A$627,1)):INDEX($N$5:$N$627,MATCH($A316+90,$A$5:$A$627,1))),"")</f>
        <v>0.797840777185661</v>
      </c>
      <c r="U316" s="11" t="n">
        <f aca="false">IFERROR(Q316/MEDIAN(INDEX($Q$5:$Q$627,MATCH($A316-90,$A$5:$A$627,1)):INDEX($Q$5:$Q$627,MATCH($A316+90,$A$5:$A$627,1))),"")</f>
        <v>3.40647095558707</v>
      </c>
    </row>
    <row r="317" customFormat="false" ht="15" hidden="false" customHeight="false" outlineLevel="0" collapsed="false">
      <c r="A317" s="13" t="n">
        <v>45821.188380463</v>
      </c>
      <c r="B317" s="8" t="n">
        <v>4</v>
      </c>
      <c r="C317" s="8" t="s">
        <v>84</v>
      </c>
      <c r="D317" s="8" t="s">
        <v>382</v>
      </c>
      <c r="E317" s="14" t="s">
        <v>66</v>
      </c>
      <c r="F317" s="9" t="n">
        <v>3185904</v>
      </c>
      <c r="G317" s="9" t="n">
        <v>141153</v>
      </c>
      <c r="H317" s="9" t="n">
        <v>103991</v>
      </c>
      <c r="I317" s="9" t="n">
        <v>159254</v>
      </c>
      <c r="J317" s="9" t="n">
        <v>2396</v>
      </c>
      <c r="K317" s="9" t="n">
        <v>1034</v>
      </c>
      <c r="L317" s="9" t="n">
        <v>450</v>
      </c>
      <c r="M317" s="10" t="n">
        <f aca="false">IFERROR(G317/F317,"")</f>
        <v>0.0443054781311678</v>
      </c>
      <c r="N317" s="10" t="n">
        <f aca="false">IFERROR(H317/G317,"")</f>
        <v>0.736725397263962</v>
      </c>
      <c r="O317" s="11" t="n">
        <f aca="false">IFERROR(I317/H317,"")</f>
        <v>1.53142098835476</v>
      </c>
      <c r="P317" s="10" t="n">
        <f aca="false">IFERROR(J317/H317,"")</f>
        <v>0.0230404554240271</v>
      </c>
      <c r="Q317" s="10" t="n">
        <f aca="false">IFERROR(K317/H317,"")</f>
        <v>0.00994316815878297</v>
      </c>
      <c r="R317" s="10" t="n">
        <f aca="false">IFERROR(L317/H317,"")</f>
        <v>0.00432729755459607</v>
      </c>
      <c r="S317" s="11" t="n">
        <f aca="false">IFERROR(M317/MEDIAN(INDEX($M$5:$M$627,MATCH($A317-90,$A$5:$A$627,1)):INDEX($M$5:$M$627,MATCH($A317+90,$A$5:$A$627,1))),"")</f>
        <v>0.726795370937844</v>
      </c>
      <c r="T317" s="11" t="n">
        <f aca="false">IFERROR(N317/MEDIAN(INDEX($N$5:$N$627,MATCH($A317-90,$A$5:$A$627,1)):INDEX($N$5:$N$627,MATCH($A317+90,$A$5:$A$627,1))),"")</f>
        <v>1.42182273988688</v>
      </c>
      <c r="U317" s="11" t="n">
        <f aca="false">IFERROR(Q317/MEDIAN(INDEX($Q$5:$Q$627,MATCH($A317-90,$A$5:$A$627,1)):INDEX($Q$5:$Q$627,MATCH($A317+90,$A$5:$A$627,1))),"")</f>
        <v>0.984732496830669</v>
      </c>
    </row>
    <row r="318" customFormat="false" ht="15" hidden="false" customHeight="false" outlineLevel="0" collapsed="false">
      <c r="A318" s="13" t="n">
        <v>45822.1996342708</v>
      </c>
      <c r="B318" s="8" t="n">
        <v>4</v>
      </c>
      <c r="C318" s="8" t="s">
        <v>68</v>
      </c>
      <c r="D318" s="8" t="s">
        <v>383</v>
      </c>
      <c r="E318" s="14" t="s">
        <v>66</v>
      </c>
      <c r="F318" s="9" t="n">
        <v>954558</v>
      </c>
      <c r="G318" s="9" t="n">
        <v>40715</v>
      </c>
      <c r="H318" s="9" t="n">
        <v>24847</v>
      </c>
      <c r="I318" s="9" t="n">
        <v>42040</v>
      </c>
      <c r="J318" s="9" t="n">
        <v>469</v>
      </c>
      <c r="K318" s="9" t="n">
        <v>199</v>
      </c>
      <c r="L318" s="9" t="n">
        <v>98</v>
      </c>
      <c r="M318" s="10" t="n">
        <f aca="false">IFERROR(G318/F318,"")</f>
        <v>0.0426532489382521</v>
      </c>
      <c r="N318" s="10" t="n">
        <f aca="false">IFERROR(H318/G318,"")</f>
        <v>0.610266486552868</v>
      </c>
      <c r="O318" s="11" t="n">
        <f aca="false">IFERROR(I318/H318,"")</f>
        <v>1.69195476315048</v>
      </c>
      <c r="P318" s="10" t="n">
        <f aca="false">IFERROR(J318/H318,"")</f>
        <v>0.0188755181712078</v>
      </c>
      <c r="Q318" s="10" t="n">
        <f aca="false">IFERROR(K318/H318,"")</f>
        <v>0.00800901517285789</v>
      </c>
      <c r="R318" s="10" t="n">
        <f aca="false">IFERROR(L318/H318,"")</f>
        <v>0.003944138125327</v>
      </c>
      <c r="S318" s="11" t="n">
        <f aca="false">IFERROR(M318/MEDIAN(INDEX($M$5:$M$627,MATCH($A318-90,$A$5:$A$627,1)):INDEX($M$5:$M$627,MATCH($A318+90,$A$5:$A$627,1))),"")</f>
        <v>0.700532658884757</v>
      </c>
      <c r="T318" s="11" t="n">
        <f aca="false">IFERROR(N318/MEDIAN(INDEX($N$5:$N$627,MATCH($A318-90,$A$5:$A$627,1)):INDEX($N$5:$N$627,MATCH($A318+90,$A$5:$A$627,1))),"")</f>
        <v>1.17705543844199</v>
      </c>
      <c r="U318" s="11" t="n">
        <f aca="false">IFERROR(Q318/MEDIAN(INDEX($Q$5:$Q$627,MATCH($A318-90,$A$5:$A$627,1)):INDEX($Q$5:$Q$627,MATCH($A318+90,$A$5:$A$627,1))),"")</f>
        <v>0.799672620777784</v>
      </c>
    </row>
    <row r="319" customFormat="false" ht="15" hidden="false" customHeight="false" outlineLevel="0" collapsed="false">
      <c r="A319" s="13" t="n">
        <v>45824.2357915857</v>
      </c>
      <c r="B319" s="8" t="n">
        <v>5</v>
      </c>
      <c r="C319" s="8" t="s">
        <v>80</v>
      </c>
      <c r="D319" s="8" t="s">
        <v>384</v>
      </c>
      <c r="E319" s="14" t="s">
        <v>66</v>
      </c>
      <c r="F319" s="9" t="n">
        <v>3023045</v>
      </c>
      <c r="G319" s="9" t="n">
        <v>135537</v>
      </c>
      <c r="H319" s="9" t="n">
        <v>72710</v>
      </c>
      <c r="I319" s="9" t="n">
        <v>103805</v>
      </c>
      <c r="J319" s="9" t="n">
        <v>2952</v>
      </c>
      <c r="K319" s="9" t="n">
        <v>325</v>
      </c>
      <c r="L319" s="9" t="n">
        <v>691</v>
      </c>
      <c r="M319" s="10" t="n">
        <f aca="false">IFERROR(G319/F319,"")</f>
        <v>0.0448345955816073</v>
      </c>
      <c r="N319" s="10" t="n">
        <f aca="false">IFERROR(H319/G319,"")</f>
        <v>0.536458679179855</v>
      </c>
      <c r="O319" s="11" t="n">
        <f aca="false">IFERROR(I319/H319,"")</f>
        <v>1.42765781873195</v>
      </c>
      <c r="P319" s="10" t="n">
        <f aca="false">IFERROR(J319/H319,"")</f>
        <v>0.0405996424150736</v>
      </c>
      <c r="Q319" s="10" t="n">
        <f aca="false">IFERROR(K319/H319,"")</f>
        <v>0.00446981158025031</v>
      </c>
      <c r="R319" s="10" t="n">
        <f aca="false">IFERROR(L319/H319,"")</f>
        <v>0.0095035070829322</v>
      </c>
      <c r="S319" s="11" t="n">
        <f aca="false">IFERROR(M319/MEDIAN(INDEX($M$5:$M$627,MATCH($A319-90,$A$5:$A$627,1)):INDEX($M$5:$M$627,MATCH($A319+90,$A$5:$A$627,1))),"")</f>
        <v>0.736358876161457</v>
      </c>
      <c r="T319" s="11" t="n">
        <f aca="false">IFERROR(N319/MEDIAN(INDEX($N$5:$N$627,MATCH($A319-90,$A$5:$A$627,1)):INDEX($N$5:$N$627,MATCH($A319+90,$A$5:$A$627,1))),"")</f>
        <v>1.0317496343635</v>
      </c>
      <c r="U319" s="11" t="n">
        <f aca="false">IFERROR(Q319/MEDIAN(INDEX($Q$5:$Q$627,MATCH($A319-90,$A$5:$A$627,1)):INDEX($Q$5:$Q$627,MATCH($A319+90,$A$5:$A$627,1))),"")</f>
        <v>0.446295313920125</v>
      </c>
    </row>
    <row r="320" customFormat="false" ht="15" hidden="false" customHeight="false" outlineLevel="0" collapsed="false">
      <c r="A320" s="13" t="n">
        <v>45826.2765616667</v>
      </c>
      <c r="B320" s="8" t="n">
        <v>6</v>
      </c>
      <c r="C320" s="8" t="s">
        <v>71</v>
      </c>
      <c r="D320" s="8" t="s">
        <v>385</v>
      </c>
      <c r="E320" s="14" t="s">
        <v>66</v>
      </c>
      <c r="F320" s="9" t="n">
        <v>104987</v>
      </c>
      <c r="G320" s="9" t="n">
        <v>2083</v>
      </c>
      <c r="H320" s="9" t="n">
        <v>719</v>
      </c>
      <c r="I320" s="9" t="n">
        <v>393</v>
      </c>
      <c r="J320" s="9" t="n">
        <v>36</v>
      </c>
      <c r="K320" s="9" t="n">
        <v>13</v>
      </c>
      <c r="L320" s="9" t="n">
        <v>4</v>
      </c>
      <c r="M320" s="10" t="n">
        <f aca="false">IFERROR(G320/F320,"")</f>
        <v>0.0198405516873518</v>
      </c>
      <c r="N320" s="10" t="n">
        <f aca="false">IFERROR(H320/G320,"")</f>
        <v>0.345175228036486</v>
      </c>
      <c r="O320" s="11" t="n">
        <f aca="false">IFERROR(I320/H320,"")</f>
        <v>0.546592489568846</v>
      </c>
      <c r="P320" s="10" t="n">
        <f aca="false">IFERROR(J320/H320,"")</f>
        <v>0.0500695410292072</v>
      </c>
      <c r="Q320" s="10" t="n">
        <f aca="false">IFERROR(K320/H320,"")</f>
        <v>0.0180806675938804</v>
      </c>
      <c r="R320" s="10" t="n">
        <f aca="false">IFERROR(L320/H320,"")</f>
        <v>0.00556328233657858</v>
      </c>
      <c r="S320" s="11" t="n">
        <f aca="false">IFERROR(M320/MEDIAN(INDEX($M$5:$M$627,MATCH($A320-90,$A$5:$A$627,1)):INDEX($M$5:$M$627,MATCH($A320+90,$A$5:$A$627,1))),"")</f>
        <v>0.325468130160549</v>
      </c>
      <c r="T320" s="11" t="n">
        <f aca="false">IFERROR(N320/MEDIAN(INDEX($N$5:$N$627,MATCH($A320-90,$A$5:$A$627,1)):INDEX($N$5:$N$627,MATCH($A320+90,$A$5:$A$627,1))),"")</f>
        <v>0.662867229666155</v>
      </c>
      <c r="U320" s="11" t="n">
        <f aca="false">IFERROR(Q320/MEDIAN(INDEX($Q$5:$Q$627,MATCH($A320-90,$A$5:$A$627,1)):INDEX($Q$5:$Q$627,MATCH($A320+90,$A$5:$A$627,1))),"")</f>
        <v>1.80983228989335</v>
      </c>
    </row>
    <row r="321" customFormat="false" ht="15" hidden="false" customHeight="false" outlineLevel="0" collapsed="false">
      <c r="A321" s="13" t="n">
        <v>45827.3203374653</v>
      </c>
      <c r="B321" s="8" t="n">
        <v>7</v>
      </c>
      <c r="C321" s="8" t="s">
        <v>73</v>
      </c>
      <c r="D321" s="8" t="s">
        <v>386</v>
      </c>
      <c r="E321" s="14" t="s">
        <v>66</v>
      </c>
      <c r="F321" s="9" t="n">
        <v>94492</v>
      </c>
      <c r="G321" s="9" t="n">
        <v>2235</v>
      </c>
      <c r="H321" s="9" t="n">
        <v>1065</v>
      </c>
      <c r="I321" s="9" t="n">
        <v>1647</v>
      </c>
      <c r="J321" s="9" t="n">
        <v>98</v>
      </c>
      <c r="K321" s="9" t="n">
        <v>43</v>
      </c>
      <c r="L321" s="9" t="n">
        <v>6</v>
      </c>
      <c r="M321" s="10" t="n">
        <f aca="false">IFERROR(G321/F321,"")</f>
        <v>0.0236527960038945</v>
      </c>
      <c r="N321" s="10" t="n">
        <f aca="false">IFERROR(H321/G321,"")</f>
        <v>0.476510067114094</v>
      </c>
      <c r="O321" s="11" t="n">
        <f aca="false">IFERROR(I321/H321,"")</f>
        <v>1.54647887323944</v>
      </c>
      <c r="P321" s="10" t="n">
        <f aca="false">IFERROR(J321/H321,"")</f>
        <v>0.092018779342723</v>
      </c>
      <c r="Q321" s="10" t="n">
        <f aca="false">IFERROR(K321/H321,"")</f>
        <v>0.0403755868544601</v>
      </c>
      <c r="R321" s="10" t="n">
        <f aca="false">IFERROR(L321/H321,"")</f>
        <v>0.00563380281690141</v>
      </c>
      <c r="S321" s="11" t="n">
        <f aca="false">IFERROR(M321/MEDIAN(INDEX($M$5:$M$627,MATCH($A321-90,$A$5:$A$627,1)):INDEX($M$5:$M$627,MATCH($A321+90,$A$5:$A$627,1))),"")</f>
        <v>0.384755611224297</v>
      </c>
      <c r="T321" s="11" t="n">
        <f aca="false">IFERROR(N321/MEDIAN(INDEX($N$5:$N$627,MATCH($A321-90,$A$5:$A$627,1)):INDEX($N$5:$N$627,MATCH($A321+90,$A$5:$A$627,1))),"")</f>
        <v>0.915079885346134</v>
      </c>
      <c r="U321" s="11" t="n">
        <f aca="false">IFERROR(Q321/MEDIAN(INDEX($Q$5:$Q$627,MATCH($A321-90,$A$5:$A$627,1)):INDEX($Q$5:$Q$627,MATCH($A321+90,$A$5:$A$627,1))),"")</f>
        <v>4.05312102972867</v>
      </c>
    </row>
    <row r="322" customFormat="false" ht="15" hidden="false" customHeight="false" outlineLevel="0" collapsed="false">
      <c r="A322" s="13" t="n">
        <v>45829.3229834259</v>
      </c>
      <c r="B322" s="8" t="n">
        <v>7</v>
      </c>
      <c r="C322" s="8" t="s">
        <v>68</v>
      </c>
      <c r="D322" s="8" t="s">
        <v>387</v>
      </c>
      <c r="E322" s="14" t="s">
        <v>66</v>
      </c>
      <c r="F322" s="9" t="n">
        <v>76837</v>
      </c>
      <c r="G322" s="9" t="n">
        <v>2752</v>
      </c>
      <c r="H322" s="9" t="n">
        <v>1716</v>
      </c>
      <c r="I322" s="9" t="n">
        <v>2229</v>
      </c>
      <c r="J322" s="9" t="n">
        <v>152</v>
      </c>
      <c r="K322" s="9" t="n">
        <v>97</v>
      </c>
      <c r="L322" s="9" t="n">
        <v>10</v>
      </c>
      <c r="M322" s="10" t="n">
        <f aca="false">IFERROR(G322/F322,"")</f>
        <v>0.0358160781914963</v>
      </c>
      <c r="N322" s="10" t="n">
        <f aca="false">IFERROR(H322/G322,"")</f>
        <v>0.623546511627907</v>
      </c>
      <c r="O322" s="11" t="n">
        <f aca="false">IFERROR(I322/H322,"")</f>
        <v>1.29895104895105</v>
      </c>
      <c r="P322" s="10" t="n">
        <f aca="false">IFERROR(J322/H322,"")</f>
        <v>0.0885780885780886</v>
      </c>
      <c r="Q322" s="10" t="n">
        <f aca="false">IFERROR(K322/H322,"")</f>
        <v>0.0565268065268065</v>
      </c>
      <c r="R322" s="10" t="n">
        <f aca="false">IFERROR(L322/H322,"")</f>
        <v>0.00582750582750583</v>
      </c>
      <c r="S322" s="11" t="n">
        <f aca="false">IFERROR(M322/MEDIAN(INDEX($M$5:$M$627,MATCH($A322-90,$A$5:$A$627,1)):INDEX($M$5:$M$627,MATCH($A322+90,$A$5:$A$627,1))),"")</f>
        <v>0.582613448911383</v>
      </c>
      <c r="T322" s="11" t="n">
        <f aca="false">IFERROR(N322/MEDIAN(INDEX($N$5:$N$627,MATCH($A322-90,$A$5:$A$627,1)):INDEX($N$5:$N$627,MATCH($A322+90,$A$5:$A$627,1))),"")</f>
        <v>1.19451109582348</v>
      </c>
      <c r="U322" s="11" t="n">
        <f aca="false">IFERROR(Q322/MEDIAN(INDEX($Q$5:$Q$627,MATCH($A322-90,$A$5:$A$627,1)):INDEX($Q$5:$Q$627,MATCH($A322+90,$A$5:$A$627,1))),"")</f>
        <v>5.7210934978706</v>
      </c>
    </row>
    <row r="323" customFormat="false" ht="15" hidden="false" customHeight="false" outlineLevel="0" collapsed="false">
      <c r="A323" s="13" t="n">
        <v>45831.2314778125</v>
      </c>
      <c r="B323" s="8" t="n">
        <v>5</v>
      </c>
      <c r="C323" s="8" t="s">
        <v>80</v>
      </c>
      <c r="D323" s="8" t="s">
        <v>388</v>
      </c>
      <c r="E323" s="14" t="s">
        <v>66</v>
      </c>
      <c r="F323" s="9" t="n">
        <v>1163779</v>
      </c>
      <c r="G323" s="9" t="n">
        <v>140333</v>
      </c>
      <c r="H323" s="9" t="n">
        <v>68212</v>
      </c>
      <c r="I323" s="9" t="n">
        <v>86725</v>
      </c>
      <c r="J323" s="9" t="n">
        <v>1917</v>
      </c>
      <c r="K323" s="9" t="n">
        <v>854</v>
      </c>
      <c r="L323" s="9" t="n">
        <v>169</v>
      </c>
      <c r="M323" s="10" t="n">
        <f aca="false">IFERROR(G323/F323,"")</f>
        <v>0.120583890927745</v>
      </c>
      <c r="N323" s="10" t="n">
        <f aca="false">IFERROR(H323/G323,"")</f>
        <v>0.486072413473666</v>
      </c>
      <c r="O323" s="11" t="n">
        <f aca="false">IFERROR(I323/H323,"")</f>
        <v>1.27140385855861</v>
      </c>
      <c r="P323" s="10" t="n">
        <f aca="false">IFERROR(J323/H323,"")</f>
        <v>0.0281035594909987</v>
      </c>
      <c r="Q323" s="10" t="n">
        <f aca="false">IFERROR(K323/H323,"")</f>
        <v>0.0125197912390782</v>
      </c>
      <c r="R323" s="10" t="n">
        <f aca="false">IFERROR(L323/H323,"")</f>
        <v>0.00247756992904474</v>
      </c>
      <c r="S323" s="11" t="n">
        <f aca="false">IFERROR(M323/MEDIAN(INDEX($M$5:$M$627,MATCH($A323-90,$A$5:$A$627,1)):INDEX($M$5:$M$627,MATCH($A323+90,$A$5:$A$627,1))),"")</f>
        <v>1.9102512040984</v>
      </c>
      <c r="T323" s="11" t="n">
        <f aca="false">IFERROR(N323/MEDIAN(INDEX($N$5:$N$627,MATCH($A323-90,$A$5:$A$627,1)):INDEX($N$5:$N$627,MATCH($A323+90,$A$5:$A$627,1))),"")</f>
        <v>0.928734819711658</v>
      </c>
      <c r="U323" s="11" t="n">
        <f aca="false">IFERROR(Q323/MEDIAN(INDEX($Q$5:$Q$627,MATCH($A323-90,$A$5:$A$627,1)):INDEX($Q$5:$Q$627,MATCH($A323+90,$A$5:$A$627,1))),"")</f>
        <v>1.30983880724718</v>
      </c>
    </row>
    <row r="324" customFormat="false" ht="15" hidden="false" customHeight="false" outlineLevel="0" collapsed="false">
      <c r="A324" s="13" t="n">
        <v>45833.233570625</v>
      </c>
      <c r="B324" s="8" t="n">
        <v>5</v>
      </c>
      <c r="C324" s="8" t="s">
        <v>71</v>
      </c>
      <c r="D324" s="8" t="s">
        <v>389</v>
      </c>
      <c r="E324" s="14" t="s">
        <v>66</v>
      </c>
      <c r="F324" s="9" t="n">
        <v>1073447</v>
      </c>
      <c r="G324" s="9" t="n">
        <v>58724</v>
      </c>
      <c r="H324" s="9" t="n">
        <v>29781</v>
      </c>
      <c r="I324" s="9" t="n">
        <v>45720</v>
      </c>
      <c r="J324" s="9" t="n">
        <v>999</v>
      </c>
      <c r="K324" s="9" t="n">
        <v>562</v>
      </c>
      <c r="L324" s="9" t="n">
        <v>114</v>
      </c>
      <c r="M324" s="10" t="n">
        <f aca="false">IFERROR(G324/F324,"")</f>
        <v>0.0547060078420267</v>
      </c>
      <c r="N324" s="10" t="n">
        <f aca="false">IFERROR(H324/G324,"")</f>
        <v>0.507135072542742</v>
      </c>
      <c r="O324" s="11" t="n">
        <f aca="false">IFERROR(I324/H324,"")</f>
        <v>1.53520701118163</v>
      </c>
      <c r="P324" s="10" t="n">
        <f aca="false">IFERROR(J324/H324,"")</f>
        <v>0.0335448776065277</v>
      </c>
      <c r="Q324" s="10" t="n">
        <f aca="false">IFERROR(K324/H324,"")</f>
        <v>0.0188710923071757</v>
      </c>
      <c r="R324" s="10" t="n">
        <f aca="false">IFERROR(L324/H324,"")</f>
        <v>0.00382794399113529</v>
      </c>
      <c r="S324" s="11" t="n">
        <f aca="false">IFERROR(M324/MEDIAN(INDEX($M$5:$M$627,MATCH($A324-90,$A$5:$A$627,1)):INDEX($M$5:$M$627,MATCH($A324+90,$A$5:$A$627,1))),"")</f>
        <v>0.849351838418733</v>
      </c>
      <c r="T324" s="11" t="n">
        <f aca="false">IFERROR(N324/MEDIAN(INDEX($N$5:$N$627,MATCH($A324-90,$A$5:$A$627,1)):INDEX($N$5:$N$627,MATCH($A324+90,$A$5:$A$627,1))),"")</f>
        <v>0.963485749035486</v>
      </c>
      <c r="U324" s="11" t="n">
        <f aca="false">IFERROR(Q324/MEDIAN(INDEX($Q$5:$Q$627,MATCH($A324-90,$A$5:$A$627,1)):INDEX($Q$5:$Q$627,MATCH($A324+90,$A$5:$A$627,1))),"")</f>
        <v>2.03074621972373</v>
      </c>
    </row>
    <row r="325" customFormat="false" ht="15" hidden="false" customHeight="false" outlineLevel="0" collapsed="false">
      <c r="A325" s="13" t="n">
        <v>45835.2333754167</v>
      </c>
      <c r="B325" s="8" t="n">
        <v>5</v>
      </c>
      <c r="C325" s="8" t="s">
        <v>84</v>
      </c>
      <c r="D325" s="8" t="s">
        <v>390</v>
      </c>
      <c r="E325" s="14" t="s">
        <v>66</v>
      </c>
      <c r="F325" s="9" t="n">
        <v>965264</v>
      </c>
      <c r="G325" s="9" t="n">
        <v>88165</v>
      </c>
      <c r="H325" s="9" t="n">
        <v>46067</v>
      </c>
      <c r="I325" s="9" t="n">
        <v>70973</v>
      </c>
      <c r="J325" s="9" t="n">
        <v>2350</v>
      </c>
      <c r="K325" s="9" t="n">
        <v>584</v>
      </c>
      <c r="L325" s="9" t="n">
        <v>335</v>
      </c>
      <c r="M325" s="10" t="n">
        <f aca="false">IFERROR(G325/F325,"")</f>
        <v>0.0913377065756104</v>
      </c>
      <c r="N325" s="10" t="n">
        <f aca="false">IFERROR(H325/G325,"")</f>
        <v>0.522508932115919</v>
      </c>
      <c r="O325" s="11" t="n">
        <f aca="false">IFERROR(I325/H325,"")</f>
        <v>1.54064731803677</v>
      </c>
      <c r="P325" s="10" t="n">
        <f aca="false">IFERROR(J325/H325,"")</f>
        <v>0.0510126554800617</v>
      </c>
      <c r="Q325" s="10" t="n">
        <f aca="false">IFERROR(K325/H325,"")</f>
        <v>0.0126771875746196</v>
      </c>
      <c r="R325" s="10" t="n">
        <f aca="false">IFERROR(L325/H325,"")</f>
        <v>0.00727201684503007</v>
      </c>
      <c r="S325" s="11" t="n">
        <f aca="false">IFERROR(M325/MEDIAN(INDEX($M$5:$M$627,MATCH($A325-90,$A$5:$A$627,1)):INDEX($M$5:$M$627,MATCH($A325+90,$A$5:$A$627,1))),"")</f>
        <v>1.41977009339125</v>
      </c>
      <c r="T325" s="11" t="n">
        <f aca="false">IFERROR(N325/MEDIAN(INDEX($N$5:$N$627,MATCH($A325-90,$A$5:$A$627,1)):INDEX($N$5:$N$627,MATCH($A325+90,$A$5:$A$627,1))),"")</f>
        <v>0.996713002017997</v>
      </c>
      <c r="U325" s="11" t="n">
        <f aca="false">IFERROR(Q325/MEDIAN(INDEX($Q$5:$Q$627,MATCH($A325-90,$A$5:$A$627,1)):INDEX($Q$5:$Q$627,MATCH($A325+90,$A$5:$A$627,1))),"")</f>
        <v>1.3651183516145</v>
      </c>
    </row>
    <row r="326" customFormat="false" ht="15" hidden="false" customHeight="false" outlineLevel="0" collapsed="false">
      <c r="A326" s="13" t="n">
        <v>45836.2343441435</v>
      </c>
      <c r="B326" s="8" t="n">
        <v>5</v>
      </c>
      <c r="C326" s="8" t="s">
        <v>68</v>
      </c>
      <c r="D326" s="8" t="s">
        <v>391</v>
      </c>
      <c r="E326" s="14" t="s">
        <v>66</v>
      </c>
      <c r="F326" s="9" t="n">
        <v>75028</v>
      </c>
      <c r="G326" s="9" t="n">
        <v>2627</v>
      </c>
      <c r="H326" s="9" t="n">
        <v>1339</v>
      </c>
      <c r="I326" s="9" t="n">
        <v>2026</v>
      </c>
      <c r="J326" s="9" t="n">
        <v>159</v>
      </c>
      <c r="K326" s="9" t="n">
        <v>23</v>
      </c>
      <c r="L326" s="9" t="n">
        <v>16</v>
      </c>
      <c r="M326" s="10" t="n">
        <f aca="false">IFERROR(G326/F326,"")</f>
        <v>0.0350135949245615</v>
      </c>
      <c r="N326" s="10" t="n">
        <f aca="false">IFERROR(H326/G326,"")</f>
        <v>0.50970688998858</v>
      </c>
      <c r="O326" s="11" t="n">
        <f aca="false">IFERROR(I326/H326,"")</f>
        <v>1.51306945481703</v>
      </c>
      <c r="P326" s="10" t="n">
        <f aca="false">IFERROR(J326/H326,"")</f>
        <v>0.118745332337565</v>
      </c>
      <c r="Q326" s="10" t="n">
        <f aca="false">IFERROR(K326/H326,"")</f>
        <v>0.017176997759522</v>
      </c>
      <c r="R326" s="10" t="n">
        <f aca="false">IFERROR(L326/H326,"")</f>
        <v>0.011949215832711</v>
      </c>
      <c r="S326" s="11" t="n">
        <f aca="false">IFERROR(M326/MEDIAN(INDEX($M$5:$M$627,MATCH($A326-90,$A$5:$A$627,1)):INDEX($M$5:$M$627,MATCH($A326+90,$A$5:$A$627,1))),"")</f>
        <v>0.544257752901387</v>
      </c>
      <c r="T326" s="11" t="n">
        <f aca="false">IFERROR(N326/MEDIAN(INDEX($N$5:$N$627,MATCH($A326-90,$A$5:$A$627,1)):INDEX($N$5:$N$627,MATCH($A326+90,$A$5:$A$627,1))),"")</f>
        <v>0.97229243988707</v>
      </c>
      <c r="U326" s="11" t="n">
        <f aca="false">IFERROR(Q326/MEDIAN(INDEX($Q$5:$Q$627,MATCH($A326-90,$A$5:$A$627,1)):INDEX($Q$5:$Q$627,MATCH($A326+90,$A$5:$A$627,1))),"")</f>
        <v>1.84967168223574</v>
      </c>
    </row>
    <row r="327" customFormat="false" ht="15" hidden="false" customHeight="false" outlineLevel="0" collapsed="false">
      <c r="A327" s="13" t="n">
        <v>45838.2363323495</v>
      </c>
      <c r="B327" s="8" t="n">
        <v>5</v>
      </c>
      <c r="C327" s="8" t="s">
        <v>80</v>
      </c>
      <c r="D327" s="8" t="s">
        <v>392</v>
      </c>
      <c r="E327" s="14" t="s">
        <v>66</v>
      </c>
      <c r="F327" s="9" t="n">
        <v>469998</v>
      </c>
      <c r="G327" s="9" t="n">
        <v>37242</v>
      </c>
      <c r="H327" s="9" t="n">
        <v>15654</v>
      </c>
      <c r="I327" s="9" t="n">
        <v>17948</v>
      </c>
      <c r="J327" s="9" t="n">
        <v>374</v>
      </c>
      <c r="K327" s="9" t="n">
        <v>343</v>
      </c>
      <c r="L327" s="9" t="n">
        <v>56</v>
      </c>
      <c r="M327" s="10" t="n">
        <f aca="false">IFERROR(G327/F327,"")</f>
        <v>0.0792386350580215</v>
      </c>
      <c r="N327" s="10" t="n">
        <f aca="false">IFERROR(H327/G327,"")</f>
        <v>0.4203318833575</v>
      </c>
      <c r="O327" s="11" t="n">
        <f aca="false">IFERROR(I327/H327,"")</f>
        <v>1.14654401430944</v>
      </c>
      <c r="P327" s="10" t="n">
        <f aca="false">IFERROR(J327/H327,"")</f>
        <v>0.0238916570844513</v>
      </c>
      <c r="Q327" s="10" t="n">
        <f aca="false">IFERROR(K327/H327,"")</f>
        <v>0.0219113325667561</v>
      </c>
      <c r="R327" s="10" t="n">
        <f aca="false">IFERROR(L327/H327,"")</f>
        <v>0.00357736041906222</v>
      </c>
      <c r="S327" s="11" t="n">
        <f aca="false">IFERROR(M327/MEDIAN(INDEX($M$5:$M$627,MATCH($A327-90,$A$5:$A$627,1)):INDEX($M$5:$M$627,MATCH($A327+90,$A$5:$A$627,1))),"")</f>
        <v>1.23023929208409</v>
      </c>
      <c r="T327" s="11" t="n">
        <f aca="false">IFERROR(N327/MEDIAN(INDEX($N$5:$N$627,MATCH($A327-90,$A$5:$A$627,1)):INDEX($N$5:$N$627,MATCH($A327+90,$A$5:$A$627,1))),"")</f>
        <v>0.798571823182401</v>
      </c>
      <c r="U327" s="11" t="n">
        <f aca="false">IFERROR(Q327/MEDIAN(INDEX($Q$5:$Q$627,MATCH($A327-90,$A$5:$A$627,1)):INDEX($Q$5:$Q$627,MATCH($A327+90,$A$5:$A$627,1))),"")</f>
        <v>2.29239554928467</v>
      </c>
    </row>
    <row r="328" customFormat="false" ht="15" hidden="false" customHeight="false" outlineLevel="0" collapsed="false">
      <c r="A328" s="13" t="n">
        <v>45840.2355289236</v>
      </c>
      <c r="B328" s="8" t="n">
        <v>5</v>
      </c>
      <c r="C328" s="8" t="s">
        <v>71</v>
      </c>
      <c r="D328" s="8" t="s">
        <v>393</v>
      </c>
      <c r="E328" s="14" t="s">
        <v>66</v>
      </c>
      <c r="F328" s="9" t="n">
        <v>1304871</v>
      </c>
      <c r="G328" s="9" t="n">
        <v>116170</v>
      </c>
      <c r="H328" s="9" t="n">
        <v>57126</v>
      </c>
      <c r="I328" s="9" t="n">
        <v>85307</v>
      </c>
      <c r="J328" s="9" t="n">
        <v>1825</v>
      </c>
      <c r="K328" s="9" t="n">
        <v>804</v>
      </c>
      <c r="L328" s="9" t="n">
        <v>308</v>
      </c>
      <c r="M328" s="10" t="n">
        <f aca="false">IFERROR(G328/F328,"")</f>
        <v>0.0890279575528922</v>
      </c>
      <c r="N328" s="10" t="n">
        <f aca="false">IFERROR(H328/G328,"")</f>
        <v>0.491744856675562</v>
      </c>
      <c r="O328" s="11" t="n">
        <f aca="false">IFERROR(I328/H328,"")</f>
        <v>1.49331302734307</v>
      </c>
      <c r="P328" s="10" t="n">
        <f aca="false">IFERROR(J328/H328,"")</f>
        <v>0.0319469243426811</v>
      </c>
      <c r="Q328" s="10" t="n">
        <f aca="false">IFERROR(K328/H328,"")</f>
        <v>0.0140741518748031</v>
      </c>
      <c r="R328" s="10" t="n">
        <f aca="false">IFERROR(L328/H328,"")</f>
        <v>0.00539159051920317</v>
      </c>
      <c r="S328" s="11" t="n">
        <f aca="false">IFERROR(M328/MEDIAN(INDEX($M$5:$M$627,MATCH($A328-90,$A$5:$A$627,1)):INDEX($M$5:$M$627,MATCH($A328+90,$A$5:$A$627,1))),"")</f>
        <v>1.38058870221422</v>
      </c>
      <c r="T328" s="11" t="n">
        <f aca="false">IFERROR(N328/MEDIAN(INDEX($N$5:$N$627,MATCH($A328-90,$A$5:$A$627,1)):INDEX($N$5:$N$627,MATCH($A328+90,$A$5:$A$627,1))),"")</f>
        <v>0.917205725939189</v>
      </c>
      <c r="U328" s="11" t="n">
        <f aca="false">IFERROR(Q328/MEDIAN(INDEX($Q$5:$Q$627,MATCH($A328-90,$A$5:$A$627,1)):INDEX($Q$5:$Q$627,MATCH($A328+90,$A$5:$A$627,1))),"")</f>
        <v>1.43355289810494</v>
      </c>
    </row>
    <row r="329" customFormat="false" ht="15" hidden="false" customHeight="false" outlineLevel="0" collapsed="false">
      <c r="A329" s="13" t="n">
        <v>45842.2467194907</v>
      </c>
      <c r="B329" s="8" t="n">
        <v>5</v>
      </c>
      <c r="C329" s="8" t="s">
        <v>84</v>
      </c>
      <c r="D329" s="8" t="s">
        <v>394</v>
      </c>
      <c r="E329" s="14" t="s">
        <v>66</v>
      </c>
      <c r="F329" s="9" t="n">
        <v>313562</v>
      </c>
      <c r="G329" s="9" t="n">
        <v>19067</v>
      </c>
      <c r="H329" s="9" t="n">
        <v>8847</v>
      </c>
      <c r="I329" s="9" t="n">
        <v>8978</v>
      </c>
      <c r="J329" s="9" t="n">
        <v>552</v>
      </c>
      <c r="K329" s="9" t="n">
        <v>139</v>
      </c>
      <c r="L329" s="9" t="n">
        <v>27</v>
      </c>
      <c r="M329" s="10" t="n">
        <f aca="false">IFERROR(G329/F329,"")</f>
        <v>0.0608077509392082</v>
      </c>
      <c r="N329" s="10" t="n">
        <f aca="false">IFERROR(H329/G329,"")</f>
        <v>0.463995384696072</v>
      </c>
      <c r="O329" s="11" t="n">
        <f aca="false">IFERROR(I329/H329,"")</f>
        <v>1.01480727930372</v>
      </c>
      <c r="P329" s="10" t="n">
        <f aca="false">IFERROR(J329/H329,"")</f>
        <v>0.0623940318752119</v>
      </c>
      <c r="Q329" s="10" t="n">
        <f aca="false">IFERROR(K329/H329,"")</f>
        <v>0.0157115406352436</v>
      </c>
      <c r="R329" s="10" t="n">
        <f aca="false">IFERROR(L329/H329,"")</f>
        <v>0.00305188199389624</v>
      </c>
      <c r="S329" s="11" t="n">
        <f aca="false">IFERROR(M329/MEDIAN(INDEX($M$5:$M$627,MATCH($A329-90,$A$5:$A$627,1)):INDEX($M$5:$M$627,MATCH($A329+90,$A$5:$A$627,1))),"")</f>
        <v>0.944085980455115</v>
      </c>
      <c r="T329" s="11" t="n">
        <f aca="false">IFERROR(N329/MEDIAN(INDEX($N$5:$N$627,MATCH($A329-90,$A$5:$A$627,1)):INDEX($N$5:$N$627,MATCH($A329+90,$A$5:$A$627,1))),"")</f>
        <v>0.875161030365767</v>
      </c>
      <c r="U329" s="11" t="n">
        <f aca="false">IFERROR(Q329/MEDIAN(INDEX($Q$5:$Q$627,MATCH($A329-90,$A$5:$A$627,1)):INDEX($Q$5:$Q$627,MATCH($A329+90,$A$5:$A$627,1))),"")</f>
        <v>1.59016931068262</v>
      </c>
    </row>
    <row r="330" customFormat="false" ht="15" hidden="false" customHeight="false" outlineLevel="0" collapsed="false">
      <c r="A330" s="13" t="n">
        <v>45843.236954537</v>
      </c>
      <c r="B330" s="8" t="n">
        <v>5</v>
      </c>
      <c r="C330" s="8" t="s">
        <v>68</v>
      </c>
      <c r="D330" s="8" t="s">
        <v>395</v>
      </c>
      <c r="E330" s="14" t="s">
        <v>66</v>
      </c>
      <c r="F330" s="9" t="n">
        <v>1654689</v>
      </c>
      <c r="G330" s="9" t="n">
        <v>73577</v>
      </c>
      <c r="H330" s="9" t="n">
        <v>49660</v>
      </c>
      <c r="I330" s="9" t="n">
        <v>78983</v>
      </c>
      <c r="J330" s="9" t="n">
        <v>1702</v>
      </c>
      <c r="K330" s="9" t="n">
        <v>384</v>
      </c>
      <c r="L330" s="9" t="n">
        <v>323</v>
      </c>
      <c r="M330" s="10" t="n">
        <f aca="false">IFERROR(G330/F330,"")</f>
        <v>0.0444657576136664</v>
      </c>
      <c r="N330" s="10" t="n">
        <f aca="false">IFERROR(H330/G330,"")</f>
        <v>0.674939179363116</v>
      </c>
      <c r="O330" s="11" t="n">
        <f aca="false">IFERROR(I330/H330,"")</f>
        <v>1.59047523157471</v>
      </c>
      <c r="P330" s="10" t="n">
        <f aca="false">IFERROR(J330/H330,"")</f>
        <v>0.0342730567861458</v>
      </c>
      <c r="Q330" s="10" t="n">
        <f aca="false">IFERROR(K330/H330,"")</f>
        <v>0.00773258155457108</v>
      </c>
      <c r="R330" s="10" t="n">
        <f aca="false">IFERROR(L330/H330,"")</f>
        <v>0.00650422875553766</v>
      </c>
      <c r="S330" s="11" t="n">
        <f aca="false">IFERROR(M330/MEDIAN(INDEX($M$5:$M$627,MATCH($A330-90,$A$5:$A$627,1)):INDEX($M$5:$M$627,MATCH($A330+90,$A$5:$A$627,1))),"")</f>
        <v>0.704412225954387</v>
      </c>
      <c r="T330" s="11" t="n">
        <f aca="false">IFERROR(N330/MEDIAN(INDEX($N$5:$N$627,MATCH($A330-90,$A$5:$A$627,1)):INDEX($N$5:$N$627,MATCH($A330+90,$A$5:$A$627,1))),"")</f>
        <v>1.27303091178926</v>
      </c>
      <c r="U330" s="11" t="n">
        <f aca="false">IFERROR(Q330/MEDIAN(INDEX($Q$5:$Q$627,MATCH($A330-90,$A$5:$A$627,1)):INDEX($Q$5:$Q$627,MATCH($A330+90,$A$5:$A$627,1))),"")</f>
        <v>0.782616687051506</v>
      </c>
    </row>
    <row r="331" customFormat="false" ht="15" hidden="false" customHeight="false" outlineLevel="0" collapsed="false">
      <c r="A331" s="13" t="n">
        <v>45845.23812875</v>
      </c>
      <c r="B331" s="8" t="n">
        <v>5</v>
      </c>
      <c r="C331" s="8" t="s">
        <v>80</v>
      </c>
      <c r="D331" s="8" t="s">
        <v>396</v>
      </c>
      <c r="E331" s="14" t="s">
        <v>66</v>
      </c>
      <c r="F331" s="9" t="n">
        <v>2002769</v>
      </c>
      <c r="G331" s="9" t="n">
        <v>97946</v>
      </c>
      <c r="H331" s="9" t="n">
        <v>36095</v>
      </c>
      <c r="I331" s="9" t="n">
        <v>51729</v>
      </c>
      <c r="J331" s="9" t="n">
        <v>967</v>
      </c>
      <c r="K331" s="9" t="n">
        <v>383</v>
      </c>
      <c r="L331" s="9" t="n">
        <v>111</v>
      </c>
      <c r="M331" s="10" t="n">
        <f aca="false">IFERROR(G331/F331,"")</f>
        <v>0.0489052906251295</v>
      </c>
      <c r="N331" s="10" t="n">
        <f aca="false">IFERROR(H331/G331,"")</f>
        <v>0.368519388234333</v>
      </c>
      <c r="O331" s="11" t="n">
        <f aca="false">IFERROR(I331/H331,"")</f>
        <v>1.43313478321097</v>
      </c>
      <c r="P331" s="10" t="n">
        <f aca="false">IFERROR(J331/H331,"")</f>
        <v>0.0267904141847901</v>
      </c>
      <c r="Q331" s="10" t="n">
        <f aca="false">IFERROR(K331/H331,"")</f>
        <v>0.010610887934617</v>
      </c>
      <c r="R331" s="10" t="n">
        <f aca="false">IFERROR(L331/H331,"")</f>
        <v>0.00307521817426236</v>
      </c>
      <c r="S331" s="11" t="n">
        <f aca="false">IFERROR(M331/MEDIAN(INDEX($M$5:$M$627,MATCH($A331-90,$A$5:$A$627,1)):INDEX($M$5:$M$627,MATCH($A331+90,$A$5:$A$627,1))),"")</f>
        <v>0.760192823329625</v>
      </c>
      <c r="T331" s="11" t="n">
        <f aca="false">IFERROR(N331/MEDIAN(INDEX($N$5:$N$627,MATCH($A331-90,$A$5:$A$627,1)):INDEX($N$5:$N$627,MATCH($A331+90,$A$5:$A$627,1))),"")</f>
        <v>0.702969926775128</v>
      </c>
      <c r="U331" s="11" t="n">
        <f aca="false">IFERROR(Q331/MEDIAN(INDEX($Q$5:$Q$627,MATCH($A331-90,$A$5:$A$627,1)):INDEX($Q$5:$Q$627,MATCH($A331+90,$A$5:$A$627,1))),"")</f>
        <v>1.06555495815734</v>
      </c>
    </row>
    <row r="332" customFormat="false" ht="15" hidden="false" customHeight="false" outlineLevel="0" collapsed="false">
      <c r="A332" s="13" t="n">
        <v>45847.198828912</v>
      </c>
      <c r="B332" s="8" t="n">
        <v>4</v>
      </c>
      <c r="C332" s="8" t="s">
        <v>71</v>
      </c>
      <c r="D332" s="8" t="s">
        <v>397</v>
      </c>
      <c r="E332" s="14" t="s">
        <v>66</v>
      </c>
      <c r="F332" s="9" t="n">
        <v>494175</v>
      </c>
      <c r="G332" s="9" t="n">
        <v>24735</v>
      </c>
      <c r="H332" s="9" t="n">
        <v>11250</v>
      </c>
      <c r="I332" s="9" t="n">
        <v>14095</v>
      </c>
      <c r="J332" s="9" t="n">
        <v>516</v>
      </c>
      <c r="K332" s="9" t="n">
        <v>236</v>
      </c>
      <c r="L332" s="9" t="n">
        <v>37</v>
      </c>
      <c r="M332" s="10" t="n">
        <f aca="false">IFERROR(G332/F332,"")</f>
        <v>0.050053118834421</v>
      </c>
      <c r="N332" s="10" t="n">
        <f aca="false">IFERROR(H332/G332,"")</f>
        <v>0.454821103699212</v>
      </c>
      <c r="O332" s="11" t="n">
        <f aca="false">IFERROR(I332/H332,"")</f>
        <v>1.25288888888889</v>
      </c>
      <c r="P332" s="10" t="n">
        <f aca="false">IFERROR(J332/H332,"")</f>
        <v>0.0458666666666667</v>
      </c>
      <c r="Q332" s="10" t="n">
        <f aca="false">IFERROR(K332/H332,"")</f>
        <v>0.0209777777777778</v>
      </c>
      <c r="R332" s="10" t="n">
        <f aca="false">IFERROR(L332/H332,"")</f>
        <v>0.00328888888888889</v>
      </c>
      <c r="S332" s="11" t="n">
        <f aca="false">IFERROR(M332/MEDIAN(INDEX($M$5:$M$627,MATCH($A332-90,$A$5:$A$627,1)):INDEX($M$5:$M$627,MATCH($A332+90,$A$5:$A$627,1))),"")</f>
        <v>0.808397023815427</v>
      </c>
      <c r="T332" s="11" t="n">
        <f aca="false">IFERROR(N332/MEDIAN(INDEX($N$5:$N$627,MATCH($A332-90,$A$5:$A$627,1)):INDEX($N$5:$N$627,MATCH($A332+90,$A$5:$A$627,1))),"")</f>
        <v>0.849242863794143</v>
      </c>
      <c r="U332" s="11" t="n">
        <f aca="false">IFERROR(Q332/MEDIAN(INDEX($Q$5:$Q$627,MATCH($A332-90,$A$5:$A$627,1)):INDEX($Q$5:$Q$627,MATCH($A332+90,$A$5:$A$627,1))),"")</f>
        <v>2.10512</v>
      </c>
    </row>
    <row r="333" customFormat="false" ht="15" hidden="false" customHeight="false" outlineLevel="0" collapsed="false">
      <c r="A333" s="13" t="n">
        <v>45849.1990848032</v>
      </c>
      <c r="B333" s="8" t="n">
        <v>4</v>
      </c>
      <c r="C333" s="8" t="s">
        <v>84</v>
      </c>
      <c r="D333" s="8" t="s">
        <v>398</v>
      </c>
      <c r="E333" s="14" t="s">
        <v>66</v>
      </c>
      <c r="F333" s="9" t="n">
        <v>35014</v>
      </c>
      <c r="G333" s="9" t="n">
        <v>1369</v>
      </c>
      <c r="H333" s="9" t="n">
        <v>482</v>
      </c>
      <c r="I333" s="9" t="n">
        <v>526</v>
      </c>
      <c r="J333" s="9" t="n">
        <v>85</v>
      </c>
      <c r="K333" s="9" t="n">
        <v>32</v>
      </c>
      <c r="L333" s="9" t="n">
        <v>2</v>
      </c>
      <c r="M333" s="10" t="n">
        <f aca="false">IFERROR(G333/F333,"")</f>
        <v>0.0390986462557834</v>
      </c>
      <c r="N333" s="10" t="n">
        <f aca="false">IFERROR(H333/G333,"")</f>
        <v>0.352081811541271</v>
      </c>
      <c r="O333" s="11" t="n">
        <f aca="false">IFERROR(I333/H333,"")</f>
        <v>1.09128630705394</v>
      </c>
      <c r="P333" s="10" t="n">
        <f aca="false">IFERROR(J333/H333,"")</f>
        <v>0.176348547717842</v>
      </c>
      <c r="Q333" s="10" t="n">
        <f aca="false">IFERROR(K333/H333,"")</f>
        <v>0.0663900414937759</v>
      </c>
      <c r="R333" s="10" t="n">
        <f aca="false">IFERROR(L333/H333,"")</f>
        <v>0.004149377593361</v>
      </c>
      <c r="S333" s="11" t="n">
        <f aca="false">IFERROR(M333/MEDIAN(INDEX($M$5:$M$627,MATCH($A333-90,$A$5:$A$627,1)):INDEX($M$5:$M$627,MATCH($A333+90,$A$5:$A$627,1))),"")</f>
        <v>0.636010370009091</v>
      </c>
      <c r="T333" s="11" t="n">
        <f aca="false">IFERROR(N333/MEDIAN(INDEX($N$5:$N$627,MATCH($A333-90,$A$5:$A$627,1)):INDEX($N$5:$N$627,MATCH($A333+90,$A$5:$A$627,1))),"")</f>
        <v>0.657056389320804</v>
      </c>
      <c r="U333" s="11" t="n">
        <f aca="false">IFERROR(Q333/MEDIAN(INDEX($Q$5:$Q$627,MATCH($A333-90,$A$5:$A$627,1)):INDEX($Q$5:$Q$627,MATCH($A333+90,$A$5:$A$627,1))),"")</f>
        <v>6.67194548547753</v>
      </c>
    </row>
    <row r="334" customFormat="false" ht="15" hidden="false" customHeight="false" outlineLevel="0" collapsed="false">
      <c r="A334" s="13" t="n">
        <v>45850.2412541319</v>
      </c>
      <c r="B334" s="8" t="n">
        <v>5</v>
      </c>
      <c r="C334" s="8" t="s">
        <v>68</v>
      </c>
      <c r="D334" s="8" t="s">
        <v>399</v>
      </c>
      <c r="E334" s="14" t="s">
        <v>66</v>
      </c>
      <c r="F334" s="9" t="n">
        <v>570419</v>
      </c>
      <c r="G334" s="9" t="n">
        <v>115496</v>
      </c>
      <c r="H334" s="9" t="n">
        <v>57210</v>
      </c>
      <c r="I334" s="9" t="n">
        <v>34732</v>
      </c>
      <c r="J334" s="9" t="n">
        <v>2292</v>
      </c>
      <c r="K334" s="9" t="n">
        <v>327</v>
      </c>
      <c r="L334" s="9" t="n">
        <v>163</v>
      </c>
      <c r="M334" s="10" t="n">
        <f aca="false">IFERROR(G334/F334,"")</f>
        <v>0.202475723985351</v>
      </c>
      <c r="N334" s="10" t="n">
        <f aca="false">IFERROR(H334/G334,"")</f>
        <v>0.495341830020087</v>
      </c>
      <c r="O334" s="11" t="n">
        <f aca="false">IFERROR(I334/H334,"")</f>
        <v>0.607096661422828</v>
      </c>
      <c r="P334" s="10" t="n">
        <f aca="false">IFERROR(J334/H334,"")</f>
        <v>0.0400629260618773</v>
      </c>
      <c r="Q334" s="10" t="n">
        <f aca="false">IFERROR(K334/H334,"")</f>
        <v>0.00571578395385422</v>
      </c>
      <c r="R334" s="10" t="n">
        <f aca="false">IFERROR(L334/H334,"")</f>
        <v>0.00284915224611082</v>
      </c>
      <c r="S334" s="11" t="n">
        <f aca="false">IFERROR(M334/MEDIAN(INDEX($M$5:$M$627,MATCH($A334-90,$A$5:$A$627,1)):INDEX($M$5:$M$627,MATCH($A334+90,$A$5:$A$627,1))),"")</f>
        <v>3.29363475367727</v>
      </c>
      <c r="T334" s="11" t="n">
        <f aca="false">IFERROR(N334/MEDIAN(INDEX($N$5:$N$627,MATCH($A334-90,$A$5:$A$627,1)):INDEX($N$5:$N$627,MATCH($A334+90,$A$5:$A$627,1))),"")</f>
        <v>0.934789966249406</v>
      </c>
      <c r="U334" s="11" t="n">
        <f aca="false">IFERROR(Q334/MEDIAN(INDEX($Q$5:$Q$627,MATCH($A334-90,$A$5:$A$627,1)):INDEX($Q$5:$Q$627,MATCH($A334+90,$A$5:$A$627,1))),"")</f>
        <v>0.574414446637419</v>
      </c>
    </row>
    <row r="335" customFormat="false" ht="15" hidden="false" customHeight="false" outlineLevel="0" collapsed="false">
      <c r="A335" s="13" t="n">
        <v>45852.2081977546</v>
      </c>
      <c r="B335" s="8" t="n">
        <v>4</v>
      </c>
      <c r="C335" s="8" t="s">
        <v>80</v>
      </c>
      <c r="D335" s="8" t="s">
        <v>400</v>
      </c>
      <c r="E335" s="14" t="s">
        <v>66</v>
      </c>
      <c r="F335" s="9" t="n">
        <v>81647</v>
      </c>
      <c r="G335" s="9" t="n">
        <v>3169</v>
      </c>
      <c r="H335" s="9" t="n">
        <v>1279</v>
      </c>
      <c r="I335" s="9" t="n">
        <v>1587</v>
      </c>
      <c r="J335" s="9" t="n">
        <v>138</v>
      </c>
      <c r="K335" s="9" t="n">
        <v>48</v>
      </c>
      <c r="L335" s="9" t="n">
        <v>1</v>
      </c>
      <c r="M335" s="10" t="n">
        <f aca="false">IFERROR(G335/F335,"")</f>
        <v>0.0388134285399341</v>
      </c>
      <c r="N335" s="10" t="n">
        <f aca="false">IFERROR(H335/G335,"")</f>
        <v>0.403597349321553</v>
      </c>
      <c r="O335" s="11" t="n">
        <f aca="false">IFERROR(I335/H335,"")</f>
        <v>1.24081313526192</v>
      </c>
      <c r="P335" s="10" t="n">
        <f aca="false">IFERROR(J335/H335,"")</f>
        <v>0.107896794370602</v>
      </c>
      <c r="Q335" s="10" t="n">
        <f aca="false">IFERROR(K335/H335,"")</f>
        <v>0.037529319781079</v>
      </c>
      <c r="R335" s="10" t="n">
        <f aca="false">IFERROR(L335/H335,"")</f>
        <v>0.000781860828772479</v>
      </c>
      <c r="S335" s="11" t="n">
        <f aca="false">IFERROR(M335/MEDIAN(INDEX($M$5:$M$627,MATCH($A335-90,$A$5:$A$627,1)):INDEX($M$5:$M$627,MATCH($A335+90,$A$5:$A$627,1))),"")</f>
        <v>0.603323064799741</v>
      </c>
      <c r="T335" s="11" t="n">
        <f aca="false">IFERROR(N335/MEDIAN(INDEX($N$5:$N$627,MATCH($A335-90,$A$5:$A$627,1)):INDEX($N$5:$N$627,MATCH($A335+90,$A$5:$A$627,1))),"")</f>
        <v>0.753597768374956</v>
      </c>
      <c r="U335" s="11" t="n">
        <f aca="false">IFERROR(Q335/MEDIAN(INDEX($Q$5:$Q$627,MATCH($A335-90,$A$5:$A$627,1)):INDEX($Q$5:$Q$627,MATCH($A335+90,$A$5:$A$627,1))),"")</f>
        <v>3.77438248873712</v>
      </c>
    </row>
    <row r="336" customFormat="false" ht="15" hidden="false" customHeight="false" outlineLevel="0" collapsed="false">
      <c r="A336" s="13" t="n">
        <v>45854.2327601157</v>
      </c>
      <c r="B336" s="8" t="n">
        <v>5</v>
      </c>
      <c r="C336" s="8" t="s">
        <v>71</v>
      </c>
      <c r="D336" s="8" t="s">
        <v>401</v>
      </c>
      <c r="E336" s="14" t="s">
        <v>66</v>
      </c>
      <c r="F336" s="9" t="n">
        <v>637798</v>
      </c>
      <c r="G336" s="9" t="n">
        <v>48106</v>
      </c>
      <c r="H336" s="9" t="n">
        <v>38315</v>
      </c>
      <c r="I336" s="9" t="n">
        <v>45490</v>
      </c>
      <c r="J336" s="9" t="n">
        <v>1937</v>
      </c>
      <c r="K336" s="9" t="n">
        <v>249</v>
      </c>
      <c r="L336" s="9" t="n">
        <v>331</v>
      </c>
      <c r="M336" s="10" t="n">
        <f aca="false">IFERROR(G336/F336,"")</f>
        <v>0.075425134603746</v>
      </c>
      <c r="N336" s="10" t="n">
        <f aca="false">IFERROR(H336/G336,"")</f>
        <v>0.796470294765726</v>
      </c>
      <c r="O336" s="11" t="n">
        <f aca="false">IFERROR(I336/H336,"")</f>
        <v>1.18726347383531</v>
      </c>
      <c r="P336" s="10" t="n">
        <f aca="false">IFERROR(J336/H336,"")</f>
        <v>0.0505546130758189</v>
      </c>
      <c r="Q336" s="10" t="n">
        <f aca="false">IFERROR(K336/H336,"")</f>
        <v>0.00649876027665405</v>
      </c>
      <c r="R336" s="10" t="n">
        <f aca="false">IFERROR(L336/H336,"")</f>
        <v>0.00863891426334334</v>
      </c>
      <c r="S336" s="11" t="n">
        <f aca="false">IFERROR(M336/MEDIAN(INDEX($M$5:$M$627,MATCH($A336-90,$A$5:$A$627,1)):INDEX($M$5:$M$627,MATCH($A336+90,$A$5:$A$627,1))),"")</f>
        <v>1.1724221508864</v>
      </c>
      <c r="T336" s="11" t="n">
        <f aca="false">IFERROR(N336/MEDIAN(INDEX($N$5:$N$627,MATCH($A336-90,$A$5:$A$627,1)):INDEX($N$5:$N$627,MATCH($A336+90,$A$5:$A$627,1))),"")</f>
        <v>1.48558160798736</v>
      </c>
      <c r="U336" s="11" t="n">
        <f aca="false">IFERROR(Q336/MEDIAN(INDEX($Q$5:$Q$627,MATCH($A336-90,$A$5:$A$627,1)):INDEX($Q$5:$Q$627,MATCH($A336+90,$A$5:$A$627,1))),"")</f>
        <v>0.653590502833203</v>
      </c>
    </row>
    <row r="337" customFormat="false" ht="15" hidden="false" customHeight="false" outlineLevel="0" collapsed="false">
      <c r="A337" s="13" t="n">
        <v>45855.249905544</v>
      </c>
      <c r="B337" s="8" t="n">
        <v>5</v>
      </c>
      <c r="C337" s="8" t="s">
        <v>73</v>
      </c>
      <c r="D337" s="8" t="s">
        <v>402</v>
      </c>
      <c r="E337" s="14" t="s">
        <v>66</v>
      </c>
      <c r="F337" s="9" t="n">
        <v>1206937</v>
      </c>
      <c r="G337" s="9" t="n">
        <v>45892</v>
      </c>
      <c r="H337" s="9" t="n">
        <v>22861</v>
      </c>
      <c r="I337" s="9" t="n">
        <v>23524</v>
      </c>
      <c r="J337" s="9" t="n">
        <v>494</v>
      </c>
      <c r="K337" s="9" t="n">
        <v>334</v>
      </c>
      <c r="L337" s="9" t="n">
        <v>46</v>
      </c>
      <c r="M337" s="10" t="n">
        <f aca="false">IFERROR(G337/F337,"")</f>
        <v>0.0380235256686969</v>
      </c>
      <c r="N337" s="10" t="n">
        <f aca="false">IFERROR(H337/G337,"")</f>
        <v>0.498147825329033</v>
      </c>
      <c r="O337" s="11" t="n">
        <f aca="false">IFERROR(I337/H337,"")</f>
        <v>1.02900135602117</v>
      </c>
      <c r="P337" s="10" t="n">
        <f aca="false">IFERROR(J337/H337,"")</f>
        <v>0.0216088535059709</v>
      </c>
      <c r="Q337" s="10" t="n">
        <f aca="false">IFERROR(K337/H337,"")</f>
        <v>0.0146100345566686</v>
      </c>
      <c r="R337" s="10" t="n">
        <f aca="false">IFERROR(L337/H337,"")</f>
        <v>0.00201216044792441</v>
      </c>
      <c r="S337" s="11" t="n">
        <f aca="false">IFERROR(M337/MEDIAN(INDEX($M$5:$M$627,MATCH($A337-90,$A$5:$A$627,1)):INDEX($M$5:$M$627,MATCH($A337+90,$A$5:$A$627,1))),"")</f>
        <v>0.614109683898574</v>
      </c>
      <c r="T337" s="11" t="n">
        <f aca="false">IFERROR(N337/MEDIAN(INDEX($N$5:$N$627,MATCH($A337-90,$A$5:$A$627,1)):INDEX($N$5:$N$627,MATCH($A337+90,$A$5:$A$627,1))),"")</f>
        <v>0.929148584989463</v>
      </c>
      <c r="U337" s="11" t="n">
        <f aca="false">IFERROR(Q337/MEDIAN(INDEX($Q$5:$Q$627,MATCH($A337-90,$A$5:$A$627,1)):INDEX($Q$5:$Q$627,MATCH($A337+90,$A$5:$A$627,1))),"")</f>
        <v>1.48813637698638</v>
      </c>
    </row>
    <row r="338" customFormat="false" ht="15" hidden="false" customHeight="false" outlineLevel="0" collapsed="false">
      <c r="A338" s="13" t="n">
        <v>45856.214644919</v>
      </c>
      <c r="B338" s="8" t="n">
        <v>5</v>
      </c>
      <c r="C338" s="8" t="s">
        <v>84</v>
      </c>
      <c r="D338" s="8" t="s">
        <v>403</v>
      </c>
      <c r="E338" s="14" t="s">
        <v>66</v>
      </c>
      <c r="F338" s="9" t="n">
        <v>95022</v>
      </c>
      <c r="G338" s="9" t="n">
        <v>14034</v>
      </c>
      <c r="H338" s="9" t="n">
        <v>7209</v>
      </c>
      <c r="I338" s="9" t="n">
        <v>5817</v>
      </c>
      <c r="J338" s="9" t="n">
        <v>545</v>
      </c>
      <c r="K338" s="9" t="n">
        <v>61</v>
      </c>
      <c r="L338" s="9" t="n">
        <v>34</v>
      </c>
      <c r="M338" s="10" t="n">
        <f aca="false">IFERROR(G338/F338,"")</f>
        <v>0.147692113405317</v>
      </c>
      <c r="N338" s="10" t="n">
        <f aca="false">IFERROR(H338/G338,"")</f>
        <v>0.513681060282172</v>
      </c>
      <c r="O338" s="11" t="n">
        <f aca="false">IFERROR(I338/H338,"")</f>
        <v>0.806908031627133</v>
      </c>
      <c r="P338" s="10" t="n">
        <f aca="false">IFERROR(J338/H338,"")</f>
        <v>0.0755999445138022</v>
      </c>
      <c r="Q338" s="10" t="n">
        <f aca="false">IFERROR(K338/H338,"")</f>
        <v>0.00846164516576502</v>
      </c>
      <c r="R338" s="10" t="n">
        <f aca="false">IFERROR(L338/H338,"")</f>
        <v>0.00471632681370509</v>
      </c>
      <c r="S338" s="11" t="n">
        <f aca="false">IFERROR(M338/MEDIAN(INDEX($M$5:$M$627,MATCH($A338-90,$A$5:$A$627,1)):INDEX($M$5:$M$627,MATCH($A338+90,$A$5:$A$627,1))),"")</f>
        <v>2.40248000096539</v>
      </c>
      <c r="T338" s="11" t="n">
        <f aca="false">IFERROR(N338/MEDIAN(INDEX($N$5:$N$627,MATCH($A338-90,$A$5:$A$627,1)):INDEX($N$5:$N$627,MATCH($A338+90,$A$5:$A$627,1))),"")</f>
        <v>0.957830938609221</v>
      </c>
      <c r="U338" s="11" t="n">
        <f aca="false">IFERROR(Q338/MEDIAN(INDEX($Q$5:$Q$627,MATCH($A338-90,$A$5:$A$627,1)):INDEX($Q$5:$Q$627,MATCH($A338+90,$A$5:$A$627,1))),"")</f>
        <v>0.856405413884282</v>
      </c>
    </row>
    <row r="339" customFormat="false" ht="15" hidden="false" customHeight="false" outlineLevel="0" collapsed="false">
      <c r="A339" s="13" t="n">
        <v>45857.2162717708</v>
      </c>
      <c r="B339" s="8" t="n">
        <v>5</v>
      </c>
      <c r="C339" s="8" t="s">
        <v>68</v>
      </c>
      <c r="D339" s="8" t="s">
        <v>404</v>
      </c>
      <c r="E339" s="14" t="s">
        <v>66</v>
      </c>
      <c r="F339" s="9" t="n">
        <v>271756</v>
      </c>
      <c r="G339" s="9" t="n">
        <v>11920</v>
      </c>
      <c r="H339" s="9" t="n">
        <v>6634</v>
      </c>
      <c r="I339" s="9" t="n">
        <v>7298</v>
      </c>
      <c r="J339" s="9" t="n">
        <v>528</v>
      </c>
      <c r="K339" s="9" t="n">
        <v>183</v>
      </c>
      <c r="L339" s="9" t="n">
        <v>57</v>
      </c>
      <c r="M339" s="10" t="n">
        <f aca="false">IFERROR(G339/F339,"")</f>
        <v>0.0438628769925963</v>
      </c>
      <c r="N339" s="10" t="n">
        <f aca="false">IFERROR(H339/G339,"")</f>
        <v>0.556543624161074</v>
      </c>
      <c r="O339" s="11" t="n">
        <f aca="false">IFERROR(I339/H339,"")</f>
        <v>1.10009044317154</v>
      </c>
      <c r="P339" s="10" t="n">
        <f aca="false">IFERROR(J339/H339,"")</f>
        <v>0.0795899909556829</v>
      </c>
      <c r="Q339" s="10" t="n">
        <f aca="false">IFERROR(K339/H339,"")</f>
        <v>0.0275851673198674</v>
      </c>
      <c r="R339" s="10" t="n">
        <f aca="false">IFERROR(L339/H339,"")</f>
        <v>0.00859210129635213</v>
      </c>
      <c r="S339" s="11" t="n">
        <f aca="false">IFERROR(M339/MEDIAN(INDEX($M$5:$M$627,MATCH($A339-90,$A$5:$A$627,1)):INDEX($M$5:$M$627,MATCH($A339+90,$A$5:$A$627,1))),"")</f>
        <v>0.694861585122795</v>
      </c>
      <c r="T339" s="11" t="n">
        <f aca="false">IFERROR(N339/MEDIAN(INDEX($N$5:$N$627,MATCH($A339-90,$A$5:$A$627,1)):INDEX($N$5:$N$627,MATCH($A339+90,$A$5:$A$627,1))),"")</f>
        <v>1.037754246992</v>
      </c>
      <c r="U339" s="11" t="n">
        <f aca="false">IFERROR(Q339/MEDIAN(INDEX($Q$5:$Q$627,MATCH($A339-90,$A$5:$A$627,1)):INDEX($Q$5:$Q$627,MATCH($A339+90,$A$5:$A$627,1))),"")</f>
        <v>2.79190230420189</v>
      </c>
    </row>
    <row r="340" customFormat="false" ht="15" hidden="false" customHeight="false" outlineLevel="0" collapsed="false">
      <c r="A340" s="13" t="n">
        <v>45859.2556804398</v>
      </c>
      <c r="B340" s="8" t="n">
        <v>6</v>
      </c>
      <c r="C340" s="8" t="s">
        <v>80</v>
      </c>
      <c r="D340" s="8" t="s">
        <v>405</v>
      </c>
      <c r="E340" s="14" t="s">
        <v>66</v>
      </c>
      <c r="F340" s="9" t="n">
        <v>58437</v>
      </c>
      <c r="G340" s="9" t="n">
        <v>2079</v>
      </c>
      <c r="H340" s="9" t="n">
        <v>1199</v>
      </c>
      <c r="I340" s="9" t="n">
        <v>1813</v>
      </c>
      <c r="J340" s="9" t="n">
        <v>174</v>
      </c>
      <c r="K340" s="9" t="n">
        <v>72</v>
      </c>
      <c r="L340" s="9" t="n">
        <v>2</v>
      </c>
      <c r="M340" s="10" t="n">
        <f aca="false">IFERROR(G340/F340,"")</f>
        <v>0.0355767749884491</v>
      </c>
      <c r="N340" s="10" t="n">
        <f aca="false">IFERROR(H340/G340,"")</f>
        <v>0.576719576719577</v>
      </c>
      <c r="O340" s="11" t="n">
        <f aca="false">IFERROR(I340/H340,"")</f>
        <v>1.51209341117598</v>
      </c>
      <c r="P340" s="10" t="n">
        <f aca="false">IFERROR(J340/H340,"")</f>
        <v>0.14512093411176</v>
      </c>
      <c r="Q340" s="10" t="n">
        <f aca="false">IFERROR(K340/H340,"")</f>
        <v>0.0600500417014178</v>
      </c>
      <c r="R340" s="10" t="n">
        <f aca="false">IFERROR(L340/H340,"")</f>
        <v>0.00166805671392827</v>
      </c>
      <c r="S340" s="11" t="n">
        <f aca="false">IFERROR(M340/MEDIAN(INDEX($M$5:$M$627,MATCH($A340-90,$A$5:$A$627,1)):INDEX($M$5:$M$627,MATCH($A340+90,$A$5:$A$627,1))),"")</f>
        <v>0.582908492636171</v>
      </c>
      <c r="T340" s="11" t="n">
        <f aca="false">IFERROR(N340/MEDIAN(INDEX($N$5:$N$627,MATCH($A340-90,$A$5:$A$627,1)):INDEX($N$5:$N$627,MATCH($A340+90,$A$5:$A$627,1))),"")</f>
        <v>1.07504939169084</v>
      </c>
      <c r="U340" s="11" t="n">
        <f aca="false">IFERROR(Q340/MEDIAN(INDEX($Q$5:$Q$627,MATCH($A340-90,$A$5:$A$627,1)):INDEX($Q$5:$Q$627,MATCH($A340+90,$A$5:$A$627,1))),"")</f>
        <v>6.03027947017995</v>
      </c>
    </row>
    <row r="341" customFormat="false" ht="15" hidden="false" customHeight="false" outlineLevel="0" collapsed="false">
      <c r="A341" s="13" t="n">
        <v>45861.2507277778</v>
      </c>
      <c r="B341" s="8" t="n">
        <v>6</v>
      </c>
      <c r="C341" s="8" t="s">
        <v>71</v>
      </c>
      <c r="D341" s="8" t="s">
        <v>406</v>
      </c>
      <c r="E341" s="14" t="s">
        <v>66</v>
      </c>
      <c r="F341" s="9" t="n">
        <v>1263599</v>
      </c>
      <c r="G341" s="9" t="n">
        <v>62212</v>
      </c>
      <c r="H341" s="9" t="n">
        <v>40034</v>
      </c>
      <c r="I341" s="9" t="n">
        <v>49109</v>
      </c>
      <c r="J341" s="9" t="n">
        <v>1157</v>
      </c>
      <c r="K341" s="9" t="n">
        <v>251</v>
      </c>
      <c r="L341" s="9" t="n">
        <v>131</v>
      </c>
      <c r="M341" s="10" t="n">
        <f aca="false">IFERROR(G341/F341,"")</f>
        <v>0.0492339737527491</v>
      </c>
      <c r="N341" s="10" t="n">
        <f aca="false">IFERROR(H341/G341,"")</f>
        <v>0.643509290812062</v>
      </c>
      <c r="O341" s="11" t="n">
        <f aca="false">IFERROR(I341/H341,"")</f>
        <v>1.22668232002798</v>
      </c>
      <c r="P341" s="10" t="n">
        <f aca="false">IFERROR(J341/H341,"")</f>
        <v>0.028900434630564</v>
      </c>
      <c r="Q341" s="10" t="n">
        <f aca="false">IFERROR(K341/H341,"")</f>
        <v>0.00626967077983714</v>
      </c>
      <c r="R341" s="10" t="n">
        <f aca="false">IFERROR(L341/H341,"")</f>
        <v>0.00327221861417795</v>
      </c>
      <c r="S341" s="11" t="n">
        <f aca="false">IFERROR(M341/MEDIAN(INDEX($M$5:$M$627,MATCH($A341-90,$A$5:$A$627,1)):INDEX($M$5:$M$627,MATCH($A341+90,$A$5:$A$627,1))),"")</f>
        <v>0.808613819557003</v>
      </c>
      <c r="T341" s="11" t="n">
        <f aca="false">IFERROR(N341/MEDIAN(INDEX($N$5:$N$627,MATCH($A341-90,$A$5:$A$627,1)):INDEX($N$5:$N$627,MATCH($A341+90,$A$5:$A$627,1))),"")</f>
        <v>1.19900421565856</v>
      </c>
      <c r="U341" s="11" t="n">
        <f aca="false">IFERROR(Q341/MEDIAN(INDEX($Q$5:$Q$627,MATCH($A341-90,$A$5:$A$627,1)):INDEX($Q$5:$Q$627,MATCH($A341+90,$A$5:$A$627,1))),"")</f>
        <v>0.629606007210255</v>
      </c>
    </row>
    <row r="342" customFormat="false" ht="15" hidden="false" customHeight="false" outlineLevel="0" collapsed="false">
      <c r="A342" s="13" t="n">
        <v>45863.2815542477</v>
      </c>
      <c r="B342" s="8" t="n">
        <v>6</v>
      </c>
      <c r="C342" s="8" t="s">
        <v>84</v>
      </c>
      <c r="D342" s="8" t="s">
        <v>407</v>
      </c>
      <c r="E342" s="14" t="s">
        <v>66</v>
      </c>
      <c r="F342" s="9" t="n">
        <v>1342178</v>
      </c>
      <c r="G342" s="9" t="n">
        <v>58496</v>
      </c>
      <c r="H342" s="9" t="n">
        <v>32517</v>
      </c>
      <c r="I342" s="9" t="n">
        <v>34523</v>
      </c>
      <c r="J342" s="9" t="n">
        <v>944</v>
      </c>
      <c r="K342" s="9" t="n">
        <v>331</v>
      </c>
      <c r="L342" s="9" t="n">
        <v>83</v>
      </c>
      <c r="M342" s="10" t="n">
        <f aca="false">IFERROR(G342/F342,"")</f>
        <v>0.04358289288008</v>
      </c>
      <c r="N342" s="10" t="n">
        <f aca="false">IFERROR(H342/G342,"")</f>
        <v>0.555884163019694</v>
      </c>
      <c r="O342" s="11" t="n">
        <f aca="false">IFERROR(I342/H342,"")</f>
        <v>1.06169080788511</v>
      </c>
      <c r="P342" s="10" t="n">
        <f aca="false">IFERROR(J342/H342,"")</f>
        <v>0.0290309684165206</v>
      </c>
      <c r="Q342" s="10" t="n">
        <f aca="false">IFERROR(K342/H342,"")</f>
        <v>0.0101792908324876</v>
      </c>
      <c r="R342" s="10" t="n">
        <f aca="false">IFERROR(L342/H342,"")</f>
        <v>0.00255251099424916</v>
      </c>
      <c r="S342" s="11" t="n">
        <f aca="false">IFERROR(M342/MEDIAN(INDEX($M$5:$M$627,MATCH($A342-90,$A$5:$A$627,1)):INDEX($M$5:$M$627,MATCH($A342+90,$A$5:$A$627,1))),"")</f>
        <v>0.71494194698779</v>
      </c>
      <c r="T342" s="11" t="n">
        <f aca="false">IFERROR(N342/MEDIAN(INDEX($N$5:$N$627,MATCH($A342-90,$A$5:$A$627,1)):INDEX($N$5:$N$627,MATCH($A342+90,$A$5:$A$627,1))),"")</f>
        <v>1.03398726511231</v>
      </c>
      <c r="U342" s="11" t="n">
        <f aca="false">IFERROR(Q342/MEDIAN(INDEX($Q$5:$Q$627,MATCH($A342-90,$A$5:$A$627,1)):INDEX($Q$5:$Q$627,MATCH($A342+90,$A$5:$A$627,1))),"")</f>
        <v>1.03024880004607</v>
      </c>
    </row>
    <row r="343" customFormat="false" ht="15" hidden="false" customHeight="false" outlineLevel="0" collapsed="false">
      <c r="A343" s="13" t="n">
        <v>45864.2546278125</v>
      </c>
      <c r="B343" s="8" t="n">
        <v>6</v>
      </c>
      <c r="C343" s="8" t="s">
        <v>68</v>
      </c>
      <c r="D343" s="8" t="s">
        <v>408</v>
      </c>
      <c r="E343" s="14" t="s">
        <v>66</v>
      </c>
      <c r="F343" s="9" t="n">
        <v>1986062</v>
      </c>
      <c r="G343" s="9" t="n">
        <v>102843</v>
      </c>
      <c r="H343" s="9" t="n">
        <v>45565</v>
      </c>
      <c r="I343" s="9" t="n">
        <v>58750</v>
      </c>
      <c r="J343" s="9" t="n">
        <v>1936</v>
      </c>
      <c r="K343" s="9" t="n">
        <v>191</v>
      </c>
      <c r="L343" s="9" t="n">
        <v>309</v>
      </c>
      <c r="M343" s="10" t="n">
        <f aca="false">IFERROR(G343/F343,"")</f>
        <v>0.0517823713459096</v>
      </c>
      <c r="N343" s="10" t="n">
        <f aca="false">IFERROR(H343/G343,"")</f>
        <v>0.443053975477184</v>
      </c>
      <c r="O343" s="11" t="n">
        <f aca="false">IFERROR(I343/H343,"")</f>
        <v>1.28936683858225</v>
      </c>
      <c r="P343" s="10" t="n">
        <f aca="false">IFERROR(J343/H343,"")</f>
        <v>0.0424887523318336</v>
      </c>
      <c r="Q343" s="10" t="n">
        <f aca="false">IFERROR(K343/H343,"")</f>
        <v>0.00419181389224185</v>
      </c>
      <c r="R343" s="10" t="n">
        <f aca="false">IFERROR(L343/H343,"")</f>
        <v>0.00678152090420279</v>
      </c>
      <c r="S343" s="11" t="n">
        <f aca="false">IFERROR(M343/MEDIAN(INDEX($M$5:$M$627,MATCH($A343-90,$A$5:$A$627,1)):INDEX($M$5:$M$627,MATCH($A343+90,$A$5:$A$627,1))),"")</f>
        <v>0.849447729216947</v>
      </c>
      <c r="T343" s="11" t="n">
        <f aca="false">IFERROR(N343/MEDIAN(INDEX($N$5:$N$627,MATCH($A343-90,$A$5:$A$627,1)):INDEX($N$5:$N$627,MATCH($A343+90,$A$5:$A$627,1))),"")</f>
        <v>0.824114444837243</v>
      </c>
      <c r="U343" s="11" t="n">
        <f aca="false">IFERROR(Q343/MEDIAN(INDEX($Q$5:$Q$627,MATCH($A343-90,$A$5:$A$627,1)):INDEX($Q$5:$Q$627,MATCH($A343+90,$A$5:$A$627,1))),"")</f>
        <v>0.424254626728572</v>
      </c>
    </row>
    <row r="344" customFormat="false" ht="15" hidden="false" customHeight="false" outlineLevel="0" collapsed="false">
      <c r="A344" s="13" t="n">
        <v>45866.506981412</v>
      </c>
      <c r="B344" s="8" t="n">
        <v>12</v>
      </c>
      <c r="C344" s="8" t="s">
        <v>80</v>
      </c>
      <c r="D344" s="8" t="s">
        <v>409</v>
      </c>
      <c r="E344" s="14" t="s">
        <v>66</v>
      </c>
      <c r="F344" s="9" t="n">
        <v>1791486</v>
      </c>
      <c r="G344" s="9" t="n">
        <v>80330</v>
      </c>
      <c r="H344" s="9" t="n">
        <v>44269</v>
      </c>
      <c r="I344" s="9" t="n">
        <v>60768</v>
      </c>
      <c r="J344" s="9" t="n">
        <v>1052</v>
      </c>
      <c r="K344" s="9" t="n">
        <v>280</v>
      </c>
      <c r="L344" s="9" t="n">
        <v>101</v>
      </c>
      <c r="M344" s="10" t="n">
        <f aca="false">IFERROR(G344/F344,"")</f>
        <v>0.0448398703646023</v>
      </c>
      <c r="N344" s="10" t="n">
        <f aca="false">IFERROR(H344/G344,"")</f>
        <v>0.551089256815636</v>
      </c>
      <c r="O344" s="11" t="n">
        <f aca="false">IFERROR(I344/H344,"")</f>
        <v>1.37269872822969</v>
      </c>
      <c r="P344" s="10" t="n">
        <f aca="false">IFERROR(J344/H344,"")</f>
        <v>0.0237638076306219</v>
      </c>
      <c r="Q344" s="10" t="n">
        <f aca="false">IFERROR(K344/H344,"")</f>
        <v>0.00632496781043168</v>
      </c>
      <c r="R344" s="10" t="n">
        <f aca="false">IFERROR(L344/H344,"")</f>
        <v>0.00228150624590571</v>
      </c>
      <c r="S344" s="11" t="n">
        <f aca="false">IFERROR(M344/MEDIAN(INDEX($M$5:$M$627,MATCH($A344-90,$A$5:$A$627,1)):INDEX($M$5:$M$627,MATCH($A344+90,$A$5:$A$627,1))),"")</f>
        <v>0.736445508665394</v>
      </c>
      <c r="T344" s="11" t="n">
        <f aca="false">IFERROR(N344/MEDIAN(INDEX($N$5:$N$627,MATCH($A344-90,$A$5:$A$627,1)):INDEX($N$5:$N$627,MATCH($A344+90,$A$5:$A$627,1))),"")</f>
        <v>1.0267892540782</v>
      </c>
      <c r="U344" s="11" t="n">
        <f aca="false">IFERROR(Q344/MEDIAN(INDEX($Q$5:$Q$627,MATCH($A344-90,$A$5:$A$627,1)):INDEX($Q$5:$Q$627,MATCH($A344+90,$A$5:$A$627,1))),"")</f>
        <v>0.64424314983397</v>
      </c>
    </row>
    <row r="345" customFormat="false" ht="15" hidden="false" customHeight="false" outlineLevel="0" collapsed="false">
      <c r="A345" s="13" t="n">
        <v>45868.2091880324</v>
      </c>
      <c r="B345" s="8" t="n">
        <v>5</v>
      </c>
      <c r="C345" s="8" t="s">
        <v>71</v>
      </c>
      <c r="D345" s="8" t="s">
        <v>410</v>
      </c>
      <c r="E345" s="14" t="s">
        <v>66</v>
      </c>
      <c r="F345" s="9" t="n">
        <v>1046048</v>
      </c>
      <c r="G345" s="9" t="n">
        <v>33865</v>
      </c>
      <c r="H345" s="9" t="n">
        <v>18252</v>
      </c>
      <c r="I345" s="9" t="n">
        <v>21735</v>
      </c>
      <c r="J345" s="9" t="n">
        <v>865</v>
      </c>
      <c r="K345" s="9" t="n">
        <v>187</v>
      </c>
      <c r="L345" s="9" t="n">
        <v>67</v>
      </c>
      <c r="M345" s="10" t="n">
        <f aca="false">IFERROR(G345/F345,"")</f>
        <v>0.0323742313928233</v>
      </c>
      <c r="N345" s="10" t="n">
        <f aca="false">IFERROR(H345/G345,"")</f>
        <v>0.538963531669866</v>
      </c>
      <c r="O345" s="11" t="n">
        <f aca="false">IFERROR(I345/H345,"")</f>
        <v>1.19082840236686</v>
      </c>
      <c r="P345" s="10" t="n">
        <f aca="false">IFERROR(J345/H345,"")</f>
        <v>0.0473920666228359</v>
      </c>
      <c r="Q345" s="10" t="n">
        <f aca="false">IFERROR(K345/H345,"")</f>
        <v>0.0102454525531449</v>
      </c>
      <c r="R345" s="10" t="n">
        <f aca="false">IFERROR(L345/H345,"")</f>
        <v>0.00367083059390752</v>
      </c>
      <c r="S345" s="11" t="n">
        <f aca="false">IFERROR(M345/MEDIAN(INDEX($M$5:$M$627,MATCH($A345-90,$A$5:$A$627,1)):INDEX($M$5:$M$627,MATCH($A345+90,$A$5:$A$627,1))),"")</f>
        <v>0.531711111380916</v>
      </c>
      <c r="T345" s="11" t="n">
        <f aca="false">IFERROR(N345/MEDIAN(INDEX($N$5:$N$627,MATCH($A345-90,$A$5:$A$627,1)):INDEX($N$5:$N$627,MATCH($A345+90,$A$5:$A$627,1))),"")</f>
        <v>1.00421168083356</v>
      </c>
      <c r="U345" s="11" t="n">
        <f aca="false">IFERROR(Q345/MEDIAN(INDEX($Q$5:$Q$627,MATCH($A345-90,$A$5:$A$627,1)):INDEX($Q$5:$Q$627,MATCH($A345+90,$A$5:$A$627,1))),"")</f>
        <v>1.03040121513935</v>
      </c>
    </row>
    <row r="346" customFormat="false" ht="15" hidden="false" customHeight="false" outlineLevel="0" collapsed="false">
      <c r="A346" s="13" t="n">
        <v>45870.2257962847</v>
      </c>
      <c r="B346" s="8" t="n">
        <v>5</v>
      </c>
      <c r="C346" s="8" t="s">
        <v>84</v>
      </c>
      <c r="D346" s="8" t="s">
        <v>411</v>
      </c>
      <c r="E346" s="14" t="s">
        <v>66</v>
      </c>
      <c r="F346" s="9" t="n">
        <v>106416</v>
      </c>
      <c r="G346" s="9" t="n">
        <v>17135</v>
      </c>
      <c r="H346" s="9" t="n">
        <v>9236</v>
      </c>
      <c r="I346" s="9" t="n">
        <v>5637</v>
      </c>
      <c r="J346" s="9" t="n">
        <v>749</v>
      </c>
      <c r="K346" s="9" t="n">
        <v>83</v>
      </c>
      <c r="L346" s="9" t="n">
        <v>28</v>
      </c>
      <c r="M346" s="10" t="n">
        <f aca="false">IFERROR(G346/F346,"")</f>
        <v>0.161019019696286</v>
      </c>
      <c r="N346" s="10" t="n">
        <f aca="false">IFERROR(H346/G346,"")</f>
        <v>0.5390137146192</v>
      </c>
      <c r="O346" s="11" t="n">
        <f aca="false">IFERROR(I346/H346,"")</f>
        <v>0.610329146816804</v>
      </c>
      <c r="P346" s="10" t="n">
        <f aca="false">IFERROR(J346/H346,"")</f>
        <v>0.0810957124296232</v>
      </c>
      <c r="Q346" s="10" t="n">
        <f aca="false">IFERROR(K346/H346,"")</f>
        <v>0.00898657427457774</v>
      </c>
      <c r="R346" s="10" t="n">
        <f aca="false">IFERROR(L346/H346,"")</f>
        <v>0.00303161541792984</v>
      </c>
      <c r="S346" s="11" t="n">
        <f aca="false">IFERROR(M346/MEDIAN(INDEX($M$5:$M$627,MATCH($A346-90,$A$5:$A$627,1)):INDEX($M$5:$M$627,MATCH($A346+90,$A$5:$A$627,1))),"")</f>
        <v>2.66672602865337</v>
      </c>
      <c r="T346" s="11" t="n">
        <f aca="false">IFERROR(N346/MEDIAN(INDEX($N$5:$N$627,MATCH($A346-90,$A$5:$A$627,1)):INDEX($N$5:$N$627,MATCH($A346+90,$A$5:$A$627,1))),"")</f>
        <v>1.00429764614555</v>
      </c>
      <c r="U346" s="11" t="n">
        <f aca="false">IFERROR(Q346/MEDIAN(INDEX($Q$5:$Q$627,MATCH($A346-90,$A$5:$A$627,1)):INDEX($Q$5:$Q$627,MATCH($A346+90,$A$5:$A$627,1))),"")</f>
        <v>0.903116375771485</v>
      </c>
    </row>
    <row r="347" customFormat="false" ht="15" hidden="false" customHeight="false" outlineLevel="0" collapsed="false">
      <c r="A347" s="13" t="n">
        <v>45871.2110494792</v>
      </c>
      <c r="B347" s="8" t="n">
        <v>5</v>
      </c>
      <c r="C347" s="8" t="s">
        <v>68</v>
      </c>
      <c r="D347" s="8" t="s">
        <v>412</v>
      </c>
      <c r="E347" s="14" t="s">
        <v>66</v>
      </c>
      <c r="F347" s="9" t="n">
        <v>999414</v>
      </c>
      <c r="G347" s="9" t="n">
        <v>78718</v>
      </c>
      <c r="H347" s="9" t="n">
        <v>45437</v>
      </c>
      <c r="I347" s="9" t="n">
        <v>53042</v>
      </c>
      <c r="J347" s="9" t="n">
        <v>1573</v>
      </c>
      <c r="K347" s="9" t="n">
        <v>116</v>
      </c>
      <c r="L347" s="9" t="n">
        <v>319</v>
      </c>
      <c r="M347" s="10" t="n">
        <f aca="false">IFERROR(G347/F347,"")</f>
        <v>0.078764155795296</v>
      </c>
      <c r="N347" s="10" t="n">
        <f aca="false">IFERROR(H347/G347,"")</f>
        <v>0.577212327548972</v>
      </c>
      <c r="O347" s="11" t="n">
        <f aca="false">IFERROR(I347/H347,"")</f>
        <v>1.16737460659815</v>
      </c>
      <c r="P347" s="10" t="n">
        <f aca="false">IFERROR(J347/H347,"")</f>
        <v>0.0346193630741466</v>
      </c>
      <c r="Q347" s="10" t="n">
        <f aca="false">IFERROR(K347/H347,"")</f>
        <v>0.00255298545238462</v>
      </c>
      <c r="R347" s="10" t="n">
        <f aca="false">IFERROR(L347/H347,"")</f>
        <v>0.00702070999405771</v>
      </c>
      <c r="S347" s="11" t="n">
        <f aca="false">IFERROR(M347/MEDIAN(INDEX($M$5:$M$627,MATCH($A347-90,$A$5:$A$627,1)):INDEX($M$5:$M$627,MATCH($A347+90,$A$5:$A$627,1))),"")</f>
        <v>1.31963855815372</v>
      </c>
      <c r="T347" s="11" t="n">
        <f aca="false">IFERROR(N347/MEDIAN(INDEX($N$5:$N$627,MATCH($A347-90,$A$5:$A$627,1)):INDEX($N$5:$N$627,MATCH($A347+90,$A$5:$A$627,1))),"")</f>
        <v>1.07365929029054</v>
      </c>
      <c r="U347" s="11" t="n">
        <f aca="false">IFERROR(Q347/MEDIAN(INDEX($Q$5:$Q$627,MATCH($A347-90,$A$5:$A$627,1)):INDEX($Q$5:$Q$627,MATCH($A347+90,$A$5:$A$627,1))),"")</f>
        <v>0.258388353583523</v>
      </c>
    </row>
    <row r="348" customFormat="false" ht="15" hidden="false" customHeight="false" outlineLevel="0" collapsed="false">
      <c r="A348" s="13" t="n">
        <v>45873.4475517477</v>
      </c>
      <c r="B348" s="8" t="n">
        <v>10</v>
      </c>
      <c r="C348" s="8" t="s">
        <v>80</v>
      </c>
      <c r="D348" s="8" t="s">
        <v>413</v>
      </c>
      <c r="E348" s="14" t="s">
        <v>66</v>
      </c>
      <c r="F348" s="9" t="n">
        <v>983500</v>
      </c>
      <c r="G348" s="9" t="n">
        <v>27314</v>
      </c>
      <c r="H348" s="9" t="n">
        <v>11922</v>
      </c>
      <c r="I348" s="9" t="n">
        <v>13533</v>
      </c>
      <c r="J348" s="9" t="n">
        <v>508</v>
      </c>
      <c r="K348" s="9" t="n">
        <v>55</v>
      </c>
      <c r="L348" s="9" t="n">
        <v>64</v>
      </c>
      <c r="M348" s="10" t="n">
        <f aca="false">IFERROR(G348/F348,"")</f>
        <v>0.0277722419928826</v>
      </c>
      <c r="N348" s="10" t="n">
        <f aca="false">IFERROR(H348/G348,"")</f>
        <v>0.436479461082229</v>
      </c>
      <c r="O348" s="11" t="n">
        <f aca="false">IFERROR(I348/H348,"")</f>
        <v>1.13512833417212</v>
      </c>
      <c r="P348" s="10" t="n">
        <f aca="false">IFERROR(J348/H348,"")</f>
        <v>0.0426103002851871</v>
      </c>
      <c r="Q348" s="10" t="n">
        <f aca="false">IFERROR(K348/H348,"")</f>
        <v>0.00461331991276631</v>
      </c>
      <c r="R348" s="10" t="n">
        <f aca="false">IFERROR(L348/H348,"")</f>
        <v>0.00536822680758262</v>
      </c>
      <c r="S348" s="11" t="n">
        <f aca="false">IFERROR(M348/MEDIAN(INDEX($M$5:$M$627,MATCH($A348-90,$A$5:$A$627,1)):INDEX($M$5:$M$627,MATCH($A348+90,$A$5:$A$627,1))),"")</f>
        <v>0.456722071839946</v>
      </c>
      <c r="T348" s="11" t="n">
        <f aca="false">IFERROR(N348/MEDIAN(INDEX($N$5:$N$627,MATCH($A348-90,$A$5:$A$627,1)):INDEX($N$5:$N$627,MATCH($A348+90,$A$5:$A$627,1))),"")</f>
        <v>0.813248334498037</v>
      </c>
      <c r="U348" s="11" t="n">
        <f aca="false">IFERROR(Q348/MEDIAN(INDEX($Q$5:$Q$627,MATCH($A348-90,$A$5:$A$627,1)):INDEX($Q$5:$Q$627,MATCH($A348+90,$A$5:$A$627,1))),"")</f>
        <v>0.46989958540034</v>
      </c>
    </row>
    <row r="349" customFormat="false" ht="15" hidden="false" customHeight="false" outlineLevel="0" collapsed="false">
      <c r="A349" s="13" t="n">
        <v>45875.2363967477</v>
      </c>
      <c r="B349" s="8" t="n">
        <v>5</v>
      </c>
      <c r="C349" s="8" t="s">
        <v>71</v>
      </c>
      <c r="D349" s="8" t="s">
        <v>414</v>
      </c>
      <c r="E349" s="14" t="s">
        <v>66</v>
      </c>
      <c r="F349" s="9" t="n">
        <v>989917</v>
      </c>
      <c r="G349" s="9" t="n">
        <v>36667</v>
      </c>
      <c r="H349" s="9" t="n">
        <v>14796</v>
      </c>
      <c r="I349" s="9" t="n">
        <v>15808</v>
      </c>
      <c r="J349" s="9" t="n">
        <v>695</v>
      </c>
      <c r="K349" s="9" t="n">
        <v>128</v>
      </c>
      <c r="L349" s="9" t="n">
        <v>36</v>
      </c>
      <c r="M349" s="10" t="n">
        <f aca="false">IFERROR(G349/F349,"")</f>
        <v>0.0370404791512824</v>
      </c>
      <c r="N349" s="10" t="n">
        <f aca="false">IFERROR(H349/G349,"")</f>
        <v>0.40352360433087</v>
      </c>
      <c r="O349" s="11" t="n">
        <f aca="false">IFERROR(I349/H349,"")</f>
        <v>1.0683968640173</v>
      </c>
      <c r="P349" s="10" t="n">
        <f aca="false">IFERROR(J349/H349,"")</f>
        <v>0.0469721546363882</v>
      </c>
      <c r="Q349" s="10" t="n">
        <f aca="false">IFERROR(K349/H349,"")</f>
        <v>0.00865098675317653</v>
      </c>
      <c r="R349" s="10" t="n">
        <f aca="false">IFERROR(L349/H349,"")</f>
        <v>0.0024330900243309</v>
      </c>
      <c r="S349" s="11" t="n">
        <f aca="false">IFERROR(M349/MEDIAN(INDEX($M$5:$M$627,MATCH($A349-90,$A$5:$A$627,1)):INDEX($M$5:$M$627,MATCH($A349+90,$A$5:$A$627,1))),"")</f>
        <v>0.609140752275366</v>
      </c>
      <c r="T349" s="11" t="n">
        <f aca="false">IFERROR(N349/MEDIAN(INDEX($N$5:$N$627,MATCH($A349-90,$A$5:$A$627,1)):INDEX($N$5:$N$627,MATCH($A349+90,$A$5:$A$627,1))),"")</f>
        <v>0.751856281826009</v>
      </c>
      <c r="U349" s="11" t="n">
        <f aca="false">IFERROR(Q349/MEDIAN(INDEX($Q$5:$Q$627,MATCH($A349-90,$A$5:$A$627,1)):INDEX($Q$5:$Q$627,MATCH($A349+90,$A$5:$A$627,1))),"")</f>
        <v>0.881164793573553</v>
      </c>
    </row>
    <row r="350" customFormat="false" ht="15" hidden="false" customHeight="false" outlineLevel="0" collapsed="false">
      <c r="A350" s="13" t="n">
        <v>45877.2092676042</v>
      </c>
      <c r="B350" s="8" t="n">
        <v>5</v>
      </c>
      <c r="C350" s="8" t="s">
        <v>84</v>
      </c>
      <c r="D350" s="8" t="s">
        <v>415</v>
      </c>
      <c r="E350" s="14" t="s">
        <v>66</v>
      </c>
      <c r="F350" s="9" t="n">
        <v>597734</v>
      </c>
      <c r="G350" s="9" t="n">
        <v>92589</v>
      </c>
      <c r="H350" s="9" t="n">
        <v>45924</v>
      </c>
      <c r="I350" s="9" t="n">
        <v>35492</v>
      </c>
      <c r="J350" s="9" t="n">
        <v>2398</v>
      </c>
      <c r="K350" s="9" t="n">
        <v>282</v>
      </c>
      <c r="L350" s="9" t="n">
        <v>238</v>
      </c>
      <c r="M350" s="10" t="n">
        <f aca="false">IFERROR(G350/F350,"")</f>
        <v>0.154900005688149</v>
      </c>
      <c r="N350" s="10" t="n">
        <f aca="false">IFERROR(H350/G350,"")</f>
        <v>0.495998444739656</v>
      </c>
      <c r="O350" s="11" t="n">
        <f aca="false">IFERROR(I350/H350,"")</f>
        <v>0.772842086926226</v>
      </c>
      <c r="P350" s="10" t="n">
        <f aca="false">IFERROR(J350/H350,"")</f>
        <v>0.0522167058618587</v>
      </c>
      <c r="Q350" s="10" t="n">
        <f aca="false">IFERROR(K350/H350,"")</f>
        <v>0.00614058008884244</v>
      </c>
      <c r="R350" s="10" t="n">
        <f aca="false">IFERROR(L350/H350,"")</f>
        <v>0.00518247539412943</v>
      </c>
      <c r="S350" s="11" t="n">
        <f aca="false">IFERROR(M350/MEDIAN(INDEX($M$5:$M$627,MATCH($A350-90,$A$5:$A$627,1)):INDEX($M$5:$M$627,MATCH($A350+90,$A$5:$A$627,1))),"")</f>
        <v>2.56538561585013</v>
      </c>
      <c r="T350" s="11" t="n">
        <f aca="false">IFERROR(N350/MEDIAN(INDEX($N$5:$N$627,MATCH($A350-90,$A$5:$A$627,1)):INDEX($N$5:$N$627,MATCH($A350+90,$A$5:$A$627,1))),"")</f>
        <v>0.922595226657226</v>
      </c>
      <c r="U350" s="11" t="n">
        <f aca="false">IFERROR(Q350/MEDIAN(INDEX($Q$5:$Q$627,MATCH($A350-90,$A$5:$A$627,1)):INDEX($Q$5:$Q$627,MATCH($A350+90,$A$5:$A$627,1))),"")</f>
        <v>0.642436438897631</v>
      </c>
    </row>
    <row r="351" customFormat="false" ht="15" hidden="false" customHeight="false" outlineLevel="0" collapsed="false">
      <c r="A351" s="13" t="n">
        <v>45878.1946422685</v>
      </c>
      <c r="B351" s="8" t="n">
        <v>4</v>
      </c>
      <c r="C351" s="8" t="s">
        <v>68</v>
      </c>
      <c r="D351" s="8" t="s">
        <v>416</v>
      </c>
      <c r="E351" s="14" t="s">
        <v>66</v>
      </c>
      <c r="F351" s="9" t="n">
        <v>1650259</v>
      </c>
      <c r="G351" s="9" t="n">
        <v>65957</v>
      </c>
      <c r="H351" s="9" t="n">
        <v>37381</v>
      </c>
      <c r="I351" s="9" t="n">
        <v>39840</v>
      </c>
      <c r="J351" s="9" t="n">
        <v>859</v>
      </c>
      <c r="K351" s="9" t="n">
        <v>127</v>
      </c>
      <c r="L351" s="9" t="n">
        <v>140</v>
      </c>
      <c r="M351" s="10" t="n">
        <f aca="false">IFERROR(G351/F351,"")</f>
        <v>0.0399676656815688</v>
      </c>
      <c r="N351" s="10" t="n">
        <f aca="false">IFERROR(H351/G351,"")</f>
        <v>0.566748032809255</v>
      </c>
      <c r="O351" s="11" t="n">
        <f aca="false">IFERROR(I351/H351,"")</f>
        <v>1.06578208180627</v>
      </c>
      <c r="P351" s="10" t="n">
        <f aca="false">IFERROR(J351/H351,"")</f>
        <v>0.0229795885610337</v>
      </c>
      <c r="Q351" s="10" t="n">
        <f aca="false">IFERROR(K351/H351,"")</f>
        <v>0.00339744790134025</v>
      </c>
      <c r="R351" s="10" t="n">
        <f aca="false">IFERROR(L351/H351,"")</f>
        <v>0.00374521815895776</v>
      </c>
      <c r="S351" s="11" t="n">
        <f aca="false">IFERROR(M351/MEDIAN(INDEX($M$5:$M$627,MATCH($A351-90,$A$5:$A$627,1)):INDEX($M$5:$M$627,MATCH($A351+90,$A$5:$A$627,1))),"")</f>
        <v>0.669630394438195</v>
      </c>
      <c r="T351" s="11" t="n">
        <f aca="false">IFERROR(N351/MEDIAN(INDEX($N$5:$N$627,MATCH($A351-90,$A$5:$A$627,1)):INDEX($N$5:$N$627,MATCH($A351+90,$A$5:$A$627,1))),"")</f>
        <v>1.05419489785224</v>
      </c>
      <c r="U351" s="11" t="n">
        <f aca="false">IFERROR(Q351/MEDIAN(INDEX($Q$5:$Q$627,MATCH($A351-90,$A$5:$A$627,1)):INDEX($Q$5:$Q$627,MATCH($A351+90,$A$5:$A$627,1))),"")</f>
        <v>0.355445951277986</v>
      </c>
    </row>
    <row r="352" customFormat="false" ht="15" hidden="false" customHeight="false" outlineLevel="0" collapsed="false">
      <c r="A352" s="13" t="n">
        <v>45880.5147117361</v>
      </c>
      <c r="B352" s="8" t="n">
        <v>12</v>
      </c>
      <c r="C352" s="8" t="s">
        <v>80</v>
      </c>
      <c r="D352" s="8" t="s">
        <v>417</v>
      </c>
      <c r="E352" s="14" t="s">
        <v>66</v>
      </c>
      <c r="F352" s="9" t="n">
        <v>246890</v>
      </c>
      <c r="G352" s="9" t="n">
        <v>14802</v>
      </c>
      <c r="H352" s="9" t="n">
        <v>7463</v>
      </c>
      <c r="I352" s="9" t="n">
        <v>8659</v>
      </c>
      <c r="J352" s="9" t="n">
        <v>915</v>
      </c>
      <c r="K352" s="9" t="n">
        <v>85</v>
      </c>
      <c r="L352" s="9" t="n">
        <v>78</v>
      </c>
      <c r="M352" s="10" t="n">
        <f aca="false">IFERROR(G352/F352,"")</f>
        <v>0.0599538255903439</v>
      </c>
      <c r="N352" s="10" t="n">
        <f aca="false">IFERROR(H352/G352,"")</f>
        <v>0.504188623159033</v>
      </c>
      <c r="O352" s="11" t="n">
        <f aca="false">IFERROR(I352/H352,"")</f>
        <v>1.16025726919469</v>
      </c>
      <c r="P352" s="10" t="n">
        <f aca="false">IFERROR(J352/H352,"")</f>
        <v>0.122604850596275</v>
      </c>
      <c r="Q352" s="10" t="n">
        <f aca="false">IFERROR(K352/H352,"")</f>
        <v>0.0113895216400911</v>
      </c>
      <c r="R352" s="10" t="n">
        <f aca="false">IFERROR(L352/H352,"")</f>
        <v>0.0104515610344366</v>
      </c>
      <c r="S352" s="11" t="n">
        <f aca="false">IFERROR(M352/MEDIAN(INDEX($M$5:$M$627,MATCH($A352-90,$A$5:$A$627,1)):INDEX($M$5:$M$627,MATCH($A352+90,$A$5:$A$627,1))),"")</f>
        <v>1.00900956423269</v>
      </c>
      <c r="T352" s="11" t="n">
        <f aca="false">IFERROR(N352/MEDIAN(INDEX($N$5:$N$627,MATCH($A352-90,$A$5:$A$627,1)):INDEX($N$5:$N$627,MATCH($A352+90,$A$5:$A$627,1))),"")</f>
        <v>0.939404014659226</v>
      </c>
      <c r="U352" s="11" t="n">
        <f aca="false">IFERROR(Q352/MEDIAN(INDEX($Q$5:$Q$627,MATCH($A352-90,$A$5:$A$627,1)):INDEX($Q$5:$Q$627,MATCH($A352+90,$A$5:$A$627,1))),"")</f>
        <v>1.18457936174448</v>
      </c>
    </row>
    <row r="353" customFormat="false" ht="15" hidden="false" customHeight="false" outlineLevel="0" collapsed="false">
      <c r="A353" s="13" t="n">
        <v>45882.2095877662</v>
      </c>
      <c r="B353" s="8" t="n">
        <v>5</v>
      </c>
      <c r="C353" s="8" t="s">
        <v>71</v>
      </c>
      <c r="D353" s="8" t="s">
        <v>418</v>
      </c>
      <c r="E353" s="14" t="s">
        <v>66</v>
      </c>
      <c r="F353" s="9" t="n">
        <v>1531158</v>
      </c>
      <c r="G353" s="9" t="n">
        <v>109089</v>
      </c>
      <c r="H353" s="9" t="n">
        <v>85405</v>
      </c>
      <c r="I353" s="9" t="n">
        <v>87528</v>
      </c>
      <c r="J353" s="9" t="n">
        <v>3085</v>
      </c>
      <c r="K353" s="9" t="n">
        <v>230</v>
      </c>
      <c r="L353" s="9" t="n">
        <v>460</v>
      </c>
      <c r="M353" s="10" t="n">
        <f aca="false">IFERROR(G353/F353,"")</f>
        <v>0.0712460764989635</v>
      </c>
      <c r="N353" s="10" t="n">
        <f aca="false">IFERROR(H353/G353,"")</f>
        <v>0.782892867291844</v>
      </c>
      <c r="O353" s="11" t="n">
        <f aca="false">IFERROR(I353/H353,"")</f>
        <v>1.02485802938938</v>
      </c>
      <c r="P353" s="10" t="n">
        <f aca="false">IFERROR(J353/H353,"")</f>
        <v>0.0361220069082606</v>
      </c>
      <c r="Q353" s="10" t="n">
        <f aca="false">IFERROR(K353/H353,"")</f>
        <v>0.00269305075815233</v>
      </c>
      <c r="R353" s="10" t="n">
        <f aca="false">IFERROR(L353/H353,"")</f>
        <v>0.00538610151630467</v>
      </c>
      <c r="S353" s="11" t="n">
        <f aca="false">IFERROR(M353/MEDIAN(INDEX($M$5:$M$627,MATCH($A353-90,$A$5:$A$627,1)):INDEX($M$5:$M$627,MATCH($A353+90,$A$5:$A$627,1))),"")</f>
        <v>1.19905563812906</v>
      </c>
      <c r="T353" s="11" t="n">
        <f aca="false">IFERROR(N353/MEDIAN(INDEX($N$5:$N$627,MATCH($A353-90,$A$5:$A$627,1)):INDEX($N$5:$N$627,MATCH($A353+90,$A$5:$A$627,1))),"")</f>
        <v>1.45380434782609</v>
      </c>
      <c r="U353" s="11" t="n">
        <f aca="false">IFERROR(Q353/MEDIAN(INDEX($Q$5:$Q$627,MATCH($A353-90,$A$5:$A$627,1)):INDEX($Q$5:$Q$627,MATCH($A353+90,$A$5:$A$627,1))),"")</f>
        <v>0.280093620175259</v>
      </c>
    </row>
    <row r="354" customFormat="false" ht="15" hidden="false" customHeight="false" outlineLevel="0" collapsed="false">
      <c r="A354" s="13" t="n">
        <v>45884.2086274306</v>
      </c>
      <c r="B354" s="8" t="n">
        <v>5</v>
      </c>
      <c r="C354" s="8" t="s">
        <v>84</v>
      </c>
      <c r="D354" s="8" t="s">
        <v>419</v>
      </c>
      <c r="E354" s="14" t="s">
        <v>66</v>
      </c>
      <c r="F354" s="9" t="n">
        <v>252219</v>
      </c>
      <c r="G354" s="9" t="n">
        <v>7043</v>
      </c>
      <c r="H354" s="9" t="n">
        <v>3780</v>
      </c>
      <c r="I354" s="9" t="n">
        <v>2990</v>
      </c>
      <c r="J354" s="9" t="n">
        <v>264</v>
      </c>
      <c r="K354" s="9" t="n">
        <v>61</v>
      </c>
      <c r="L354" s="9" t="n">
        <v>27</v>
      </c>
      <c r="M354" s="10" t="n">
        <f aca="false">IFERROR(G354/F354,"")</f>
        <v>0.0279241452864376</v>
      </c>
      <c r="N354" s="10" t="n">
        <f aca="false">IFERROR(H354/G354,"")</f>
        <v>0.536703109470396</v>
      </c>
      <c r="O354" s="11" t="n">
        <f aca="false">IFERROR(I354/H354,"")</f>
        <v>0.791005291005291</v>
      </c>
      <c r="P354" s="10" t="n">
        <f aca="false">IFERROR(J354/H354,"")</f>
        <v>0.0698412698412698</v>
      </c>
      <c r="Q354" s="10" t="n">
        <f aca="false">IFERROR(K354/H354,"")</f>
        <v>0.0161375661375661</v>
      </c>
      <c r="R354" s="10" t="n">
        <f aca="false">IFERROR(L354/H354,"")</f>
        <v>0.00714285714285714</v>
      </c>
      <c r="S354" s="11" t="n">
        <f aca="false">IFERROR(M354/MEDIAN(INDEX($M$5:$M$627,MATCH($A354-90,$A$5:$A$627,1)):INDEX($M$5:$M$627,MATCH($A354+90,$A$5:$A$627,1))),"")</f>
        <v>0.482679886913769</v>
      </c>
      <c r="T354" s="11" t="n">
        <f aca="false">IFERROR(N354/MEDIAN(INDEX($N$5:$N$627,MATCH($A354-90,$A$5:$A$627,1)):INDEX($N$5:$N$627,MATCH($A354+90,$A$5:$A$627,1))),"")</f>
        <v>0.998309031370818</v>
      </c>
      <c r="U354" s="11" t="n">
        <f aca="false">IFERROR(Q354/MEDIAN(INDEX($Q$5:$Q$627,MATCH($A354-90,$A$5:$A$627,1)):INDEX($Q$5:$Q$627,MATCH($A354+90,$A$5:$A$627,1))),"")</f>
        <v>1.65022731485137</v>
      </c>
    </row>
    <row r="355" customFormat="false" ht="15" hidden="false" customHeight="false" outlineLevel="0" collapsed="false">
      <c r="A355" s="13" t="n">
        <v>45885.2306660532</v>
      </c>
      <c r="B355" s="8" t="n">
        <v>5</v>
      </c>
      <c r="C355" s="8" t="s">
        <v>68</v>
      </c>
      <c r="D355" s="8" t="s">
        <v>420</v>
      </c>
      <c r="E355" s="14" t="s">
        <v>66</v>
      </c>
      <c r="F355" s="9" t="n">
        <v>4897312</v>
      </c>
      <c r="G355" s="9" t="n">
        <v>741228</v>
      </c>
      <c r="H355" s="9" t="n">
        <v>512442</v>
      </c>
      <c r="I355" s="9" t="n">
        <v>444467</v>
      </c>
      <c r="J355" s="9" t="n">
        <v>13687</v>
      </c>
      <c r="K355" s="9" t="n">
        <v>2415</v>
      </c>
      <c r="L355" s="9" t="n">
        <v>1102</v>
      </c>
      <c r="M355" s="10" t="n">
        <f aca="false">IFERROR(G355/F355,"")</f>
        <v>0.151354048914997</v>
      </c>
      <c r="N355" s="10" t="n">
        <f aca="false">IFERROR(H355/G355,"")</f>
        <v>0.691341935274976</v>
      </c>
      <c r="O355" s="11" t="n">
        <f aca="false">IFERROR(I355/H355,"")</f>
        <v>0.867350841656226</v>
      </c>
      <c r="P355" s="10" t="n">
        <f aca="false">IFERROR(J355/H355,"")</f>
        <v>0.0267093641817025</v>
      </c>
      <c r="Q355" s="10" t="n">
        <f aca="false">IFERROR(K355/H355,"")</f>
        <v>0.00471272846487993</v>
      </c>
      <c r="R355" s="10" t="n">
        <f aca="false">IFERROR(L355/H355,"")</f>
        <v>0.00215048727465743</v>
      </c>
      <c r="S355" s="11" t="n">
        <f aca="false">IFERROR(M355/MEDIAN(INDEX($M$5:$M$627,MATCH($A355-90,$A$5:$A$627,1)):INDEX($M$5:$M$627,MATCH($A355+90,$A$5:$A$627,1))),"")</f>
        <v>2.57602578394856</v>
      </c>
      <c r="T355" s="11" t="n">
        <f aca="false">IFERROR(N355/MEDIAN(INDEX($N$5:$N$627,MATCH($A355-90,$A$5:$A$627,1)):INDEX($N$5:$N$627,MATCH($A355+90,$A$5:$A$627,1))),"")</f>
        <v>1.28326097291503</v>
      </c>
      <c r="U355" s="11" t="n">
        <f aca="false">IFERROR(Q355/MEDIAN(INDEX($Q$5:$Q$627,MATCH($A355-90,$A$5:$A$627,1)):INDEX($Q$5:$Q$627,MATCH($A355+90,$A$5:$A$627,1))),"")</f>
        <v>0.498340479498249</v>
      </c>
    </row>
    <row r="356" customFormat="false" ht="15" hidden="false" customHeight="false" outlineLevel="0" collapsed="false">
      <c r="A356" s="13" t="n">
        <v>45887.4684618056</v>
      </c>
      <c r="B356" s="8" t="n">
        <v>11</v>
      </c>
      <c r="C356" s="8" t="s">
        <v>80</v>
      </c>
      <c r="D356" s="8" t="s">
        <v>421</v>
      </c>
      <c r="E356" s="14" t="s">
        <v>66</v>
      </c>
      <c r="F356" s="9" t="n">
        <v>461444</v>
      </c>
      <c r="G356" s="9" t="n">
        <v>28571</v>
      </c>
      <c r="H356" s="9" t="n">
        <v>15865</v>
      </c>
      <c r="I356" s="9" t="n">
        <v>16141</v>
      </c>
      <c r="J356" s="9" t="n">
        <v>369</v>
      </c>
      <c r="K356" s="9" t="n">
        <v>238</v>
      </c>
      <c r="L356" s="9" t="n">
        <v>65</v>
      </c>
      <c r="M356" s="10" t="n">
        <f aca="false">IFERROR(G356/F356,"")</f>
        <v>0.0619165055781417</v>
      </c>
      <c r="N356" s="10" t="n">
        <f aca="false">IFERROR(H356/G356,"")</f>
        <v>0.555283329249939</v>
      </c>
      <c r="O356" s="11" t="n">
        <f aca="false">IFERROR(I356/H356,"")</f>
        <v>1.01739678537662</v>
      </c>
      <c r="P356" s="10" t="n">
        <f aca="false">IFERROR(J356/H356,"")</f>
        <v>0.0232587456665616</v>
      </c>
      <c r="Q356" s="10" t="n">
        <f aca="false">IFERROR(K356/H356,"")</f>
        <v>0.0150015757957769</v>
      </c>
      <c r="R356" s="10" t="n">
        <f aca="false">IFERROR(L356/H356,"")</f>
        <v>0.00409706901985503</v>
      </c>
      <c r="S356" s="11" t="n">
        <f aca="false">IFERROR(M356/MEDIAN(INDEX($M$5:$M$627,MATCH($A356-90,$A$5:$A$627,1)):INDEX($M$5:$M$627,MATCH($A356+90,$A$5:$A$627,1))),"")</f>
        <v>1.06584925841209</v>
      </c>
      <c r="T356" s="11" t="n">
        <f aca="false">IFERROR(N356/MEDIAN(INDEX($N$5:$N$627,MATCH($A356-90,$A$5:$A$627,1)):INDEX($N$5:$N$627,MATCH($A356+90,$A$5:$A$627,1))),"")</f>
        <v>1.03027996630776</v>
      </c>
      <c r="U356" s="11" t="n">
        <f aca="false">IFERROR(Q356/MEDIAN(INDEX($Q$5:$Q$627,MATCH($A356-90,$A$5:$A$627,1)):INDEX($Q$5:$Q$627,MATCH($A356+90,$A$5:$A$627,1))),"")</f>
        <v>1.50873198121725</v>
      </c>
    </row>
    <row r="357" customFormat="false" ht="15" hidden="false" customHeight="false" outlineLevel="0" collapsed="false">
      <c r="A357" s="13" t="n">
        <v>45889.2393746065</v>
      </c>
      <c r="B357" s="8" t="n">
        <v>5</v>
      </c>
      <c r="C357" s="8" t="s">
        <v>71</v>
      </c>
      <c r="D357" s="8" t="s">
        <v>422</v>
      </c>
      <c r="E357" s="14" t="s">
        <v>66</v>
      </c>
      <c r="F357" s="9" t="n">
        <v>704400</v>
      </c>
      <c r="G357" s="9" t="n">
        <v>30545</v>
      </c>
      <c r="H357" s="9" t="n">
        <v>17809</v>
      </c>
      <c r="I357" s="9" t="n">
        <v>16961</v>
      </c>
      <c r="J357" s="9" t="n">
        <v>695</v>
      </c>
      <c r="K357" s="9" t="n">
        <v>85</v>
      </c>
      <c r="L357" s="9" t="n">
        <v>101</v>
      </c>
      <c r="M357" s="10" t="n">
        <f aca="false">IFERROR(G357/F357,"")</f>
        <v>0.0433631459398069</v>
      </c>
      <c r="N357" s="10" t="n">
        <f aca="false">IFERROR(H357/G357,"")</f>
        <v>0.583041414306761</v>
      </c>
      <c r="O357" s="11" t="n">
        <f aca="false">IFERROR(I357/H357,"")</f>
        <v>0.952383626256387</v>
      </c>
      <c r="P357" s="10" t="n">
        <f aca="false">IFERROR(J357/H357,"")</f>
        <v>0.0390252119714751</v>
      </c>
      <c r="Q357" s="10" t="n">
        <f aca="false">IFERROR(K357/H357,"")</f>
        <v>0.0047728676511876</v>
      </c>
      <c r="R357" s="10" t="n">
        <f aca="false">IFERROR(L357/H357,"")</f>
        <v>0.0056712897972935</v>
      </c>
      <c r="S357" s="11" t="n">
        <f aca="false">IFERROR(M357/MEDIAN(INDEX($M$5:$M$627,MATCH($A357-90,$A$5:$A$627,1)):INDEX($M$5:$M$627,MATCH($A357+90,$A$5:$A$627,1))),"")</f>
        <v>0.746466172643225</v>
      </c>
      <c r="T357" s="11" t="n">
        <f aca="false">IFERROR(N357/MEDIAN(INDEX($N$5:$N$627,MATCH($A357-90,$A$5:$A$627,1)):INDEX($N$5:$N$627,MATCH($A357+90,$A$5:$A$627,1))),"")</f>
        <v>1.08168196558536</v>
      </c>
      <c r="U357" s="11" t="n">
        <f aca="false">IFERROR(Q357/MEDIAN(INDEX($Q$5:$Q$627,MATCH($A357-90,$A$5:$A$627,1)):INDEX($Q$5:$Q$627,MATCH($A357+90,$A$5:$A$627,1))),"")</f>
        <v>0.479295683988893</v>
      </c>
    </row>
    <row r="358" customFormat="false" ht="15" hidden="false" customHeight="false" outlineLevel="0" collapsed="false">
      <c r="A358" s="13" t="n">
        <v>45891.2644347107</v>
      </c>
      <c r="B358" s="8" t="n">
        <v>6</v>
      </c>
      <c r="C358" s="8" t="s">
        <v>84</v>
      </c>
      <c r="D358" s="8" t="s">
        <v>423</v>
      </c>
      <c r="E358" s="14" t="s">
        <v>66</v>
      </c>
      <c r="F358" s="9" t="n">
        <v>132387</v>
      </c>
      <c r="G358" s="9" t="n">
        <v>20559</v>
      </c>
      <c r="H358" s="9" t="n">
        <v>13299</v>
      </c>
      <c r="I358" s="9" t="n">
        <v>9671</v>
      </c>
      <c r="J358" s="9" t="n">
        <v>1013</v>
      </c>
      <c r="K358" s="9" t="n">
        <v>175</v>
      </c>
      <c r="L358" s="9" t="n">
        <v>32</v>
      </c>
      <c r="M358" s="10" t="n">
        <f aca="false">IFERROR(G358/F358,"")</f>
        <v>0.155294704162795</v>
      </c>
      <c r="N358" s="10" t="n">
        <f aca="false">IFERROR(H358/G358,"")</f>
        <v>0.646869983948636</v>
      </c>
      <c r="O358" s="11" t="n">
        <f aca="false">IFERROR(I358/H358,"")</f>
        <v>0.727197533649147</v>
      </c>
      <c r="P358" s="10" t="n">
        <f aca="false">IFERROR(J358/H358,"")</f>
        <v>0.0761711406872697</v>
      </c>
      <c r="Q358" s="10" t="n">
        <f aca="false">IFERROR(K358/H358,"")</f>
        <v>0.0131588841266261</v>
      </c>
      <c r="R358" s="10" t="n">
        <f aca="false">IFERROR(L358/H358,"")</f>
        <v>0.00240619595458305</v>
      </c>
      <c r="S358" s="11" t="n">
        <f aca="false">IFERROR(M358/MEDIAN(INDEX($M$5:$M$627,MATCH($A358-90,$A$5:$A$627,1)):INDEX($M$5:$M$627,MATCH($A358+90,$A$5:$A$627,1))),"")</f>
        <v>2.71640287101331</v>
      </c>
      <c r="T358" s="11" t="n">
        <f aca="false">IFERROR(N358/MEDIAN(INDEX($N$5:$N$627,MATCH($A358-90,$A$5:$A$627,1)):INDEX($N$5:$N$627,MATCH($A358+90,$A$5:$A$627,1))),"")</f>
        <v>1.20021104571666</v>
      </c>
      <c r="U358" s="11" t="n">
        <f aca="false">IFERROR(Q358/MEDIAN(INDEX($Q$5:$Q$627,MATCH($A358-90,$A$5:$A$627,1)):INDEX($Q$5:$Q$627,MATCH($A358+90,$A$5:$A$627,1))),"")</f>
        <v>1.32142703903229</v>
      </c>
    </row>
    <row r="359" customFormat="false" ht="15" hidden="false" customHeight="false" outlineLevel="0" collapsed="false">
      <c r="A359" s="13" t="n">
        <v>45892.2230923264</v>
      </c>
      <c r="B359" s="8" t="n">
        <v>5</v>
      </c>
      <c r="C359" s="8" t="s">
        <v>68</v>
      </c>
      <c r="D359" s="8" t="s">
        <v>424</v>
      </c>
      <c r="E359" s="14" t="s">
        <v>66</v>
      </c>
      <c r="F359" s="9" t="n">
        <v>329144</v>
      </c>
      <c r="G359" s="9" t="n">
        <v>70017</v>
      </c>
      <c r="H359" s="9" t="n">
        <v>35549</v>
      </c>
      <c r="I359" s="9" t="n">
        <v>23251</v>
      </c>
      <c r="J359" s="9" t="n">
        <v>1418</v>
      </c>
      <c r="K359" s="9" t="n">
        <v>354</v>
      </c>
      <c r="L359" s="9" t="n">
        <v>63</v>
      </c>
      <c r="M359" s="10" t="n">
        <f aca="false">IFERROR(G359/F359,"")</f>
        <v>0.212724521789855</v>
      </c>
      <c r="N359" s="10" t="n">
        <f aca="false">IFERROR(H359/G359,"")</f>
        <v>0.507719553822643</v>
      </c>
      <c r="O359" s="11" t="n">
        <f aca="false">IFERROR(I359/H359,"")</f>
        <v>0.654054966384427</v>
      </c>
      <c r="P359" s="10" t="n">
        <f aca="false">IFERROR(J359/H359,"")</f>
        <v>0.0398886044614476</v>
      </c>
      <c r="Q359" s="10" t="n">
        <f aca="false">IFERROR(K359/H359,"")</f>
        <v>0.00995808602211033</v>
      </c>
      <c r="R359" s="10" t="n">
        <f aca="false">IFERROR(L359/H359,"")</f>
        <v>0.0017722017496976</v>
      </c>
      <c r="S359" s="11" t="n">
        <f aca="false">IFERROR(M359/MEDIAN(INDEX($M$5:$M$627,MATCH($A359-90,$A$5:$A$627,1)):INDEX($M$5:$M$627,MATCH($A359+90,$A$5:$A$627,1))),"")</f>
        <v>3.76730578973187</v>
      </c>
      <c r="T359" s="11" t="n">
        <f aca="false">IFERROR(N359/MEDIAN(INDEX($N$5:$N$627,MATCH($A359-90,$A$5:$A$627,1)):INDEX($N$5:$N$627,MATCH($A359+90,$A$5:$A$627,1))),"")</f>
        <v>0.94242321398786</v>
      </c>
      <c r="U359" s="11" t="n">
        <f aca="false">IFERROR(Q359/MEDIAN(INDEX($Q$5:$Q$627,MATCH($A359-90,$A$5:$A$627,1)):INDEX($Q$5:$Q$627,MATCH($A359+90,$A$5:$A$627,1))),"")</f>
        <v>1.00074959413069</v>
      </c>
    </row>
    <row r="360" customFormat="false" ht="15" hidden="false" customHeight="false" outlineLevel="0" collapsed="false">
      <c r="A360" s="13" t="n">
        <v>45894.4007143056</v>
      </c>
      <c r="B360" s="8" t="n">
        <v>9</v>
      </c>
      <c r="C360" s="8" t="s">
        <v>80</v>
      </c>
      <c r="D360" s="8" t="s">
        <v>425</v>
      </c>
      <c r="E360" s="14" t="s">
        <v>66</v>
      </c>
      <c r="F360" s="9" t="n">
        <v>109127</v>
      </c>
      <c r="G360" s="9" t="n">
        <v>5648</v>
      </c>
      <c r="H360" s="9" t="n">
        <v>4014</v>
      </c>
      <c r="I360" s="9" t="n">
        <v>3880</v>
      </c>
      <c r="J360" s="9" t="n">
        <v>213</v>
      </c>
      <c r="K360" s="9" t="n">
        <v>40</v>
      </c>
      <c r="L360" s="9" t="n">
        <v>12</v>
      </c>
      <c r="M360" s="10" t="n">
        <f aca="false">IFERROR(G360/F360,"")</f>
        <v>0.0517562106536421</v>
      </c>
      <c r="N360" s="10" t="n">
        <f aca="false">IFERROR(H360/G360,"")</f>
        <v>0.710694050991501</v>
      </c>
      <c r="O360" s="11" t="n">
        <f aca="false">IFERROR(I360/H360,"")</f>
        <v>0.966616841056303</v>
      </c>
      <c r="P360" s="10" t="n">
        <f aca="false">IFERROR(J360/H360,"")</f>
        <v>0.0530642750373692</v>
      </c>
      <c r="Q360" s="10" t="n">
        <f aca="false">IFERROR(K360/H360,"")</f>
        <v>0.00996512207274539</v>
      </c>
      <c r="R360" s="10" t="n">
        <f aca="false">IFERROR(L360/H360,"")</f>
        <v>0.00298953662182362</v>
      </c>
      <c r="S360" s="11" t="n">
        <f aca="false">IFERROR(M360/MEDIAN(INDEX($M$5:$M$627,MATCH($A360-90,$A$5:$A$627,1)):INDEX($M$5:$M$627,MATCH($A360+90,$A$5:$A$627,1))),"")</f>
        <v>0.905315606029563</v>
      </c>
      <c r="T360" s="11" t="n">
        <f aca="false">IFERROR(N360/MEDIAN(INDEX($N$5:$N$627,MATCH($A360-90,$A$5:$A$627,1)):INDEX($N$5:$N$627,MATCH($A360+90,$A$5:$A$627,1))),"")</f>
        <v>1.3185082897076</v>
      </c>
      <c r="U360" s="11" t="n">
        <f aca="false">IFERROR(Q360/MEDIAN(INDEX($Q$5:$Q$627,MATCH($A360-90,$A$5:$A$627,1)):INDEX($Q$5:$Q$627,MATCH($A360+90,$A$5:$A$627,1))),"")</f>
        <v>1.00070656656505</v>
      </c>
    </row>
    <row r="361" customFormat="false" ht="15" hidden="false" customHeight="false" outlineLevel="0" collapsed="false">
      <c r="A361" s="13" t="n">
        <v>45896.2504970255</v>
      </c>
      <c r="B361" s="8" t="n">
        <v>6</v>
      </c>
      <c r="C361" s="8" t="s">
        <v>71</v>
      </c>
      <c r="D361" s="8" t="s">
        <v>426</v>
      </c>
      <c r="E361" s="14" t="s">
        <v>66</v>
      </c>
      <c r="F361" s="9" t="n">
        <v>25483</v>
      </c>
      <c r="G361" s="9" t="n">
        <v>1421</v>
      </c>
      <c r="H361" s="9" t="n">
        <v>734</v>
      </c>
      <c r="I361" s="9" t="n">
        <v>433</v>
      </c>
      <c r="J361" s="9" t="n">
        <v>98</v>
      </c>
      <c r="K361" s="9" t="n">
        <v>33</v>
      </c>
      <c r="L361" s="9" t="n">
        <v>4</v>
      </c>
      <c r="M361" s="10" t="n">
        <f aca="false">IFERROR(G361/F361,"")</f>
        <v>0.0557626653062826</v>
      </c>
      <c r="N361" s="10" t="n">
        <f aca="false">IFERROR(H361/G361,"")</f>
        <v>0.516537649542576</v>
      </c>
      <c r="O361" s="11" t="n">
        <f aca="false">IFERROR(I361/H361,"")</f>
        <v>0.58991825613079</v>
      </c>
      <c r="P361" s="10" t="n">
        <f aca="false">IFERROR(J361/H361,"")</f>
        <v>0.133514986376022</v>
      </c>
      <c r="Q361" s="10" t="n">
        <f aca="false">IFERROR(K361/H361,"")</f>
        <v>0.0449591280653951</v>
      </c>
      <c r="R361" s="10" t="n">
        <f aca="false">IFERROR(L361/H361,"")</f>
        <v>0.00544959128065395</v>
      </c>
      <c r="S361" s="11" t="n">
        <f aca="false">IFERROR(M361/MEDIAN(INDEX($M$5:$M$627,MATCH($A361-90,$A$5:$A$627,1)):INDEX($M$5:$M$627,MATCH($A361+90,$A$5:$A$627,1))),"")</f>
        <v>0.975396198794713</v>
      </c>
      <c r="T361" s="11" t="n">
        <f aca="false">IFERROR(N361/MEDIAN(INDEX($N$5:$N$627,MATCH($A361-90,$A$5:$A$627,1)):INDEX($N$5:$N$627,MATCH($A361+90,$A$5:$A$627,1))),"")</f>
        <v>0.953618037738891</v>
      </c>
      <c r="U361" s="11" t="n">
        <f aca="false">IFERROR(Q361/MEDIAN(INDEX($Q$5:$Q$627,MATCH($A361-90,$A$5:$A$627,1)):INDEX($Q$5:$Q$627,MATCH($A361+90,$A$5:$A$627,1))),"")</f>
        <v>4.5148362813467</v>
      </c>
    </row>
    <row r="362" customFormat="false" ht="15" hidden="false" customHeight="false" outlineLevel="0" collapsed="false">
      <c r="A362" s="13" t="n">
        <v>45898.250486956</v>
      </c>
      <c r="B362" s="8" t="n">
        <v>6</v>
      </c>
      <c r="C362" s="8" t="s">
        <v>84</v>
      </c>
      <c r="D362" s="8" t="s">
        <v>427</v>
      </c>
      <c r="E362" s="14" t="s">
        <v>66</v>
      </c>
      <c r="F362" s="9" t="n">
        <v>15431678</v>
      </c>
      <c r="G362" s="9" t="n">
        <v>1093376</v>
      </c>
      <c r="H362" s="9" t="n">
        <v>681814</v>
      </c>
      <c r="I362" s="9" t="n">
        <v>587321</v>
      </c>
      <c r="J362" s="9" t="n">
        <v>17053</v>
      </c>
      <c r="K362" s="9" t="n">
        <v>5857</v>
      </c>
      <c r="L362" s="9" t="n">
        <v>3174</v>
      </c>
      <c r="M362" s="10" t="n">
        <f aca="false">IFERROR(G362/F362,"")</f>
        <v>0.0708526966412856</v>
      </c>
      <c r="N362" s="10" t="n">
        <f aca="false">IFERROR(H362/G362,"")</f>
        <v>0.623586030789042</v>
      </c>
      <c r="O362" s="11" t="n">
        <f aca="false">IFERROR(I362/H362,"")</f>
        <v>0.861409416644422</v>
      </c>
      <c r="P362" s="10" t="n">
        <f aca="false">IFERROR(J362/H362,"")</f>
        <v>0.0250112200688164</v>
      </c>
      <c r="Q362" s="10" t="n">
        <f aca="false">IFERROR(K362/H362,"")</f>
        <v>0.00859031935395871</v>
      </c>
      <c r="R362" s="10" t="n">
        <f aca="false">IFERROR(L362/H362,"")</f>
        <v>0.00465522855206845</v>
      </c>
      <c r="S362" s="11" t="n">
        <f aca="false">IFERROR(M362/MEDIAN(INDEX($M$5:$M$627,MATCH($A362-90,$A$5:$A$627,1)):INDEX($M$5:$M$627,MATCH($A362+90,$A$5:$A$627,1))),"")</f>
        <v>1.23934985170945</v>
      </c>
      <c r="T362" s="11" t="n">
        <f aca="false">IFERROR(N362/MEDIAN(INDEX($N$5:$N$627,MATCH($A362-90,$A$5:$A$627,1)):INDEX($N$5:$N$627,MATCH($A362+90,$A$5:$A$627,1))),"")</f>
        <v>1.15124790529604</v>
      </c>
      <c r="U362" s="11" t="n">
        <f aca="false">IFERROR(Q362/MEDIAN(INDEX($Q$5:$Q$627,MATCH($A362-90,$A$5:$A$627,1)):INDEX($Q$5:$Q$627,MATCH($A362+90,$A$5:$A$627,1))),"")</f>
        <v>0.862647634784966</v>
      </c>
    </row>
    <row r="363" customFormat="false" ht="15" hidden="false" customHeight="false" outlineLevel="0" collapsed="false">
      <c r="A363" s="13" t="n">
        <v>45899.2505261806</v>
      </c>
      <c r="B363" s="8" t="n">
        <v>6</v>
      </c>
      <c r="C363" s="8" t="s">
        <v>68</v>
      </c>
      <c r="D363" s="8" t="s">
        <v>428</v>
      </c>
      <c r="E363" s="14" t="s">
        <v>66</v>
      </c>
      <c r="F363" s="9" t="n">
        <v>4153067</v>
      </c>
      <c r="G363" s="9" t="n">
        <v>253475</v>
      </c>
      <c r="H363" s="9" t="n">
        <v>153092</v>
      </c>
      <c r="I363" s="9" t="n">
        <v>138481</v>
      </c>
      <c r="J363" s="9" t="n">
        <v>1623</v>
      </c>
      <c r="K363" s="9" t="n">
        <v>566</v>
      </c>
      <c r="L363" s="9" t="n">
        <v>331</v>
      </c>
      <c r="M363" s="10" t="n">
        <f aca="false">IFERROR(G363/F363,"")</f>
        <v>0.0610332075066451</v>
      </c>
      <c r="N363" s="10" t="n">
        <f aca="false">IFERROR(H363/G363,"")</f>
        <v>0.603972778380511</v>
      </c>
      <c r="O363" s="11" t="n">
        <f aca="false">IFERROR(I363/H363,"")</f>
        <v>0.904560656337366</v>
      </c>
      <c r="P363" s="10" t="n">
        <f aca="false">IFERROR(J363/H363,"")</f>
        <v>0.0106014683980874</v>
      </c>
      <c r="Q363" s="10" t="n">
        <f aca="false">IFERROR(K363/H363,"")</f>
        <v>0.0036971232984088</v>
      </c>
      <c r="R363" s="10" t="n">
        <f aca="false">IFERROR(L363/H363,"")</f>
        <v>0.00216209860737334</v>
      </c>
      <c r="S363" s="11" t="n">
        <f aca="false">IFERROR(M363/MEDIAN(INDEX($M$5:$M$627,MATCH($A363-90,$A$5:$A$627,1)):INDEX($M$5:$M$627,MATCH($A363+90,$A$5:$A$627,1))),"")</f>
        <v>1.08088505298338</v>
      </c>
      <c r="T363" s="11" t="n">
        <f aca="false">IFERROR(N363/MEDIAN(INDEX($N$5:$N$627,MATCH($A363-90,$A$5:$A$627,1)):INDEX($N$5:$N$627,MATCH($A363+90,$A$5:$A$627,1))),"")</f>
        <v>1.10757684999811</v>
      </c>
      <c r="U363" s="11" t="n">
        <f aca="false">IFERROR(Q363/MEDIAN(INDEX($Q$5:$Q$627,MATCH($A363-90,$A$5:$A$627,1)):INDEX($Q$5:$Q$627,MATCH($A363+90,$A$5:$A$627,1))),"")</f>
        <v>0.37154676431984</v>
      </c>
    </row>
    <row r="364" customFormat="false" ht="15" hidden="false" customHeight="false" outlineLevel="0" collapsed="false">
      <c r="A364" s="13" t="n">
        <v>45901.2541158333</v>
      </c>
      <c r="B364" s="8" t="n">
        <v>6</v>
      </c>
      <c r="C364" s="8" t="s">
        <v>80</v>
      </c>
      <c r="D364" s="8" t="s">
        <v>429</v>
      </c>
      <c r="E364" s="14" t="s">
        <v>66</v>
      </c>
      <c r="F364" s="9" t="n">
        <v>56508</v>
      </c>
      <c r="G364" s="9" t="n">
        <v>1654</v>
      </c>
      <c r="H364" s="9" t="n">
        <v>963</v>
      </c>
      <c r="I364" s="9" t="n">
        <v>983</v>
      </c>
      <c r="J364" s="9" t="n">
        <v>168</v>
      </c>
      <c r="K364" s="9" t="n">
        <v>20</v>
      </c>
      <c r="L364" s="9" t="n">
        <v>5</v>
      </c>
      <c r="M364" s="10" t="n">
        <f aca="false">IFERROR(G364/F364,"")</f>
        <v>0.0292701918312451</v>
      </c>
      <c r="N364" s="10" t="n">
        <f aca="false">IFERROR(H364/G364,"")</f>
        <v>0.582224909310762</v>
      </c>
      <c r="O364" s="11" t="n">
        <f aca="false">IFERROR(I364/H364,"")</f>
        <v>1.02076843198339</v>
      </c>
      <c r="P364" s="10" t="n">
        <f aca="false">IFERROR(J364/H364,"")</f>
        <v>0.174454828660436</v>
      </c>
      <c r="Q364" s="10" t="n">
        <f aca="false">IFERROR(K364/H364,"")</f>
        <v>0.0207684319833853</v>
      </c>
      <c r="R364" s="10" t="n">
        <f aca="false">IFERROR(L364/H364,"")</f>
        <v>0.00519210799584631</v>
      </c>
      <c r="S364" s="11" t="n">
        <f aca="false">IFERROR(M364/MEDIAN(INDEX($M$5:$M$627,MATCH($A364-90,$A$5:$A$627,1)):INDEX($M$5:$M$627,MATCH($A364+90,$A$5:$A$627,1))),"")</f>
        <v>0.524906613958916</v>
      </c>
      <c r="T364" s="11" t="n">
        <f aca="false">IFERROR(N364/MEDIAN(INDEX($N$5:$N$627,MATCH($A364-90,$A$5:$A$627,1)):INDEX($N$5:$N$627,MATCH($A364+90,$A$5:$A$627,1))),"")</f>
        <v>1.08016715255954</v>
      </c>
      <c r="U364" s="11" t="n">
        <f aca="false">IFERROR(Q364/MEDIAN(INDEX($Q$5:$Q$627,MATCH($A364-90,$A$5:$A$627,1)):INDEX($Q$5:$Q$627,MATCH($A364+90,$A$5:$A$627,1))),"")</f>
        <v>2.08558471349537</v>
      </c>
    </row>
    <row r="365" customFormat="false" ht="15" hidden="false" customHeight="false" outlineLevel="0" collapsed="false">
      <c r="A365" s="13" t="n">
        <v>45903.4191991088</v>
      </c>
      <c r="B365" s="8" t="n">
        <v>10</v>
      </c>
      <c r="C365" s="8" t="s">
        <v>71</v>
      </c>
      <c r="D365" s="8" t="s">
        <v>430</v>
      </c>
      <c r="E365" s="14" t="s">
        <v>66</v>
      </c>
      <c r="F365" s="9" t="n">
        <v>66319</v>
      </c>
      <c r="G365" s="9" t="n">
        <v>7285</v>
      </c>
      <c r="H365" s="9" t="n">
        <v>3946</v>
      </c>
      <c r="I365" s="9" t="n">
        <v>2727</v>
      </c>
      <c r="J365" s="9" t="n">
        <v>578</v>
      </c>
      <c r="K365" s="9" t="n">
        <v>109</v>
      </c>
      <c r="L365" s="9" t="n">
        <v>6</v>
      </c>
      <c r="M365" s="10" t="n">
        <f aca="false">IFERROR(G365/F365,"")</f>
        <v>0.109847856572023</v>
      </c>
      <c r="N365" s="10" t="n">
        <f aca="false">IFERROR(H365/G365,"")</f>
        <v>0.541660947151682</v>
      </c>
      <c r="O365" s="11" t="n">
        <f aca="false">IFERROR(I365/H365,"")</f>
        <v>0.691079574252408</v>
      </c>
      <c r="P365" s="10" t="n">
        <f aca="false">IFERROR(J365/H365,"")</f>
        <v>0.146477445514445</v>
      </c>
      <c r="Q365" s="10" t="n">
        <f aca="false">IFERROR(K365/H365,"")</f>
        <v>0.0276229092752154</v>
      </c>
      <c r="R365" s="10" t="n">
        <f aca="false">IFERROR(L365/H365,"")</f>
        <v>0.0015205271160669</v>
      </c>
      <c r="S365" s="11" t="n">
        <f aca="false">IFERROR(M365/MEDIAN(INDEX($M$5:$M$627,MATCH($A365-90,$A$5:$A$627,1)):INDEX($M$5:$M$627,MATCH($A365+90,$A$5:$A$627,1))),"")</f>
        <v>1.97631486978906</v>
      </c>
      <c r="T365" s="11" t="n">
        <f aca="false">IFERROR(N365/MEDIAN(INDEX($N$5:$N$627,MATCH($A365-90,$A$5:$A$627,1)):INDEX($N$5:$N$627,MATCH($A365+90,$A$5:$A$627,1))),"")</f>
        <v>1.00542483909279</v>
      </c>
      <c r="U365" s="11" t="n">
        <f aca="false">IFERROR(Q365/MEDIAN(INDEX($Q$5:$Q$627,MATCH($A365-90,$A$5:$A$627,1)):INDEX($Q$5:$Q$627,MATCH($A365+90,$A$5:$A$627,1))),"")</f>
        <v>2.77599683157009</v>
      </c>
    </row>
    <row r="366" customFormat="false" ht="15" hidden="false" customHeight="false" outlineLevel="0" collapsed="false">
      <c r="A366" s="13" t="n">
        <v>45905.4833484607</v>
      </c>
      <c r="B366" s="8" t="n">
        <v>11</v>
      </c>
      <c r="C366" s="8" t="s">
        <v>84</v>
      </c>
      <c r="D366" s="8" t="s">
        <v>431</v>
      </c>
      <c r="E366" s="14" t="s">
        <v>66</v>
      </c>
      <c r="F366" s="9" t="n">
        <v>741210</v>
      </c>
      <c r="G366" s="9" t="n">
        <v>54889</v>
      </c>
      <c r="H366" s="9" t="n">
        <v>35167</v>
      </c>
      <c r="I366" s="9" t="n">
        <v>43202</v>
      </c>
      <c r="J366" s="9" t="n">
        <v>1255</v>
      </c>
      <c r="K366" s="9" t="n">
        <v>358</v>
      </c>
      <c r="L366" s="9" t="n">
        <v>146</v>
      </c>
      <c r="M366" s="10" t="n">
        <f aca="false">IFERROR(G366/F366,"")</f>
        <v>0.0740532372741868</v>
      </c>
      <c r="N366" s="10" t="n">
        <f aca="false">IFERROR(H366/G366,"")</f>
        <v>0.640693035034342</v>
      </c>
      <c r="O366" s="11" t="n">
        <f aca="false">IFERROR(I366/H366,"")</f>
        <v>1.22848124662325</v>
      </c>
      <c r="P366" s="10" t="n">
        <f aca="false">IFERROR(J366/H366,"")</f>
        <v>0.035686865527341</v>
      </c>
      <c r="Q366" s="10" t="n">
        <f aca="false">IFERROR(K366/H366,"")</f>
        <v>0.010179998293855</v>
      </c>
      <c r="R366" s="10" t="n">
        <f aca="false">IFERROR(L366/H366,"")</f>
        <v>0.00415161941592971</v>
      </c>
      <c r="S366" s="11" t="n">
        <f aca="false">IFERROR(M366/MEDIAN(INDEX($M$5:$M$627,MATCH($A366-90,$A$5:$A$627,1)):INDEX($M$5:$M$627,MATCH($A366+90,$A$5:$A$627,1))),"")</f>
        <v>1.33666093279907</v>
      </c>
      <c r="T366" s="11" t="n">
        <f aca="false">IFERROR(N366/MEDIAN(INDEX($N$5:$N$627,MATCH($A366-90,$A$5:$A$627,1)):INDEX($N$5:$N$627,MATCH($A366+90,$A$5:$A$627,1))),"")</f>
        <v>1.18875025374962</v>
      </c>
      <c r="U366" s="11" t="n">
        <f aca="false">IFERROR(Q366/MEDIAN(INDEX($Q$5:$Q$627,MATCH($A366-90,$A$5:$A$627,1)):INDEX($Q$5:$Q$627,MATCH($A366+90,$A$5:$A$627,1))),"")</f>
        <v>1.02381837773335</v>
      </c>
    </row>
    <row r="367" customFormat="false" ht="15" hidden="false" customHeight="false" outlineLevel="0" collapsed="false">
      <c r="A367" s="13" t="n">
        <v>45906.2361717361</v>
      </c>
      <c r="B367" s="8" t="n">
        <v>5</v>
      </c>
      <c r="C367" s="8" t="s">
        <v>68</v>
      </c>
      <c r="D367" s="8" t="s">
        <v>432</v>
      </c>
      <c r="E367" s="14" t="s">
        <v>66</v>
      </c>
      <c r="F367" s="9" t="n">
        <v>168429</v>
      </c>
      <c r="G367" s="9" t="n">
        <v>27443</v>
      </c>
      <c r="H367" s="9" t="n">
        <v>14269</v>
      </c>
      <c r="I367" s="9" t="n">
        <v>8282</v>
      </c>
      <c r="J367" s="9" t="n">
        <v>998</v>
      </c>
      <c r="K367" s="9" t="n">
        <v>127</v>
      </c>
      <c r="L367" s="9" t="n">
        <v>14</v>
      </c>
      <c r="M367" s="10" t="n">
        <f aca="false">IFERROR(G367/F367,"")</f>
        <v>0.162935123998836</v>
      </c>
      <c r="N367" s="10" t="n">
        <f aca="false">IFERROR(H367/G367,"")</f>
        <v>0.519950442735852</v>
      </c>
      <c r="O367" s="11" t="n">
        <f aca="false">IFERROR(I367/H367,"")</f>
        <v>0.580419090335693</v>
      </c>
      <c r="P367" s="10" t="n">
        <f aca="false">IFERROR(J367/H367,"")</f>
        <v>0.0699418319433738</v>
      </c>
      <c r="Q367" s="10" t="n">
        <f aca="false">IFERROR(K367/H367,"")</f>
        <v>0.00890041348377602</v>
      </c>
      <c r="R367" s="10" t="n">
        <f aca="false">IFERROR(L367/H367,"")</f>
        <v>0.000981147943093419</v>
      </c>
      <c r="S367" s="11" t="n">
        <f aca="false">IFERROR(M367/MEDIAN(INDEX($M$5:$M$627,MATCH($A367-90,$A$5:$A$627,1)):INDEX($M$5:$M$627,MATCH($A367+90,$A$5:$A$627,1))),"")</f>
        <v>2.9432546379928</v>
      </c>
      <c r="T367" s="11" t="n">
        <f aca="false">IFERROR(N367/MEDIAN(INDEX($N$5:$N$627,MATCH($A367-90,$A$5:$A$627,1)):INDEX($N$5:$N$627,MATCH($A367+90,$A$5:$A$627,1))),"")</f>
        <v>0.96467795498612</v>
      </c>
      <c r="U367" s="11" t="n">
        <f aca="false">IFERROR(Q367/MEDIAN(INDEX($Q$5:$Q$627,MATCH($A367-90,$A$5:$A$627,1)):INDEX($Q$5:$Q$627,MATCH($A367+90,$A$5:$A$627,1))),"")</f>
        <v>0.910156173439783</v>
      </c>
    </row>
    <row r="368" customFormat="false" ht="15" hidden="false" customHeight="false" outlineLevel="0" collapsed="false">
      <c r="A368" s="13" t="n">
        <v>45908.4222838195</v>
      </c>
      <c r="B368" s="8" t="n">
        <v>10</v>
      </c>
      <c r="C368" s="8" t="s">
        <v>80</v>
      </c>
      <c r="D368" s="8" t="s">
        <v>433</v>
      </c>
      <c r="E368" s="14" t="s">
        <v>66</v>
      </c>
      <c r="F368" s="9" t="n">
        <v>1220412</v>
      </c>
      <c r="G368" s="9" t="n">
        <v>218356</v>
      </c>
      <c r="H368" s="9" t="n">
        <v>117068</v>
      </c>
      <c r="I368" s="9" t="n">
        <v>68480</v>
      </c>
      <c r="J368" s="9" t="n">
        <v>4385</v>
      </c>
      <c r="K368" s="9" t="n">
        <v>869</v>
      </c>
      <c r="L368" s="9" t="n">
        <v>442</v>
      </c>
      <c r="M368" s="10" t="n">
        <f aca="false">IFERROR(G368/F368,"")</f>
        <v>0.178919905736751</v>
      </c>
      <c r="N368" s="10" t="n">
        <f aca="false">IFERROR(H368/G368,"")</f>
        <v>0.536133653300115</v>
      </c>
      <c r="O368" s="11" t="n">
        <f aca="false">IFERROR(I368/H368,"")</f>
        <v>0.584959169029966</v>
      </c>
      <c r="P368" s="10" t="n">
        <f aca="false">IFERROR(J368/H368,"")</f>
        <v>0.0374568626781016</v>
      </c>
      <c r="Q368" s="10" t="n">
        <f aca="false">IFERROR(K368/H368,"")</f>
        <v>0.00742303618409813</v>
      </c>
      <c r="R368" s="10" t="n">
        <f aca="false">IFERROR(L368/H368,"")</f>
        <v>0.00377558342160112</v>
      </c>
      <c r="S368" s="11" t="n">
        <f aca="false">IFERROR(M368/MEDIAN(INDEX($M$5:$M$627,MATCH($A368-90,$A$5:$A$627,1)):INDEX($M$5:$M$627,MATCH($A368+90,$A$5:$A$627,1))),"")</f>
        <v>3.22950429854836</v>
      </c>
      <c r="T368" s="11" t="n">
        <f aca="false">IFERROR(N368/MEDIAN(INDEX($N$5:$N$627,MATCH($A368-90,$A$5:$A$627,1)):INDEX($N$5:$N$627,MATCH($A368+90,$A$5:$A$627,1))),"")</f>
        <v>0.994656793990632</v>
      </c>
      <c r="U368" s="11" t="n">
        <f aca="false">IFERROR(Q368/MEDIAN(INDEX($Q$5:$Q$627,MATCH($A368-90,$A$5:$A$627,1)):INDEX($Q$5:$Q$627,MATCH($A368+90,$A$5:$A$627,1))),"")</f>
        <v>0.772040805841498</v>
      </c>
    </row>
    <row r="369" customFormat="false" ht="15" hidden="false" customHeight="false" outlineLevel="0" collapsed="false">
      <c r="A369" s="13" t="n">
        <v>45910.5016187269</v>
      </c>
      <c r="B369" s="8" t="n">
        <v>12</v>
      </c>
      <c r="C369" s="8" t="s">
        <v>71</v>
      </c>
      <c r="D369" s="8" t="s">
        <v>434</v>
      </c>
      <c r="E369" s="14" t="s">
        <v>66</v>
      </c>
      <c r="F369" s="9" t="n">
        <v>527224</v>
      </c>
      <c r="G369" s="9" t="n">
        <v>38096</v>
      </c>
      <c r="H369" s="9" t="n">
        <v>24282</v>
      </c>
      <c r="I369" s="9" t="n">
        <v>27806</v>
      </c>
      <c r="J369" s="9" t="n">
        <v>1057</v>
      </c>
      <c r="K369" s="9" t="n">
        <v>129</v>
      </c>
      <c r="L369" s="9" t="n">
        <v>95</v>
      </c>
      <c r="M369" s="10" t="n">
        <f aca="false">IFERROR(G369/F369,"")</f>
        <v>0.072257712092014</v>
      </c>
      <c r="N369" s="10" t="n">
        <f aca="false">IFERROR(H369/G369,"")</f>
        <v>0.637389752204956</v>
      </c>
      <c r="O369" s="11" t="n">
        <f aca="false">IFERROR(I369/H369,"")</f>
        <v>1.14512807841199</v>
      </c>
      <c r="P369" s="10" t="n">
        <f aca="false">IFERROR(J369/H369,"")</f>
        <v>0.0435301869697718</v>
      </c>
      <c r="Q369" s="10" t="n">
        <f aca="false">IFERROR(K369/H369,"")</f>
        <v>0.00531257721769212</v>
      </c>
      <c r="R369" s="10" t="n">
        <f aca="false">IFERROR(L369/H369,"")</f>
        <v>0.00391236306729265</v>
      </c>
      <c r="S369" s="11" t="n">
        <f aca="false">IFERROR(M369/MEDIAN(INDEX($M$5:$M$627,MATCH($A369-90,$A$5:$A$627,1)):INDEX($M$5:$M$627,MATCH($A369+90,$A$5:$A$627,1))),"")</f>
        <v>1.295808076876</v>
      </c>
      <c r="T369" s="11" t="n">
        <f aca="false">IFERROR(N369/MEDIAN(INDEX($N$5:$N$627,MATCH($A369-90,$A$5:$A$627,1)):INDEX($N$5:$N$627,MATCH($A369+90,$A$5:$A$627,1))),"")</f>
        <v>1.17673196776815</v>
      </c>
      <c r="U369" s="11" t="n">
        <f aca="false">IFERROR(Q369/MEDIAN(INDEX($Q$5:$Q$627,MATCH($A369-90,$A$5:$A$627,1)):INDEX($Q$5:$Q$627,MATCH($A369+90,$A$5:$A$627,1))),"")</f>
        <v>0.574405750354482</v>
      </c>
    </row>
    <row r="370" customFormat="false" ht="15" hidden="false" customHeight="false" outlineLevel="0" collapsed="false">
      <c r="A370" s="13" t="n">
        <v>45912.2503502894</v>
      </c>
      <c r="B370" s="8" t="n">
        <v>6</v>
      </c>
      <c r="C370" s="8" t="s">
        <v>84</v>
      </c>
      <c r="D370" s="8" t="s">
        <v>435</v>
      </c>
      <c r="E370" s="14" t="s">
        <v>66</v>
      </c>
      <c r="F370" s="9" t="n">
        <v>740046</v>
      </c>
      <c r="G370" s="9" t="n">
        <v>116505</v>
      </c>
      <c r="H370" s="9" t="n">
        <v>71388</v>
      </c>
      <c r="I370" s="9" t="n">
        <v>37345</v>
      </c>
      <c r="J370" s="9" t="n">
        <v>2137</v>
      </c>
      <c r="K370" s="9" t="n">
        <v>241</v>
      </c>
      <c r="L370" s="9" t="n">
        <v>220</v>
      </c>
      <c r="M370" s="10" t="n">
        <f aca="false">IFERROR(G370/F370,"")</f>
        <v>0.157429403037109</v>
      </c>
      <c r="N370" s="10" t="n">
        <f aca="false">IFERROR(H370/G370,"")</f>
        <v>0.612746234067207</v>
      </c>
      <c r="O370" s="11" t="n">
        <f aca="false">IFERROR(I370/H370,"")</f>
        <v>0.523127136213369</v>
      </c>
      <c r="P370" s="10" t="n">
        <f aca="false">IFERROR(J370/H370,"")</f>
        <v>0.0299350030817504</v>
      </c>
      <c r="Q370" s="10" t="n">
        <f aca="false">IFERROR(K370/H370,"")</f>
        <v>0.00337591752115201</v>
      </c>
      <c r="R370" s="10" t="n">
        <f aca="false">IFERROR(L370/H370,"")</f>
        <v>0.00308175043424665</v>
      </c>
      <c r="S370" s="11" t="n">
        <f aca="false">IFERROR(M370/MEDIAN(INDEX($M$5:$M$627,MATCH($A370-90,$A$5:$A$627,1)):INDEX($M$5:$M$627,MATCH($A370+90,$A$5:$A$627,1))),"")</f>
        <v>2.73171505269302</v>
      </c>
      <c r="T370" s="11" t="n">
        <f aca="false">IFERROR(N370/MEDIAN(INDEX($N$5:$N$627,MATCH($A370-90,$A$5:$A$627,1)):INDEX($N$5:$N$627,MATCH($A370+90,$A$5:$A$627,1))),"")</f>
        <v>1.12366578109054</v>
      </c>
      <c r="U370" s="11" t="n">
        <f aca="false">IFERROR(Q370/MEDIAN(INDEX($Q$5:$Q$627,MATCH($A370-90,$A$5:$A$627,1)):INDEX($Q$5:$Q$627,MATCH($A370+90,$A$5:$A$627,1))),"")</f>
        <v>0.376629984323352</v>
      </c>
    </row>
    <row r="371" customFormat="false" ht="15" hidden="false" customHeight="false" outlineLevel="0" collapsed="false">
      <c r="A371" s="13" t="n">
        <v>45913.2095334375</v>
      </c>
      <c r="B371" s="8" t="n">
        <v>5</v>
      </c>
      <c r="C371" s="8" t="s">
        <v>68</v>
      </c>
      <c r="D371" s="8" t="s">
        <v>436</v>
      </c>
      <c r="E371" s="14" t="s">
        <v>66</v>
      </c>
      <c r="F371" s="9" t="n">
        <v>168110</v>
      </c>
      <c r="G371" s="9" t="n">
        <v>6498</v>
      </c>
      <c r="H371" s="9" t="n">
        <v>3688</v>
      </c>
      <c r="I371" s="9" t="n">
        <v>4339</v>
      </c>
      <c r="J371" s="9" t="n">
        <v>194</v>
      </c>
      <c r="K371" s="9" t="n">
        <v>47</v>
      </c>
      <c r="L371" s="9" t="n">
        <v>26</v>
      </c>
      <c r="M371" s="10" t="n">
        <f aca="false">IFERROR(G371/F371,"")</f>
        <v>0.0386532627446315</v>
      </c>
      <c r="N371" s="10" t="n">
        <f aca="false">IFERROR(H371/G371,"")</f>
        <v>0.567559248999692</v>
      </c>
      <c r="O371" s="11" t="n">
        <f aca="false">IFERROR(I371/H371,"")</f>
        <v>1.17651843817787</v>
      </c>
      <c r="P371" s="10" t="n">
        <f aca="false">IFERROR(J371/H371,"")</f>
        <v>0.0526030368763558</v>
      </c>
      <c r="Q371" s="10" t="n">
        <f aca="false">IFERROR(K371/H371,"")</f>
        <v>0.0127440347071584</v>
      </c>
      <c r="R371" s="10" t="n">
        <f aca="false">IFERROR(L371/H371,"")</f>
        <v>0.00704989154013015</v>
      </c>
      <c r="S371" s="11" t="n">
        <f aca="false">IFERROR(M371/MEDIAN(INDEX($M$5:$M$627,MATCH($A371-90,$A$5:$A$627,1)):INDEX($M$5:$M$627,MATCH($A371+90,$A$5:$A$627,1))),"")</f>
        <v>0.670711427714167</v>
      </c>
      <c r="T371" s="11" t="n">
        <f aca="false">IFERROR(N371/MEDIAN(INDEX($N$5:$N$627,MATCH($A371-90,$A$5:$A$627,1)):INDEX($N$5:$N$627,MATCH($A371+90,$A$5:$A$627,1))),"")</f>
        <v>1.03188051082941</v>
      </c>
      <c r="U371" s="11" t="n">
        <f aca="false">IFERROR(Q371/MEDIAN(INDEX($Q$5:$Q$627,MATCH($A371-90,$A$5:$A$627,1)):INDEX($Q$5:$Q$627,MATCH($A371+90,$A$5:$A$627,1))),"")</f>
        <v>1.42177217360909</v>
      </c>
    </row>
    <row r="372" customFormat="false" ht="15" hidden="false" customHeight="false" outlineLevel="0" collapsed="false">
      <c r="A372" s="13" t="n">
        <v>45915.2507416319</v>
      </c>
      <c r="B372" s="8" t="n">
        <v>6</v>
      </c>
      <c r="C372" s="8" t="s">
        <v>80</v>
      </c>
      <c r="D372" s="8" t="s">
        <v>437</v>
      </c>
      <c r="E372" s="14" t="s">
        <v>66</v>
      </c>
      <c r="F372" s="9" t="n">
        <v>2547882</v>
      </c>
      <c r="G372" s="9" t="n">
        <v>243058</v>
      </c>
      <c r="H372" s="9" t="n">
        <v>135346</v>
      </c>
      <c r="I372" s="9" t="n">
        <v>98293</v>
      </c>
      <c r="J372" s="9" t="n">
        <v>3221</v>
      </c>
      <c r="K372" s="9" t="n">
        <v>917</v>
      </c>
      <c r="L372" s="9" t="n">
        <v>391</v>
      </c>
      <c r="M372" s="10" t="n">
        <f aca="false">IFERROR(G372/F372,"")</f>
        <v>0.0953960976214754</v>
      </c>
      <c r="N372" s="10" t="n">
        <f aca="false">IFERROR(H372/G372,"")</f>
        <v>0.556846514000774</v>
      </c>
      <c r="O372" s="11" t="n">
        <f aca="false">IFERROR(I372/H372,"")</f>
        <v>0.726234982932632</v>
      </c>
      <c r="P372" s="10" t="n">
        <f aca="false">IFERROR(J372/H372,"")</f>
        <v>0.0237982651870022</v>
      </c>
      <c r="Q372" s="10" t="n">
        <f aca="false">IFERROR(K372/H372,"")</f>
        <v>0.00677522793433127</v>
      </c>
      <c r="R372" s="10" t="n">
        <f aca="false">IFERROR(L372/H372,"")</f>
        <v>0.00288889217265379</v>
      </c>
      <c r="S372" s="11" t="n">
        <f aca="false">IFERROR(M372/MEDIAN(INDEX($M$5:$M$627,MATCH($A372-90,$A$5:$A$627,1)):INDEX($M$5:$M$627,MATCH($A372+90,$A$5:$A$627,1))),"")</f>
        <v>1.60549512800476</v>
      </c>
      <c r="T372" s="11" t="n">
        <f aca="false">IFERROR(N372/MEDIAN(INDEX($N$5:$N$627,MATCH($A372-90,$A$5:$A$627,1)):INDEX($N$5:$N$627,MATCH($A372+90,$A$5:$A$627,1))),"")</f>
        <v>1.02803518867097</v>
      </c>
      <c r="U372" s="11" t="n">
        <f aca="false">IFERROR(Q372/MEDIAN(INDEX($Q$5:$Q$627,MATCH($A372-90,$A$5:$A$627,1)):INDEX($Q$5:$Q$627,MATCH($A372+90,$A$5:$A$627,1))),"")</f>
        <v>0.753927773511851</v>
      </c>
    </row>
    <row r="373" customFormat="false" ht="15" hidden="false" customHeight="false" outlineLevel="0" collapsed="false">
      <c r="A373" s="13" t="n">
        <v>45916.6289502199</v>
      </c>
      <c r="B373" s="8" t="n">
        <v>15</v>
      </c>
      <c r="C373" s="8" t="s">
        <v>64</v>
      </c>
      <c r="D373" s="8" t="s">
        <v>438</v>
      </c>
      <c r="E373" s="14" t="s">
        <v>66</v>
      </c>
      <c r="F373" s="9" t="n">
        <v>15377</v>
      </c>
      <c r="G373" s="9" t="n">
        <v>1382</v>
      </c>
      <c r="H373" s="9" t="n">
        <v>849</v>
      </c>
      <c r="I373" s="9" t="n">
        <v>688</v>
      </c>
      <c r="J373" s="9" t="n">
        <v>40</v>
      </c>
      <c r="K373" s="9" t="n">
        <v>0</v>
      </c>
      <c r="L373" s="9" t="n">
        <v>0</v>
      </c>
      <c r="M373" s="10" t="n">
        <f aca="false">IFERROR(G373/F373,"")</f>
        <v>0.0898744878714964</v>
      </c>
      <c r="N373" s="10" t="n">
        <f aca="false">IFERROR(H373/G373,"")</f>
        <v>0.614327062228654</v>
      </c>
      <c r="O373" s="11" t="n">
        <f aca="false">IFERROR(I373/H373,"")</f>
        <v>0.810365135453475</v>
      </c>
      <c r="P373" s="10" t="n">
        <f aca="false">IFERROR(J373/H373,"")</f>
        <v>0.0471142520612485</v>
      </c>
      <c r="Q373" s="10" t="n">
        <f aca="false">IFERROR(K373/H373,"")</f>
        <v>0</v>
      </c>
      <c r="R373" s="10" t="n">
        <f aca="false">IFERROR(L373/H373,"")</f>
        <v>0</v>
      </c>
      <c r="S373" s="11" t="n">
        <f aca="false">IFERROR(M373/MEDIAN(INDEX($M$5:$M$627,MATCH($A373-90,$A$5:$A$627,1)):INDEX($M$5:$M$627,MATCH($A373+90,$A$5:$A$627,1))),"")</f>
        <v>1.49906176939561</v>
      </c>
      <c r="T373" s="11" t="n">
        <f aca="false">IFERROR(N373/MEDIAN(INDEX($N$5:$N$627,MATCH($A373-90,$A$5:$A$627,1)):INDEX($N$5:$N$627,MATCH($A373+90,$A$5:$A$627,1))),"")</f>
        <v>1.13415424438311</v>
      </c>
      <c r="U373" s="11" t="n">
        <f aca="false">IFERROR(Q373/MEDIAN(INDEX($Q$5:$Q$627,MATCH($A373-90,$A$5:$A$627,1)):INDEX($Q$5:$Q$627,MATCH($A373+90,$A$5:$A$627,1))),"")</f>
        <v>0</v>
      </c>
    </row>
    <row r="374" customFormat="false" ht="15" hidden="false" customHeight="false" outlineLevel="0" collapsed="false">
      <c r="A374" s="13" t="n">
        <v>45917.212546412</v>
      </c>
      <c r="B374" s="8" t="n">
        <v>5</v>
      </c>
      <c r="C374" s="8" t="s">
        <v>71</v>
      </c>
      <c r="D374" s="8" t="s">
        <v>439</v>
      </c>
      <c r="E374" s="14" t="s">
        <v>66</v>
      </c>
      <c r="F374" s="9" t="n">
        <v>5790566</v>
      </c>
      <c r="G374" s="9" t="n">
        <v>386220</v>
      </c>
      <c r="H374" s="9" t="n">
        <v>188133</v>
      </c>
      <c r="I374" s="9" t="n">
        <v>168437</v>
      </c>
      <c r="J374" s="9" t="n">
        <v>4887</v>
      </c>
      <c r="K374" s="9" t="n">
        <v>1107</v>
      </c>
      <c r="L374" s="9" t="n">
        <v>822</v>
      </c>
      <c r="M374" s="10" t="n">
        <f aca="false">IFERROR(G374/F374,"")</f>
        <v>0.0666981431521547</v>
      </c>
      <c r="N374" s="10" t="n">
        <f aca="false">IFERROR(H374/G374,"")</f>
        <v>0.487113562218425</v>
      </c>
      <c r="O374" s="11" t="n">
        <f aca="false">IFERROR(I374/H374,"")</f>
        <v>0.895308106499126</v>
      </c>
      <c r="P374" s="10" t="n">
        <f aca="false">IFERROR(J374/H374,"")</f>
        <v>0.0259763039977038</v>
      </c>
      <c r="Q374" s="10" t="n">
        <f aca="false">IFERROR(K374/H374,"")</f>
        <v>0.00588413515970085</v>
      </c>
      <c r="R374" s="10" t="n">
        <f aca="false">IFERROR(L374/H374,"")</f>
        <v>0.00436924941397841</v>
      </c>
      <c r="S374" s="11" t="n">
        <f aca="false">IFERROR(M374/MEDIAN(INDEX($M$5:$M$627,MATCH($A374-90,$A$5:$A$627,1)):INDEX($M$5:$M$627,MATCH($A374+90,$A$5:$A$627,1))),"")</f>
        <v>1.11249186345328</v>
      </c>
      <c r="T374" s="11" t="n">
        <f aca="false">IFERROR(N374/MEDIAN(INDEX($N$5:$N$627,MATCH($A374-90,$A$5:$A$627,1)):INDEX($N$5:$N$627,MATCH($A374+90,$A$5:$A$627,1))),"")</f>
        <v>0.899296072164527</v>
      </c>
      <c r="U374" s="11" t="n">
        <f aca="false">IFERROR(Q374/MEDIAN(INDEX($Q$5:$Q$627,MATCH($A374-90,$A$5:$A$627,1)):INDEX($Q$5:$Q$627,MATCH($A374+90,$A$5:$A$627,1))),"")</f>
        <v>0.636957631037617</v>
      </c>
    </row>
    <row r="375" customFormat="false" ht="15" hidden="false" customHeight="false" outlineLevel="0" collapsed="false">
      <c r="A375" s="13" t="n">
        <v>45918.2510251157</v>
      </c>
      <c r="B375" s="8" t="n">
        <v>6</v>
      </c>
      <c r="C375" s="8" t="s">
        <v>73</v>
      </c>
      <c r="D375" s="8" t="s">
        <v>440</v>
      </c>
      <c r="E375" s="14" t="s">
        <v>66</v>
      </c>
      <c r="F375" s="9" t="n">
        <v>57245</v>
      </c>
      <c r="G375" s="9" t="n">
        <v>7284</v>
      </c>
      <c r="H375" s="9" t="n">
        <v>5849</v>
      </c>
      <c r="I375" s="9" t="n">
        <v>4635</v>
      </c>
      <c r="J375" s="9" t="n">
        <v>89</v>
      </c>
      <c r="K375" s="9" t="n">
        <v>0</v>
      </c>
      <c r="L375" s="9" t="n">
        <v>16</v>
      </c>
      <c r="M375" s="10" t="n">
        <f aca="false">IFERROR(G375/F375,"")</f>
        <v>0.127242553934841</v>
      </c>
      <c r="N375" s="10" t="n">
        <f aca="false">IFERROR(H375/G375,"")</f>
        <v>0.802992861065349</v>
      </c>
      <c r="O375" s="11" t="n">
        <f aca="false">IFERROR(I375/H375,"")</f>
        <v>0.792443152675671</v>
      </c>
      <c r="P375" s="10" t="n">
        <f aca="false">IFERROR(J375/H375,"")</f>
        <v>0.0152162762865447</v>
      </c>
      <c r="Q375" s="10" t="n">
        <f aca="false">IFERROR(K375/H375,"")</f>
        <v>0</v>
      </c>
      <c r="R375" s="10" t="n">
        <f aca="false">IFERROR(L375/H375,"")</f>
        <v>0.00273551034364849</v>
      </c>
      <c r="S375" s="11" t="n">
        <f aca="false">IFERROR(M375/MEDIAN(INDEX($M$5:$M$627,MATCH($A375-90,$A$5:$A$627,1)):INDEX($M$5:$M$627,MATCH($A375+90,$A$5:$A$627,1))),"")</f>
        <v>2.09253840126484</v>
      </c>
      <c r="T375" s="11" t="n">
        <f aca="false">IFERROR(N375/MEDIAN(INDEX($N$5:$N$627,MATCH($A375-90,$A$5:$A$627,1)):INDEX($N$5:$N$627,MATCH($A375+90,$A$5:$A$627,1))),"")</f>
        <v>1.46275525393505</v>
      </c>
      <c r="U375" s="11" t="n">
        <f aca="false">IFERROR(Q375/MEDIAN(INDEX($Q$5:$Q$627,MATCH($A375-90,$A$5:$A$627,1)):INDEX($Q$5:$Q$627,MATCH($A375+90,$A$5:$A$627,1))),"")</f>
        <v>0</v>
      </c>
    </row>
    <row r="376" customFormat="false" ht="15" hidden="false" customHeight="false" outlineLevel="0" collapsed="false">
      <c r="A376" s="13" t="n">
        <v>45919.2152575</v>
      </c>
      <c r="B376" s="8" t="n">
        <v>5</v>
      </c>
      <c r="C376" s="8" t="s">
        <v>84</v>
      </c>
      <c r="D376" s="8" t="s">
        <v>441</v>
      </c>
      <c r="E376" s="14" t="s">
        <v>66</v>
      </c>
      <c r="F376" s="9" t="n">
        <v>7530080</v>
      </c>
      <c r="G376" s="9" t="n">
        <v>485581</v>
      </c>
      <c r="H376" s="9" t="n">
        <v>318525</v>
      </c>
      <c r="I376" s="9" t="n">
        <v>378205</v>
      </c>
      <c r="J376" s="9" t="n">
        <v>6743</v>
      </c>
      <c r="K376" s="9" t="n">
        <v>2765</v>
      </c>
      <c r="L376" s="9" t="n">
        <v>1347</v>
      </c>
      <c r="M376" s="10" t="n">
        <f aca="false">IFERROR(G376/F376,"")</f>
        <v>0.0644855034740667</v>
      </c>
      <c r="N376" s="10" t="n">
        <f aca="false">IFERROR(H376/G376,"")</f>
        <v>0.655966769704745</v>
      </c>
      <c r="O376" s="11" t="n">
        <f aca="false">IFERROR(I376/H376,"")</f>
        <v>1.18736362922848</v>
      </c>
      <c r="P376" s="10" t="n">
        <f aca="false">IFERROR(J376/H376,"")</f>
        <v>0.0211694529471784</v>
      </c>
      <c r="Q376" s="10" t="n">
        <f aca="false">IFERROR(K376/H376,"")</f>
        <v>0.00868063731261282</v>
      </c>
      <c r="R376" s="10" t="n">
        <f aca="false">IFERROR(L376/H376,"")</f>
        <v>0.00422886743583706</v>
      </c>
      <c r="S376" s="11" t="n">
        <f aca="false">IFERROR(M376/MEDIAN(INDEX($M$5:$M$627,MATCH($A376-90,$A$5:$A$627,1)):INDEX($M$5:$M$627,MATCH($A376+90,$A$5:$A$627,1))),"")</f>
        <v>1.06798048397929</v>
      </c>
      <c r="T376" s="11" t="n">
        <f aca="false">IFERROR(N376/MEDIAN(INDEX($N$5:$N$627,MATCH($A376-90,$A$5:$A$627,1)):INDEX($N$5:$N$627,MATCH($A376+90,$A$5:$A$627,1))),"")</f>
        <v>1.19261438625664</v>
      </c>
      <c r="U376" s="11" t="n">
        <f aca="false">IFERROR(Q376/MEDIAN(INDEX($Q$5:$Q$627,MATCH($A376-90,$A$5:$A$627,1)):INDEX($Q$5:$Q$627,MATCH($A376+90,$A$5:$A$627,1))),"")</f>
        <v>0.968444363489785</v>
      </c>
    </row>
    <row r="377" customFormat="false" ht="15" hidden="false" customHeight="false" outlineLevel="0" collapsed="false">
      <c r="A377" s="13" t="n">
        <v>45920.2088743634</v>
      </c>
      <c r="B377" s="8" t="n">
        <v>5</v>
      </c>
      <c r="C377" s="8" t="s">
        <v>68</v>
      </c>
      <c r="D377" s="8" t="s">
        <v>442</v>
      </c>
      <c r="E377" s="14" t="s">
        <v>66</v>
      </c>
      <c r="F377" s="9" t="n">
        <v>261423</v>
      </c>
      <c r="G377" s="9" t="n">
        <v>45590</v>
      </c>
      <c r="H377" s="9" t="n">
        <v>30166</v>
      </c>
      <c r="I377" s="9" t="n">
        <v>12229</v>
      </c>
      <c r="J377" s="9" t="n">
        <v>1209</v>
      </c>
      <c r="K377" s="9" t="n">
        <v>279</v>
      </c>
      <c r="L377" s="9" t="n">
        <v>34</v>
      </c>
      <c r="M377" s="10" t="n">
        <f aca="false">IFERROR(G377/F377,"")</f>
        <v>0.17439169468639</v>
      </c>
      <c r="N377" s="10" t="n">
        <f aca="false">IFERROR(H377/G377,"")</f>
        <v>0.661680193024786</v>
      </c>
      <c r="O377" s="11" t="n">
        <f aca="false">IFERROR(I377/H377,"")</f>
        <v>0.405390174368494</v>
      </c>
      <c r="P377" s="10" t="n">
        <f aca="false">IFERROR(J377/H377,"")</f>
        <v>0.0400782337731221</v>
      </c>
      <c r="Q377" s="10" t="n">
        <f aca="false">IFERROR(K377/H377,"")</f>
        <v>0.00924882317841278</v>
      </c>
      <c r="R377" s="10" t="n">
        <f aca="false">IFERROR(L377/H377,"")</f>
        <v>0.00112709673141948</v>
      </c>
      <c r="S377" s="11" t="n">
        <f aca="false">IFERROR(M377/MEDIAN(INDEX($M$5:$M$627,MATCH($A377-90,$A$5:$A$627,1)):INDEX($M$5:$M$627,MATCH($A377+90,$A$5:$A$627,1))),"")</f>
        <v>2.86261199699755</v>
      </c>
      <c r="T377" s="11" t="n">
        <f aca="false">IFERROR(N377/MEDIAN(INDEX($N$5:$N$627,MATCH($A377-90,$A$5:$A$627,1)):INDEX($N$5:$N$627,MATCH($A377+90,$A$5:$A$627,1))),"")</f>
        <v>1.20300197166637</v>
      </c>
      <c r="U377" s="11" t="n">
        <f aca="false">IFERROR(Q377/MEDIAN(INDEX($Q$5:$Q$627,MATCH($A377-90,$A$5:$A$627,1)):INDEX($Q$5:$Q$627,MATCH($A377+90,$A$5:$A$627,1))),"")</f>
        <v>1.03183330364848</v>
      </c>
    </row>
    <row r="378" customFormat="false" ht="15" hidden="false" customHeight="false" outlineLevel="0" collapsed="false">
      <c r="A378" s="13" t="n">
        <v>45922.2507132292</v>
      </c>
      <c r="B378" s="8" t="n">
        <v>6</v>
      </c>
      <c r="C378" s="8" t="s">
        <v>80</v>
      </c>
      <c r="D378" s="8" t="s">
        <v>443</v>
      </c>
      <c r="E378" s="14" t="s">
        <v>66</v>
      </c>
      <c r="F378" s="9" t="n">
        <v>138133</v>
      </c>
      <c r="G378" s="9" t="n">
        <v>10155</v>
      </c>
      <c r="H378" s="9" t="n">
        <v>6238</v>
      </c>
      <c r="I378" s="9" t="n">
        <v>6856</v>
      </c>
      <c r="J378" s="9" t="n">
        <v>346</v>
      </c>
      <c r="K378" s="9" t="n">
        <v>39</v>
      </c>
      <c r="L378" s="9" t="n">
        <v>26</v>
      </c>
      <c r="M378" s="10" t="n">
        <f aca="false">IFERROR(G378/F378,"")</f>
        <v>0.0735161040446526</v>
      </c>
      <c r="N378" s="10" t="n">
        <f aca="false">IFERROR(H378/G378,"")</f>
        <v>0.614278680452979</v>
      </c>
      <c r="O378" s="11" t="n">
        <f aca="false">IFERROR(I378/H378,"")</f>
        <v>1.09907021481244</v>
      </c>
      <c r="P378" s="10" t="n">
        <f aca="false">IFERROR(J378/H378,"")</f>
        <v>0.0554664956716896</v>
      </c>
      <c r="Q378" s="10" t="n">
        <f aca="false">IFERROR(K378/H378,"")</f>
        <v>0.00625200384738698</v>
      </c>
      <c r="R378" s="10" t="n">
        <f aca="false">IFERROR(L378/H378,"")</f>
        <v>0.00416800256492466</v>
      </c>
      <c r="S378" s="11" t="n">
        <f aca="false">IFERROR(M378/MEDIAN(INDEX($M$5:$M$627,MATCH($A378-90,$A$5:$A$627,1)):INDEX($M$5:$M$627,MATCH($A378+90,$A$5:$A$627,1))),"")</f>
        <v>1.20452630703783</v>
      </c>
      <c r="T378" s="11" t="n">
        <f aca="false">IFERROR(N378/MEDIAN(INDEX($N$5:$N$627,MATCH($A378-90,$A$5:$A$627,1)):INDEX($N$5:$N$627,MATCH($A378+90,$A$5:$A$627,1))),"")</f>
        <v>1.11466277532331</v>
      </c>
      <c r="U378" s="11" t="n">
        <f aca="false">IFERROR(Q378/MEDIAN(INDEX($Q$5:$Q$627,MATCH($A378-90,$A$5:$A$627,1)):INDEX($Q$5:$Q$627,MATCH($A378+90,$A$5:$A$627,1))),"")</f>
        <v>0.699298208115137</v>
      </c>
    </row>
    <row r="379" customFormat="false" ht="15" hidden="false" customHeight="false" outlineLevel="0" collapsed="false">
      <c r="A379" s="13" t="n">
        <v>45923.5353091667</v>
      </c>
      <c r="B379" s="8" t="n">
        <v>12</v>
      </c>
      <c r="C379" s="8" t="s">
        <v>64</v>
      </c>
      <c r="D379" s="8" t="s">
        <v>444</v>
      </c>
      <c r="E379" s="14" t="s">
        <v>66</v>
      </c>
      <c r="F379" s="9" t="n">
        <v>3847</v>
      </c>
      <c r="G379" s="9" t="n">
        <v>207</v>
      </c>
      <c r="H379" s="9" t="n">
        <v>157</v>
      </c>
      <c r="I379" s="9" t="n">
        <v>95</v>
      </c>
      <c r="J379" s="9" t="n">
        <v>21</v>
      </c>
      <c r="K379" s="9" t="n">
        <v>0</v>
      </c>
      <c r="L379" s="9" t="n">
        <v>0</v>
      </c>
      <c r="M379" s="10" t="n">
        <f aca="false">IFERROR(G379/F379,"")</f>
        <v>0.0538081622043151</v>
      </c>
      <c r="N379" s="10" t="n">
        <f aca="false">IFERROR(H379/G379,"")</f>
        <v>0.758454106280193</v>
      </c>
      <c r="O379" s="11" t="n">
        <f aca="false">IFERROR(I379/H379,"")</f>
        <v>0.605095541401274</v>
      </c>
      <c r="P379" s="10" t="n">
        <f aca="false">IFERROR(J379/H379,"")</f>
        <v>0.13375796178344</v>
      </c>
      <c r="Q379" s="10" t="n">
        <f aca="false">IFERROR(K379/H379,"")</f>
        <v>0</v>
      </c>
      <c r="R379" s="10" t="n">
        <f aca="false">IFERROR(L379/H379,"")</f>
        <v>0</v>
      </c>
      <c r="S379" s="11" t="n">
        <f aca="false">IFERROR(M379/MEDIAN(INDEX($M$5:$M$627,MATCH($A379-90,$A$5:$A$627,1)):INDEX($M$5:$M$627,MATCH($A379+90,$A$5:$A$627,1))),"")</f>
        <v>0.881621078139415</v>
      </c>
      <c r="T379" s="11" t="n">
        <f aca="false">IFERROR(N379/MEDIAN(INDEX($N$5:$N$627,MATCH($A379-90,$A$5:$A$627,1)):INDEX($N$5:$N$627,MATCH($A379+90,$A$5:$A$627,1))),"")</f>
        <v>1.37628178539131</v>
      </c>
      <c r="U379" s="11" t="n">
        <f aca="false">IFERROR(Q379/MEDIAN(INDEX($Q$5:$Q$627,MATCH($A379-90,$A$5:$A$627,1)):INDEX($Q$5:$Q$627,MATCH($A379+90,$A$5:$A$627,1))),"")</f>
        <v>0</v>
      </c>
    </row>
    <row r="380" customFormat="false" ht="15" hidden="false" customHeight="false" outlineLevel="0" collapsed="false">
      <c r="A380" s="13" t="n">
        <v>45924.2504565857</v>
      </c>
      <c r="B380" s="8" t="n">
        <v>6</v>
      </c>
      <c r="C380" s="8" t="s">
        <v>71</v>
      </c>
      <c r="D380" s="8" t="s">
        <v>445</v>
      </c>
      <c r="E380" s="14" t="s">
        <v>66</v>
      </c>
      <c r="F380" s="9" t="n">
        <v>466596</v>
      </c>
      <c r="G380" s="9" t="n">
        <v>22316</v>
      </c>
      <c r="H380" s="9" t="n">
        <v>9806</v>
      </c>
      <c r="I380" s="9" t="n">
        <v>7833</v>
      </c>
      <c r="J380" s="9" t="n">
        <v>406</v>
      </c>
      <c r="K380" s="9" t="n">
        <v>396</v>
      </c>
      <c r="L380" s="9" t="n">
        <v>58</v>
      </c>
      <c r="M380" s="10" t="n">
        <f aca="false">IFERROR(G380/F380,"")</f>
        <v>0.0478272424109937</v>
      </c>
      <c r="N380" s="10" t="n">
        <f aca="false">IFERROR(H380/G380,"")</f>
        <v>0.439415665889944</v>
      </c>
      <c r="O380" s="11" t="n">
        <f aca="false">IFERROR(I380/H380,"")</f>
        <v>0.798796655109117</v>
      </c>
      <c r="P380" s="10" t="n">
        <f aca="false">IFERROR(J380/H380,"")</f>
        <v>0.0414032225168264</v>
      </c>
      <c r="Q380" s="10" t="n">
        <f aca="false">IFERROR(K380/H380,"")</f>
        <v>0.0403834387109933</v>
      </c>
      <c r="R380" s="10" t="n">
        <f aca="false">IFERROR(L380/H380,"")</f>
        <v>0.00591474607383235</v>
      </c>
      <c r="S380" s="11" t="n">
        <f aca="false">IFERROR(M380/MEDIAN(INDEX($M$5:$M$627,MATCH($A380-90,$A$5:$A$627,1)):INDEX($M$5:$M$627,MATCH($A380+90,$A$5:$A$627,1))),"")</f>
        <v>0.783626559455955</v>
      </c>
      <c r="T380" s="11" t="n">
        <f aca="false">IFERROR(N380/MEDIAN(INDEX($N$5:$N$627,MATCH($A380-90,$A$5:$A$627,1)):INDEX($N$5:$N$627,MATCH($A380+90,$A$5:$A$627,1))),"")</f>
        <v>0.797358432332766</v>
      </c>
      <c r="U380" s="11" t="n">
        <f aca="false">IFERROR(Q380/MEDIAN(INDEX($Q$5:$Q$627,MATCH($A380-90,$A$5:$A$627,1)):INDEX($Q$5:$Q$627,MATCH($A380+90,$A$5:$A$627,1))),"")</f>
        <v>4.51696240397036</v>
      </c>
    </row>
    <row r="381" customFormat="false" ht="15" hidden="false" customHeight="false" outlineLevel="0" collapsed="false">
      <c r="A381" s="13" t="n">
        <v>45925.2919414699</v>
      </c>
      <c r="B381" s="8" t="n">
        <v>7</v>
      </c>
      <c r="C381" s="8" t="s">
        <v>73</v>
      </c>
      <c r="D381" s="8" t="s">
        <v>446</v>
      </c>
      <c r="E381" s="14" t="s">
        <v>66</v>
      </c>
      <c r="F381" s="9" t="n">
        <v>694001</v>
      </c>
      <c r="G381" s="9" t="n">
        <v>127517</v>
      </c>
      <c r="H381" s="9" t="n">
        <v>62231</v>
      </c>
      <c r="I381" s="9" t="n">
        <v>29180</v>
      </c>
      <c r="J381" s="9" t="n">
        <v>832</v>
      </c>
      <c r="K381" s="9" t="n">
        <v>0</v>
      </c>
      <c r="L381" s="9" t="n">
        <v>138</v>
      </c>
      <c r="M381" s="10" t="n">
        <f aca="false">IFERROR(G381/F381,"")</f>
        <v>0.183741810170302</v>
      </c>
      <c r="N381" s="10" t="n">
        <f aca="false">IFERROR(H381/G381,"")</f>
        <v>0.488021205015802</v>
      </c>
      <c r="O381" s="11" t="n">
        <f aca="false">IFERROR(I381/H381,"")</f>
        <v>0.468898137584162</v>
      </c>
      <c r="P381" s="10" t="n">
        <f aca="false">IFERROR(J381/H381,"")</f>
        <v>0.0133695425109672</v>
      </c>
      <c r="Q381" s="10" t="n">
        <f aca="false">IFERROR(K381/H381,"")</f>
        <v>0</v>
      </c>
      <c r="R381" s="10" t="n">
        <f aca="false">IFERROR(L381/H381,"")</f>
        <v>0.00221754431071331</v>
      </c>
      <c r="S381" s="11" t="n">
        <f aca="false">IFERROR(M381/MEDIAN(INDEX($M$5:$M$627,MATCH($A381-90,$A$5:$A$627,1)):INDEX($M$5:$M$627,MATCH($A381+90,$A$5:$A$627,1))),"")</f>
        <v>3.0160926590537</v>
      </c>
      <c r="T381" s="11" t="n">
        <f aca="false">IFERROR(N381/MEDIAN(INDEX($N$5:$N$627,MATCH($A381-90,$A$5:$A$627,1)):INDEX($N$5:$N$627,MATCH($A381+90,$A$5:$A$627,1))),"")</f>
        <v>0.88490654972952</v>
      </c>
      <c r="U381" s="11" t="n">
        <f aca="false">IFERROR(Q381/MEDIAN(INDEX($Q$5:$Q$627,MATCH($A381-90,$A$5:$A$627,1)):INDEX($Q$5:$Q$627,MATCH($A381+90,$A$5:$A$627,1))),"")</f>
        <v>0</v>
      </c>
    </row>
    <row r="382" customFormat="false" ht="15" hidden="false" customHeight="false" outlineLevel="0" collapsed="false">
      <c r="A382" s="13" t="n">
        <v>45926.2504433681</v>
      </c>
      <c r="B382" s="8" t="n">
        <v>6</v>
      </c>
      <c r="C382" s="8" t="s">
        <v>84</v>
      </c>
      <c r="D382" s="8" t="s">
        <v>447</v>
      </c>
      <c r="E382" s="14" t="s">
        <v>66</v>
      </c>
      <c r="F382" s="9" t="n">
        <v>61350</v>
      </c>
      <c r="G382" s="9" t="n">
        <v>2594</v>
      </c>
      <c r="H382" s="9" t="n">
        <v>1424</v>
      </c>
      <c r="I382" s="9" t="n">
        <v>1615</v>
      </c>
      <c r="J382" s="9" t="n">
        <v>100</v>
      </c>
      <c r="K382" s="9" t="n">
        <v>26</v>
      </c>
      <c r="L382" s="9" t="n">
        <v>6</v>
      </c>
      <c r="M382" s="10" t="n">
        <f aca="false">IFERROR(G382/F382,"")</f>
        <v>0.0422819885900571</v>
      </c>
      <c r="N382" s="10" t="n">
        <f aca="false">IFERROR(H382/G382,"")</f>
        <v>0.548959136468774</v>
      </c>
      <c r="O382" s="11" t="n">
        <f aca="false">IFERROR(I382/H382,"")</f>
        <v>1.13412921348315</v>
      </c>
      <c r="P382" s="10" t="n">
        <f aca="false">IFERROR(J382/H382,"")</f>
        <v>0.0702247191011236</v>
      </c>
      <c r="Q382" s="10" t="n">
        <f aca="false">IFERROR(K382/H382,"")</f>
        <v>0.0182584269662921</v>
      </c>
      <c r="R382" s="10" t="n">
        <f aca="false">IFERROR(L382/H382,"")</f>
        <v>0.00421348314606742</v>
      </c>
      <c r="S382" s="11" t="n">
        <f aca="false">IFERROR(M382/MEDIAN(INDEX($M$5:$M$627,MATCH($A382-90,$A$5:$A$627,1)):INDEX($M$5:$M$627,MATCH($A382+90,$A$5:$A$627,1))),"")</f>
        <v>0.700255657555283</v>
      </c>
      <c r="T382" s="11" t="n">
        <f aca="false">IFERROR(N382/MEDIAN(INDEX($N$5:$N$627,MATCH($A382-90,$A$5:$A$627,1)):INDEX($N$5:$N$627,MATCH($A382+90,$A$5:$A$627,1))),"")</f>
        <v>0.995402516124992</v>
      </c>
      <c r="U382" s="11" t="n">
        <f aca="false">IFERROR(Q382/MEDIAN(INDEX($Q$5:$Q$627,MATCH($A382-90,$A$5:$A$627,1)):INDEX($Q$5:$Q$627,MATCH($A382+90,$A$5:$A$627,1))),"")</f>
        <v>2.04681582416746</v>
      </c>
    </row>
    <row r="383" customFormat="false" ht="15" hidden="false" customHeight="false" outlineLevel="0" collapsed="false">
      <c r="A383" s="13" t="n">
        <v>45927.2505053704</v>
      </c>
      <c r="B383" s="8" t="n">
        <v>6</v>
      </c>
      <c r="C383" s="8" t="s">
        <v>68</v>
      </c>
      <c r="D383" s="8" t="s">
        <v>448</v>
      </c>
      <c r="E383" s="14" t="s">
        <v>66</v>
      </c>
      <c r="F383" s="9" t="n">
        <v>94942</v>
      </c>
      <c r="G383" s="9" t="n">
        <v>12511</v>
      </c>
      <c r="H383" s="9" t="n">
        <v>7290</v>
      </c>
      <c r="I383" s="9" t="n">
        <v>4280</v>
      </c>
      <c r="J383" s="9" t="n">
        <v>551</v>
      </c>
      <c r="K383" s="9" t="n">
        <v>320</v>
      </c>
      <c r="L383" s="9" t="n">
        <v>20</v>
      </c>
      <c r="M383" s="10" t="n">
        <f aca="false">IFERROR(G383/F383,"")</f>
        <v>0.131775189062796</v>
      </c>
      <c r="N383" s="10" t="n">
        <f aca="false">IFERROR(H383/G383,"")</f>
        <v>0.582687235232995</v>
      </c>
      <c r="O383" s="11" t="n">
        <f aca="false">IFERROR(I383/H383,"")</f>
        <v>0.587105624142661</v>
      </c>
      <c r="P383" s="10" t="n">
        <f aca="false">IFERROR(J383/H383,"")</f>
        <v>0.0755829903978052</v>
      </c>
      <c r="Q383" s="10" t="n">
        <f aca="false">IFERROR(K383/H383,"")</f>
        <v>0.0438957475994513</v>
      </c>
      <c r="R383" s="10" t="n">
        <f aca="false">IFERROR(L383/H383,"")</f>
        <v>0.00274348422496571</v>
      </c>
      <c r="S383" s="11" t="n">
        <f aca="false">IFERROR(M383/MEDIAN(INDEX($M$5:$M$627,MATCH($A383-90,$A$5:$A$627,1)):INDEX($M$5:$M$627,MATCH($A383+90,$A$5:$A$627,1))),"")</f>
        <v>2.19794463097647</v>
      </c>
      <c r="T383" s="11" t="n">
        <f aca="false">IFERROR(N383/MEDIAN(INDEX($N$5:$N$627,MATCH($A383-90,$A$5:$A$627,1)):INDEX($N$5:$N$627,MATCH($A383+90,$A$5:$A$627,1))),"")</f>
        <v>1.05578409912584</v>
      </c>
      <c r="U383" s="11" t="n">
        <f aca="false">IFERROR(Q383/MEDIAN(INDEX($Q$5:$Q$627,MATCH($A383-90,$A$5:$A$627,1)):INDEX($Q$5:$Q$627,MATCH($A383+90,$A$5:$A$627,1))),"")</f>
        <v>4.93187734249268</v>
      </c>
    </row>
    <row r="384" customFormat="false" ht="15" hidden="false" customHeight="false" outlineLevel="0" collapsed="false">
      <c r="A384" s="13" t="n">
        <v>45929.0613148148</v>
      </c>
      <c r="B384" s="8" t="n">
        <v>1</v>
      </c>
      <c r="C384" s="8" t="s">
        <v>80</v>
      </c>
      <c r="D384" s="8" t="s">
        <v>449</v>
      </c>
      <c r="E384" s="14" t="s">
        <v>66</v>
      </c>
      <c r="F384" s="9" t="n">
        <v>120054</v>
      </c>
      <c r="G384" s="9" t="n">
        <v>16371</v>
      </c>
      <c r="H384" s="9" t="n">
        <v>8816</v>
      </c>
      <c r="I384" s="9" t="n">
        <v>6601</v>
      </c>
      <c r="J384" s="9" t="n">
        <v>119</v>
      </c>
      <c r="K384" s="9" t="n">
        <v>0</v>
      </c>
      <c r="L384" s="9" t="n">
        <v>19</v>
      </c>
      <c r="M384" s="10" t="n">
        <f aca="false">IFERROR(G384/F384,"")</f>
        <v>0.136363636363636</v>
      </c>
      <c r="N384" s="10" t="n">
        <f aca="false">IFERROR(H384/G384,"")</f>
        <v>0.538513224604484</v>
      </c>
      <c r="O384" s="11" t="n">
        <f aca="false">IFERROR(I384/H384,"")</f>
        <v>0.748752268602541</v>
      </c>
      <c r="P384" s="10" t="n">
        <f aca="false">IFERROR(J384/H384,"")</f>
        <v>0.0134981851179673</v>
      </c>
      <c r="Q384" s="10" t="n">
        <f aca="false">IFERROR(K384/H384,"")</f>
        <v>0</v>
      </c>
      <c r="R384" s="10" t="n">
        <f aca="false">IFERROR(L384/H384,"")</f>
        <v>0.0021551724137931</v>
      </c>
      <c r="S384" s="11" t="n">
        <f aca="false">IFERROR(M384/MEDIAN(INDEX($M$5:$M$627,MATCH($A384-90,$A$5:$A$627,1)):INDEX($M$5:$M$627,MATCH($A384+90,$A$5:$A$627,1))),"")</f>
        <v>2.25839443774181</v>
      </c>
      <c r="T384" s="11" t="n">
        <f aca="false">IFERROR(N384/MEDIAN(INDEX($N$5:$N$627,MATCH($A384-90,$A$5:$A$627,1)):INDEX($N$5:$N$627,MATCH($A384+90,$A$5:$A$627,1))),"")</f>
        <v>0.97276253093476</v>
      </c>
      <c r="U384" s="11" t="n">
        <f aca="false">IFERROR(Q384/MEDIAN(INDEX($Q$5:$Q$627,MATCH($A384-90,$A$5:$A$627,1)):INDEX($Q$5:$Q$627,MATCH($A384+90,$A$5:$A$627,1))),"")</f>
        <v>0</v>
      </c>
    </row>
    <row r="385" customFormat="false" ht="15" hidden="false" customHeight="false" outlineLevel="0" collapsed="false">
      <c r="A385" s="13" t="n">
        <v>45929.25039875</v>
      </c>
      <c r="B385" s="8" t="n">
        <v>6</v>
      </c>
      <c r="C385" s="8" t="s">
        <v>80</v>
      </c>
      <c r="D385" s="8" t="s">
        <v>450</v>
      </c>
      <c r="E385" s="14" t="s">
        <v>66</v>
      </c>
      <c r="F385" s="9" t="n">
        <v>342385</v>
      </c>
      <c r="G385" s="9" t="n">
        <v>20344</v>
      </c>
      <c r="H385" s="9" t="n">
        <v>12565</v>
      </c>
      <c r="I385" s="9" t="n">
        <v>13000</v>
      </c>
      <c r="J385" s="9" t="n">
        <v>307</v>
      </c>
      <c r="K385" s="9" t="n">
        <v>200</v>
      </c>
      <c r="L385" s="9" t="n">
        <v>39</v>
      </c>
      <c r="M385" s="10" t="n">
        <f aca="false">IFERROR(G385/F385,"")</f>
        <v>0.0594184908801495</v>
      </c>
      <c r="N385" s="10" t="n">
        <f aca="false">IFERROR(H385/G385,"")</f>
        <v>0.61762681871805</v>
      </c>
      <c r="O385" s="11" t="n">
        <f aca="false">IFERROR(I385/H385,"")</f>
        <v>1.03461997612415</v>
      </c>
      <c r="P385" s="10" t="n">
        <f aca="false">IFERROR(J385/H385,"")</f>
        <v>0.024432948666932</v>
      </c>
      <c r="Q385" s="10" t="n">
        <f aca="false">IFERROR(K385/H385,"")</f>
        <v>0.0159172304019101</v>
      </c>
      <c r="R385" s="10" t="n">
        <f aca="false">IFERROR(L385/H385,"")</f>
        <v>0.00310385992837246</v>
      </c>
      <c r="S385" s="11" t="n">
        <f aca="false">IFERROR(M385/MEDIAN(INDEX($M$5:$M$627,MATCH($A385-90,$A$5:$A$627,1)):INDEX($M$5:$M$627,MATCH($A385+90,$A$5:$A$627,1))),"")</f>
        <v>0.984062854886778</v>
      </c>
      <c r="T385" s="11" t="n">
        <f aca="false">IFERROR(N385/MEDIAN(INDEX($N$5:$N$627,MATCH($A385-90,$A$5:$A$627,1)):INDEX($N$5:$N$627,MATCH($A385+90,$A$5:$A$627,1))),"")</f>
        <v>1.1156721876062</v>
      </c>
      <c r="U385" s="11" t="n">
        <f aca="false">IFERROR(Q385/MEDIAN(INDEX($Q$5:$Q$627,MATCH($A385-90,$A$5:$A$627,1)):INDEX($Q$5:$Q$627,MATCH($A385+90,$A$5:$A$627,1))),"")</f>
        <v>1.79511539796139</v>
      </c>
    </row>
    <row r="386" customFormat="false" ht="15" hidden="false" customHeight="false" outlineLevel="0" collapsed="false">
      <c r="A386" s="13" t="n">
        <v>45931.2500215278</v>
      </c>
      <c r="B386" s="8" t="n">
        <v>6</v>
      </c>
      <c r="C386" s="8" t="s">
        <v>71</v>
      </c>
      <c r="D386" s="8" t="s">
        <v>451</v>
      </c>
      <c r="E386" s="14" t="s">
        <v>66</v>
      </c>
      <c r="F386" s="9" t="n">
        <v>1197947</v>
      </c>
      <c r="G386" s="9" t="n">
        <v>239792</v>
      </c>
      <c r="H386" s="9" t="n">
        <v>145721</v>
      </c>
      <c r="I386" s="9" t="n">
        <v>61155</v>
      </c>
      <c r="J386" s="9" t="n">
        <v>3009</v>
      </c>
      <c r="K386" s="9" t="n">
        <v>1022</v>
      </c>
      <c r="L386" s="9" t="n">
        <v>739</v>
      </c>
      <c r="M386" s="10" t="n">
        <f aca="false">IFERROR(G386/F386,"")</f>
        <v>0.200169122674042</v>
      </c>
      <c r="N386" s="10" t="n">
        <f aca="false">IFERROR(H386/G386,"")</f>
        <v>0.607697504503903</v>
      </c>
      <c r="O386" s="11" t="n">
        <f aca="false">IFERROR(I386/H386,"")</f>
        <v>0.419671838650572</v>
      </c>
      <c r="P386" s="10" t="n">
        <f aca="false">IFERROR(J386/H386,"")</f>
        <v>0.0206490485242347</v>
      </c>
      <c r="Q386" s="10" t="n">
        <f aca="false">IFERROR(K386/H386,"")</f>
        <v>0.00701340232361842</v>
      </c>
      <c r="R386" s="10" t="n">
        <f aca="false">IFERROR(L386/H386,"")</f>
        <v>0.0050713349482916</v>
      </c>
      <c r="S386" s="11" t="n">
        <f aca="false">IFERROR(M386/MEDIAN(INDEX($M$5:$M$627,MATCH($A386-90,$A$5:$A$627,1)):INDEX($M$5:$M$627,MATCH($A386+90,$A$5:$A$627,1))),"")</f>
        <v>3.36880186132283</v>
      </c>
      <c r="T386" s="11" t="n">
        <f aca="false">IFERROR(N386/MEDIAN(INDEX($N$5:$N$627,MATCH($A386-90,$A$5:$A$627,1)):INDEX($N$5:$N$627,MATCH($A386+90,$A$5:$A$627,1))),"")</f>
        <v>1.10110076819706</v>
      </c>
      <c r="U386" s="11" t="n">
        <f aca="false">IFERROR(Q386/MEDIAN(INDEX($Q$5:$Q$627,MATCH($A386-90,$A$5:$A$627,1)):INDEX($Q$5:$Q$627,MATCH($A386+90,$A$5:$A$627,1))),"")</f>
        <v>0.793953109199368</v>
      </c>
    </row>
    <row r="387" customFormat="false" ht="15" hidden="false" customHeight="false" outlineLevel="0" collapsed="false">
      <c r="A387" s="13" t="n">
        <v>45932.2517379977</v>
      </c>
      <c r="B387" s="8" t="n">
        <v>6</v>
      </c>
      <c r="C387" s="8" t="s">
        <v>73</v>
      </c>
      <c r="D387" s="8" t="s">
        <v>452</v>
      </c>
      <c r="E387" s="14" t="s">
        <v>66</v>
      </c>
      <c r="F387" s="9" t="n">
        <v>2615</v>
      </c>
      <c r="G387" s="9" t="n">
        <v>32</v>
      </c>
      <c r="H387" s="9" t="n">
        <v>7</v>
      </c>
      <c r="I387" s="9" t="n">
        <v>6</v>
      </c>
      <c r="J387" s="9" t="n">
        <v>3</v>
      </c>
      <c r="K387" s="9" t="n">
        <v>0</v>
      </c>
      <c r="L387" s="9" t="n">
        <v>0</v>
      </c>
      <c r="M387" s="10" t="n">
        <f aca="false">IFERROR(G387/F387,"")</f>
        <v>0.0122370936902486</v>
      </c>
      <c r="N387" s="10" t="n">
        <f aca="false">IFERROR(H387/G387,"")</f>
        <v>0.21875</v>
      </c>
      <c r="O387" s="11" t="n">
        <f aca="false">IFERROR(I387/H387,"")</f>
        <v>0.857142857142857</v>
      </c>
      <c r="P387" s="10" t="n">
        <f aca="false">IFERROR(J387/H387,"")</f>
        <v>0.428571428571429</v>
      </c>
      <c r="Q387" s="10" t="n">
        <f aca="false">IFERROR(K387/H387,"")</f>
        <v>0</v>
      </c>
      <c r="R387" s="10" t="n">
        <f aca="false">IFERROR(L387/H387,"")</f>
        <v>0</v>
      </c>
      <c r="S387" s="11" t="n">
        <f aca="false">IFERROR(M387/MEDIAN(INDEX($M$5:$M$627,MATCH($A387-90,$A$5:$A$627,1)):INDEX($M$5:$M$627,MATCH($A387+90,$A$5:$A$627,1))),"")</f>
        <v>0.208273707196155</v>
      </c>
      <c r="T387" s="11" t="n">
        <f aca="false">IFERROR(N387/MEDIAN(INDEX($N$5:$N$627,MATCH($A387-90,$A$5:$A$627,1)):INDEX($N$5:$N$627,MATCH($A387+90,$A$5:$A$627,1))),"")</f>
        <v>0.395146848618743</v>
      </c>
      <c r="U387" s="11" t="n">
        <f aca="false">IFERROR(Q387/MEDIAN(INDEX($Q$5:$Q$627,MATCH($A387-90,$A$5:$A$627,1)):INDEX($Q$5:$Q$627,MATCH($A387+90,$A$5:$A$627,1))),"")</f>
        <v>0</v>
      </c>
    </row>
    <row r="388" customFormat="false" ht="15" hidden="false" customHeight="false" outlineLevel="0" collapsed="false">
      <c r="A388" s="13" t="n">
        <v>45933.2505280556</v>
      </c>
      <c r="B388" s="8" t="n">
        <v>6</v>
      </c>
      <c r="C388" s="8" t="s">
        <v>84</v>
      </c>
      <c r="D388" s="8" t="s">
        <v>453</v>
      </c>
      <c r="E388" s="14" t="s">
        <v>66</v>
      </c>
      <c r="F388" s="9" t="n">
        <v>133224</v>
      </c>
      <c r="G388" s="9" t="n">
        <v>12982</v>
      </c>
      <c r="H388" s="9" t="n">
        <v>5216</v>
      </c>
      <c r="I388" s="9" t="n">
        <v>4219</v>
      </c>
      <c r="J388" s="9" t="n">
        <v>267</v>
      </c>
      <c r="K388" s="9" t="n">
        <v>189</v>
      </c>
      <c r="L388" s="9" t="n">
        <v>14</v>
      </c>
      <c r="M388" s="10" t="n">
        <f aca="false">IFERROR(G388/F388,"")</f>
        <v>0.097444904821954</v>
      </c>
      <c r="N388" s="10" t="n">
        <f aca="false">IFERROR(H388/G388,"")</f>
        <v>0.401787089816669</v>
      </c>
      <c r="O388" s="11" t="n">
        <f aca="false">IFERROR(I388/H388,"")</f>
        <v>0.80885736196319</v>
      </c>
      <c r="P388" s="10" t="n">
        <f aca="false">IFERROR(J388/H388,"")</f>
        <v>0.0511886503067485</v>
      </c>
      <c r="Q388" s="10" t="n">
        <f aca="false">IFERROR(K388/H388,"")</f>
        <v>0.0362346625766871</v>
      </c>
      <c r="R388" s="10" t="n">
        <f aca="false">IFERROR(L388/H388,"")</f>
        <v>0.0026840490797546</v>
      </c>
      <c r="S388" s="11" t="n">
        <f aca="false">IFERROR(M388/MEDIAN(INDEX($M$5:$M$627,MATCH($A388-90,$A$5:$A$627,1)):INDEX($M$5:$M$627,MATCH($A388+90,$A$5:$A$627,1))),"")</f>
        <v>1.69086402015782</v>
      </c>
      <c r="T388" s="11" t="n">
        <f aca="false">IFERROR(N388/MEDIAN(INDEX($N$5:$N$627,MATCH($A388-90,$A$5:$A$627,1)):INDEX($N$5:$N$627,MATCH($A388+90,$A$5:$A$627,1))),"")</f>
        <v>0.725782410773726</v>
      </c>
      <c r="U388" s="11" t="n">
        <f aca="false">IFERROR(Q388/MEDIAN(INDEX($Q$5:$Q$627,MATCH($A388-90,$A$5:$A$627,1)):INDEX($Q$5:$Q$627,MATCH($A388+90,$A$5:$A$627,1))),"")</f>
        <v>4.1377564011548</v>
      </c>
    </row>
    <row r="389" customFormat="false" ht="15" hidden="false" customHeight="false" outlineLevel="0" collapsed="false">
      <c r="A389" s="13" t="n">
        <v>45934.249962662</v>
      </c>
      <c r="B389" s="8" t="n">
        <v>5</v>
      </c>
      <c r="C389" s="8" t="s">
        <v>68</v>
      </c>
      <c r="D389" s="8" t="s">
        <v>454</v>
      </c>
      <c r="E389" s="14" t="s">
        <v>66</v>
      </c>
      <c r="F389" s="9" t="n">
        <v>168902</v>
      </c>
      <c r="G389" s="9" t="n">
        <v>9656</v>
      </c>
      <c r="H389" s="9" t="n">
        <v>3897</v>
      </c>
      <c r="I389" s="9" t="n">
        <v>3635</v>
      </c>
      <c r="J389" s="9" t="n">
        <v>262</v>
      </c>
      <c r="K389" s="9" t="n">
        <v>62</v>
      </c>
      <c r="L389" s="9" t="n">
        <v>29</v>
      </c>
      <c r="M389" s="10" t="n">
        <f aca="false">IFERROR(G389/F389,"")</f>
        <v>0.0571692460716865</v>
      </c>
      <c r="N389" s="10" t="n">
        <f aca="false">IFERROR(H389/G389,"")</f>
        <v>0.403583264291632</v>
      </c>
      <c r="O389" s="11" t="n">
        <f aca="false">IFERROR(I389/H389,"")</f>
        <v>0.932768796510136</v>
      </c>
      <c r="P389" s="10" t="n">
        <f aca="false">IFERROR(J389/H389,"")</f>
        <v>0.067231203489864</v>
      </c>
      <c r="Q389" s="10" t="n">
        <f aca="false">IFERROR(K389/H389,"")</f>
        <v>0.0159096741082884</v>
      </c>
      <c r="R389" s="10" t="n">
        <f aca="false">IFERROR(L389/H389,"")</f>
        <v>0.00744162176032846</v>
      </c>
      <c r="S389" s="11" t="n">
        <f aca="false">IFERROR(M389/MEDIAN(INDEX($M$5:$M$627,MATCH($A389-90,$A$5:$A$627,1)):INDEX($M$5:$M$627,MATCH($A389+90,$A$5:$A$627,1))),"")</f>
        <v>1</v>
      </c>
      <c r="T389" s="11" t="n">
        <f aca="false">IFERROR(N389/MEDIAN(INDEX($N$5:$N$627,MATCH($A389-90,$A$5:$A$627,1)):INDEX($N$5:$N$627,MATCH($A389+90,$A$5:$A$627,1))),"")</f>
        <v>0.731261588289342</v>
      </c>
      <c r="U389" s="11" t="n">
        <f aca="false">IFERROR(Q389/MEDIAN(INDEX($Q$5:$Q$627,MATCH($A389-90,$A$5:$A$627,1)):INDEX($Q$5:$Q$627,MATCH($A389+90,$A$5:$A$627,1))),"")</f>
        <v>1.83277719542227</v>
      </c>
    </row>
    <row r="390" customFormat="false" ht="15" hidden="false" customHeight="false" outlineLevel="0" collapsed="false">
      <c r="A390" s="13" t="n">
        <v>45936.2434488079</v>
      </c>
      <c r="B390" s="8" t="n">
        <v>5</v>
      </c>
      <c r="C390" s="8" t="s">
        <v>80</v>
      </c>
      <c r="D390" s="8" t="s">
        <v>455</v>
      </c>
      <c r="E390" s="14" t="s">
        <v>66</v>
      </c>
      <c r="F390" s="9" t="n">
        <v>78643</v>
      </c>
      <c r="G390" s="9" t="n">
        <v>3023</v>
      </c>
      <c r="H390" s="9" t="n">
        <v>1619</v>
      </c>
      <c r="I390" s="9" t="n">
        <v>1599</v>
      </c>
      <c r="J390" s="9" t="n">
        <v>170</v>
      </c>
      <c r="K390" s="9" t="n">
        <v>67</v>
      </c>
      <c r="L390" s="9" t="n">
        <v>8</v>
      </c>
      <c r="M390" s="10" t="n">
        <f aca="false">IFERROR(G390/F390,"")</f>
        <v>0.0384395305367293</v>
      </c>
      <c r="N390" s="10" t="n">
        <f aca="false">IFERROR(H390/G390,"")</f>
        <v>0.535560701290109</v>
      </c>
      <c r="O390" s="11" t="n">
        <f aca="false">IFERROR(I390/H390,"")</f>
        <v>0.987646695491044</v>
      </c>
      <c r="P390" s="10" t="n">
        <f aca="false">IFERROR(J390/H390,"")</f>
        <v>0.105003088326127</v>
      </c>
      <c r="Q390" s="10" t="n">
        <f aca="false">IFERROR(K390/H390,"")</f>
        <v>0.0413835701050031</v>
      </c>
      <c r="R390" s="10" t="n">
        <f aca="false">IFERROR(L390/H390,"")</f>
        <v>0.00494132180358246</v>
      </c>
      <c r="S390" s="11" t="n">
        <f aca="false">IFERROR(M390/MEDIAN(INDEX($M$5:$M$627,MATCH($A390-90,$A$5:$A$627,1)):INDEX($M$5:$M$627,MATCH($A390+90,$A$5:$A$627,1))),"")</f>
        <v>0.672381274514773</v>
      </c>
      <c r="T390" s="11" t="n">
        <f aca="false">IFERROR(N390/MEDIAN(INDEX($N$5:$N$627,MATCH($A390-90,$A$5:$A$627,1)):INDEX($N$5:$N$627,MATCH($A390+90,$A$5:$A$627,1))),"")</f>
        <v>0.971822068143271</v>
      </c>
      <c r="U390" s="11" t="n">
        <f aca="false">IFERROR(Q390/MEDIAN(INDEX($Q$5:$Q$627,MATCH($A390-90,$A$5:$A$627,1)):INDEX($Q$5:$Q$627,MATCH($A390+90,$A$5:$A$627,1))),"")</f>
        <v>4.68483235932279</v>
      </c>
    </row>
    <row r="391" customFormat="false" ht="15" hidden="false" customHeight="false" outlineLevel="0" collapsed="false">
      <c r="A391" s="13" t="n">
        <v>45937.6430241088</v>
      </c>
      <c r="B391" s="8" t="n">
        <v>15</v>
      </c>
      <c r="C391" s="8" t="s">
        <v>64</v>
      </c>
      <c r="D391" s="8" t="s">
        <v>456</v>
      </c>
      <c r="E391" s="14" t="s">
        <v>66</v>
      </c>
      <c r="F391" s="9" t="n">
        <v>10040</v>
      </c>
      <c r="G391" s="9" t="n">
        <v>457</v>
      </c>
      <c r="H391" s="9" t="n">
        <v>272</v>
      </c>
      <c r="I391" s="9" t="n">
        <v>258</v>
      </c>
      <c r="J391" s="9" t="n">
        <v>16</v>
      </c>
      <c r="K391" s="9" t="n">
        <v>0</v>
      </c>
      <c r="L391" s="9" t="n">
        <v>0</v>
      </c>
      <c r="M391" s="10" t="n">
        <f aca="false">IFERROR(G391/F391,"")</f>
        <v>0.0455179282868526</v>
      </c>
      <c r="N391" s="10" t="n">
        <f aca="false">IFERROR(H391/G391,"")</f>
        <v>0.595185995623632</v>
      </c>
      <c r="O391" s="11" t="n">
        <f aca="false">IFERROR(I391/H391,"")</f>
        <v>0.948529411764706</v>
      </c>
      <c r="P391" s="10" t="n">
        <f aca="false">IFERROR(J391/H391,"")</f>
        <v>0.0588235294117647</v>
      </c>
      <c r="Q391" s="10" t="n">
        <f aca="false">IFERROR(K391/H391,"")</f>
        <v>0</v>
      </c>
      <c r="R391" s="10" t="n">
        <f aca="false">IFERROR(L391/H391,"")</f>
        <v>0</v>
      </c>
      <c r="S391" s="11" t="n">
        <f aca="false">IFERROR(M391/MEDIAN(INDEX($M$5:$M$627,MATCH($A391-90,$A$5:$A$627,1)):INDEX($M$5:$M$627,MATCH($A391+90,$A$5:$A$627,1))),"")</f>
        <v>0.789827106435049</v>
      </c>
      <c r="T391" s="11" t="n">
        <f aca="false">IFERROR(N391/MEDIAN(INDEX($N$5:$N$627,MATCH($A391-90,$A$5:$A$627,1)):INDEX($N$5:$N$627,MATCH($A391+90,$A$5:$A$627,1))),"")</f>
        <v>1.07922356738081</v>
      </c>
      <c r="U391" s="11" t="n">
        <f aca="false">IFERROR(Q391/MEDIAN(INDEX($Q$5:$Q$627,MATCH($A391-90,$A$5:$A$627,1)):INDEX($Q$5:$Q$627,MATCH($A391+90,$A$5:$A$627,1))),"")</f>
        <v>0</v>
      </c>
    </row>
    <row r="392" customFormat="false" ht="15" hidden="false" customHeight="false" outlineLevel="0" collapsed="false">
      <c r="A392" s="13" t="n">
        <v>45938.2504922338</v>
      </c>
      <c r="B392" s="8" t="n">
        <v>6</v>
      </c>
      <c r="C392" s="8" t="s">
        <v>71</v>
      </c>
      <c r="D392" s="8" t="s">
        <v>457</v>
      </c>
      <c r="E392" s="14" t="s">
        <v>66</v>
      </c>
      <c r="F392" s="9" t="n">
        <v>7553981</v>
      </c>
      <c r="G392" s="9" t="n">
        <v>573669</v>
      </c>
      <c r="H392" s="9" t="n">
        <v>241405</v>
      </c>
      <c r="I392" s="9" t="n">
        <v>214046</v>
      </c>
      <c r="J392" s="9" t="n">
        <v>6378</v>
      </c>
      <c r="K392" s="9" t="n">
        <v>1787</v>
      </c>
      <c r="L392" s="9" t="n">
        <v>2322</v>
      </c>
      <c r="M392" s="10" t="n">
        <f aca="false">IFERROR(G392/F392,"")</f>
        <v>0.0759426056274169</v>
      </c>
      <c r="N392" s="10" t="n">
        <f aca="false">IFERROR(H392/G392,"")</f>
        <v>0.420808863647853</v>
      </c>
      <c r="O392" s="11" t="n">
        <f aca="false">IFERROR(I392/H392,"")</f>
        <v>0.886667633230463</v>
      </c>
      <c r="P392" s="10" t="n">
        <f aca="false">IFERROR(J392/H392,"")</f>
        <v>0.0264203309790601</v>
      </c>
      <c r="Q392" s="10" t="n">
        <f aca="false">IFERROR(K392/H392,"")</f>
        <v>0.00740249787701166</v>
      </c>
      <c r="R392" s="10" t="n">
        <f aca="false">IFERROR(L392/H392,"")</f>
        <v>0.00961869058221661</v>
      </c>
      <c r="S392" s="11" t="n">
        <f aca="false">IFERROR(M392/MEDIAN(INDEX($M$5:$M$627,MATCH($A392-90,$A$5:$A$627,1)):INDEX($M$5:$M$627,MATCH($A392+90,$A$5:$A$627,1))),"")</f>
        <v>1.31775611754206</v>
      </c>
      <c r="T392" s="11" t="n">
        <f aca="false">IFERROR(N392/MEDIAN(INDEX($N$5:$N$627,MATCH($A392-90,$A$5:$A$627,1)):INDEX($N$5:$N$627,MATCH($A392+90,$A$5:$A$627,1))),"")</f>
        <v>0.763033482559767</v>
      </c>
      <c r="U392" s="11" t="n">
        <f aca="false">IFERROR(Q392/MEDIAN(INDEX($Q$5:$Q$627,MATCH($A392-90,$A$5:$A$627,1)):INDEX($Q$5:$Q$627,MATCH($A392+90,$A$5:$A$627,1))),"")</f>
        <v>0.845315805282166</v>
      </c>
    </row>
    <row r="393" customFormat="false" ht="15" hidden="false" customHeight="false" outlineLevel="0" collapsed="false">
      <c r="A393" s="13" t="n">
        <v>45939.2503496412</v>
      </c>
      <c r="B393" s="8" t="n">
        <v>6</v>
      </c>
      <c r="C393" s="8" t="s">
        <v>73</v>
      </c>
      <c r="D393" s="8" t="s">
        <v>458</v>
      </c>
      <c r="E393" s="14" t="s">
        <v>66</v>
      </c>
      <c r="F393" s="9" t="n">
        <v>23174</v>
      </c>
      <c r="G393" s="9" t="n">
        <v>180</v>
      </c>
      <c r="H393" s="9" t="n">
        <v>85</v>
      </c>
      <c r="I393" s="9" t="n">
        <v>73</v>
      </c>
      <c r="J393" s="9" t="n">
        <v>5</v>
      </c>
      <c r="K393" s="9" t="n">
        <v>0</v>
      </c>
      <c r="L393" s="9" t="n">
        <v>0</v>
      </c>
      <c r="M393" s="10" t="n">
        <f aca="false">IFERROR(G393/F393,"")</f>
        <v>0.00776732545093639</v>
      </c>
      <c r="N393" s="10" t="n">
        <f aca="false">IFERROR(H393/G393,"")</f>
        <v>0.472222222222222</v>
      </c>
      <c r="O393" s="11" t="n">
        <f aca="false">IFERROR(I393/H393,"")</f>
        <v>0.858823529411765</v>
      </c>
      <c r="P393" s="10" t="n">
        <f aca="false">IFERROR(J393/H393,"")</f>
        <v>0.0588235294117647</v>
      </c>
      <c r="Q393" s="10" t="n">
        <f aca="false">IFERROR(K393/H393,"")</f>
        <v>0</v>
      </c>
      <c r="R393" s="10" t="n">
        <f aca="false">IFERROR(L393/H393,"")</f>
        <v>0</v>
      </c>
      <c r="S393" s="11" t="n">
        <f aca="false">IFERROR(M393/MEDIAN(INDEX($M$5:$M$627,MATCH($A393-90,$A$5:$A$627,1)):INDEX($M$5:$M$627,MATCH($A393+90,$A$5:$A$627,1))),"")</f>
        <v>0.133709065045307</v>
      </c>
      <c r="T393" s="11" t="n">
        <f aca="false">IFERROR(N393/MEDIAN(INDEX($N$5:$N$627,MATCH($A393-90,$A$5:$A$627,1)):INDEX($N$5:$N$627,MATCH($A393+90,$A$5:$A$627,1))),"")</f>
        <v>0.855630059025975</v>
      </c>
      <c r="U393" s="11" t="n">
        <f aca="false">IFERROR(Q393/MEDIAN(INDEX($Q$5:$Q$627,MATCH($A393-90,$A$5:$A$627,1)):INDEX($Q$5:$Q$627,MATCH($A393+90,$A$5:$A$627,1))),"")</f>
        <v>0</v>
      </c>
    </row>
    <row r="394" customFormat="false" ht="15" hidden="false" customHeight="false" outlineLevel="0" collapsed="false">
      <c r="A394" s="13" t="n">
        <v>45940.3752524421</v>
      </c>
      <c r="B394" s="8" t="n">
        <v>9</v>
      </c>
      <c r="C394" s="8" t="s">
        <v>84</v>
      </c>
      <c r="D394" s="8" t="s">
        <v>459</v>
      </c>
      <c r="E394" s="14" t="s">
        <v>66</v>
      </c>
      <c r="F394" s="9" t="n">
        <v>540414</v>
      </c>
      <c r="G394" s="9" t="n">
        <v>104711</v>
      </c>
      <c r="H394" s="9" t="n">
        <v>57790</v>
      </c>
      <c r="I394" s="9" t="n">
        <v>29670</v>
      </c>
      <c r="J394" s="9" t="n">
        <v>989</v>
      </c>
      <c r="K394" s="9" t="n">
        <v>56</v>
      </c>
      <c r="L394" s="9" t="n">
        <v>225</v>
      </c>
      <c r="M394" s="10" t="n">
        <f aca="false">IFERROR(G394/F394,"")</f>
        <v>0.193760709382066</v>
      </c>
      <c r="N394" s="10" t="n">
        <f aca="false">IFERROR(H394/G394,"")</f>
        <v>0.551899991404915</v>
      </c>
      <c r="O394" s="11" t="n">
        <f aca="false">IFERROR(I394/H394,"")</f>
        <v>0.513410624675549</v>
      </c>
      <c r="P394" s="10" t="n">
        <f aca="false">IFERROR(J394/H394,"")</f>
        <v>0.017113687489185</v>
      </c>
      <c r="Q394" s="10" t="n">
        <f aca="false">IFERROR(K394/H394,"")</f>
        <v>0.000969025783007441</v>
      </c>
      <c r="R394" s="10" t="n">
        <f aca="false">IFERROR(L394/H394,"")</f>
        <v>0.00389340716386918</v>
      </c>
      <c r="S394" s="11" t="n">
        <f aca="false">IFERROR(M394/MEDIAN(INDEX($M$5:$M$627,MATCH($A394-90,$A$5:$A$627,1)):INDEX($M$5:$M$627,MATCH($A394+90,$A$5:$A$627,1))),"")</f>
        <v>3.29778150543359</v>
      </c>
      <c r="T394" s="11" t="n">
        <f aca="false">IFERROR(N394/MEDIAN(INDEX($N$5:$N$627,MATCH($A394-90,$A$5:$A$627,1)):INDEX($N$5:$N$627,MATCH($A394+90,$A$5:$A$627,1))),"")</f>
        <v>0.996944193629088</v>
      </c>
      <c r="U394" s="11" t="n">
        <f aca="false">IFERROR(Q394/MEDIAN(INDEX($Q$5:$Q$627,MATCH($A394-90,$A$5:$A$627,1)):INDEX($Q$5:$Q$627,MATCH($A394+90,$A$5:$A$627,1))),"")</f>
        <v>0.111821694185046</v>
      </c>
    </row>
    <row r="395" customFormat="false" ht="15" hidden="false" customHeight="false" outlineLevel="0" collapsed="false">
      <c r="A395" s="13" t="n">
        <v>45941.2923975232</v>
      </c>
      <c r="B395" s="8" t="n">
        <v>7</v>
      </c>
      <c r="C395" s="8" t="s">
        <v>68</v>
      </c>
      <c r="D395" s="8" t="s">
        <v>460</v>
      </c>
      <c r="E395" s="14" t="s">
        <v>66</v>
      </c>
      <c r="F395" s="9" t="n">
        <v>1802519</v>
      </c>
      <c r="G395" s="9" t="n">
        <v>126371</v>
      </c>
      <c r="H395" s="9" t="n">
        <v>60384</v>
      </c>
      <c r="I395" s="9" t="n">
        <v>50170</v>
      </c>
      <c r="J395" s="9" t="n">
        <v>1235</v>
      </c>
      <c r="K395" s="9" t="n">
        <v>650</v>
      </c>
      <c r="L395" s="9" t="n">
        <v>314</v>
      </c>
      <c r="M395" s="10" t="n">
        <f aca="false">IFERROR(G395/F395,"")</f>
        <v>0.0701079988615931</v>
      </c>
      <c r="N395" s="10" t="n">
        <f aca="false">IFERROR(H395/G395,"")</f>
        <v>0.477831147969075</v>
      </c>
      <c r="O395" s="11" t="n">
        <f aca="false">IFERROR(I395/H395,"")</f>
        <v>0.830849231584526</v>
      </c>
      <c r="P395" s="10" t="n">
        <f aca="false">IFERROR(J395/H395,"")</f>
        <v>0.0204524377318495</v>
      </c>
      <c r="Q395" s="10" t="n">
        <f aca="false">IFERROR(K395/H395,"")</f>
        <v>0.0107644409114997</v>
      </c>
      <c r="R395" s="10" t="n">
        <f aca="false">IFERROR(L395/H395,"")</f>
        <v>0.00520005299417064</v>
      </c>
      <c r="S395" s="11" t="n">
        <f aca="false">IFERROR(M395/MEDIAN(INDEX($M$5:$M$627,MATCH($A395-90,$A$5:$A$627,1)):INDEX($M$5:$M$627,MATCH($A395+90,$A$5:$A$627,1))),"")</f>
        <v>1.19322881695705</v>
      </c>
      <c r="T395" s="11" t="n">
        <f aca="false">IFERROR(N395/MEDIAN(INDEX($N$5:$N$627,MATCH($A395-90,$A$5:$A$627,1)):INDEX($N$5:$N$627,MATCH($A395+90,$A$5:$A$627,1))),"")</f>
        <v>0.863147301905628</v>
      </c>
      <c r="U395" s="11" t="n">
        <f aca="false">IFERROR(Q395/MEDIAN(INDEX($Q$5:$Q$627,MATCH($A395-90,$A$5:$A$627,1)):INDEX($Q$5:$Q$627,MATCH($A395+90,$A$5:$A$627,1))),"")</f>
        <v>1.24217336709345</v>
      </c>
    </row>
    <row r="396" customFormat="false" ht="15" hidden="false" customHeight="false" outlineLevel="0" collapsed="false">
      <c r="A396" s="13" t="n">
        <v>45943.441340787</v>
      </c>
      <c r="B396" s="8" t="n">
        <v>10</v>
      </c>
      <c r="C396" s="8" t="s">
        <v>80</v>
      </c>
      <c r="D396" s="8" t="s">
        <v>461</v>
      </c>
      <c r="E396" s="14" t="s">
        <v>66</v>
      </c>
      <c r="F396" s="9" t="n">
        <v>604264</v>
      </c>
      <c r="G396" s="9" t="n">
        <v>47680</v>
      </c>
      <c r="H396" s="9" t="n">
        <v>31841</v>
      </c>
      <c r="I396" s="9" t="n">
        <v>31731</v>
      </c>
      <c r="J396" s="9" t="n">
        <v>558</v>
      </c>
      <c r="K396" s="9" t="n">
        <v>89</v>
      </c>
      <c r="L396" s="9" t="n">
        <v>466</v>
      </c>
      <c r="M396" s="10" t="n">
        <f aca="false">IFERROR(G396/F396,"")</f>
        <v>0.0789059086756782</v>
      </c>
      <c r="N396" s="10" t="n">
        <f aca="false">IFERROR(H396/G396,"")</f>
        <v>0.667806208053691</v>
      </c>
      <c r="O396" s="11" t="n">
        <f aca="false">IFERROR(I396/H396,"")</f>
        <v>0.99654533463145</v>
      </c>
      <c r="P396" s="10" t="n">
        <f aca="false">IFERROR(J396/H396,"")</f>
        <v>0.0175245752331899</v>
      </c>
      <c r="Q396" s="10" t="n">
        <f aca="false">IFERROR(K396/H396,"")</f>
        <v>0.00279513834364499</v>
      </c>
      <c r="R396" s="10" t="n">
        <f aca="false">IFERROR(L396/H396,"")</f>
        <v>0.0146352187431299</v>
      </c>
      <c r="S396" s="11" t="n">
        <f aca="false">IFERROR(M396/MEDIAN(INDEX($M$5:$M$627,MATCH($A396-90,$A$5:$A$627,1)):INDEX($M$5:$M$627,MATCH($A396+90,$A$5:$A$627,1))),"")</f>
        <v>1.35830992820102</v>
      </c>
      <c r="T396" s="11" t="n">
        <f aca="false">IFERROR(N396/MEDIAN(INDEX($N$5:$N$627,MATCH($A396-90,$A$5:$A$627,1)):INDEX($N$5:$N$627,MATCH($A396+90,$A$5:$A$627,1))),"")</f>
        <v>1.20264047717</v>
      </c>
      <c r="U396" s="11" t="n">
        <f aca="false">IFERROR(Q396/MEDIAN(INDEX($Q$5:$Q$627,MATCH($A396-90,$A$5:$A$627,1)):INDEX($Q$5:$Q$627,MATCH($A396+90,$A$5:$A$627,1))),"")</f>
        <v>0.321996904488072</v>
      </c>
    </row>
    <row r="397" customFormat="false" ht="15" hidden="false" customHeight="false" outlineLevel="0" collapsed="false">
      <c r="A397" s="13" t="n">
        <v>45944.2786271296</v>
      </c>
      <c r="B397" s="8" t="n">
        <v>6</v>
      </c>
      <c r="C397" s="8" t="s">
        <v>64</v>
      </c>
      <c r="D397" s="8" t="s">
        <v>462</v>
      </c>
      <c r="E397" s="14" t="s">
        <v>66</v>
      </c>
      <c r="F397" s="9" t="n">
        <v>48169</v>
      </c>
      <c r="G397" s="9" t="n">
        <v>360</v>
      </c>
      <c r="H397" s="9" t="n">
        <v>120</v>
      </c>
      <c r="I397" s="9" t="n">
        <v>96</v>
      </c>
      <c r="J397" s="9" t="n">
        <v>3</v>
      </c>
      <c r="K397" s="9" t="n">
        <v>0</v>
      </c>
      <c r="L397" s="9" t="n">
        <v>3</v>
      </c>
      <c r="M397" s="10" t="n">
        <f aca="false">IFERROR(G397/F397,"")</f>
        <v>0.00747368639581474</v>
      </c>
      <c r="N397" s="10" t="n">
        <f aca="false">IFERROR(H397/G397,"")</f>
        <v>0.333333333333333</v>
      </c>
      <c r="O397" s="11" t="n">
        <f aca="false">IFERROR(I397/H397,"")</f>
        <v>0.8</v>
      </c>
      <c r="P397" s="10" t="n">
        <f aca="false">IFERROR(J397/H397,"")</f>
        <v>0.025</v>
      </c>
      <c r="Q397" s="10" t="n">
        <f aca="false">IFERROR(K397/H397,"")</f>
        <v>0</v>
      </c>
      <c r="R397" s="10" t="n">
        <f aca="false">IFERROR(L397/H397,"")</f>
        <v>0.025</v>
      </c>
      <c r="S397" s="11" t="n">
        <f aca="false">IFERROR(M397/MEDIAN(INDEX($M$5:$M$627,MATCH($A397-90,$A$5:$A$627,1)):INDEX($M$5:$M$627,MATCH($A397+90,$A$5:$A$627,1))),"")</f>
        <v>0.127201148530733</v>
      </c>
      <c r="T397" s="11" t="n">
        <f aca="false">IFERROR(N397/MEDIAN(INDEX($N$5:$N$627,MATCH($A397-90,$A$5:$A$627,1)):INDEX($N$5:$N$627,MATCH($A397+90,$A$5:$A$627,1))),"")</f>
        <v>0.599969555719234</v>
      </c>
      <c r="U397" s="11" t="n">
        <f aca="false">IFERROR(Q397/MEDIAN(INDEX($Q$5:$Q$627,MATCH($A397-90,$A$5:$A$627,1)):INDEX($Q$5:$Q$627,MATCH($A397+90,$A$5:$A$627,1))),"")</f>
        <v>0</v>
      </c>
    </row>
    <row r="398" customFormat="false" ht="15" hidden="false" customHeight="false" outlineLevel="0" collapsed="false">
      <c r="A398" s="13" t="n">
        <v>45945.2790791435</v>
      </c>
      <c r="B398" s="8" t="n">
        <v>6</v>
      </c>
      <c r="C398" s="8" t="s">
        <v>71</v>
      </c>
      <c r="D398" s="8" t="s">
        <v>463</v>
      </c>
      <c r="E398" s="14" t="s">
        <v>66</v>
      </c>
      <c r="F398" s="9" t="n">
        <v>90530</v>
      </c>
      <c r="G398" s="9" t="n">
        <v>5259</v>
      </c>
      <c r="H398" s="9" t="n">
        <v>3423</v>
      </c>
      <c r="I398" s="9" t="n">
        <v>3226</v>
      </c>
      <c r="J398" s="9" t="n">
        <v>155</v>
      </c>
      <c r="K398" s="9" t="n">
        <v>69</v>
      </c>
      <c r="L398" s="9" t="n">
        <v>6</v>
      </c>
      <c r="M398" s="10" t="n">
        <f aca="false">IFERROR(G398/F398,"")</f>
        <v>0.0580912404727715</v>
      </c>
      <c r="N398" s="10" t="n">
        <f aca="false">IFERROR(H398/G398,"")</f>
        <v>0.650884198516828</v>
      </c>
      <c r="O398" s="11" t="n">
        <f aca="false">IFERROR(I398/H398,"")</f>
        <v>0.942448144902133</v>
      </c>
      <c r="P398" s="10" t="n">
        <f aca="false">IFERROR(J398/H398,"")</f>
        <v>0.0452819164475606</v>
      </c>
      <c r="Q398" s="10" t="n">
        <f aca="false">IFERROR(K398/H398,"")</f>
        <v>0.0201577563540754</v>
      </c>
      <c r="R398" s="10" t="n">
        <f aca="false">IFERROR(L398/H398,"")</f>
        <v>0.00175284837861525</v>
      </c>
      <c r="S398" s="11" t="n">
        <f aca="false">IFERROR(M398/MEDIAN(INDEX($M$5:$M$627,MATCH($A398-90,$A$5:$A$627,1)):INDEX($M$5:$M$627,MATCH($A398+90,$A$5:$A$627,1))),"")</f>
        <v>1.00799922357372</v>
      </c>
      <c r="T398" s="11" t="n">
        <f aca="false">IFERROR(N398/MEDIAN(INDEX($N$5:$N$627,MATCH($A398-90,$A$5:$A$627,1)):INDEX($N$5:$N$627,MATCH($A398+90,$A$5:$A$627,1))),"")</f>
        <v>1.17574783935845</v>
      </c>
      <c r="U398" s="11" t="n">
        <f aca="false">IFERROR(Q398/MEDIAN(INDEX($Q$5:$Q$627,MATCH($A398-90,$A$5:$A$627,1)):INDEX($Q$5:$Q$627,MATCH($A398+90,$A$5:$A$627,1))),"")</f>
        <v>2.30188111205588</v>
      </c>
    </row>
    <row r="399" customFormat="false" ht="15" hidden="false" customHeight="false" outlineLevel="0" collapsed="false">
      <c r="A399" s="13" t="n">
        <v>45946.2790438426</v>
      </c>
      <c r="B399" s="8" t="n">
        <v>6</v>
      </c>
      <c r="C399" s="8" t="s">
        <v>73</v>
      </c>
      <c r="D399" s="8" t="s">
        <v>464</v>
      </c>
      <c r="E399" s="14" t="s">
        <v>66</v>
      </c>
      <c r="F399" s="9" t="n">
        <v>10650</v>
      </c>
      <c r="G399" s="9" t="n">
        <v>847</v>
      </c>
      <c r="H399" s="9" t="n">
        <v>641</v>
      </c>
      <c r="I399" s="9" t="n">
        <v>593</v>
      </c>
      <c r="J399" s="9" t="n">
        <v>38</v>
      </c>
      <c r="K399" s="9" t="n">
        <v>0</v>
      </c>
      <c r="L399" s="9" t="n">
        <v>2</v>
      </c>
      <c r="M399" s="10" t="n">
        <f aca="false">IFERROR(G399/F399,"")</f>
        <v>0.0795305164319249</v>
      </c>
      <c r="N399" s="10" t="n">
        <f aca="false">IFERROR(H399/G399,"")</f>
        <v>0.756788665879575</v>
      </c>
      <c r="O399" s="11" t="n">
        <f aca="false">IFERROR(I399/H399,"")</f>
        <v>0.925117004680187</v>
      </c>
      <c r="P399" s="10" t="n">
        <f aca="false">IFERROR(J399/H399,"")</f>
        <v>0.0592823712948518</v>
      </c>
      <c r="Q399" s="10" t="n">
        <f aca="false">IFERROR(K399/H399,"")</f>
        <v>0</v>
      </c>
      <c r="R399" s="10" t="n">
        <f aca="false">IFERROR(L399/H399,"")</f>
        <v>0.0031201248049922</v>
      </c>
      <c r="S399" s="11" t="n">
        <f aca="false">IFERROR(M399/MEDIAN(INDEX($M$5:$M$627,MATCH($A399-90,$A$5:$A$627,1)):INDEX($M$5:$M$627,MATCH($A399+90,$A$5:$A$627,1))),"")</f>
        <v>1.3800135469886</v>
      </c>
      <c r="T399" s="11" t="n">
        <f aca="false">IFERROR(N399/MEDIAN(INDEX($N$5:$N$627,MATCH($A399-90,$A$5:$A$627,1)):INDEX($N$5:$N$627,MATCH($A399+90,$A$5:$A$627,1))),"")</f>
        <v>1.36215047892336</v>
      </c>
      <c r="U399" s="11" t="n">
        <f aca="false">IFERROR(Q399/MEDIAN(INDEX($Q$5:$Q$627,MATCH($A399-90,$A$5:$A$627,1)):INDEX($Q$5:$Q$627,MATCH($A399+90,$A$5:$A$627,1))),"")</f>
        <v>0</v>
      </c>
    </row>
    <row r="400" customFormat="false" ht="15" hidden="false" customHeight="false" outlineLevel="0" collapsed="false">
      <c r="A400" s="13" t="n">
        <v>45947.2802564005</v>
      </c>
      <c r="B400" s="8" t="n">
        <v>6</v>
      </c>
      <c r="C400" s="8" t="s">
        <v>84</v>
      </c>
      <c r="D400" s="8" t="s">
        <v>465</v>
      </c>
      <c r="E400" s="14" t="s">
        <v>66</v>
      </c>
      <c r="F400" s="9" t="n">
        <v>135081</v>
      </c>
      <c r="G400" s="9" t="n">
        <v>6592</v>
      </c>
      <c r="H400" s="9" t="n">
        <v>3538</v>
      </c>
      <c r="I400" s="9" t="n">
        <v>3881</v>
      </c>
      <c r="J400" s="9" t="n">
        <v>232</v>
      </c>
      <c r="K400" s="9" t="n">
        <v>119</v>
      </c>
      <c r="L400" s="9" t="n">
        <v>14</v>
      </c>
      <c r="M400" s="10" t="n">
        <f aca="false">IFERROR(G400/F400,"")</f>
        <v>0.0488003494199776</v>
      </c>
      <c r="N400" s="10" t="n">
        <f aca="false">IFERROR(H400/G400,"")</f>
        <v>0.536711165048544</v>
      </c>
      <c r="O400" s="11" t="n">
        <f aca="false">IFERROR(I400/H400,"")</f>
        <v>1.09694742792538</v>
      </c>
      <c r="P400" s="10" t="n">
        <f aca="false">IFERROR(J400/H400,"")</f>
        <v>0.0655737704918033</v>
      </c>
      <c r="Q400" s="10" t="n">
        <f aca="false">IFERROR(K400/H400,"")</f>
        <v>0.0336348219332956</v>
      </c>
      <c r="R400" s="10" t="n">
        <f aca="false">IFERROR(L400/H400,"")</f>
        <v>0.00395703787450537</v>
      </c>
      <c r="S400" s="11" t="n">
        <f aca="false">IFERROR(M400/MEDIAN(INDEX($M$5:$M$627,MATCH($A400-90,$A$5:$A$627,1)):INDEX($M$5:$M$627,MATCH($A400+90,$A$5:$A$627,1))),"")</f>
        <v>0.846783679004417</v>
      </c>
      <c r="T400" s="11" t="n">
        <f aca="false">IFERROR(N400/MEDIAN(INDEX($N$5:$N$627,MATCH($A400-90,$A$5:$A$627,1)):INDEX($N$5:$N$627,MATCH($A400+90,$A$5:$A$627,1))),"")</f>
        <v>0.966031077731182</v>
      </c>
      <c r="U400" s="11" t="n">
        <f aca="false">IFERROR(Q400/MEDIAN(INDEX($Q$5:$Q$627,MATCH($A400-90,$A$5:$A$627,1)):INDEX($Q$5:$Q$627,MATCH($A400+90,$A$5:$A$627,1))),"")</f>
        <v>3.88132373580465</v>
      </c>
    </row>
    <row r="401" customFormat="false" ht="15" hidden="false" customHeight="false" outlineLevel="0" collapsed="false">
      <c r="A401" s="13" t="n">
        <v>45948.2392705324</v>
      </c>
      <c r="B401" s="8" t="n">
        <v>5</v>
      </c>
      <c r="C401" s="8" t="s">
        <v>68</v>
      </c>
      <c r="D401" s="8" t="s">
        <v>466</v>
      </c>
      <c r="E401" s="14" t="s">
        <v>66</v>
      </c>
      <c r="F401" s="9" t="n">
        <v>1304527</v>
      </c>
      <c r="G401" s="9" t="n">
        <v>53022</v>
      </c>
      <c r="H401" s="9" t="n">
        <v>34133</v>
      </c>
      <c r="I401" s="9" t="n">
        <v>42677</v>
      </c>
      <c r="J401" s="9" t="n">
        <v>1744</v>
      </c>
      <c r="K401" s="9" t="n">
        <v>583</v>
      </c>
      <c r="L401" s="9" t="n">
        <v>147</v>
      </c>
      <c r="M401" s="10" t="n">
        <f aca="false">IFERROR(G401/F401,"")</f>
        <v>0.0406446167844744</v>
      </c>
      <c r="N401" s="10" t="n">
        <f aca="false">IFERROR(H401/G401,"")</f>
        <v>0.643751650258383</v>
      </c>
      <c r="O401" s="11" t="n">
        <f aca="false">IFERROR(I401/H401,"")</f>
        <v>1.25031494448188</v>
      </c>
      <c r="P401" s="10" t="n">
        <f aca="false">IFERROR(J401/H401,"")</f>
        <v>0.0510942489672751</v>
      </c>
      <c r="Q401" s="10" t="n">
        <f aca="false">IFERROR(K401/H401,"")</f>
        <v>0.0170802449242668</v>
      </c>
      <c r="R401" s="10" t="n">
        <f aca="false">IFERROR(L401/H401,"")</f>
        <v>0.00430668268244807</v>
      </c>
      <c r="S401" s="11" t="n">
        <f aca="false">IFERROR(M401/MEDIAN(INDEX($M$5:$M$627,MATCH($A401-90,$A$5:$A$627,1)):INDEX($M$5:$M$627,MATCH($A401+90,$A$5:$A$627,1))),"")</f>
        <v>0.710952471430333</v>
      </c>
      <c r="T401" s="11" t="n">
        <f aca="false">IFERROR(N401/MEDIAN(INDEX($N$5:$N$627,MATCH($A401-90,$A$5:$A$627,1)):INDEX($N$5:$N$627,MATCH($A401+90,$A$5:$A$627,1))),"")</f>
        <v>1.15932104629891</v>
      </c>
      <c r="U401" s="11" t="n">
        <f aca="false">IFERROR(Q401/MEDIAN(INDEX($Q$5:$Q$627,MATCH($A401-90,$A$5:$A$627,1)):INDEX($Q$5:$Q$627,MATCH($A401+90,$A$5:$A$627,1))),"")</f>
        <v>1.97436956171447</v>
      </c>
    </row>
    <row r="402" customFormat="false" ht="15" hidden="false" customHeight="false" outlineLevel="0" collapsed="false">
      <c r="A402" s="13" t="n">
        <v>45950.4812283102</v>
      </c>
      <c r="B402" s="8" t="n">
        <v>11</v>
      </c>
      <c r="C402" s="8" t="s">
        <v>80</v>
      </c>
      <c r="D402" s="8" t="s">
        <v>467</v>
      </c>
      <c r="E402" s="14" t="s">
        <v>66</v>
      </c>
      <c r="F402" s="9" t="n">
        <v>138519</v>
      </c>
      <c r="G402" s="9" t="n">
        <v>7230</v>
      </c>
      <c r="H402" s="9" t="n">
        <v>4341</v>
      </c>
      <c r="I402" s="9" t="n">
        <v>3869</v>
      </c>
      <c r="J402" s="9" t="n">
        <v>280</v>
      </c>
      <c r="K402" s="9" t="n">
        <v>51</v>
      </c>
      <c r="L402" s="9" t="n">
        <v>17</v>
      </c>
      <c r="M402" s="10" t="n">
        <f aca="false">IFERROR(G402/F402,"")</f>
        <v>0.0521950057392849</v>
      </c>
      <c r="N402" s="10" t="n">
        <f aca="false">IFERROR(H402/G402,"")</f>
        <v>0.600414937759336</v>
      </c>
      <c r="O402" s="11" t="n">
        <f aca="false">IFERROR(I402/H402,"")</f>
        <v>0.89126929278968</v>
      </c>
      <c r="P402" s="10" t="n">
        <f aca="false">IFERROR(J402/H402,"")</f>
        <v>0.064501266989173</v>
      </c>
      <c r="Q402" s="10" t="n">
        <f aca="false">IFERROR(K402/H402,"")</f>
        <v>0.0117484450587422</v>
      </c>
      <c r="R402" s="10" t="n">
        <f aca="false">IFERROR(L402/H402,"")</f>
        <v>0.00391614835291408</v>
      </c>
      <c r="S402" s="11" t="n">
        <f aca="false">IFERROR(M402/MEDIAN(INDEX($M$5:$M$627,MATCH($A402-90,$A$5:$A$627,1)):INDEX($M$5:$M$627,MATCH($A402+90,$A$5:$A$627,1))),"")</f>
        <v>0.905687756560915</v>
      </c>
      <c r="T402" s="11" t="n">
        <f aca="false">IFERROR(N402/MEDIAN(INDEX($N$5:$N$627,MATCH($A402-90,$A$5:$A$627,1)):INDEX($N$5:$N$627,MATCH($A402+90,$A$5:$A$627,1))),"")</f>
        <v>1.08870496920615</v>
      </c>
      <c r="U402" s="11" t="n">
        <f aca="false">IFERROR(Q402/MEDIAN(INDEX($Q$5:$Q$627,MATCH($A402-90,$A$5:$A$627,1)):INDEX($Q$5:$Q$627,MATCH($A402+90,$A$5:$A$627,1))),"")</f>
        <v>1.35572350451938</v>
      </c>
    </row>
    <row r="403" customFormat="false" ht="15" hidden="false" customHeight="false" outlineLevel="0" collapsed="false">
      <c r="A403" s="13" t="n">
        <v>45951.313304375</v>
      </c>
      <c r="B403" s="8" t="n">
        <v>7</v>
      </c>
      <c r="C403" s="8" t="s">
        <v>64</v>
      </c>
      <c r="D403" s="8" t="s">
        <v>468</v>
      </c>
      <c r="E403" s="14" t="s">
        <v>66</v>
      </c>
      <c r="F403" s="9" t="n">
        <v>1798195</v>
      </c>
      <c r="G403" s="9" t="n">
        <v>109957</v>
      </c>
      <c r="H403" s="9" t="n">
        <v>87403</v>
      </c>
      <c r="I403" s="9" t="n">
        <v>91594</v>
      </c>
      <c r="J403" s="9" t="n">
        <v>2222</v>
      </c>
      <c r="K403" s="9" t="n">
        <v>380</v>
      </c>
      <c r="L403" s="9" t="n">
        <v>193</v>
      </c>
      <c r="M403" s="10" t="n">
        <f aca="false">IFERROR(G403/F403,"")</f>
        <v>0.0611485406198994</v>
      </c>
      <c r="N403" s="10" t="n">
        <f aca="false">IFERROR(H403/G403,"")</f>
        <v>0.794883454441282</v>
      </c>
      <c r="O403" s="11" t="n">
        <f aca="false">IFERROR(I403/H403,"")</f>
        <v>1.04795029918882</v>
      </c>
      <c r="P403" s="10" t="n">
        <f aca="false">IFERROR(J403/H403,"")</f>
        <v>0.0254224683363271</v>
      </c>
      <c r="Q403" s="10" t="n">
        <f aca="false">IFERROR(K403/H403,"")</f>
        <v>0.00434767685319726</v>
      </c>
      <c r="R403" s="10" t="n">
        <f aca="false">IFERROR(L403/H403,"")</f>
        <v>0.00220816219122913</v>
      </c>
      <c r="S403" s="11" t="n">
        <f aca="false">IFERROR(M403/MEDIAN(INDEX($M$5:$M$627,MATCH($A403-90,$A$5:$A$627,1)):INDEX($M$5:$M$627,MATCH($A403+90,$A$5:$A$627,1))),"")</f>
        <v>1.05262927977172</v>
      </c>
      <c r="T403" s="11" t="n">
        <f aca="false">IFERROR(N403/MEDIAN(INDEX($N$5:$N$627,MATCH($A403-90,$A$5:$A$627,1)):INDEX($N$5:$N$627,MATCH($A403+90,$A$5:$A$627,1))),"")</f>
        <v>1.44238604656234</v>
      </c>
      <c r="U403" s="11" t="n">
        <f aca="false">IFERROR(Q403/MEDIAN(INDEX($Q$5:$Q$627,MATCH($A403-90,$A$5:$A$627,1)):INDEX($Q$5:$Q$627,MATCH($A403+90,$A$5:$A$627,1))),"")</f>
        <v>0.502564271249271</v>
      </c>
    </row>
    <row r="404" customFormat="false" ht="15" hidden="false" customHeight="false" outlineLevel="0" collapsed="false">
      <c r="A404" s="13" t="n">
        <v>45952.2684315278</v>
      </c>
      <c r="B404" s="8" t="n">
        <v>6</v>
      </c>
      <c r="C404" s="8" t="s">
        <v>71</v>
      </c>
      <c r="D404" s="8" t="s">
        <v>469</v>
      </c>
      <c r="E404" s="14" t="s">
        <v>66</v>
      </c>
      <c r="F404" s="9" t="n">
        <v>144371</v>
      </c>
      <c r="G404" s="9" t="n">
        <v>7848</v>
      </c>
      <c r="H404" s="9" t="n">
        <v>3405</v>
      </c>
      <c r="I404" s="9" t="n">
        <v>3631</v>
      </c>
      <c r="J404" s="9" t="n">
        <v>112</v>
      </c>
      <c r="K404" s="9" t="n">
        <v>57</v>
      </c>
      <c r="L404" s="9" t="n">
        <v>8</v>
      </c>
      <c r="M404" s="10" t="n">
        <f aca="false">IFERROR(G404/F404,"")</f>
        <v>0.0543599476349128</v>
      </c>
      <c r="N404" s="10" t="n">
        <f aca="false">IFERROR(H404/G404,"")</f>
        <v>0.433868501529052</v>
      </c>
      <c r="O404" s="11" t="n">
        <f aca="false">IFERROR(I404/H404,"")</f>
        <v>1.06637298091043</v>
      </c>
      <c r="P404" s="10" t="n">
        <f aca="false">IFERROR(J404/H404,"")</f>
        <v>0.0328928046989721</v>
      </c>
      <c r="Q404" s="10" t="n">
        <f aca="false">IFERROR(K404/H404,"")</f>
        <v>0.0167400881057269</v>
      </c>
      <c r="R404" s="10" t="n">
        <f aca="false">IFERROR(L404/H404,"")</f>
        <v>0.00234948604992658</v>
      </c>
      <c r="S404" s="11" t="n">
        <f aca="false">IFERROR(M404/MEDIAN(INDEX($M$5:$M$627,MATCH($A404-90,$A$5:$A$627,1)):INDEX($M$5:$M$627,MATCH($A404+90,$A$5:$A$627,1))),"")</f>
        <v>0.943253829037851</v>
      </c>
      <c r="T404" s="11" t="n">
        <f aca="false">IFERROR(N404/MEDIAN(INDEX($N$5:$N$627,MATCH($A404-90,$A$5:$A$627,1)):INDEX($N$5:$N$627,MATCH($A404+90,$A$5:$A$627,1))),"")</f>
        <v>0.788046048908912</v>
      </c>
      <c r="U404" s="11" t="n">
        <f aca="false">IFERROR(Q404/MEDIAN(INDEX($Q$5:$Q$627,MATCH($A404-90,$A$5:$A$627,1)):INDEX($Q$5:$Q$627,MATCH($A404+90,$A$5:$A$627,1))),"")</f>
        <v>1.93173911944812</v>
      </c>
    </row>
    <row r="405" customFormat="false" ht="15" hidden="false" customHeight="false" outlineLevel="0" collapsed="false">
      <c r="A405" s="13" t="n">
        <v>45953.250530544</v>
      </c>
      <c r="B405" s="8" t="n">
        <v>6</v>
      </c>
      <c r="C405" s="8" t="s">
        <v>73</v>
      </c>
      <c r="D405" s="8" t="s">
        <v>470</v>
      </c>
      <c r="E405" s="14" t="s">
        <v>66</v>
      </c>
      <c r="F405" s="9" t="n">
        <v>2065453</v>
      </c>
      <c r="G405" s="9" t="n">
        <v>155669</v>
      </c>
      <c r="H405" s="9" t="n">
        <v>99514</v>
      </c>
      <c r="I405" s="9" t="n">
        <v>87439</v>
      </c>
      <c r="J405" s="9" t="n">
        <v>2554</v>
      </c>
      <c r="K405" s="9" t="n">
        <v>380</v>
      </c>
      <c r="L405" s="9" t="n">
        <v>339</v>
      </c>
      <c r="M405" s="10" t="n">
        <f aca="false">IFERROR(G405/F405,"")</f>
        <v>0.0753679701256819</v>
      </c>
      <c r="N405" s="10" t="n">
        <f aca="false">IFERROR(H405/G405,"")</f>
        <v>0.639266649108043</v>
      </c>
      <c r="O405" s="11" t="n">
        <f aca="false">IFERROR(I405/H405,"")</f>
        <v>0.878660289004562</v>
      </c>
      <c r="P405" s="10" t="n">
        <f aca="false">IFERROR(J405/H405,"")</f>
        <v>0.0256647305906707</v>
      </c>
      <c r="Q405" s="10" t="n">
        <f aca="false">IFERROR(K405/H405,"")</f>
        <v>0.00381855819281709</v>
      </c>
      <c r="R405" s="10" t="n">
        <f aca="false">IFERROR(L405/H405,"")</f>
        <v>0.00340655586148683</v>
      </c>
      <c r="S405" s="11" t="n">
        <f aca="false">IFERROR(M405/MEDIAN(INDEX($M$5:$M$627,MATCH($A405-90,$A$5:$A$627,1)):INDEX($M$5:$M$627,MATCH($A405+90,$A$5:$A$627,1))),"")</f>
        <v>1.31833066385335</v>
      </c>
      <c r="T405" s="11" t="n">
        <f aca="false">IFERROR(N405/MEDIAN(INDEX($N$5:$N$627,MATCH($A405-90,$A$5:$A$627,1)):INDEX($N$5:$N$627,MATCH($A405+90,$A$5:$A$627,1))),"")</f>
        <v>1.16000564554991</v>
      </c>
      <c r="U405" s="11" t="n">
        <f aca="false">IFERROR(Q405/MEDIAN(INDEX($Q$5:$Q$627,MATCH($A405-90,$A$5:$A$627,1)):INDEX($Q$5:$Q$627,MATCH($A405+90,$A$5:$A$627,1))),"")</f>
        <v>0.441401461100951</v>
      </c>
    </row>
    <row r="406" customFormat="false" ht="15" hidden="false" customHeight="false" outlineLevel="0" collapsed="false">
      <c r="A406" s="13" t="n">
        <v>45954.2934196181</v>
      </c>
      <c r="B406" s="8" t="n">
        <v>7</v>
      </c>
      <c r="C406" s="8" t="s">
        <v>84</v>
      </c>
      <c r="D406" s="8" t="s">
        <v>471</v>
      </c>
      <c r="E406" s="14" t="s">
        <v>66</v>
      </c>
      <c r="F406" s="9" t="n">
        <v>38444</v>
      </c>
      <c r="G406" s="9" t="n">
        <v>1349</v>
      </c>
      <c r="H406" s="9" t="n">
        <v>536</v>
      </c>
      <c r="I406" s="9" t="n">
        <v>627</v>
      </c>
      <c r="J406" s="9" t="n">
        <v>94</v>
      </c>
      <c r="K406" s="9" t="n">
        <v>36</v>
      </c>
      <c r="L406" s="9" t="n">
        <v>4</v>
      </c>
      <c r="M406" s="10" t="n">
        <f aca="false">IFERROR(G406/F406,"")</f>
        <v>0.0350900010404745</v>
      </c>
      <c r="N406" s="10" t="n">
        <f aca="false">IFERROR(H406/G406,"")</f>
        <v>0.397331356560415</v>
      </c>
      <c r="O406" s="11" t="n">
        <f aca="false">IFERROR(I406/H406,"")</f>
        <v>1.16977611940299</v>
      </c>
      <c r="P406" s="10" t="n">
        <f aca="false">IFERROR(J406/H406,"")</f>
        <v>0.175373134328358</v>
      </c>
      <c r="Q406" s="10" t="n">
        <f aca="false">IFERROR(K406/H406,"")</f>
        <v>0.0671641791044776</v>
      </c>
      <c r="R406" s="10" t="n">
        <f aca="false">IFERROR(L406/H406,"")</f>
        <v>0.00746268656716418</v>
      </c>
      <c r="S406" s="11" t="n">
        <f aca="false">IFERROR(M406/MEDIAN(INDEX($M$5:$M$627,MATCH($A406-90,$A$5:$A$627,1)):INDEX($M$5:$M$627,MATCH($A406+90,$A$5:$A$627,1))),"")</f>
        <v>0.608881709464928</v>
      </c>
      <c r="T406" s="11" t="n">
        <f aca="false">IFERROR(N406/MEDIAN(INDEX($N$5:$N$627,MATCH($A406-90,$A$5:$A$627,1)):INDEX($N$5:$N$627,MATCH($A406+90,$A$5:$A$627,1))),"")</f>
        <v>0.72308152993481</v>
      </c>
      <c r="U406" s="11" t="n">
        <f aca="false">IFERROR(Q406/MEDIAN(INDEX($Q$5:$Q$627,MATCH($A406-90,$A$5:$A$627,1)):INDEX($Q$5:$Q$627,MATCH($A406+90,$A$5:$A$627,1))),"")</f>
        <v>7.75047726047232</v>
      </c>
    </row>
    <row r="407" customFormat="false" ht="15" hidden="false" customHeight="false" outlineLevel="0" collapsed="false">
      <c r="A407" s="13" t="n">
        <v>45955.3183511111</v>
      </c>
      <c r="B407" s="8" t="n">
        <v>7</v>
      </c>
      <c r="C407" s="8" t="s">
        <v>68</v>
      </c>
      <c r="D407" s="8" t="s">
        <v>472</v>
      </c>
      <c r="E407" s="14" t="s">
        <v>66</v>
      </c>
      <c r="F407" s="9" t="n">
        <v>48166619</v>
      </c>
      <c r="G407" s="9" t="n">
        <v>3123535</v>
      </c>
      <c r="H407" s="9" t="n">
        <v>1072551</v>
      </c>
      <c r="I407" s="9" t="n">
        <v>924312</v>
      </c>
      <c r="J407" s="9" t="n">
        <v>19505</v>
      </c>
      <c r="K407" s="9" t="n">
        <v>4914</v>
      </c>
      <c r="L407" s="9" t="n">
        <v>8128</v>
      </c>
      <c r="M407" s="10" t="n">
        <f aca="false">IFERROR(G407/F407,"")</f>
        <v>0.0648485416840239</v>
      </c>
      <c r="N407" s="10" t="n">
        <f aca="false">IFERROR(H407/G407,"")</f>
        <v>0.343377295276025</v>
      </c>
      <c r="O407" s="11" t="n">
        <f aca="false">IFERROR(I407/H407,"")</f>
        <v>0.861788390482131</v>
      </c>
      <c r="P407" s="10" t="n">
        <f aca="false">IFERROR(J407/H407,"")</f>
        <v>0.0181856154159569</v>
      </c>
      <c r="Q407" s="10" t="n">
        <f aca="false">IFERROR(K407/H407,"")</f>
        <v>0.00458160031550947</v>
      </c>
      <c r="R407" s="10" t="n">
        <f aca="false">IFERROR(L407/H407,"")</f>
        <v>0.00757819441686223</v>
      </c>
      <c r="S407" s="11" t="n">
        <f aca="false">IFERROR(M407/MEDIAN(INDEX($M$5:$M$627,MATCH($A407-90,$A$5:$A$627,1)):INDEX($M$5:$M$627,MATCH($A407+90,$A$5:$A$627,1))),"")</f>
        <v>1.13432564079484</v>
      </c>
      <c r="T407" s="11" t="n">
        <f aca="false">IFERROR(N407/MEDIAN(INDEX($N$5:$N$627,MATCH($A407-90,$A$5:$A$627,1)):INDEX($N$5:$N$627,MATCH($A407+90,$A$5:$A$627,1))),"")</f>
        <v>0.624282076185703</v>
      </c>
      <c r="U407" s="11" t="n">
        <f aca="false">IFERROR(Q407/MEDIAN(INDEX($Q$5:$Q$627,MATCH($A407-90,$A$5:$A$627,1)):INDEX($Q$5:$Q$627,MATCH($A407+90,$A$5:$A$627,1))),"")</f>
        <v>0.529604361470923</v>
      </c>
    </row>
    <row r="408" customFormat="false" ht="15" hidden="false" customHeight="false" outlineLevel="0" collapsed="false">
      <c r="A408" s="13" t="n">
        <v>45957.5032303125</v>
      </c>
      <c r="B408" s="8" t="n">
        <v>12</v>
      </c>
      <c r="C408" s="8" t="s">
        <v>80</v>
      </c>
      <c r="D408" s="8" t="s">
        <v>473</v>
      </c>
      <c r="E408" s="14" t="s">
        <v>66</v>
      </c>
      <c r="F408" s="9" t="n">
        <v>25605</v>
      </c>
      <c r="G408" s="9" t="n">
        <v>4364</v>
      </c>
      <c r="H408" s="9" t="n">
        <v>1388</v>
      </c>
      <c r="I408" s="9" t="n">
        <v>896</v>
      </c>
      <c r="J408" s="9" t="n">
        <v>100</v>
      </c>
      <c r="K408" s="9" t="n">
        <v>70</v>
      </c>
      <c r="L408" s="9" t="n">
        <v>5</v>
      </c>
      <c r="M408" s="10" t="n">
        <f aca="false">IFERROR(G408/F408,"")</f>
        <v>0.170435461823863</v>
      </c>
      <c r="N408" s="10" t="n">
        <f aca="false">IFERROR(H408/G408,"")</f>
        <v>0.318056828597617</v>
      </c>
      <c r="O408" s="11" t="n">
        <f aca="false">IFERROR(I408/H408,"")</f>
        <v>0.645533141210375</v>
      </c>
      <c r="P408" s="10" t="n">
        <f aca="false">IFERROR(J408/H408,"")</f>
        <v>0.0720461095100865</v>
      </c>
      <c r="Q408" s="10" t="n">
        <f aca="false">IFERROR(K408/H408,"")</f>
        <v>0.0504322766570605</v>
      </c>
      <c r="R408" s="10" t="n">
        <f aca="false">IFERROR(L408/H408,"")</f>
        <v>0.00360230547550432</v>
      </c>
      <c r="S408" s="11" t="n">
        <f aca="false">IFERROR(M408/MEDIAN(INDEX($M$5:$M$627,MATCH($A408-90,$A$5:$A$627,1)):INDEX($M$5:$M$627,MATCH($A408+90,$A$5:$A$627,1))),"")</f>
        <v>2.9573961889901</v>
      </c>
      <c r="T408" s="11" t="n">
        <f aca="false">IFERROR(N408/MEDIAN(INDEX($N$5:$N$627,MATCH($A408-90,$A$5:$A$627,1)):INDEX($N$5:$N$627,MATCH($A408+90,$A$5:$A$627,1))),"")</f>
        <v>0.576717912909373</v>
      </c>
      <c r="U408" s="11" t="n">
        <f aca="false">IFERROR(Q408/MEDIAN(INDEX($Q$5:$Q$627,MATCH($A408-90,$A$5:$A$627,1)):INDEX($Q$5:$Q$627,MATCH($A408+90,$A$5:$A$627,1))),"")</f>
        <v>5.75902908219219</v>
      </c>
    </row>
    <row r="409" customFormat="false" ht="15" hidden="false" customHeight="false" outlineLevel="0" collapsed="false">
      <c r="A409" s="13" t="n">
        <v>45958.2507519097</v>
      </c>
      <c r="B409" s="8" t="n">
        <v>6</v>
      </c>
      <c r="C409" s="8" t="s">
        <v>64</v>
      </c>
      <c r="D409" s="8" t="s">
        <v>474</v>
      </c>
      <c r="E409" s="14" t="s">
        <v>66</v>
      </c>
      <c r="F409" s="9" t="n">
        <v>3507</v>
      </c>
      <c r="G409" s="9" t="n">
        <v>127</v>
      </c>
      <c r="H409" s="9" t="n">
        <v>76</v>
      </c>
      <c r="I409" s="9" t="n">
        <v>43</v>
      </c>
      <c r="J409" s="9" t="n">
        <v>6</v>
      </c>
      <c r="K409" s="9" t="n">
        <v>0</v>
      </c>
      <c r="L409" s="9" t="n">
        <v>0</v>
      </c>
      <c r="M409" s="10" t="n">
        <f aca="false">IFERROR(G409/F409,"")</f>
        <v>0.0362132877102937</v>
      </c>
      <c r="N409" s="10" t="n">
        <f aca="false">IFERROR(H409/G409,"")</f>
        <v>0.598425196850394</v>
      </c>
      <c r="O409" s="11" t="n">
        <f aca="false">IFERROR(I409/H409,"")</f>
        <v>0.565789473684211</v>
      </c>
      <c r="P409" s="10" t="n">
        <f aca="false">IFERROR(J409/H409,"")</f>
        <v>0.0789473684210526</v>
      </c>
      <c r="Q409" s="10" t="n">
        <f aca="false">IFERROR(K409/H409,"")</f>
        <v>0</v>
      </c>
      <c r="R409" s="10" t="n">
        <f aca="false">IFERROR(L409/H409,"")</f>
        <v>0</v>
      </c>
      <c r="S409" s="11" t="n">
        <f aca="false">IFERROR(M409/MEDIAN(INDEX($M$5:$M$627,MATCH($A409-90,$A$5:$A$627,1)):INDEX($M$5:$M$627,MATCH($A409+90,$A$5:$A$627,1))),"")</f>
        <v>0.62338637315324</v>
      </c>
      <c r="T409" s="11" t="n">
        <f aca="false">IFERROR(N409/MEDIAN(INDEX($N$5:$N$627,MATCH($A409-90,$A$5:$A$627,1)):INDEX($N$5:$N$627,MATCH($A409+90,$A$5:$A$627,1))),"")</f>
        <v>1.08430006553732</v>
      </c>
      <c r="U409" s="11" t="n">
        <f aca="false">IFERROR(Q409/MEDIAN(INDEX($Q$5:$Q$627,MATCH($A409-90,$A$5:$A$627,1)):INDEX($Q$5:$Q$627,MATCH($A409+90,$A$5:$A$627,1))),"")</f>
        <v>0</v>
      </c>
    </row>
    <row r="410" customFormat="false" ht="15" hidden="false" customHeight="false" outlineLevel="0" collapsed="false">
      <c r="A410" s="13" t="n">
        <v>45959.2503162269</v>
      </c>
      <c r="B410" s="8" t="n">
        <v>6</v>
      </c>
      <c r="C410" s="8" t="s">
        <v>71</v>
      </c>
      <c r="D410" s="8" t="s">
        <v>475</v>
      </c>
      <c r="E410" s="14" t="s">
        <v>66</v>
      </c>
      <c r="F410" s="9" t="n">
        <v>48087</v>
      </c>
      <c r="G410" s="9" t="n">
        <v>1920</v>
      </c>
      <c r="H410" s="9" t="n">
        <v>1012</v>
      </c>
      <c r="I410" s="9" t="n">
        <v>1049</v>
      </c>
      <c r="J410" s="9" t="n">
        <v>118</v>
      </c>
      <c r="K410" s="9" t="n">
        <v>70</v>
      </c>
      <c r="L410" s="9" t="n">
        <v>7</v>
      </c>
      <c r="M410" s="10" t="n">
        <f aca="false">IFERROR(G410/F410,"")</f>
        <v>0.0399276311685071</v>
      </c>
      <c r="N410" s="10" t="n">
        <f aca="false">IFERROR(H410/G410,"")</f>
        <v>0.527083333333333</v>
      </c>
      <c r="O410" s="11" t="n">
        <f aca="false">IFERROR(I410/H410,"")</f>
        <v>1.03656126482213</v>
      </c>
      <c r="P410" s="10" t="n">
        <f aca="false">IFERROR(J410/H410,"")</f>
        <v>0.116600790513834</v>
      </c>
      <c r="Q410" s="10" t="n">
        <f aca="false">IFERROR(K410/H410,"")</f>
        <v>0.0691699604743083</v>
      </c>
      <c r="R410" s="10" t="n">
        <f aca="false">IFERROR(L410/H410,"")</f>
        <v>0.00691699604743083</v>
      </c>
      <c r="S410" s="11" t="n">
        <f aca="false">IFERROR(M410/MEDIAN(INDEX($M$5:$M$627,MATCH($A410-90,$A$5:$A$627,1)):INDEX($M$5:$M$627,MATCH($A410+90,$A$5:$A$627,1))),"")</f>
        <v>0.692824269019657</v>
      </c>
      <c r="T410" s="11" t="n">
        <f aca="false">IFERROR(N410/MEDIAN(INDEX($N$5:$N$627,MATCH($A410-90,$A$5:$A$627,1)):INDEX($N$5:$N$627,MATCH($A410+90,$A$5:$A$627,1))),"")</f>
        <v>0.956650083538295</v>
      </c>
      <c r="U410" s="11" t="n">
        <f aca="false">IFERROR(Q410/MEDIAN(INDEX($Q$5:$Q$627,MATCH($A410-90,$A$5:$A$627,1)):INDEX($Q$5:$Q$627,MATCH($A410+90,$A$5:$A$627,1))),"")</f>
        <v>7.80085844010344</v>
      </c>
    </row>
    <row r="411" customFormat="false" ht="15" hidden="false" customHeight="false" outlineLevel="0" collapsed="false">
      <c r="A411" s="13" t="n">
        <v>45960.417240625</v>
      </c>
      <c r="B411" s="8" t="n">
        <v>10</v>
      </c>
      <c r="C411" s="8" t="s">
        <v>73</v>
      </c>
      <c r="D411" s="8" t="s">
        <v>476</v>
      </c>
      <c r="E411" s="14" t="s">
        <v>66</v>
      </c>
      <c r="F411" s="9" t="n">
        <v>2690</v>
      </c>
      <c r="G411" s="9" t="n">
        <v>25</v>
      </c>
      <c r="H411" s="9" t="n">
        <v>18</v>
      </c>
      <c r="I411" s="9" t="n">
        <v>19</v>
      </c>
      <c r="J411" s="9" t="n">
        <v>3</v>
      </c>
      <c r="K411" s="9" t="n">
        <v>0</v>
      </c>
      <c r="L411" s="9" t="n">
        <v>0</v>
      </c>
      <c r="M411" s="10" t="n">
        <f aca="false">IFERROR(G411/F411,"")</f>
        <v>0.00929368029739777</v>
      </c>
      <c r="N411" s="10" t="n">
        <f aca="false">IFERROR(H411/G411,"")</f>
        <v>0.72</v>
      </c>
      <c r="O411" s="11" t="n">
        <f aca="false">IFERROR(I411/H411,"")</f>
        <v>1.05555555555556</v>
      </c>
      <c r="P411" s="10" t="n">
        <f aca="false">IFERROR(J411/H411,"")</f>
        <v>0.166666666666667</v>
      </c>
      <c r="Q411" s="10" t="n">
        <f aca="false">IFERROR(K411/H411,"")</f>
        <v>0</v>
      </c>
      <c r="R411" s="10" t="n">
        <f aca="false">IFERROR(L411/H411,"")</f>
        <v>0</v>
      </c>
      <c r="S411" s="11" t="n">
        <f aca="false">IFERROR(M411/MEDIAN(INDEX($M$5:$M$627,MATCH($A411-90,$A$5:$A$627,1)):INDEX($M$5:$M$627,MATCH($A411+90,$A$5:$A$627,1))),"")</f>
        <v>0.161263943542578</v>
      </c>
      <c r="T411" s="11" t="n">
        <f aca="false">IFERROR(N411/MEDIAN(INDEX($N$5:$N$627,MATCH($A411-90,$A$5:$A$627,1)):INDEX($N$5:$N$627,MATCH($A411+90,$A$5:$A$627,1))),"")</f>
        <v>1.30679157656456</v>
      </c>
      <c r="U411" s="11" t="n">
        <f aca="false">IFERROR(Q411/MEDIAN(INDEX($Q$5:$Q$627,MATCH($A411-90,$A$5:$A$627,1)):INDEX($Q$5:$Q$627,MATCH($A411+90,$A$5:$A$627,1))),"")</f>
        <v>0</v>
      </c>
    </row>
    <row r="412" customFormat="false" ht="15" hidden="false" customHeight="false" outlineLevel="0" collapsed="false">
      <c r="A412" s="13" t="n">
        <v>45961.250763044</v>
      </c>
      <c r="B412" s="8" t="n">
        <v>6</v>
      </c>
      <c r="C412" s="8" t="s">
        <v>84</v>
      </c>
      <c r="D412" s="8" t="s">
        <v>477</v>
      </c>
      <c r="E412" s="14" t="s">
        <v>66</v>
      </c>
      <c r="F412" s="9" t="n">
        <v>25572</v>
      </c>
      <c r="G412" s="9" t="n">
        <v>2093</v>
      </c>
      <c r="H412" s="9" t="n">
        <v>685</v>
      </c>
      <c r="I412" s="9" t="n">
        <v>442</v>
      </c>
      <c r="J412" s="9" t="n">
        <v>69</v>
      </c>
      <c r="K412" s="9" t="n">
        <v>57</v>
      </c>
      <c r="L412" s="9" t="n">
        <v>0</v>
      </c>
      <c r="M412" s="10" t="n">
        <f aca="false">IFERROR(G412/F412,"")</f>
        <v>0.0818473330204912</v>
      </c>
      <c r="N412" s="10" t="n">
        <f aca="false">IFERROR(H412/G412,"")</f>
        <v>0.327281414237936</v>
      </c>
      <c r="O412" s="11" t="n">
        <f aca="false">IFERROR(I412/H412,"")</f>
        <v>0.645255474452555</v>
      </c>
      <c r="P412" s="10" t="n">
        <f aca="false">IFERROR(J412/H412,"")</f>
        <v>0.100729927007299</v>
      </c>
      <c r="Q412" s="10" t="n">
        <f aca="false">IFERROR(K412/H412,"")</f>
        <v>0.0832116788321168</v>
      </c>
      <c r="R412" s="10" t="n">
        <f aca="false">IFERROR(L412/H412,"")</f>
        <v>0</v>
      </c>
      <c r="S412" s="11" t="n">
        <f aca="false">IFERROR(M412/MEDIAN(INDEX($M$5:$M$627,MATCH($A412-90,$A$5:$A$627,1)):INDEX($M$5:$M$627,MATCH($A412+90,$A$5:$A$627,1))),"")</f>
        <v>1.43436377641591</v>
      </c>
      <c r="T412" s="11" t="n">
        <f aca="false">IFERROR(N412/MEDIAN(INDEX($N$5:$N$627,MATCH($A412-90,$A$5:$A$627,1)):INDEX($N$5:$N$627,MATCH($A412+90,$A$5:$A$627,1))),"")</f>
        <v>0.591196431760483</v>
      </c>
      <c r="U412" s="11" t="n">
        <f aca="false">IFERROR(Q412/MEDIAN(INDEX($Q$5:$Q$627,MATCH($A412-90,$A$5:$A$627,1)):INDEX($Q$5:$Q$627,MATCH($A412+90,$A$5:$A$627,1))),"")</f>
        <v>9.50221782829442</v>
      </c>
    </row>
    <row r="413" customFormat="false" ht="15" hidden="false" customHeight="false" outlineLevel="0" collapsed="false">
      <c r="A413" s="13" t="n">
        <v>45962.2847027315</v>
      </c>
      <c r="B413" s="8" t="n">
        <v>6</v>
      </c>
      <c r="C413" s="8" t="s">
        <v>68</v>
      </c>
      <c r="D413" s="8" t="s">
        <v>413</v>
      </c>
      <c r="E413" s="14" t="s">
        <v>66</v>
      </c>
      <c r="F413" s="9" t="n">
        <v>147926</v>
      </c>
      <c r="G413" s="9" t="n">
        <v>9497</v>
      </c>
      <c r="H413" s="9" t="n">
        <v>5055</v>
      </c>
      <c r="I413" s="9" t="n">
        <v>6418</v>
      </c>
      <c r="J413" s="9" t="n">
        <v>258</v>
      </c>
      <c r="K413" s="9" t="n">
        <v>35</v>
      </c>
      <c r="L413" s="9" t="n">
        <v>20</v>
      </c>
      <c r="M413" s="10" t="n">
        <f aca="false">IFERROR(G413/F413,"")</f>
        <v>0.0642010194286332</v>
      </c>
      <c r="N413" s="10" t="n">
        <f aca="false">IFERROR(H413/G413,"")</f>
        <v>0.532273349478783</v>
      </c>
      <c r="O413" s="11" t="n">
        <f aca="false">IFERROR(I413/H413,"")</f>
        <v>1.26963402571711</v>
      </c>
      <c r="P413" s="10" t="n">
        <f aca="false">IFERROR(J413/H413,"")</f>
        <v>0.0510385756676558</v>
      </c>
      <c r="Q413" s="10" t="n">
        <f aca="false">IFERROR(K413/H413,"")</f>
        <v>0.00692383778437191</v>
      </c>
      <c r="R413" s="10" t="n">
        <f aca="false">IFERROR(L413/H413,"")</f>
        <v>0.00395647873392681</v>
      </c>
      <c r="S413" s="11" t="n">
        <f aca="false">IFERROR(M413/MEDIAN(INDEX($M$5:$M$627,MATCH($A413-90,$A$5:$A$627,1)):INDEX($M$5:$M$627,MATCH($A413+90,$A$5:$A$627,1))),"")</f>
        <v>1.12299923193196</v>
      </c>
      <c r="T413" s="11" t="n">
        <f aca="false">IFERROR(N413/MEDIAN(INDEX($N$5:$N$627,MATCH($A413-90,$A$5:$A$627,1)):INDEX($N$5:$N$627,MATCH($A413+90,$A$5:$A$627,1))),"")</f>
        <v>0.958561731355708</v>
      </c>
      <c r="U413" s="11" t="n">
        <f aca="false">IFERROR(Q413/MEDIAN(INDEX($Q$5:$Q$627,MATCH($A413-90,$A$5:$A$627,1)):INDEX($Q$5:$Q$627,MATCH($A413+90,$A$5:$A$627,1))),"")</f>
        <v>0.79761860045825</v>
      </c>
    </row>
    <row r="414" customFormat="false" ht="15" hidden="false" customHeight="false" outlineLevel="0" collapsed="false">
      <c r="A414" s="13" t="n">
        <v>45964.2665700926</v>
      </c>
      <c r="B414" s="8" t="n">
        <v>6</v>
      </c>
      <c r="C414" s="8" t="s">
        <v>80</v>
      </c>
      <c r="D414" s="8" t="s">
        <v>478</v>
      </c>
      <c r="E414" s="14" t="s">
        <v>66</v>
      </c>
      <c r="F414" s="9" t="n">
        <v>8075</v>
      </c>
      <c r="G414" s="9" t="n">
        <v>543</v>
      </c>
      <c r="H414" s="9" t="n">
        <v>262</v>
      </c>
      <c r="I414" s="9" t="n">
        <v>244</v>
      </c>
      <c r="J414" s="9" t="n">
        <v>71</v>
      </c>
      <c r="K414" s="9" t="n">
        <v>18</v>
      </c>
      <c r="L414" s="9" t="n">
        <v>1</v>
      </c>
      <c r="M414" s="10" t="n">
        <f aca="false">IFERROR(G414/F414,"")</f>
        <v>0.0672445820433437</v>
      </c>
      <c r="N414" s="10" t="n">
        <f aca="false">IFERROR(H414/G414,"")</f>
        <v>0.482504604051565</v>
      </c>
      <c r="O414" s="11" t="n">
        <f aca="false">IFERROR(I414/H414,"")</f>
        <v>0.931297709923664</v>
      </c>
      <c r="P414" s="10" t="n">
        <f aca="false">IFERROR(J414/H414,"")</f>
        <v>0.270992366412214</v>
      </c>
      <c r="Q414" s="10" t="n">
        <f aca="false">IFERROR(K414/H414,"")</f>
        <v>0.0687022900763359</v>
      </c>
      <c r="R414" s="10" t="n">
        <f aca="false">IFERROR(L414/H414,"")</f>
        <v>0.00381679389312977</v>
      </c>
      <c r="S414" s="11" t="n">
        <f aca="false">IFERROR(M414/MEDIAN(INDEX($M$5:$M$627,MATCH($A414-90,$A$5:$A$627,1)):INDEX($M$5:$M$627,MATCH($A414+90,$A$5:$A$627,1))),"")</f>
        <v>1.16682800948279</v>
      </c>
      <c r="T414" s="11" t="n">
        <f aca="false">IFERROR(N414/MEDIAN(INDEX($N$5:$N$627,MATCH($A414-90,$A$5:$A$627,1)):INDEX($N$5:$N$627,MATCH($A414+90,$A$5:$A$627,1))),"")</f>
        <v>0.871589365645761</v>
      </c>
      <c r="U414" s="11" t="n">
        <f aca="false">IFERROR(Q414/MEDIAN(INDEX($Q$5:$Q$627,MATCH($A414-90,$A$5:$A$627,1)):INDEX($Q$5:$Q$627,MATCH($A414+90,$A$5:$A$627,1))),"")</f>
        <v>7.84534256213139</v>
      </c>
    </row>
    <row r="415" customFormat="false" ht="15" hidden="false" customHeight="false" outlineLevel="0" collapsed="false">
      <c r="A415" s="13" t="n">
        <v>45965.2514758102</v>
      </c>
      <c r="B415" s="8" t="n">
        <v>6</v>
      </c>
      <c r="C415" s="8" t="s">
        <v>64</v>
      </c>
      <c r="D415" s="8" t="s">
        <v>479</v>
      </c>
      <c r="E415" s="14" t="s">
        <v>66</v>
      </c>
      <c r="F415" s="9" t="n">
        <v>6792</v>
      </c>
      <c r="G415" s="9" t="n">
        <v>221</v>
      </c>
      <c r="H415" s="9" t="n">
        <v>152</v>
      </c>
      <c r="I415" s="9" t="n">
        <v>173</v>
      </c>
      <c r="J415" s="9" t="n">
        <v>11</v>
      </c>
      <c r="K415" s="9" t="n">
        <v>0</v>
      </c>
      <c r="L415" s="9" t="n">
        <v>0</v>
      </c>
      <c r="M415" s="10" t="n">
        <f aca="false">IFERROR(G415/F415,"")</f>
        <v>0.0325382803297998</v>
      </c>
      <c r="N415" s="10" t="n">
        <f aca="false">IFERROR(H415/G415,"")</f>
        <v>0.687782805429864</v>
      </c>
      <c r="O415" s="11" t="n">
        <f aca="false">IFERROR(I415/H415,"")</f>
        <v>1.13815789473684</v>
      </c>
      <c r="P415" s="10" t="n">
        <f aca="false">IFERROR(J415/H415,"")</f>
        <v>0.0723684210526316</v>
      </c>
      <c r="Q415" s="10" t="n">
        <f aca="false">IFERROR(K415/H415,"")</f>
        <v>0</v>
      </c>
      <c r="R415" s="10" t="n">
        <f aca="false">IFERROR(L415/H415,"")</f>
        <v>0</v>
      </c>
      <c r="S415" s="11" t="n">
        <f aca="false">IFERROR(M415/MEDIAN(INDEX($M$5:$M$627,MATCH($A415-90,$A$5:$A$627,1)):INDEX($M$5:$M$627,MATCH($A415+90,$A$5:$A$627,1))),"")</f>
        <v>0.560123696188776</v>
      </c>
      <c r="T415" s="11" t="n">
        <f aca="false">IFERROR(N415/MEDIAN(INDEX($N$5:$N$627,MATCH($A415-90,$A$5:$A$627,1)):INDEX($N$5:$N$627,MATCH($A415+90,$A$5:$A$627,1))),"")</f>
        <v>1.23861598070827</v>
      </c>
      <c r="U415" s="11" t="n">
        <f aca="false">IFERROR(Q415/MEDIAN(INDEX($Q$5:$Q$627,MATCH($A415-90,$A$5:$A$627,1)):INDEX($Q$5:$Q$627,MATCH($A415+90,$A$5:$A$627,1))),"")</f>
        <v>0</v>
      </c>
    </row>
    <row r="416" customFormat="false" ht="15" hidden="false" customHeight="false" outlineLevel="0" collapsed="false">
      <c r="A416" s="13" t="n">
        <v>45966.7146221296</v>
      </c>
      <c r="B416" s="8" t="n">
        <v>17</v>
      </c>
      <c r="C416" s="8" t="s">
        <v>71</v>
      </c>
      <c r="D416" s="8" t="s">
        <v>480</v>
      </c>
      <c r="E416" s="14" t="s">
        <v>66</v>
      </c>
      <c r="F416" s="9" t="n">
        <v>588990</v>
      </c>
      <c r="G416" s="9" t="n">
        <v>39447</v>
      </c>
      <c r="H416" s="9" t="n">
        <v>26490</v>
      </c>
      <c r="I416" s="9" t="n">
        <v>31209</v>
      </c>
      <c r="J416" s="9" t="n">
        <v>434</v>
      </c>
      <c r="K416" s="9" t="n">
        <v>234</v>
      </c>
      <c r="L416" s="9" t="n">
        <v>93</v>
      </c>
      <c r="M416" s="10" t="n">
        <f aca="false">IFERROR(G416/F416,"")</f>
        <v>0.0669739723934193</v>
      </c>
      <c r="N416" s="10" t="n">
        <f aca="false">IFERROR(H416/G416,"")</f>
        <v>0.671533956954902</v>
      </c>
      <c r="O416" s="11" t="n">
        <f aca="false">IFERROR(I416/H416,"")</f>
        <v>1.17814269535674</v>
      </c>
      <c r="P416" s="10" t="n">
        <f aca="false">IFERROR(J416/H416,"")</f>
        <v>0.0163835409588524</v>
      </c>
      <c r="Q416" s="10" t="n">
        <f aca="false">IFERROR(K416/H416,"")</f>
        <v>0.00883352208380521</v>
      </c>
      <c r="R416" s="10" t="n">
        <f aca="false">IFERROR(L416/H416,"")</f>
        <v>0.00351075877689694</v>
      </c>
      <c r="S416" s="11" t="n">
        <f aca="false">IFERROR(M416/MEDIAN(INDEX($M$5:$M$627,MATCH($A416-90,$A$5:$A$627,1)):INDEX($M$5:$M$627,MATCH($A416+90,$A$5:$A$627,1))),"")</f>
        <v>1.17150350923709</v>
      </c>
      <c r="T416" s="11" t="n">
        <f aca="false">IFERROR(N416/MEDIAN(INDEX($N$5:$N$627,MATCH($A416-90,$A$5:$A$627,1)):INDEX($N$5:$N$627,MATCH($A416+90,$A$5:$A$627,1))),"")</f>
        <v>1.21676747130481</v>
      </c>
      <c r="U416" s="11" t="n">
        <f aca="false">IFERROR(Q416/MEDIAN(INDEX($Q$5:$Q$627,MATCH($A416-90,$A$5:$A$627,1)):INDEX($Q$5:$Q$627,MATCH($A416+90,$A$5:$A$627,1))),"")</f>
        <v>1</v>
      </c>
    </row>
    <row r="417" customFormat="false" ht="15" hidden="false" customHeight="false" outlineLevel="0" collapsed="false">
      <c r="A417" s="13" t="n">
        <v>45967.489560463</v>
      </c>
      <c r="B417" s="8" t="n">
        <v>11</v>
      </c>
      <c r="C417" s="8" t="s">
        <v>73</v>
      </c>
      <c r="D417" s="8" t="s">
        <v>481</v>
      </c>
      <c r="E417" s="14" t="s">
        <v>66</v>
      </c>
      <c r="F417" s="9" t="n">
        <v>968</v>
      </c>
      <c r="G417" s="9" t="n">
        <v>11</v>
      </c>
      <c r="H417" s="9" t="n">
        <v>10</v>
      </c>
      <c r="I417" s="9" t="n">
        <v>9</v>
      </c>
      <c r="J417" s="9" t="n">
        <v>2</v>
      </c>
      <c r="K417" s="9" t="n">
        <v>0</v>
      </c>
      <c r="L417" s="9" t="n">
        <v>0</v>
      </c>
      <c r="M417" s="10" t="n">
        <f aca="false">IFERROR(G417/F417,"")</f>
        <v>0.0113636363636364</v>
      </c>
      <c r="N417" s="10" t="n">
        <f aca="false">IFERROR(H417/G417,"")</f>
        <v>0.909090909090909</v>
      </c>
      <c r="O417" s="11" t="n">
        <f aca="false">IFERROR(I417/H417,"")</f>
        <v>0.9</v>
      </c>
      <c r="P417" s="10" t="n">
        <f aca="false">IFERROR(J417/H417,"")</f>
        <v>0.2</v>
      </c>
      <c r="Q417" s="10" t="n">
        <f aca="false">IFERROR(K417/H417,"")</f>
        <v>0</v>
      </c>
      <c r="R417" s="10" t="n">
        <f aca="false">IFERROR(L417/H417,"")</f>
        <v>0</v>
      </c>
      <c r="S417" s="11" t="n">
        <f aca="false">IFERROR(M417/MEDIAN(INDEX($M$5:$M$627,MATCH($A417-90,$A$5:$A$627,1)):INDEX($M$5:$M$627,MATCH($A417+90,$A$5:$A$627,1))),"")</f>
        <v>0.197181821877061</v>
      </c>
      <c r="T417" s="11" t="n">
        <f aca="false">IFERROR(N417/MEDIAN(INDEX($N$5:$N$627,MATCH($A417-90,$A$5:$A$627,1)):INDEX($N$5:$N$627,MATCH($A417+90,$A$5:$A$627,1))),"")</f>
        <v>1.64216872153244</v>
      </c>
      <c r="U417" s="11" t="n">
        <f aca="false">IFERROR(Q417/MEDIAN(INDEX($Q$5:$Q$627,MATCH($A417-90,$A$5:$A$627,1)):INDEX($Q$5:$Q$627,MATCH($A417+90,$A$5:$A$627,1))),"")</f>
        <v>0</v>
      </c>
    </row>
    <row r="418" customFormat="false" ht="15" hidden="false" customHeight="false" outlineLevel="0" collapsed="false">
      <c r="A418" s="13" t="n">
        <v>45968.2417682986</v>
      </c>
      <c r="B418" s="8" t="n">
        <v>5</v>
      </c>
      <c r="C418" s="8" t="s">
        <v>84</v>
      </c>
      <c r="D418" s="8" t="s">
        <v>482</v>
      </c>
      <c r="E418" s="14" t="s">
        <v>66</v>
      </c>
      <c r="F418" s="9" t="n">
        <v>51542</v>
      </c>
      <c r="G418" s="9" t="n">
        <v>8165</v>
      </c>
      <c r="H418" s="9" t="n">
        <v>4021</v>
      </c>
      <c r="I418" s="9" t="n">
        <v>2180</v>
      </c>
      <c r="J418" s="9" t="n">
        <v>333</v>
      </c>
      <c r="K418" s="9" t="n">
        <v>41</v>
      </c>
      <c r="L418" s="9" t="n">
        <v>5</v>
      </c>
      <c r="M418" s="10" t="n">
        <f aca="false">IFERROR(G418/F418,"")</f>
        <v>0.158414496915137</v>
      </c>
      <c r="N418" s="10" t="n">
        <f aca="false">IFERROR(H418/G418,"")</f>
        <v>0.492467850581751</v>
      </c>
      <c r="O418" s="11" t="n">
        <f aca="false">IFERROR(I418/H418,"")</f>
        <v>0.542153693111166</v>
      </c>
      <c r="P418" s="10" t="n">
        <f aca="false">IFERROR(J418/H418,"")</f>
        <v>0.0828152200945039</v>
      </c>
      <c r="Q418" s="10" t="n">
        <f aca="false">IFERROR(K418/H418,"")</f>
        <v>0.0101964685401641</v>
      </c>
      <c r="R418" s="10" t="n">
        <f aca="false">IFERROR(L418/H418,"")</f>
        <v>0.00124347177319075</v>
      </c>
      <c r="S418" s="11" t="n">
        <f aca="false">IFERROR(M418/MEDIAN(INDEX($M$5:$M$627,MATCH($A418-90,$A$5:$A$627,1)):INDEX($M$5:$M$627,MATCH($A418+90,$A$5:$A$627,1))),"")</f>
        <v>2.77619328142721</v>
      </c>
      <c r="T418" s="11" t="n">
        <f aca="false">IFERROR(N418/MEDIAN(INDEX($N$5:$N$627,MATCH($A418-90,$A$5:$A$627,1)):INDEX($N$5:$N$627,MATCH($A418+90,$A$5:$A$627,1))),"")</f>
        <v>0.885630133154753</v>
      </c>
      <c r="U418" s="11" t="n">
        <f aca="false">IFERROR(Q418/MEDIAN(INDEX($Q$5:$Q$627,MATCH($A418-90,$A$5:$A$627,1)):INDEX($Q$5:$Q$627,MATCH($A418+90,$A$5:$A$627,1))),"")</f>
        <v>1.14993860232626</v>
      </c>
    </row>
    <row r="419" customFormat="false" ht="15" hidden="false" customHeight="false" outlineLevel="0" collapsed="false">
      <c r="A419" s="13" t="n">
        <v>45969.2726652546</v>
      </c>
      <c r="B419" s="8" t="n">
        <v>6</v>
      </c>
      <c r="C419" s="8" t="s">
        <v>68</v>
      </c>
      <c r="D419" s="8" t="s">
        <v>483</v>
      </c>
      <c r="E419" s="14" t="s">
        <v>66</v>
      </c>
      <c r="F419" s="9" t="n">
        <v>5716823</v>
      </c>
      <c r="G419" s="9" t="n">
        <v>299341</v>
      </c>
      <c r="H419" s="9" t="n">
        <v>171402</v>
      </c>
      <c r="I419" s="9" t="n">
        <v>213038</v>
      </c>
      <c r="J419" s="9" t="n">
        <v>4037</v>
      </c>
      <c r="K419" s="9" t="n">
        <v>1648</v>
      </c>
      <c r="L419" s="9" t="n">
        <v>504</v>
      </c>
      <c r="M419" s="10" t="n">
        <f aca="false">IFERROR(G419/F419,"")</f>
        <v>0.0523614252181675</v>
      </c>
      <c r="N419" s="10" t="n">
        <f aca="false">IFERROR(H419/G419,"")</f>
        <v>0.572597806514978</v>
      </c>
      <c r="O419" s="11" t="n">
        <f aca="false">IFERROR(I419/H419,"")</f>
        <v>1.24291431838602</v>
      </c>
      <c r="P419" s="10" t="n">
        <f aca="false">IFERROR(J419/H419,"")</f>
        <v>0.0235528173533564</v>
      </c>
      <c r="Q419" s="10" t="n">
        <f aca="false">IFERROR(K419/H419,"")</f>
        <v>0.00961482363099614</v>
      </c>
      <c r="R419" s="10" t="n">
        <f aca="false">IFERROR(L419/H419,"")</f>
        <v>0.00294045577064445</v>
      </c>
      <c r="S419" s="11" t="n">
        <f aca="false">IFERROR(M419/MEDIAN(INDEX($M$5:$M$627,MATCH($A419-90,$A$5:$A$627,1)):INDEX($M$5:$M$627,MATCH($A419+90,$A$5:$A$627,1))),"")</f>
        <v>0.919358757800529</v>
      </c>
      <c r="T419" s="11" t="n">
        <f aca="false">IFERROR(N419/MEDIAN(INDEX($N$5:$N$627,MATCH($A419-90,$A$5:$A$627,1)):INDEX($N$5:$N$627,MATCH($A419+90,$A$5:$A$627,1))),"")</f>
        <v>1.03067605172696</v>
      </c>
      <c r="U419" s="11" t="n">
        <f aca="false">IFERROR(Q419/MEDIAN(INDEX($Q$5:$Q$627,MATCH($A419-90,$A$5:$A$627,1)):INDEX($Q$5:$Q$627,MATCH($A419+90,$A$5:$A$627,1))),"")</f>
        <v>1.08844734181661</v>
      </c>
    </row>
    <row r="420" customFormat="false" ht="15" hidden="false" customHeight="false" outlineLevel="0" collapsed="false">
      <c r="A420" s="13" t="n">
        <v>45971.5574229977</v>
      </c>
      <c r="B420" s="8" t="n">
        <v>13</v>
      </c>
      <c r="C420" s="8" t="s">
        <v>80</v>
      </c>
      <c r="D420" s="8" t="s">
        <v>484</v>
      </c>
      <c r="E420" s="14" t="s">
        <v>66</v>
      </c>
      <c r="F420" s="9" t="n">
        <v>31813</v>
      </c>
      <c r="G420" s="9" t="n">
        <v>1418</v>
      </c>
      <c r="H420" s="9" t="n">
        <v>1008</v>
      </c>
      <c r="I420" s="9" t="n">
        <v>1151</v>
      </c>
      <c r="J420" s="9" t="n">
        <v>94</v>
      </c>
      <c r="K420" s="9" t="n">
        <v>39</v>
      </c>
      <c r="L420" s="9" t="n">
        <v>6</v>
      </c>
      <c r="M420" s="10" t="n">
        <f aca="false">IFERROR(G420/F420,"")</f>
        <v>0.0445729733127967</v>
      </c>
      <c r="N420" s="10" t="n">
        <f aca="false">IFERROR(H420/G420,"")</f>
        <v>0.710860366713681</v>
      </c>
      <c r="O420" s="11" t="n">
        <f aca="false">IFERROR(I420/H420,"")</f>
        <v>1.14186507936508</v>
      </c>
      <c r="P420" s="10" t="n">
        <f aca="false">IFERROR(J420/H420,"")</f>
        <v>0.0932539682539683</v>
      </c>
      <c r="Q420" s="10" t="n">
        <f aca="false">IFERROR(K420/H420,"")</f>
        <v>0.0386904761904762</v>
      </c>
      <c r="R420" s="10" t="n">
        <f aca="false">IFERROR(L420/H420,"")</f>
        <v>0.00595238095238095</v>
      </c>
      <c r="S420" s="11" t="n">
        <f aca="false">IFERROR(M420/MEDIAN(INDEX($M$5:$M$627,MATCH($A420-90,$A$5:$A$627,1)):INDEX($M$5:$M$627,MATCH($A420+90,$A$5:$A$627,1))),"")</f>
        <v>0.781135511294208</v>
      </c>
      <c r="T420" s="11" t="n">
        <f aca="false">IFERROR(N420/MEDIAN(INDEX($N$5:$N$627,MATCH($A420-90,$A$5:$A$627,1)):INDEX($N$5:$N$627,MATCH($A420+90,$A$5:$A$627,1))),"")</f>
        <v>1.28408792555371</v>
      </c>
      <c r="U420" s="11" t="n">
        <f aca="false">IFERROR(Q420/MEDIAN(INDEX($Q$5:$Q$627,MATCH($A420-90,$A$5:$A$627,1)):INDEX($Q$5:$Q$627,MATCH($A420+90,$A$5:$A$627,1))),"")</f>
        <v>4.34378461945324</v>
      </c>
    </row>
    <row r="421" customFormat="false" ht="15" hidden="false" customHeight="false" outlineLevel="0" collapsed="false">
      <c r="A421" s="13" t="n">
        <v>45972.2908794907</v>
      </c>
      <c r="B421" s="8" t="n">
        <v>6</v>
      </c>
      <c r="C421" s="8" t="s">
        <v>64</v>
      </c>
      <c r="D421" s="8" t="s">
        <v>485</v>
      </c>
      <c r="E421" s="14" t="s">
        <v>66</v>
      </c>
      <c r="F421" s="9" t="n">
        <v>4667</v>
      </c>
      <c r="G421" s="9" t="n">
        <v>113</v>
      </c>
      <c r="H421" s="9" t="n">
        <v>66</v>
      </c>
      <c r="I421" s="9" t="n">
        <v>83</v>
      </c>
      <c r="J421" s="9" t="n">
        <v>11</v>
      </c>
      <c r="K421" s="9" t="n">
        <v>0</v>
      </c>
      <c r="L421" s="9" t="n">
        <v>0</v>
      </c>
      <c r="M421" s="10" t="n">
        <f aca="false">IFERROR(G421/F421,"")</f>
        <v>0.0242125562459824</v>
      </c>
      <c r="N421" s="10" t="n">
        <f aca="false">IFERROR(H421/G421,"")</f>
        <v>0.584070796460177</v>
      </c>
      <c r="O421" s="11" t="n">
        <f aca="false">IFERROR(I421/H421,"")</f>
        <v>1.25757575757576</v>
      </c>
      <c r="P421" s="10" t="n">
        <f aca="false">IFERROR(J421/H421,"")</f>
        <v>0.166666666666667</v>
      </c>
      <c r="Q421" s="10" t="n">
        <f aca="false">IFERROR(K421/H421,"")</f>
        <v>0</v>
      </c>
      <c r="R421" s="10" t="n">
        <f aca="false">IFERROR(L421/H421,"")</f>
        <v>0</v>
      </c>
      <c r="S421" s="11" t="n">
        <f aca="false">IFERROR(M421/MEDIAN(INDEX($M$5:$M$627,MATCH($A421-90,$A$5:$A$627,1)):INDEX($M$5:$M$627,MATCH($A421+90,$A$5:$A$627,1))),"")</f>
        <v>0.425122607735254</v>
      </c>
      <c r="T421" s="11" t="n">
        <f aca="false">IFERROR(N421/MEDIAN(INDEX($N$5:$N$627,MATCH($A421-90,$A$5:$A$627,1)):INDEX($N$5:$N$627,MATCH($A421+90,$A$5:$A$627,1))),"")</f>
        <v>1.05184284435321</v>
      </c>
      <c r="U421" s="11" t="n">
        <f aca="false">IFERROR(Q421/MEDIAN(INDEX($Q$5:$Q$627,MATCH($A421-90,$A$5:$A$627,1)):INDEX($Q$5:$Q$627,MATCH($A421+90,$A$5:$A$627,1))),"")</f>
        <v>0</v>
      </c>
    </row>
    <row r="422" customFormat="false" ht="15" hidden="false" customHeight="false" outlineLevel="0" collapsed="false">
      <c r="A422" s="13" t="n">
        <v>45973.256474919</v>
      </c>
      <c r="B422" s="8" t="n">
        <v>6</v>
      </c>
      <c r="C422" s="8" t="s">
        <v>71</v>
      </c>
      <c r="D422" s="8" t="s">
        <v>486</v>
      </c>
      <c r="E422" s="14" t="s">
        <v>66</v>
      </c>
      <c r="F422" s="9" t="n">
        <v>157694</v>
      </c>
      <c r="G422" s="9" t="n">
        <v>8723</v>
      </c>
      <c r="H422" s="9" t="n">
        <v>3967</v>
      </c>
      <c r="I422" s="9" t="n">
        <v>3595</v>
      </c>
      <c r="J422" s="9" t="n">
        <v>295</v>
      </c>
      <c r="K422" s="9" t="n">
        <v>55</v>
      </c>
      <c r="L422" s="9" t="n">
        <v>54</v>
      </c>
      <c r="M422" s="10" t="n">
        <f aca="false">IFERROR(G422/F422,"")</f>
        <v>0.0553159917308205</v>
      </c>
      <c r="N422" s="10" t="n">
        <f aca="false">IFERROR(H422/G422,"")</f>
        <v>0.454774733463258</v>
      </c>
      <c r="O422" s="11" t="n">
        <f aca="false">IFERROR(I422/H422,"")</f>
        <v>0.90622636753214</v>
      </c>
      <c r="P422" s="10" t="n">
        <f aca="false">IFERROR(J422/H422,"")</f>
        <v>0.0743634988656415</v>
      </c>
      <c r="Q422" s="10" t="n">
        <f aca="false">IFERROR(K422/H422,"")</f>
        <v>0.0138643811444416</v>
      </c>
      <c r="R422" s="10" t="n">
        <f aca="false">IFERROR(L422/H422,"")</f>
        <v>0.01361230148727</v>
      </c>
      <c r="S422" s="11" t="n">
        <f aca="false">IFERROR(M422/MEDIAN(INDEX($M$5:$M$627,MATCH($A422-90,$A$5:$A$627,1)):INDEX($M$5:$M$627,MATCH($A422+90,$A$5:$A$627,1))),"")</f>
        <v>0.977679739009236</v>
      </c>
      <c r="T422" s="11" t="n">
        <f aca="false">IFERROR(N422/MEDIAN(INDEX($N$5:$N$627,MATCH($A422-90,$A$5:$A$627,1)):INDEX($N$5:$N$627,MATCH($A422+90,$A$5:$A$627,1))),"")</f>
        <v>0.821498526900274</v>
      </c>
      <c r="U422" s="11" t="n">
        <f aca="false">IFERROR(Q422/MEDIAN(INDEX($Q$5:$Q$627,MATCH($A422-90,$A$5:$A$627,1)):INDEX($Q$5:$Q$627,MATCH($A422+90,$A$5:$A$627,1))),"")</f>
        <v>1.55655581174489</v>
      </c>
    </row>
    <row r="423" customFormat="false" ht="15" hidden="false" customHeight="false" outlineLevel="0" collapsed="false">
      <c r="A423" s="13" t="n">
        <v>45974.2526739815</v>
      </c>
      <c r="B423" s="8" t="n">
        <v>6</v>
      </c>
      <c r="C423" s="8" t="s">
        <v>73</v>
      </c>
      <c r="D423" s="8" t="s">
        <v>487</v>
      </c>
      <c r="E423" s="14" t="s">
        <v>66</v>
      </c>
      <c r="F423" s="9" t="n">
        <v>14203</v>
      </c>
      <c r="G423" s="9" t="n">
        <v>996</v>
      </c>
      <c r="H423" s="9" t="n">
        <v>738</v>
      </c>
      <c r="I423" s="9" t="n">
        <v>830</v>
      </c>
      <c r="J423" s="9" t="n">
        <v>75</v>
      </c>
      <c r="K423" s="9" t="n">
        <v>0</v>
      </c>
      <c r="L423" s="9" t="n">
        <v>5</v>
      </c>
      <c r="M423" s="10" t="n">
        <f aca="false">IFERROR(G423/F423,"")</f>
        <v>0.0701260297120327</v>
      </c>
      <c r="N423" s="10" t="n">
        <f aca="false">IFERROR(H423/G423,"")</f>
        <v>0.740963855421687</v>
      </c>
      <c r="O423" s="11" t="n">
        <f aca="false">IFERROR(I423/H423,"")</f>
        <v>1.12466124661247</v>
      </c>
      <c r="P423" s="10" t="n">
        <f aca="false">IFERROR(J423/H423,"")</f>
        <v>0.101626016260163</v>
      </c>
      <c r="Q423" s="10" t="n">
        <f aca="false">IFERROR(K423/H423,"")</f>
        <v>0</v>
      </c>
      <c r="R423" s="10" t="n">
        <f aca="false">IFERROR(L423/H423,"")</f>
        <v>0.00677506775067751</v>
      </c>
      <c r="S423" s="11" t="n">
        <f aca="false">IFERROR(M423/MEDIAN(INDEX($M$5:$M$627,MATCH($A423-90,$A$5:$A$627,1)):INDEX($M$5:$M$627,MATCH($A423+90,$A$5:$A$627,1))),"")</f>
        <v>1.23943901720583</v>
      </c>
      <c r="T423" s="11" t="n">
        <f aca="false">IFERROR(N423/MEDIAN(INDEX($N$5:$N$627,MATCH($A423-90,$A$5:$A$627,1)):INDEX($N$5:$N$627,MATCH($A423+90,$A$5:$A$627,1))),"")</f>
        <v>1.33846643387553</v>
      </c>
      <c r="U423" s="11" t="n">
        <f aca="false">IFERROR(Q423/MEDIAN(INDEX($Q$5:$Q$627,MATCH($A423-90,$A$5:$A$627,1)):INDEX($Q$5:$Q$627,MATCH($A423+90,$A$5:$A$627,1))),"")</f>
        <v>0</v>
      </c>
    </row>
    <row r="424" customFormat="false" ht="15" hidden="false" customHeight="false" outlineLevel="0" collapsed="false">
      <c r="A424" s="13" t="n">
        <v>45975.4232787269</v>
      </c>
      <c r="B424" s="8" t="n">
        <v>10</v>
      </c>
      <c r="C424" s="8" t="s">
        <v>84</v>
      </c>
      <c r="D424" s="8" t="s">
        <v>488</v>
      </c>
      <c r="E424" s="14" t="s">
        <v>66</v>
      </c>
      <c r="F424" s="9" t="n">
        <v>37919</v>
      </c>
      <c r="G424" s="9" t="n">
        <v>1339</v>
      </c>
      <c r="H424" s="9" t="n">
        <v>783</v>
      </c>
      <c r="I424" s="9" t="n">
        <v>935</v>
      </c>
      <c r="J424" s="9" t="n">
        <v>99</v>
      </c>
      <c r="K424" s="9" t="n">
        <v>34</v>
      </c>
      <c r="L424" s="9" t="n">
        <v>7</v>
      </c>
      <c r="M424" s="10" t="n">
        <f aca="false">IFERROR(G424/F424,"")</f>
        <v>0.0353121126611989</v>
      </c>
      <c r="N424" s="10" t="n">
        <f aca="false">IFERROR(H424/G424,"")</f>
        <v>0.584764749813294</v>
      </c>
      <c r="O424" s="11" t="n">
        <f aca="false">IFERROR(I424/H424,"")</f>
        <v>1.1941251596424</v>
      </c>
      <c r="P424" s="10" t="n">
        <f aca="false">IFERROR(J424/H424,"")</f>
        <v>0.126436781609195</v>
      </c>
      <c r="Q424" s="10" t="n">
        <f aca="false">IFERROR(K424/H424,"")</f>
        <v>0.0434227330779055</v>
      </c>
      <c r="R424" s="10" t="n">
        <f aca="false">IFERROR(L424/H424,"")</f>
        <v>0.00893997445721584</v>
      </c>
      <c r="S424" s="11" t="n">
        <f aca="false">IFERROR(M424/MEDIAN(INDEX($M$5:$M$627,MATCH($A424-90,$A$5:$A$627,1)):INDEX($M$5:$M$627,MATCH($A424+90,$A$5:$A$627,1))),"")</f>
        <v>0.620007952347488</v>
      </c>
      <c r="T424" s="11" t="n">
        <f aca="false">IFERROR(N424/MEDIAN(INDEX($N$5:$N$627,MATCH($A424-90,$A$5:$A$627,1)):INDEX($N$5:$N$627,MATCH($A424+90,$A$5:$A$627,1))),"")</f>
        <v>1.05257654966393</v>
      </c>
      <c r="U424" s="11" t="n">
        <f aca="false">IFERROR(Q424/MEDIAN(INDEX($Q$5:$Q$627,MATCH($A424-90,$A$5:$A$627,1)):INDEX($Q$5:$Q$627,MATCH($A424+90,$A$5:$A$627,1))),"")</f>
        <v>4.91567606510135</v>
      </c>
    </row>
    <row r="425" customFormat="false" ht="15" hidden="false" customHeight="false" outlineLevel="0" collapsed="false">
      <c r="A425" s="13" t="n">
        <v>45976.2577071181</v>
      </c>
      <c r="B425" s="8" t="n">
        <v>6</v>
      </c>
      <c r="C425" s="8" t="s">
        <v>68</v>
      </c>
      <c r="D425" s="8" t="s">
        <v>489</v>
      </c>
      <c r="E425" s="14" t="s">
        <v>66</v>
      </c>
      <c r="F425" s="9" t="n">
        <v>131172</v>
      </c>
      <c r="G425" s="9" t="n">
        <v>15882</v>
      </c>
      <c r="H425" s="9" t="n">
        <v>7141</v>
      </c>
      <c r="I425" s="9" t="n">
        <v>4393</v>
      </c>
      <c r="J425" s="9" t="n">
        <v>557</v>
      </c>
      <c r="K425" s="9" t="n">
        <v>182</v>
      </c>
      <c r="L425" s="9" t="n">
        <v>22</v>
      </c>
      <c r="M425" s="10" t="n">
        <f aca="false">IFERROR(G425/F425,"")</f>
        <v>0.121077669014729</v>
      </c>
      <c r="N425" s="10" t="n">
        <f aca="false">IFERROR(H425/G425,"")</f>
        <v>0.449628510263191</v>
      </c>
      <c r="O425" s="11" t="n">
        <f aca="false">IFERROR(I425/H425,"")</f>
        <v>0.615179946786164</v>
      </c>
      <c r="P425" s="10" t="n">
        <f aca="false">IFERROR(J425/H425,"")</f>
        <v>0.0780002800728189</v>
      </c>
      <c r="Q425" s="10" t="n">
        <f aca="false">IFERROR(K425/H425,"")</f>
        <v>0.025486626522896</v>
      </c>
      <c r="R425" s="10" t="n">
        <f aca="false">IFERROR(L425/H425,"")</f>
        <v>0.00308080100826215</v>
      </c>
      <c r="S425" s="11" t="n">
        <f aca="false">IFERROR(M425/MEDIAN(INDEX($M$5:$M$627,MATCH($A425-90,$A$5:$A$627,1)):INDEX($M$5:$M$627,MATCH($A425+90,$A$5:$A$627,1))),"")</f>
        <v>2.13998122673468</v>
      </c>
      <c r="T425" s="11" t="n">
        <f aca="false">IFERROR(N425/MEDIAN(INDEX($N$5:$N$627,MATCH($A425-90,$A$5:$A$627,1)):INDEX($N$5:$N$627,MATCH($A425+90,$A$5:$A$627,1))),"")</f>
        <v>0.809529656214583</v>
      </c>
      <c r="U425" s="11" t="n">
        <f aca="false">IFERROR(Q425/MEDIAN(INDEX($Q$5:$Q$627,MATCH($A425-90,$A$5:$A$627,1)):INDEX($Q$5:$Q$627,MATCH($A425+90,$A$5:$A$627,1))),"")</f>
        <v>2.87433394869068</v>
      </c>
    </row>
    <row r="426" customFormat="false" ht="15" hidden="false" customHeight="false" outlineLevel="0" collapsed="false">
      <c r="A426" s="13" t="n">
        <v>45978.2919796759</v>
      </c>
      <c r="B426" s="8" t="n">
        <v>7</v>
      </c>
      <c r="C426" s="8" t="s">
        <v>80</v>
      </c>
      <c r="D426" s="8" t="s">
        <v>490</v>
      </c>
      <c r="E426" s="14" t="s">
        <v>66</v>
      </c>
      <c r="F426" s="9" t="n">
        <v>128806</v>
      </c>
      <c r="G426" s="9" t="n">
        <v>25133</v>
      </c>
      <c r="H426" s="9" t="n">
        <v>17829</v>
      </c>
      <c r="I426" s="9" t="n">
        <v>10063</v>
      </c>
      <c r="J426" s="9" t="n">
        <v>713</v>
      </c>
      <c r="K426" s="9" t="n">
        <v>692</v>
      </c>
      <c r="L426" s="9" t="n">
        <v>31</v>
      </c>
      <c r="M426" s="10" t="n">
        <f aca="false">IFERROR(G426/F426,"")</f>
        <v>0.195122898001646</v>
      </c>
      <c r="N426" s="10" t="n">
        <f aca="false">IFERROR(H426/G426,"")</f>
        <v>0.709386066128198</v>
      </c>
      <c r="O426" s="11" t="n">
        <f aca="false">IFERROR(I426/H426,"")</f>
        <v>0.564417522014695</v>
      </c>
      <c r="P426" s="10" t="n">
        <f aca="false">IFERROR(J426/H426,"")</f>
        <v>0.0399910258567502</v>
      </c>
      <c r="Q426" s="10" t="n">
        <f aca="false">IFERROR(K426/H426,"")</f>
        <v>0.038813169555219</v>
      </c>
      <c r="R426" s="10" t="n">
        <f aca="false">IFERROR(L426/H426,"")</f>
        <v>0.00173874025464131</v>
      </c>
      <c r="S426" s="11" t="n">
        <f aca="false">IFERROR(M426/MEDIAN(INDEX($M$5:$M$627,MATCH($A426-90,$A$5:$A$627,1)):INDEX($M$5:$M$627,MATCH($A426+90,$A$5:$A$627,1))),"")</f>
        <v>3.48539341101125</v>
      </c>
      <c r="T426" s="11" t="n">
        <f aca="false">IFERROR(N426/MEDIAN(INDEX($N$5:$N$627,MATCH($A426-90,$A$5:$A$627,1)):INDEX($N$5:$N$627,MATCH($A426+90,$A$5:$A$627,1))),"")</f>
        <v>1.28142477021533</v>
      </c>
      <c r="U426" s="11" t="n">
        <f aca="false">IFERROR(Q426/MEDIAN(INDEX($Q$5:$Q$627,MATCH($A426-90,$A$5:$A$627,1)):INDEX($Q$5:$Q$627,MATCH($A426+90,$A$5:$A$627,1))),"")</f>
        <v>4.35755941891694</v>
      </c>
    </row>
    <row r="427" customFormat="false" ht="15" hidden="false" customHeight="false" outlineLevel="0" collapsed="false">
      <c r="A427" s="13" t="n">
        <v>45979.2929043287</v>
      </c>
      <c r="B427" s="8" t="n">
        <v>7</v>
      </c>
      <c r="C427" s="8" t="s">
        <v>64</v>
      </c>
      <c r="D427" s="8" t="s">
        <v>491</v>
      </c>
      <c r="E427" s="14" t="s">
        <v>66</v>
      </c>
      <c r="F427" s="9" t="n">
        <v>2152</v>
      </c>
      <c r="G427" s="9" t="n">
        <v>18</v>
      </c>
      <c r="H427" s="9" t="n">
        <v>9</v>
      </c>
      <c r="I427" s="9" t="n">
        <v>12</v>
      </c>
      <c r="J427" s="9" t="n">
        <v>3</v>
      </c>
      <c r="K427" s="9" t="n">
        <v>0</v>
      </c>
      <c r="L427" s="9" t="n">
        <v>0</v>
      </c>
      <c r="M427" s="10" t="n">
        <f aca="false">IFERROR(G427/F427,"")</f>
        <v>0.00836431226765799</v>
      </c>
      <c r="N427" s="10" t="n">
        <f aca="false">IFERROR(H427/G427,"")</f>
        <v>0.5</v>
      </c>
      <c r="O427" s="11" t="n">
        <f aca="false">IFERROR(I427/H427,"")</f>
        <v>1.33333333333333</v>
      </c>
      <c r="P427" s="10" t="n">
        <f aca="false">IFERROR(J427/H427,"")</f>
        <v>0.333333333333333</v>
      </c>
      <c r="Q427" s="10" t="n">
        <f aca="false">IFERROR(K427/H427,"")</f>
        <v>0</v>
      </c>
      <c r="R427" s="10" t="n">
        <f aca="false">IFERROR(L427/H427,"")</f>
        <v>0</v>
      </c>
      <c r="S427" s="11" t="n">
        <f aca="false">IFERROR(M427/MEDIAN(INDEX($M$5:$M$627,MATCH($A427-90,$A$5:$A$627,1)):INDEX($M$5:$M$627,MATCH($A427+90,$A$5:$A$627,1))),"")</f>
        <v>0.149998430342525</v>
      </c>
      <c r="T427" s="11" t="n">
        <f aca="false">IFERROR(N427/MEDIAN(INDEX($N$5:$N$627,MATCH($A427-90,$A$5:$A$627,1)):INDEX($N$5:$N$627,MATCH($A427+90,$A$5:$A$627,1))),"")</f>
        <v>0.90596123896868</v>
      </c>
      <c r="U427" s="11" t="n">
        <f aca="false">IFERROR(Q427/MEDIAN(INDEX($Q$5:$Q$627,MATCH($A427-90,$A$5:$A$627,1)):INDEX($Q$5:$Q$627,MATCH($A427+90,$A$5:$A$627,1))),"")</f>
        <v>0</v>
      </c>
    </row>
    <row r="428" customFormat="false" ht="15" hidden="false" customHeight="false" outlineLevel="0" collapsed="false">
      <c r="A428" s="13" t="n">
        <v>45980.2084531019</v>
      </c>
      <c r="B428" s="8" t="n">
        <v>5</v>
      </c>
      <c r="C428" s="8" t="s">
        <v>71</v>
      </c>
      <c r="D428" s="8" t="s">
        <v>492</v>
      </c>
      <c r="E428" s="14" t="s">
        <v>66</v>
      </c>
      <c r="F428" s="9" t="n">
        <v>8594800</v>
      </c>
      <c r="G428" s="9" t="n">
        <v>473743</v>
      </c>
      <c r="H428" s="9" t="n">
        <v>482547</v>
      </c>
      <c r="I428" s="9" t="n">
        <v>406248</v>
      </c>
      <c r="J428" s="9" t="n">
        <v>5993</v>
      </c>
      <c r="K428" s="9" t="n">
        <v>1067</v>
      </c>
      <c r="L428" s="9" t="n">
        <v>1536</v>
      </c>
      <c r="M428" s="10" t="n">
        <f aca="false">IFERROR(G428/F428,"")</f>
        <v>0.0551197235537767</v>
      </c>
      <c r="N428" s="10" t="n">
        <f aca="false">IFERROR(H428/G428,"")</f>
        <v>1.01858391575179</v>
      </c>
      <c r="O428" s="11" t="n">
        <f aca="false">IFERROR(I428/H428,"")</f>
        <v>0.841882759606836</v>
      </c>
      <c r="P428" s="10" t="n">
        <f aca="false">IFERROR(J428/H428,"")</f>
        <v>0.0124195156119508</v>
      </c>
      <c r="Q428" s="10" t="n">
        <f aca="false">IFERROR(K428/H428,"")</f>
        <v>0.00221118357382804</v>
      </c>
      <c r="R428" s="10" t="n">
        <f aca="false">IFERROR(L428/H428,"")</f>
        <v>0.00318310962455471</v>
      </c>
      <c r="S428" s="11" t="n">
        <f aca="false">IFERROR(M428/MEDIAN(INDEX($M$5:$M$627,MATCH($A428-90,$A$5:$A$627,1)):INDEX($M$5:$M$627,MATCH($A428+90,$A$5:$A$627,1))),"")</f>
        <v>0.984579069184768</v>
      </c>
      <c r="T428" s="11" t="n">
        <f aca="false">IFERROR(N428/MEDIAN(INDEX($N$5:$N$627,MATCH($A428-90,$A$5:$A$627,1)):INDEX($N$5:$N$627,MATCH($A428+90,$A$5:$A$627,1))),"")</f>
        <v>1.83950302754346</v>
      </c>
      <c r="U428" s="11" t="n">
        <f aca="false">IFERROR(Q428/MEDIAN(INDEX($Q$5:$Q$627,MATCH($A428-90,$A$5:$A$627,1)):INDEX($Q$5:$Q$627,MATCH($A428+90,$A$5:$A$627,1))),"")</f>
        <v>0.24824985744544</v>
      </c>
    </row>
    <row r="429" customFormat="false" ht="15" hidden="false" customHeight="false" outlineLevel="0" collapsed="false">
      <c r="A429" s="13" t="n">
        <v>45981.2923340625</v>
      </c>
      <c r="B429" s="8" t="n">
        <v>7</v>
      </c>
      <c r="C429" s="8" t="s">
        <v>73</v>
      </c>
      <c r="D429" s="8" t="s">
        <v>493</v>
      </c>
      <c r="E429" s="14" t="s">
        <v>66</v>
      </c>
      <c r="F429" s="9" t="n">
        <v>2675</v>
      </c>
      <c r="G429" s="9" t="n">
        <v>41</v>
      </c>
      <c r="H429" s="9" t="n">
        <v>17</v>
      </c>
      <c r="I429" s="9" t="n">
        <v>26</v>
      </c>
      <c r="J429" s="9" t="n">
        <v>2</v>
      </c>
      <c r="K429" s="9" t="n">
        <v>0</v>
      </c>
      <c r="L429" s="9" t="n">
        <v>0</v>
      </c>
      <c r="M429" s="10" t="n">
        <f aca="false">IFERROR(G429/F429,"")</f>
        <v>0.0153271028037383</v>
      </c>
      <c r="N429" s="10" t="n">
        <f aca="false">IFERROR(H429/G429,"")</f>
        <v>0.414634146341463</v>
      </c>
      <c r="O429" s="11" t="n">
        <f aca="false">IFERROR(I429/H429,"")</f>
        <v>1.52941176470588</v>
      </c>
      <c r="P429" s="10" t="n">
        <f aca="false">IFERROR(J429/H429,"")</f>
        <v>0.117647058823529</v>
      </c>
      <c r="Q429" s="10" t="n">
        <f aca="false">IFERROR(K429/H429,"")</f>
        <v>0</v>
      </c>
      <c r="R429" s="10" t="n">
        <f aca="false">IFERROR(L429/H429,"")</f>
        <v>0</v>
      </c>
      <c r="S429" s="11" t="n">
        <f aca="false">IFERROR(M429/MEDIAN(INDEX($M$5:$M$627,MATCH($A429-90,$A$5:$A$627,1)):INDEX($M$5:$M$627,MATCH($A429+90,$A$5:$A$627,1))),"")</f>
        <v>0.274863167310108</v>
      </c>
      <c r="T429" s="11" t="n">
        <f aca="false">IFERROR(N429/MEDIAN(INDEX($N$5:$N$627,MATCH($A429-90,$A$5:$A$627,1)):INDEX($N$5:$N$627,MATCH($A429+90,$A$5:$A$627,1))),"")</f>
        <v>0.751284929876466</v>
      </c>
      <c r="U429" s="11" t="n">
        <f aca="false">IFERROR(Q429/MEDIAN(INDEX($Q$5:$Q$627,MATCH($A429-90,$A$5:$A$627,1)):INDEX($Q$5:$Q$627,MATCH($A429+90,$A$5:$A$627,1))),"")</f>
        <v>0</v>
      </c>
    </row>
    <row r="430" customFormat="false" ht="15" hidden="false" customHeight="false" outlineLevel="0" collapsed="false">
      <c r="A430" s="13" t="n">
        <v>45982.3091164699</v>
      </c>
      <c r="B430" s="8" t="n">
        <v>7</v>
      </c>
      <c r="C430" s="8" t="s">
        <v>84</v>
      </c>
      <c r="D430" s="8" t="s">
        <v>494</v>
      </c>
      <c r="E430" s="14" t="s">
        <v>66</v>
      </c>
      <c r="F430" s="9" t="n">
        <v>42188</v>
      </c>
      <c r="G430" s="9" t="n">
        <v>2194</v>
      </c>
      <c r="H430" s="9" t="n">
        <v>1223</v>
      </c>
      <c r="I430" s="9" t="n">
        <v>1157</v>
      </c>
      <c r="J430" s="9" t="n">
        <v>102</v>
      </c>
      <c r="K430" s="9" t="n">
        <v>97</v>
      </c>
      <c r="L430" s="9" t="n">
        <v>4</v>
      </c>
      <c r="M430" s="10" t="n">
        <f aca="false">IFERROR(G430/F430,"")</f>
        <v>0.0520053095667014</v>
      </c>
      <c r="N430" s="10" t="n">
        <f aca="false">IFERROR(H430/G430,"")</f>
        <v>0.55742935278031</v>
      </c>
      <c r="O430" s="11" t="n">
        <f aca="false">IFERROR(I430/H430,"")</f>
        <v>0.946034341782502</v>
      </c>
      <c r="P430" s="10" t="n">
        <f aca="false">IFERROR(J430/H430,"")</f>
        <v>0.0834014717906787</v>
      </c>
      <c r="Q430" s="10" t="n">
        <f aca="false">IFERROR(K430/H430,"")</f>
        <v>0.0793131643499591</v>
      </c>
      <c r="R430" s="10" t="n">
        <f aca="false">IFERROR(L430/H430,"")</f>
        <v>0.00327064595257563</v>
      </c>
      <c r="S430" s="11" t="n">
        <f aca="false">IFERROR(M430/MEDIAN(INDEX($M$5:$M$627,MATCH($A430-90,$A$5:$A$627,1)):INDEX($M$5:$M$627,MATCH($A430+90,$A$5:$A$627,1))),"")</f>
        <v>0.938695837678961</v>
      </c>
      <c r="T430" s="11" t="n">
        <f aca="false">IFERROR(N430/MEDIAN(INDEX($N$5:$N$627,MATCH($A430-90,$A$5:$A$627,1)):INDEX($N$5:$N$627,MATCH($A430+90,$A$5:$A$627,1))),"")</f>
        <v>1.01001877416472</v>
      </c>
      <c r="U430" s="11" t="n">
        <f aca="false">IFERROR(Q430/MEDIAN(INDEX($Q$5:$Q$627,MATCH($A430-90,$A$5:$A$627,1)):INDEX($Q$5:$Q$627,MATCH($A430+90,$A$5:$A$627,1))),"")</f>
        <v>8.91117749692572</v>
      </c>
    </row>
    <row r="431" customFormat="false" ht="15" hidden="false" customHeight="false" outlineLevel="0" collapsed="false">
      <c r="A431" s="13" t="n">
        <v>45983.2507456134</v>
      </c>
      <c r="B431" s="8" t="n">
        <v>6</v>
      </c>
      <c r="C431" s="8" t="s">
        <v>68</v>
      </c>
      <c r="D431" s="8" t="s">
        <v>495</v>
      </c>
      <c r="E431" s="14" t="s">
        <v>66</v>
      </c>
      <c r="F431" s="9" t="n">
        <v>195223</v>
      </c>
      <c r="G431" s="9" t="n">
        <v>17962</v>
      </c>
      <c r="H431" s="9" t="n">
        <v>11707</v>
      </c>
      <c r="I431" s="9" t="n">
        <v>14263</v>
      </c>
      <c r="J431" s="9" t="n">
        <v>397</v>
      </c>
      <c r="K431" s="9" t="n">
        <v>72</v>
      </c>
      <c r="L431" s="9" t="n">
        <v>46</v>
      </c>
      <c r="M431" s="10" t="n">
        <f aca="false">IFERROR(G431/F431,"")</f>
        <v>0.0920076015633404</v>
      </c>
      <c r="N431" s="10" t="n">
        <f aca="false">IFERROR(H431/G431,"")</f>
        <v>0.651764836877853</v>
      </c>
      <c r="O431" s="11" t="n">
        <f aca="false">IFERROR(I431/H431,"")</f>
        <v>1.2183309131289</v>
      </c>
      <c r="P431" s="10" t="n">
        <f aca="false">IFERROR(J431/H431,"")</f>
        <v>0.0339113350986589</v>
      </c>
      <c r="Q431" s="10" t="n">
        <f aca="false">IFERROR(K431/H431,"")</f>
        <v>0.00615016656701119</v>
      </c>
      <c r="R431" s="10" t="n">
        <f aca="false">IFERROR(L431/H431,"")</f>
        <v>0.00392927308447937</v>
      </c>
      <c r="S431" s="11" t="n">
        <f aca="false">IFERROR(M431/MEDIAN(INDEX($M$5:$M$627,MATCH($A431-90,$A$5:$A$627,1)):INDEX($M$5:$M$627,MATCH($A431+90,$A$5:$A$627,1))),"")</f>
        <v>1.66073720821829</v>
      </c>
      <c r="T431" s="11" t="n">
        <f aca="false">IFERROR(N431/MEDIAN(INDEX($N$5:$N$627,MATCH($A431-90,$A$5:$A$627,1)):INDEX($N$5:$N$627,MATCH($A431+90,$A$5:$A$627,1))),"")</f>
        <v>1.18094735826816</v>
      </c>
      <c r="U431" s="11" t="n">
        <f aca="false">IFERROR(Q431/MEDIAN(INDEX($Q$5:$Q$627,MATCH($A431-90,$A$5:$A$627,1)):INDEX($Q$5:$Q$627,MATCH($A431+90,$A$5:$A$627,1))),"")</f>
        <v>0.690997848383328</v>
      </c>
    </row>
    <row r="432" customFormat="false" ht="15" hidden="false" customHeight="false" outlineLevel="0" collapsed="false">
      <c r="A432" s="13" t="n">
        <v>45985.3120562037</v>
      </c>
      <c r="B432" s="8" t="n">
        <v>7</v>
      </c>
      <c r="C432" s="8" t="s">
        <v>80</v>
      </c>
      <c r="D432" s="8" t="s">
        <v>496</v>
      </c>
      <c r="E432" s="14" t="s">
        <v>66</v>
      </c>
      <c r="F432" s="9" t="n">
        <v>126578</v>
      </c>
      <c r="G432" s="9" t="n">
        <v>9950</v>
      </c>
      <c r="H432" s="9" t="n">
        <v>6040</v>
      </c>
      <c r="I432" s="9" t="n">
        <v>6235</v>
      </c>
      <c r="J432" s="9" t="n">
        <v>305</v>
      </c>
      <c r="K432" s="9" t="n">
        <v>54</v>
      </c>
      <c r="L432" s="9" t="n">
        <v>22</v>
      </c>
      <c r="M432" s="10" t="n">
        <f aca="false">IFERROR(G432/F432,"")</f>
        <v>0.0786076569388045</v>
      </c>
      <c r="N432" s="10" t="n">
        <f aca="false">IFERROR(H432/G432,"")</f>
        <v>0.607035175879397</v>
      </c>
      <c r="O432" s="11" t="n">
        <f aca="false">IFERROR(I432/H432,"")</f>
        <v>1.03228476821192</v>
      </c>
      <c r="P432" s="10" t="n">
        <f aca="false">IFERROR(J432/H432,"")</f>
        <v>0.0504966887417219</v>
      </c>
      <c r="Q432" s="10" t="n">
        <f aca="false">IFERROR(K432/H432,"")</f>
        <v>0.00894039735099338</v>
      </c>
      <c r="R432" s="10" t="n">
        <f aca="false">IFERROR(L432/H432,"")</f>
        <v>0.00364238410596027</v>
      </c>
      <c r="S432" s="11" t="n">
        <f aca="false">IFERROR(M432/MEDIAN(INDEX($M$5:$M$627,MATCH($A432-90,$A$5:$A$627,1)):INDEX($M$5:$M$627,MATCH($A432+90,$A$5:$A$627,1))),"")</f>
        <v>1.41996608950035</v>
      </c>
      <c r="T432" s="11" t="n">
        <f aca="false">IFERROR(N432/MEDIAN(INDEX($N$5:$N$627,MATCH($A432-90,$A$5:$A$627,1)):INDEX($N$5:$N$627,MATCH($A432+90,$A$5:$A$627,1))),"")</f>
        <v>1.09627005353934</v>
      </c>
      <c r="U432" s="11" t="n">
        <f aca="false">IFERROR(Q432/MEDIAN(INDEX($Q$5:$Q$627,MATCH($A432-90,$A$5:$A$627,1)):INDEX($Q$5:$Q$627,MATCH($A432+90,$A$5:$A$627,1))),"")</f>
        <v>1.00373953305348</v>
      </c>
    </row>
    <row r="433" customFormat="false" ht="15" hidden="false" customHeight="false" outlineLevel="0" collapsed="false">
      <c r="A433" s="13" t="n">
        <v>45986.2926025</v>
      </c>
      <c r="B433" s="8" t="n">
        <v>7</v>
      </c>
      <c r="C433" s="8" t="s">
        <v>64</v>
      </c>
      <c r="D433" s="8" t="s">
        <v>497</v>
      </c>
      <c r="E433" s="14" t="s">
        <v>66</v>
      </c>
      <c r="F433" s="9" t="n">
        <v>917</v>
      </c>
      <c r="G433" s="9" t="n">
        <v>8</v>
      </c>
      <c r="H433" s="9" t="n">
        <v>3</v>
      </c>
      <c r="I433" s="9" t="n">
        <v>2</v>
      </c>
      <c r="J433" s="9" t="n">
        <v>2</v>
      </c>
      <c r="K433" s="9" t="n">
        <v>0</v>
      </c>
      <c r="L433" s="9" t="n">
        <v>0</v>
      </c>
      <c r="M433" s="10" t="n">
        <f aca="false">IFERROR(G433/F433,"")</f>
        <v>0.00872410032715376</v>
      </c>
      <c r="N433" s="10" t="n">
        <f aca="false">IFERROR(H433/G433,"")</f>
        <v>0.375</v>
      </c>
      <c r="O433" s="11" t="n">
        <f aca="false">IFERROR(I433/H433,"")</f>
        <v>0.666666666666667</v>
      </c>
      <c r="P433" s="10" t="n">
        <f aca="false">IFERROR(J433/H433,"")</f>
        <v>0.666666666666667</v>
      </c>
      <c r="Q433" s="10" t="n">
        <f aca="false">IFERROR(K433/H433,"")</f>
        <v>0</v>
      </c>
      <c r="R433" s="10" t="n">
        <f aca="false">IFERROR(L433/H433,"")</f>
        <v>0</v>
      </c>
      <c r="S433" s="11" t="n">
        <f aca="false">IFERROR(M433/MEDIAN(INDEX($M$5:$M$627,MATCH($A433-90,$A$5:$A$627,1)):INDEX($M$5:$M$627,MATCH($A433+90,$A$5:$A$627,1))),"")</f>
        <v>0.157470010905125</v>
      </c>
      <c r="T433" s="11" t="n">
        <f aca="false">IFERROR(N433/MEDIAN(INDEX($N$5:$N$627,MATCH($A433-90,$A$5:$A$627,1)):INDEX($N$5:$N$627,MATCH($A433+90,$A$5:$A$627,1))),"")</f>
        <v>0.67947092922651</v>
      </c>
      <c r="U433" s="11" t="n">
        <f aca="false">IFERROR(Q433/MEDIAN(INDEX($Q$5:$Q$627,MATCH($A433-90,$A$5:$A$627,1)):INDEX($Q$5:$Q$627,MATCH($A433+90,$A$5:$A$627,1))),"")</f>
        <v>0</v>
      </c>
    </row>
    <row r="434" customFormat="false" ht="15" hidden="false" customHeight="false" outlineLevel="0" collapsed="false">
      <c r="A434" s="13" t="n">
        <v>45987.2928015972</v>
      </c>
      <c r="B434" s="8" t="n">
        <v>7</v>
      </c>
      <c r="C434" s="8" t="s">
        <v>71</v>
      </c>
      <c r="D434" s="8" t="s">
        <v>498</v>
      </c>
      <c r="E434" s="14" t="s">
        <v>66</v>
      </c>
      <c r="F434" s="9" t="n">
        <v>704926</v>
      </c>
      <c r="G434" s="9" t="n">
        <v>90782</v>
      </c>
      <c r="H434" s="9" t="n">
        <v>30930</v>
      </c>
      <c r="I434" s="9" t="n">
        <v>31468</v>
      </c>
      <c r="J434" s="9" t="n">
        <v>1482</v>
      </c>
      <c r="K434" s="9" t="n">
        <v>353</v>
      </c>
      <c r="L434" s="9" t="n">
        <v>217</v>
      </c>
      <c r="M434" s="10" t="n">
        <f aca="false">IFERROR(G434/F434,"")</f>
        <v>0.128782311902242</v>
      </c>
      <c r="N434" s="10" t="n">
        <f aca="false">IFERROR(H434/G434,"")</f>
        <v>0.34070630741777</v>
      </c>
      <c r="O434" s="11" t="n">
        <f aca="false">IFERROR(I434/H434,"")</f>
        <v>1.01739411574523</v>
      </c>
      <c r="P434" s="10" t="n">
        <f aca="false">IFERROR(J434/H434,"")</f>
        <v>0.0479146459747818</v>
      </c>
      <c r="Q434" s="10" t="n">
        <f aca="false">IFERROR(K434/H434,"")</f>
        <v>0.0114128677659231</v>
      </c>
      <c r="R434" s="10" t="n">
        <f aca="false">IFERROR(L434/H434,"")</f>
        <v>0.00701584222437763</v>
      </c>
      <c r="S434" s="11" t="n">
        <f aca="false">IFERROR(M434/MEDIAN(INDEX($M$5:$M$627,MATCH($A434-90,$A$5:$A$627,1)):INDEX($M$5:$M$627,MATCH($A434+90,$A$5:$A$627,1))),"")</f>
        <v>2.3169719093366</v>
      </c>
      <c r="T434" s="11" t="n">
        <f aca="false">IFERROR(N434/MEDIAN(INDEX($N$5:$N$627,MATCH($A434-90,$A$5:$A$627,1)):INDEX($N$5:$N$627,MATCH($A434+90,$A$5:$A$627,1))),"")</f>
        <v>0.618377961966609</v>
      </c>
      <c r="U434" s="11" t="n">
        <f aca="false">IFERROR(Q434/MEDIAN(INDEX($Q$5:$Q$627,MATCH($A434-90,$A$5:$A$627,1)):INDEX($Q$5:$Q$627,MATCH($A434+90,$A$5:$A$627,1))),"")</f>
        <v>1.28132409695369</v>
      </c>
    </row>
    <row r="435" customFormat="false" ht="15" hidden="false" customHeight="false" outlineLevel="0" collapsed="false">
      <c r="A435" s="13" t="n">
        <v>45988.2925475232</v>
      </c>
      <c r="B435" s="8" t="n">
        <v>7</v>
      </c>
      <c r="C435" s="8" t="s">
        <v>73</v>
      </c>
      <c r="D435" s="8" t="s">
        <v>499</v>
      </c>
      <c r="E435" s="14" t="s">
        <v>66</v>
      </c>
      <c r="F435" s="9" t="n">
        <v>6859</v>
      </c>
      <c r="G435" s="9" t="n">
        <v>380</v>
      </c>
      <c r="H435" s="9" t="n">
        <v>234</v>
      </c>
      <c r="I435" s="9" t="n">
        <v>238</v>
      </c>
      <c r="J435" s="9" t="n">
        <v>15</v>
      </c>
      <c r="K435" s="9" t="n">
        <v>0</v>
      </c>
      <c r="L435" s="9" t="n">
        <v>0</v>
      </c>
      <c r="M435" s="10" t="n">
        <f aca="false">IFERROR(G435/F435,"")</f>
        <v>0.0554016620498615</v>
      </c>
      <c r="N435" s="10" t="n">
        <f aca="false">IFERROR(H435/G435,"")</f>
        <v>0.615789473684211</v>
      </c>
      <c r="O435" s="11" t="n">
        <f aca="false">IFERROR(I435/H435,"")</f>
        <v>1.01709401709402</v>
      </c>
      <c r="P435" s="10" t="n">
        <f aca="false">IFERROR(J435/H435,"")</f>
        <v>0.0641025641025641</v>
      </c>
      <c r="Q435" s="10" t="n">
        <f aca="false">IFERROR(K435/H435,"")</f>
        <v>0</v>
      </c>
      <c r="R435" s="10" t="n">
        <f aca="false">IFERROR(L435/H435,"")</f>
        <v>0</v>
      </c>
      <c r="S435" s="11" t="n">
        <f aca="false">IFERROR(M435/MEDIAN(INDEX($M$5:$M$627,MATCH($A435-90,$A$5:$A$627,1)):INDEX($M$5:$M$627,MATCH($A435+90,$A$5:$A$627,1))),"")</f>
        <v>1.00077377289091</v>
      </c>
      <c r="T435" s="11" t="n">
        <f aca="false">IFERROR(N435/MEDIAN(INDEX($N$5:$N$627,MATCH($A435-90,$A$5:$A$627,1)):INDEX($N$5:$N$627,MATCH($A435+90,$A$5:$A$627,1))),"")</f>
        <v>1.11207980378862</v>
      </c>
      <c r="U435" s="11" t="n">
        <f aca="false">IFERROR(Q435/MEDIAN(INDEX($Q$5:$Q$627,MATCH($A435-90,$A$5:$A$627,1)):INDEX($Q$5:$Q$627,MATCH($A435+90,$A$5:$A$627,1))),"")</f>
        <v>0</v>
      </c>
    </row>
    <row r="436" customFormat="false" ht="15" hidden="false" customHeight="false" outlineLevel="0" collapsed="false">
      <c r="A436" s="13" t="n">
        <v>45989.7649134607</v>
      </c>
      <c r="B436" s="8" t="n">
        <v>18</v>
      </c>
      <c r="C436" s="8" t="s">
        <v>84</v>
      </c>
      <c r="D436" s="8" t="s">
        <v>500</v>
      </c>
      <c r="E436" s="14" t="s">
        <v>66</v>
      </c>
      <c r="F436" s="9" t="n">
        <v>21214</v>
      </c>
      <c r="G436" s="9" t="n">
        <v>546</v>
      </c>
      <c r="H436" s="9" t="n">
        <v>223</v>
      </c>
      <c r="I436" s="9" t="n">
        <v>209</v>
      </c>
      <c r="J436" s="9" t="n">
        <v>56</v>
      </c>
      <c r="K436" s="9" t="n">
        <v>9</v>
      </c>
      <c r="L436" s="9" t="n">
        <v>0</v>
      </c>
      <c r="M436" s="10" t="n">
        <f aca="false">IFERROR(G436/F436,"")</f>
        <v>0.0257377203733384</v>
      </c>
      <c r="N436" s="10" t="n">
        <f aca="false">IFERROR(H436/G436,"")</f>
        <v>0.408424908424908</v>
      </c>
      <c r="O436" s="11" t="n">
        <f aca="false">IFERROR(I436/H436,"")</f>
        <v>0.937219730941704</v>
      </c>
      <c r="P436" s="10" t="n">
        <f aca="false">IFERROR(J436/H436,"")</f>
        <v>0.251121076233184</v>
      </c>
      <c r="Q436" s="10" t="n">
        <f aca="false">IFERROR(K436/H436,"")</f>
        <v>0.0403587443946188</v>
      </c>
      <c r="R436" s="10" t="n">
        <f aca="false">IFERROR(L436/H436,"")</f>
        <v>0</v>
      </c>
      <c r="S436" s="11" t="n">
        <f aca="false">IFERROR(M436/MEDIAN(INDEX($M$5:$M$627,MATCH($A436-90,$A$5:$A$627,1)):INDEX($M$5:$M$627,MATCH($A436+90,$A$5:$A$627,1))),"")</f>
        <v>0.466942116431839</v>
      </c>
      <c r="T436" s="11" t="n">
        <f aca="false">IFERROR(N436/MEDIAN(INDEX($N$5:$N$627,MATCH($A436-90,$A$5:$A$627,1)):INDEX($N$5:$N$627,MATCH($A436+90,$A$5:$A$627,1))),"")</f>
        <v>0.742542833510576</v>
      </c>
      <c r="U436" s="11" t="n">
        <f aca="false">IFERROR(Q436/MEDIAN(INDEX($Q$5:$Q$627,MATCH($A436-90,$A$5:$A$627,1)):INDEX($Q$5:$Q$627,MATCH($A436+90,$A$5:$A$627,1))),"")</f>
        <v>4.53447971469934</v>
      </c>
    </row>
    <row r="437" customFormat="false" ht="15" hidden="false" customHeight="false" outlineLevel="0" collapsed="false">
      <c r="A437" s="13" t="n">
        <v>45990.3729148958</v>
      </c>
      <c r="B437" s="8" t="n">
        <v>8</v>
      </c>
      <c r="C437" s="8" t="s">
        <v>68</v>
      </c>
      <c r="D437" s="8" t="s">
        <v>501</v>
      </c>
      <c r="E437" s="14" t="s">
        <v>66</v>
      </c>
      <c r="F437" s="9" t="n">
        <v>17718</v>
      </c>
      <c r="G437" s="9" t="n">
        <v>1812</v>
      </c>
      <c r="H437" s="9" t="n">
        <v>754</v>
      </c>
      <c r="I437" s="9" t="n">
        <v>423</v>
      </c>
      <c r="J437" s="9" t="n">
        <v>128</v>
      </c>
      <c r="K437" s="9" t="n">
        <v>23</v>
      </c>
      <c r="L437" s="9" t="n">
        <v>1</v>
      </c>
      <c r="M437" s="10" t="n">
        <f aca="false">IFERROR(G437/F437,"")</f>
        <v>0.102268879105994</v>
      </c>
      <c r="N437" s="10" t="n">
        <f aca="false">IFERROR(H437/G437,"")</f>
        <v>0.416114790286976</v>
      </c>
      <c r="O437" s="11" t="n">
        <f aca="false">IFERROR(I437/H437,"")</f>
        <v>0.561007957559682</v>
      </c>
      <c r="P437" s="10" t="n">
        <f aca="false">IFERROR(J437/H437,"")</f>
        <v>0.169761273209549</v>
      </c>
      <c r="Q437" s="10" t="n">
        <f aca="false">IFERROR(K437/H437,"")</f>
        <v>0.0305039787798409</v>
      </c>
      <c r="R437" s="10" t="n">
        <f aca="false">IFERROR(L437/H437,"")</f>
        <v>0.0013262599469496</v>
      </c>
      <c r="S437" s="11" t="n">
        <f aca="false">IFERROR(M437/MEDIAN(INDEX($M$5:$M$627,MATCH($A437-90,$A$5:$A$627,1)):INDEX($M$5:$M$627,MATCH($A437+90,$A$5:$A$627,1))),"")</f>
        <v>1.85209791673723</v>
      </c>
      <c r="T437" s="11" t="n">
        <f aca="false">IFERROR(N437/MEDIAN(INDEX($N$5:$N$627,MATCH($A437-90,$A$5:$A$627,1)):INDEX($N$5:$N$627,MATCH($A437+90,$A$5:$A$627,1))),"")</f>
        <v>0.757264470123587</v>
      </c>
      <c r="U437" s="11" t="n">
        <f aca="false">IFERROR(Q437/MEDIAN(INDEX($Q$5:$Q$627,MATCH($A437-90,$A$5:$A$627,1)):INDEX($Q$5:$Q$627,MATCH($A437+90,$A$5:$A$627,1))),"")</f>
        <v>3.4246855273551</v>
      </c>
    </row>
    <row r="438" customFormat="false" ht="15" hidden="false" customHeight="false" outlineLevel="0" collapsed="false">
      <c r="A438" s="13" t="n">
        <v>45992.6810001273</v>
      </c>
      <c r="B438" s="8" t="n">
        <v>16</v>
      </c>
      <c r="C438" s="8" t="s">
        <v>80</v>
      </c>
      <c r="D438" s="8" t="s">
        <v>502</v>
      </c>
      <c r="E438" s="14" t="s">
        <v>66</v>
      </c>
      <c r="F438" s="9" t="n">
        <v>36992</v>
      </c>
      <c r="G438" s="9" t="n">
        <v>1325</v>
      </c>
      <c r="H438" s="9" t="n">
        <v>428</v>
      </c>
      <c r="I438" s="9" t="n">
        <v>527</v>
      </c>
      <c r="J438" s="9" t="n">
        <v>95</v>
      </c>
      <c r="K438" s="9" t="n">
        <v>11</v>
      </c>
      <c r="L438" s="9" t="n">
        <v>7</v>
      </c>
      <c r="M438" s="10" t="n">
        <f aca="false">IFERROR(G438/F438,"")</f>
        <v>0.0358185553633218</v>
      </c>
      <c r="N438" s="10" t="n">
        <f aca="false">IFERROR(H438/G438,"")</f>
        <v>0.323018867924528</v>
      </c>
      <c r="O438" s="11" t="n">
        <f aca="false">IFERROR(I438/H438,"")</f>
        <v>1.23130841121495</v>
      </c>
      <c r="P438" s="10" t="n">
        <f aca="false">IFERROR(J438/H438,"")</f>
        <v>0.22196261682243</v>
      </c>
      <c r="Q438" s="10" t="n">
        <f aca="false">IFERROR(K438/H438,"")</f>
        <v>0.0257009345794393</v>
      </c>
      <c r="R438" s="10" t="n">
        <f aca="false">IFERROR(L438/H438,"")</f>
        <v>0.0163551401869159</v>
      </c>
      <c r="S438" s="11" t="n">
        <f aca="false">IFERROR(M438/MEDIAN(INDEX($M$5:$M$627,MATCH($A438-90,$A$5:$A$627,1)):INDEX($M$5:$M$627,MATCH($A438+90,$A$5:$A$627,1))),"")</f>
        <v>0.64867702031025</v>
      </c>
      <c r="T438" s="11" t="n">
        <f aca="false">IFERROR(N438/MEDIAN(INDEX($N$5:$N$627,MATCH($A438-90,$A$5:$A$627,1)):INDEX($N$5:$N$627,MATCH($A438+90,$A$5:$A$627,1))),"")</f>
        <v>0.587844310196453</v>
      </c>
      <c r="U438" s="11" t="n">
        <f aca="false">IFERROR(Q438/MEDIAN(INDEX($Q$5:$Q$627,MATCH($A438-90,$A$5:$A$627,1)):INDEX($Q$5:$Q$627,MATCH($A438+90,$A$5:$A$627,1))),"")</f>
        <v>2.88544715195888</v>
      </c>
    </row>
    <row r="439" customFormat="false" ht="15" hidden="false" customHeight="false" outlineLevel="0" collapsed="false">
      <c r="A439" s="13" t="n">
        <v>45993.2507519792</v>
      </c>
      <c r="B439" s="8" t="n">
        <v>6</v>
      </c>
      <c r="C439" s="8" t="s">
        <v>64</v>
      </c>
      <c r="D439" s="8" t="s">
        <v>503</v>
      </c>
      <c r="E439" s="14" t="s">
        <v>66</v>
      </c>
      <c r="F439" s="9" t="n">
        <v>2719</v>
      </c>
      <c r="G439" s="9" t="n">
        <v>70</v>
      </c>
      <c r="H439" s="9" t="n">
        <v>28</v>
      </c>
      <c r="I439" s="9" t="n">
        <v>31</v>
      </c>
      <c r="J439" s="9" t="n">
        <v>8</v>
      </c>
      <c r="K439" s="9" t="n">
        <v>0</v>
      </c>
      <c r="L439" s="9" t="n">
        <v>0</v>
      </c>
      <c r="M439" s="10" t="n">
        <f aca="false">IFERROR(G439/F439,"")</f>
        <v>0.0257447591026113</v>
      </c>
      <c r="N439" s="10" t="n">
        <f aca="false">IFERROR(H439/G439,"")</f>
        <v>0.4</v>
      </c>
      <c r="O439" s="11" t="n">
        <f aca="false">IFERROR(I439/H439,"")</f>
        <v>1.10714285714286</v>
      </c>
      <c r="P439" s="10" t="n">
        <f aca="false">IFERROR(J439/H439,"")</f>
        <v>0.285714285714286</v>
      </c>
      <c r="Q439" s="10" t="n">
        <f aca="false">IFERROR(K439/H439,"")</f>
        <v>0</v>
      </c>
      <c r="R439" s="10" t="n">
        <f aca="false">IFERROR(L439/H439,"")</f>
        <v>0</v>
      </c>
      <c r="S439" s="11" t="n">
        <f aca="false">IFERROR(M439/MEDIAN(INDEX($M$5:$M$627,MATCH($A439-90,$A$5:$A$627,1)):INDEX($M$5:$M$627,MATCH($A439+90,$A$5:$A$627,1))),"")</f>
        <v>0.466239731164253</v>
      </c>
      <c r="T439" s="11" t="n">
        <f aca="false">IFERROR(N439/MEDIAN(INDEX($N$5:$N$627,MATCH($A439-90,$A$5:$A$627,1)):INDEX($N$5:$N$627,MATCH($A439+90,$A$5:$A$627,1))),"")</f>
        <v>0.727938047673178</v>
      </c>
      <c r="U439" s="11" t="n">
        <f aca="false">IFERROR(Q439/MEDIAN(INDEX($Q$5:$Q$627,MATCH($A439-90,$A$5:$A$627,1)):INDEX($Q$5:$Q$627,MATCH($A439+90,$A$5:$A$627,1))),"")</f>
        <v>0</v>
      </c>
    </row>
    <row r="440" customFormat="false" ht="15" hidden="false" customHeight="false" outlineLevel="0" collapsed="false">
      <c r="A440" s="13" t="n">
        <v>45994.5158303241</v>
      </c>
      <c r="B440" s="8" t="n">
        <v>12</v>
      </c>
      <c r="C440" s="8" t="s">
        <v>71</v>
      </c>
      <c r="D440" s="8" t="s">
        <v>504</v>
      </c>
      <c r="E440" s="14" t="s">
        <v>66</v>
      </c>
      <c r="F440" s="9" t="n">
        <v>189073</v>
      </c>
      <c r="G440" s="9" t="n">
        <v>50457</v>
      </c>
      <c r="H440" s="9" t="n">
        <v>18347</v>
      </c>
      <c r="I440" s="9" t="n">
        <v>14105</v>
      </c>
      <c r="J440" s="9" t="n">
        <v>782</v>
      </c>
      <c r="K440" s="9" t="n">
        <v>1010</v>
      </c>
      <c r="L440" s="9" t="n">
        <v>35</v>
      </c>
      <c r="M440" s="10" t="n">
        <f aca="false">IFERROR(G440/F440,"")</f>
        <v>0.266865179057824</v>
      </c>
      <c r="N440" s="10" t="n">
        <f aca="false">IFERROR(H440/G440,"")</f>
        <v>0.363616544780704</v>
      </c>
      <c r="O440" s="11" t="n">
        <f aca="false">IFERROR(I440/H440,"")</f>
        <v>0.76879053796261</v>
      </c>
      <c r="P440" s="10" t="n">
        <f aca="false">IFERROR(J440/H440,"")</f>
        <v>0.0426227721153322</v>
      </c>
      <c r="Q440" s="10" t="n">
        <f aca="false">IFERROR(K440/H440,"")</f>
        <v>0.0550498719136644</v>
      </c>
      <c r="R440" s="10" t="n">
        <f aca="false">IFERROR(L440/H440,"")</f>
        <v>0.00190766882869134</v>
      </c>
      <c r="S440" s="11" t="n">
        <f aca="false">IFERROR(M440/MEDIAN(INDEX($M$5:$M$627,MATCH($A440-90,$A$5:$A$627,1)):INDEX($M$5:$M$627,MATCH($A440+90,$A$5:$A$627,1))),"")</f>
        <v>4.83295061511762</v>
      </c>
      <c r="T440" s="11" t="n">
        <f aca="false">IFERROR(N440/MEDIAN(INDEX($N$5:$N$627,MATCH($A440-90,$A$5:$A$627,1)):INDEX($N$5:$N$627,MATCH($A440+90,$A$5:$A$627,1))),"")</f>
        <v>0.666803487933887</v>
      </c>
      <c r="U440" s="11" t="n">
        <f aca="false">IFERROR(Q440/MEDIAN(INDEX($Q$5:$Q$627,MATCH($A440-90,$A$5:$A$627,1)):INDEX($Q$5:$Q$627,MATCH($A440+90,$A$5:$A$627,1))),"")</f>
        <v>6.18045603120046</v>
      </c>
    </row>
    <row r="441" customFormat="false" ht="15" hidden="false" customHeight="false" outlineLevel="0" collapsed="false">
      <c r="A441" s="13" t="n">
        <v>45995.5612596065</v>
      </c>
      <c r="B441" s="8" t="n">
        <v>13</v>
      </c>
      <c r="C441" s="8" t="s">
        <v>73</v>
      </c>
      <c r="D441" s="8" t="s">
        <v>505</v>
      </c>
      <c r="E441" s="14" t="s">
        <v>66</v>
      </c>
      <c r="F441" s="9" t="n">
        <v>890</v>
      </c>
      <c r="G441" s="9" t="n">
        <v>10</v>
      </c>
      <c r="H441" s="9" t="n">
        <v>6</v>
      </c>
      <c r="I441" s="9" t="n">
        <v>3</v>
      </c>
      <c r="J441" s="9" t="n">
        <v>4</v>
      </c>
      <c r="K441" s="9" t="n">
        <v>0</v>
      </c>
      <c r="L441" s="9" t="n">
        <v>0</v>
      </c>
      <c r="M441" s="10" t="n">
        <f aca="false">IFERROR(G441/F441,"")</f>
        <v>0.0112359550561798</v>
      </c>
      <c r="N441" s="10" t="n">
        <f aca="false">IFERROR(H441/G441,"")</f>
        <v>0.6</v>
      </c>
      <c r="O441" s="11" t="n">
        <f aca="false">IFERROR(I441/H441,"")</f>
        <v>0.5</v>
      </c>
      <c r="P441" s="10" t="n">
        <f aca="false">IFERROR(J441/H441,"")</f>
        <v>0.666666666666667</v>
      </c>
      <c r="Q441" s="10" t="n">
        <f aca="false">IFERROR(K441/H441,"")</f>
        <v>0</v>
      </c>
      <c r="R441" s="10" t="n">
        <f aca="false">IFERROR(L441/H441,"")</f>
        <v>0</v>
      </c>
      <c r="S441" s="11" t="n">
        <f aca="false">IFERROR(M441/MEDIAN(INDEX($M$5:$M$627,MATCH($A441-90,$A$5:$A$627,1)):INDEX($M$5:$M$627,MATCH($A441+90,$A$5:$A$627,1))),"")</f>
        <v>0.203484081707159</v>
      </c>
      <c r="T441" s="11" t="n">
        <f aca="false">IFERROR(N441/MEDIAN(INDEX($N$5:$N$627,MATCH($A441-90,$A$5:$A$627,1)):INDEX($N$5:$N$627,MATCH($A441+90,$A$5:$A$627,1))),"")</f>
        <v>1.1002857227017</v>
      </c>
      <c r="U441" s="11" t="n">
        <f aca="false">IFERROR(Q441/MEDIAN(INDEX($Q$5:$Q$627,MATCH($A441-90,$A$5:$A$627,1)):INDEX($Q$5:$Q$627,MATCH($A441+90,$A$5:$A$627,1))),"")</f>
        <v>0</v>
      </c>
    </row>
    <row r="442" customFormat="false" ht="15" hidden="false" customHeight="false" outlineLevel="0" collapsed="false">
      <c r="A442" s="13" t="n">
        <v>45996.270235463</v>
      </c>
      <c r="B442" s="8" t="n">
        <v>6</v>
      </c>
      <c r="C442" s="8" t="s">
        <v>84</v>
      </c>
      <c r="D442" s="8" t="s">
        <v>506</v>
      </c>
      <c r="E442" s="14" t="s">
        <v>66</v>
      </c>
      <c r="F442" s="9" t="n">
        <v>781808</v>
      </c>
      <c r="G442" s="9" t="n">
        <v>57090</v>
      </c>
      <c r="H442" s="9" t="n">
        <v>34705</v>
      </c>
      <c r="I442" s="9" t="n">
        <v>37115</v>
      </c>
      <c r="J442" s="9" t="n">
        <v>599</v>
      </c>
      <c r="K442" s="9" t="n">
        <v>143</v>
      </c>
      <c r="L442" s="9" t="n">
        <v>101</v>
      </c>
      <c r="M442" s="10" t="n">
        <f aca="false">IFERROR(G442/F442,"")</f>
        <v>0.0730230440210384</v>
      </c>
      <c r="N442" s="10" t="n">
        <f aca="false">IFERROR(H442/G442,"")</f>
        <v>0.607899807321773</v>
      </c>
      <c r="O442" s="11" t="n">
        <f aca="false">IFERROR(I442/H442,"")</f>
        <v>1.06944244345195</v>
      </c>
      <c r="P442" s="10" t="n">
        <f aca="false">IFERROR(J442/H442,"")</f>
        <v>0.0172597608413773</v>
      </c>
      <c r="Q442" s="10" t="n">
        <f aca="false">IFERROR(K442/H442,"")</f>
        <v>0.00412044374009509</v>
      </c>
      <c r="R442" s="10" t="n">
        <f aca="false">IFERROR(L442/H442,"")</f>
        <v>0.00291024348076646</v>
      </c>
      <c r="S442" s="11" t="n">
        <f aca="false">IFERROR(M442/MEDIAN(INDEX($M$5:$M$627,MATCH($A442-90,$A$5:$A$627,1)):INDEX($M$5:$M$627,MATCH($A442+90,$A$5:$A$627,1))),"")</f>
        <v>1.32480787843202</v>
      </c>
      <c r="T442" s="11" t="n">
        <f aca="false">IFERROR(N442/MEDIAN(INDEX($N$5:$N$627,MATCH($A442-90,$A$5:$A$627,1)):INDEX($N$5:$N$627,MATCH($A442+90,$A$5:$A$627,1))),"")</f>
        <v>1.12227656736327</v>
      </c>
      <c r="U442" s="11" t="n">
        <f aca="false">IFERROR(Q442/MEDIAN(INDEX($Q$5:$Q$627,MATCH($A442-90,$A$5:$A$627,1)):INDEX($Q$5:$Q$627,MATCH($A442+90,$A$5:$A$627,1))),"")</f>
        <v>0.462949698641077</v>
      </c>
    </row>
    <row r="443" customFormat="false" ht="15" hidden="false" customHeight="false" outlineLevel="0" collapsed="false">
      <c r="A443" s="13" t="n">
        <v>45997.3546677083</v>
      </c>
      <c r="B443" s="8" t="n">
        <v>8</v>
      </c>
      <c r="C443" s="8" t="s">
        <v>68</v>
      </c>
      <c r="D443" s="8" t="s">
        <v>507</v>
      </c>
      <c r="E443" s="14" t="s">
        <v>66</v>
      </c>
      <c r="F443" s="9" t="n">
        <v>20831</v>
      </c>
      <c r="G443" s="9" t="n">
        <v>657</v>
      </c>
      <c r="H443" s="9" t="n">
        <v>326</v>
      </c>
      <c r="I443" s="9" t="n">
        <v>343</v>
      </c>
      <c r="J443" s="9" t="n">
        <v>108</v>
      </c>
      <c r="K443" s="9" t="n">
        <v>9</v>
      </c>
      <c r="L443" s="9" t="n">
        <v>0</v>
      </c>
      <c r="M443" s="10" t="n">
        <f aca="false">IFERROR(G443/F443,"")</f>
        <v>0.0315395324276319</v>
      </c>
      <c r="N443" s="10" t="n">
        <f aca="false">IFERROR(H443/G443,"")</f>
        <v>0.496194824961948</v>
      </c>
      <c r="O443" s="11" t="n">
        <f aca="false">IFERROR(I443/H443,"")</f>
        <v>1.0521472392638</v>
      </c>
      <c r="P443" s="10" t="n">
        <f aca="false">IFERROR(J443/H443,"")</f>
        <v>0.331288343558282</v>
      </c>
      <c r="Q443" s="10" t="n">
        <f aca="false">IFERROR(K443/H443,"")</f>
        <v>0.0276073619631902</v>
      </c>
      <c r="R443" s="10" t="n">
        <f aca="false">IFERROR(L443/H443,"")</f>
        <v>0</v>
      </c>
      <c r="S443" s="11" t="n">
        <f aca="false">IFERROR(M443/MEDIAN(INDEX($M$5:$M$627,MATCH($A443-90,$A$5:$A$627,1)):INDEX($M$5:$M$627,MATCH($A443+90,$A$5:$A$627,1))),"")</f>
        <v>0.572200482770216</v>
      </c>
      <c r="T443" s="11" t="n">
        <f aca="false">IFERROR(N443/MEDIAN(INDEX($N$5:$N$627,MATCH($A443-90,$A$5:$A$627,1)):INDEX($N$5:$N$627,MATCH($A443+90,$A$5:$A$627,1))),"")</f>
        <v>0.91941982272361</v>
      </c>
      <c r="U443" s="11" t="n">
        <f aca="false">IFERROR(Q443/MEDIAN(INDEX($Q$5:$Q$627,MATCH($A443-90,$A$5:$A$627,1)):INDEX($Q$5:$Q$627,MATCH($A443+90,$A$5:$A$627,1))),"")</f>
        <v>3.10180667600599</v>
      </c>
    </row>
    <row r="444" customFormat="false" ht="15" hidden="false" customHeight="false" outlineLevel="0" collapsed="false">
      <c r="A444" s="13" t="n">
        <v>45999.510909294</v>
      </c>
      <c r="B444" s="8" t="n">
        <v>12</v>
      </c>
      <c r="C444" s="8" t="s">
        <v>80</v>
      </c>
      <c r="D444" s="8" t="s">
        <v>508</v>
      </c>
      <c r="E444" s="14" t="s">
        <v>66</v>
      </c>
      <c r="F444" s="9" t="n">
        <v>109426</v>
      </c>
      <c r="G444" s="9" t="n">
        <v>9263</v>
      </c>
      <c r="H444" s="9" t="n">
        <v>5339</v>
      </c>
      <c r="I444" s="9" t="n">
        <v>6243</v>
      </c>
      <c r="J444" s="9" t="n">
        <v>167</v>
      </c>
      <c r="K444" s="9" t="n">
        <v>38</v>
      </c>
      <c r="L444" s="9" t="n">
        <v>15</v>
      </c>
      <c r="M444" s="10" t="n">
        <f aca="false">IFERROR(G444/F444,"")</f>
        <v>0.0846508142488988</v>
      </c>
      <c r="N444" s="10" t="n">
        <f aca="false">IFERROR(H444/G444,"")</f>
        <v>0.576379142826298</v>
      </c>
      <c r="O444" s="11" t="n">
        <f aca="false">IFERROR(I444/H444,"")</f>
        <v>1.16932009739652</v>
      </c>
      <c r="P444" s="10" t="n">
        <f aca="false">IFERROR(J444/H444,"")</f>
        <v>0.0312792657801086</v>
      </c>
      <c r="Q444" s="10" t="n">
        <f aca="false">IFERROR(K444/H444,"")</f>
        <v>0.00711743772241993</v>
      </c>
      <c r="R444" s="10" t="n">
        <f aca="false">IFERROR(L444/H444,"")</f>
        <v>0.00280951489042892</v>
      </c>
      <c r="S444" s="11" t="n">
        <f aca="false">IFERROR(M444/MEDIAN(INDEX($M$5:$M$627,MATCH($A444-90,$A$5:$A$627,1)):INDEX($M$5:$M$627,MATCH($A444+90,$A$5:$A$627,1))),"")</f>
        <v>1.53576267787901</v>
      </c>
      <c r="T444" s="11" t="n">
        <f aca="false">IFERROR(N444/MEDIAN(INDEX($N$5:$N$627,MATCH($A444-90,$A$5:$A$627,1)):INDEX($N$5:$N$627,MATCH($A444+90,$A$5:$A$627,1))),"")</f>
        <v>1.06408457137163</v>
      </c>
      <c r="U444" s="11" t="n">
        <f aca="false">IFERROR(Q444/MEDIAN(INDEX($Q$5:$Q$627,MATCH($A444-90,$A$5:$A$627,1)):INDEX($Q$5:$Q$627,MATCH($A444+90,$A$5:$A$627,1))),"")</f>
        <v>0.798477199371017</v>
      </c>
    </row>
    <row r="445" customFormat="false" ht="15" hidden="false" customHeight="false" outlineLevel="0" collapsed="false">
      <c r="A445" s="13" t="n">
        <v>46000.5279790046</v>
      </c>
      <c r="B445" s="8" t="n">
        <v>12</v>
      </c>
      <c r="C445" s="8" t="s">
        <v>64</v>
      </c>
      <c r="D445" s="8" t="s">
        <v>509</v>
      </c>
      <c r="E445" s="14" t="s">
        <v>66</v>
      </c>
      <c r="F445" s="9" t="n">
        <v>32473</v>
      </c>
      <c r="G445" s="9" t="n">
        <v>3757</v>
      </c>
      <c r="H445" s="9" t="n">
        <v>2580</v>
      </c>
      <c r="I445" s="9" t="n">
        <v>2151</v>
      </c>
      <c r="J445" s="9" t="n">
        <v>123</v>
      </c>
      <c r="K445" s="9" t="n">
        <v>0</v>
      </c>
      <c r="L445" s="9" t="n">
        <v>9</v>
      </c>
      <c r="M445" s="10" t="n">
        <f aca="false">IFERROR(G445/F445,"")</f>
        <v>0.115696116773935</v>
      </c>
      <c r="N445" s="10" t="n">
        <f aca="false">IFERROR(H445/G445,"")</f>
        <v>0.686718126164493</v>
      </c>
      <c r="O445" s="11" t="n">
        <f aca="false">IFERROR(I445/H445,"")</f>
        <v>0.833720930232558</v>
      </c>
      <c r="P445" s="10" t="n">
        <f aca="false">IFERROR(J445/H445,"")</f>
        <v>0.0476744186046512</v>
      </c>
      <c r="Q445" s="10" t="n">
        <f aca="false">IFERROR(K445/H445,"")</f>
        <v>0</v>
      </c>
      <c r="R445" s="10" t="n">
        <f aca="false">IFERROR(L445/H445,"")</f>
        <v>0.00348837209302326</v>
      </c>
      <c r="S445" s="11" t="n">
        <f aca="false">IFERROR(M445/MEDIAN(INDEX($M$5:$M$627,MATCH($A445-90,$A$5:$A$627,1)):INDEX($M$5:$M$627,MATCH($A445+90,$A$5:$A$627,1))),"")</f>
        <v>2.09899668058128</v>
      </c>
      <c r="T445" s="11" t="n">
        <f aca="false">IFERROR(N445/MEDIAN(INDEX($N$5:$N$627,MATCH($A445-90,$A$5:$A$627,1)):INDEX($N$5:$N$627,MATCH($A445+90,$A$5:$A$627,1))),"")</f>
        <v>1.26778730984214</v>
      </c>
      <c r="U445" s="11" t="n">
        <f aca="false">IFERROR(Q445/MEDIAN(INDEX($Q$5:$Q$627,MATCH($A445-90,$A$5:$A$627,1)):INDEX($Q$5:$Q$627,MATCH($A445+90,$A$5:$A$627,1))),"")</f>
        <v>0</v>
      </c>
    </row>
    <row r="446" customFormat="false" ht="15" hidden="false" customHeight="false" outlineLevel="0" collapsed="false">
      <c r="A446" s="13" t="n">
        <v>46002.2655757639</v>
      </c>
      <c r="B446" s="8" t="n">
        <v>6</v>
      </c>
      <c r="C446" s="8" t="s">
        <v>73</v>
      </c>
      <c r="D446" s="8" t="s">
        <v>510</v>
      </c>
      <c r="E446" s="14" t="s">
        <v>66</v>
      </c>
      <c r="F446" s="9" t="n">
        <v>10491</v>
      </c>
      <c r="G446" s="9" t="n">
        <v>1214</v>
      </c>
      <c r="H446" s="9" t="n">
        <v>866</v>
      </c>
      <c r="I446" s="9" t="n">
        <v>613</v>
      </c>
      <c r="J446" s="9" t="n">
        <v>193</v>
      </c>
      <c r="K446" s="9" t="n">
        <v>8</v>
      </c>
      <c r="L446" s="9" t="n">
        <v>2</v>
      </c>
      <c r="M446" s="10" t="n">
        <f aca="false">IFERROR(G446/F446,"")</f>
        <v>0.115718234677342</v>
      </c>
      <c r="N446" s="10" t="n">
        <f aca="false">IFERROR(H446/G446,"")</f>
        <v>0.71334431630972</v>
      </c>
      <c r="O446" s="11" t="n">
        <f aca="false">IFERROR(I446/H446,"")</f>
        <v>0.707852193995381</v>
      </c>
      <c r="P446" s="10" t="n">
        <f aca="false">IFERROR(J446/H446,"")</f>
        <v>0.222863741339492</v>
      </c>
      <c r="Q446" s="10" t="n">
        <f aca="false">IFERROR(K446/H446,"")</f>
        <v>0.0092378752886836</v>
      </c>
      <c r="R446" s="10" t="n">
        <f aca="false">IFERROR(L446/H446,"")</f>
        <v>0.0023094688221709</v>
      </c>
      <c r="S446" s="11" t="n">
        <f aca="false">IFERROR(M446/MEDIAN(INDEX($M$5:$M$627,MATCH($A446-90,$A$5:$A$627,1)):INDEX($M$5:$M$627,MATCH($A446+90,$A$5:$A$627,1))),"")</f>
        <v>2.13231591620705</v>
      </c>
      <c r="T446" s="11" t="n">
        <f aca="false">IFERROR(N446/MEDIAN(INDEX($N$5:$N$627,MATCH($A446-90,$A$5:$A$627,1)):INDEX($N$5:$N$627,MATCH($A446+90,$A$5:$A$627,1))),"")</f>
        <v>1.31935976300954</v>
      </c>
      <c r="U446" s="11" t="n">
        <f aca="false">IFERROR(Q446/MEDIAN(INDEX($Q$5:$Q$627,MATCH($A446-90,$A$5:$A$627,1)):INDEX($Q$5:$Q$627,MATCH($A446+90,$A$5:$A$627,1))),"")</f>
        <v>1.03575165187296</v>
      </c>
    </row>
    <row r="447" customFormat="false" ht="15" hidden="false" customHeight="false" outlineLevel="0" collapsed="false">
      <c r="A447" s="13" t="n">
        <v>46002.5626814931</v>
      </c>
      <c r="B447" s="8" t="n">
        <v>13</v>
      </c>
      <c r="C447" s="8" t="s">
        <v>73</v>
      </c>
      <c r="D447" s="8" t="s">
        <v>511</v>
      </c>
      <c r="E447" s="14" t="s">
        <v>66</v>
      </c>
      <c r="F447" s="9" t="n">
        <v>2256</v>
      </c>
      <c r="G447" s="9" t="n">
        <v>51</v>
      </c>
      <c r="H447" s="9" t="n">
        <v>30</v>
      </c>
      <c r="I447" s="9" t="n">
        <v>36</v>
      </c>
      <c r="J447" s="9" t="n">
        <v>6</v>
      </c>
      <c r="K447" s="9" t="n">
        <v>0</v>
      </c>
      <c r="L447" s="9" t="n">
        <v>0</v>
      </c>
      <c r="M447" s="10" t="n">
        <f aca="false">IFERROR(G447/F447,"")</f>
        <v>0.0226063829787234</v>
      </c>
      <c r="N447" s="10" t="n">
        <f aca="false">IFERROR(H447/G447,"")</f>
        <v>0.588235294117647</v>
      </c>
      <c r="O447" s="11" t="n">
        <f aca="false">IFERROR(I447/H447,"")</f>
        <v>1.2</v>
      </c>
      <c r="P447" s="10" t="n">
        <f aca="false">IFERROR(J447/H447,"")</f>
        <v>0.2</v>
      </c>
      <c r="Q447" s="10" t="n">
        <f aca="false">IFERROR(K447/H447,"")</f>
        <v>0</v>
      </c>
      <c r="R447" s="10" t="n">
        <f aca="false">IFERROR(L447/H447,"")</f>
        <v>0</v>
      </c>
      <c r="S447" s="11" t="n">
        <f aca="false">IFERROR(M447/MEDIAN(INDEX($M$5:$M$627,MATCH($A447-90,$A$5:$A$627,1)):INDEX($M$5:$M$627,MATCH($A447+90,$A$5:$A$627,1))),"")</f>
        <v>0.416563131712225</v>
      </c>
      <c r="T447" s="11" t="n">
        <f aca="false">IFERROR(N447/MEDIAN(INDEX($N$5:$N$627,MATCH($A447-90,$A$5:$A$627,1)):INDEX($N$5:$N$627,MATCH($A447+90,$A$5:$A$627,1))),"")</f>
        <v>1.08796546141392</v>
      </c>
      <c r="U447" s="11" t="n">
        <f aca="false">IFERROR(Q447/MEDIAN(INDEX($Q$5:$Q$627,MATCH($A447-90,$A$5:$A$627,1)):INDEX($Q$5:$Q$627,MATCH($A447+90,$A$5:$A$627,1))),"")</f>
        <v>0</v>
      </c>
    </row>
    <row r="448" customFormat="false" ht="15" hidden="false" customHeight="false" outlineLevel="0" collapsed="false">
      <c r="A448" s="13" t="n">
        <v>46003.5258871181</v>
      </c>
      <c r="B448" s="8" t="n">
        <v>12</v>
      </c>
      <c r="C448" s="8" t="s">
        <v>84</v>
      </c>
      <c r="D448" s="8" t="s">
        <v>512</v>
      </c>
      <c r="E448" s="14" t="s">
        <v>66</v>
      </c>
      <c r="F448" s="9" t="n">
        <v>80279</v>
      </c>
      <c r="G448" s="9" t="n">
        <v>15421</v>
      </c>
      <c r="H448" s="9" t="n">
        <v>7032</v>
      </c>
      <c r="I448" s="9" t="n">
        <v>4771</v>
      </c>
      <c r="J448" s="9" t="n">
        <v>518</v>
      </c>
      <c r="K448" s="9" t="n">
        <v>55</v>
      </c>
      <c r="L448" s="9" t="n">
        <v>34</v>
      </c>
      <c r="M448" s="10" t="n">
        <f aca="false">IFERROR(G448/F448,"")</f>
        <v>0.192092577137234</v>
      </c>
      <c r="N448" s="10" t="n">
        <f aca="false">IFERROR(H448/G448,"")</f>
        <v>0.456001556319305</v>
      </c>
      <c r="O448" s="11" t="n">
        <f aca="false">IFERROR(I448/H448,"")</f>
        <v>0.678469852104664</v>
      </c>
      <c r="P448" s="10" t="n">
        <f aca="false">IFERROR(J448/H448,"")</f>
        <v>0.0736632536973834</v>
      </c>
      <c r="Q448" s="10" t="n">
        <f aca="false">IFERROR(K448/H448,"")</f>
        <v>0.00782138794084187</v>
      </c>
      <c r="R448" s="10" t="n">
        <f aca="false">IFERROR(L448/H448,"")</f>
        <v>0.00483503981797497</v>
      </c>
      <c r="S448" s="11" t="n">
        <f aca="false">IFERROR(M448/MEDIAN(INDEX($M$5:$M$627,MATCH($A448-90,$A$5:$A$627,1)):INDEX($M$5:$M$627,MATCH($A448+90,$A$5:$A$627,1))),"")</f>
        <v>3.53965008848474</v>
      </c>
      <c r="T448" s="11" t="n">
        <f aca="false">IFERROR(N448/MEDIAN(INDEX($N$5:$N$627,MATCH($A448-90,$A$5:$A$627,1)):INDEX($N$5:$N$627,MATCH($A448+90,$A$5:$A$627,1))),"")</f>
        <v>0.84339370416488</v>
      </c>
      <c r="U448" s="11" t="n">
        <f aca="false">IFERROR(Q448/MEDIAN(INDEX($Q$5:$Q$627,MATCH($A448-90,$A$5:$A$627,1)):INDEX($Q$5:$Q$627,MATCH($A448+90,$A$5:$A$627,1))),"")</f>
        <v>0.876934925673864</v>
      </c>
    </row>
    <row r="449" customFormat="false" ht="15" hidden="false" customHeight="false" outlineLevel="0" collapsed="false">
      <c r="A449" s="13" t="n">
        <v>46004.2611026042</v>
      </c>
      <c r="B449" s="8" t="n">
        <v>6</v>
      </c>
      <c r="C449" s="8" t="s">
        <v>68</v>
      </c>
      <c r="D449" s="8" t="s">
        <v>513</v>
      </c>
      <c r="E449" s="14" t="s">
        <v>66</v>
      </c>
      <c r="F449" s="9" t="n">
        <v>17139</v>
      </c>
      <c r="G449" s="9" t="n">
        <v>1624</v>
      </c>
      <c r="H449" s="9" t="n">
        <v>847</v>
      </c>
      <c r="I449" s="9" t="n">
        <v>651</v>
      </c>
      <c r="J449" s="9" t="n">
        <v>127</v>
      </c>
      <c r="K449" s="9" t="n">
        <v>38</v>
      </c>
      <c r="L449" s="9" t="n">
        <v>2</v>
      </c>
      <c r="M449" s="10" t="n">
        <f aca="false">IFERROR(G449/F449,"")</f>
        <v>0.0947546531302877</v>
      </c>
      <c r="N449" s="10" t="n">
        <f aca="false">IFERROR(H449/G449,"")</f>
        <v>0.521551724137931</v>
      </c>
      <c r="O449" s="11" t="n">
        <f aca="false">IFERROR(I449/H449,"")</f>
        <v>0.768595041322314</v>
      </c>
      <c r="P449" s="10" t="n">
        <f aca="false">IFERROR(J449/H449,"")</f>
        <v>0.149940968122786</v>
      </c>
      <c r="Q449" s="10" t="n">
        <f aca="false">IFERROR(K449/H449,"")</f>
        <v>0.0448642266824085</v>
      </c>
      <c r="R449" s="10" t="n">
        <f aca="false">IFERROR(L449/H449,"")</f>
        <v>0.00236127508854782</v>
      </c>
      <c r="S449" s="11" t="n">
        <f aca="false">IFERROR(M449/MEDIAN(INDEX($M$5:$M$627,MATCH($A449-90,$A$5:$A$627,1)):INDEX($M$5:$M$627,MATCH($A449+90,$A$5:$A$627,1))),"")</f>
        <v>1.74602434584107</v>
      </c>
      <c r="T449" s="11" t="n">
        <f aca="false">IFERROR(N449/MEDIAN(INDEX($N$5:$N$627,MATCH($A449-90,$A$5:$A$627,1)):INDEX($N$5:$N$627,MATCH($A449+90,$A$5:$A$627,1))),"")</f>
        <v>0.964631445745018</v>
      </c>
      <c r="U449" s="11" t="n">
        <f aca="false">IFERROR(Q449/MEDIAN(INDEX($Q$5:$Q$627,MATCH($A449-90,$A$5:$A$627,1)):INDEX($Q$5:$Q$627,MATCH($A449+90,$A$5:$A$627,1))),"")</f>
        <v>5.03018231402527</v>
      </c>
    </row>
    <row r="450" customFormat="false" ht="15" hidden="false" customHeight="false" outlineLevel="0" collapsed="false">
      <c r="A450" s="13" t="n">
        <v>46006.2505261806</v>
      </c>
      <c r="B450" s="8" t="n">
        <v>6</v>
      </c>
      <c r="C450" s="8" t="s">
        <v>80</v>
      </c>
      <c r="D450" s="8" t="s">
        <v>514</v>
      </c>
      <c r="E450" s="14" t="s">
        <v>66</v>
      </c>
      <c r="F450" s="9" t="n">
        <v>38344</v>
      </c>
      <c r="G450" s="9" t="n">
        <v>7487</v>
      </c>
      <c r="H450" s="9" t="n">
        <v>2874</v>
      </c>
      <c r="I450" s="9" t="n">
        <v>2025</v>
      </c>
      <c r="J450" s="9" t="n">
        <v>306</v>
      </c>
      <c r="K450" s="9" t="n">
        <v>49</v>
      </c>
      <c r="L450" s="9" t="n">
        <v>2</v>
      </c>
      <c r="M450" s="10" t="n">
        <f aca="false">IFERROR(G450/F450,"")</f>
        <v>0.195258710619654</v>
      </c>
      <c r="N450" s="10" t="n">
        <f aca="false">IFERROR(H450/G450,"")</f>
        <v>0.383865366635502</v>
      </c>
      <c r="O450" s="11" t="n">
        <f aca="false">IFERROR(I450/H450,"")</f>
        <v>0.704592901878914</v>
      </c>
      <c r="P450" s="10" t="n">
        <f aca="false">IFERROR(J450/H450,"")</f>
        <v>0.106471816283925</v>
      </c>
      <c r="Q450" s="10" t="n">
        <f aca="false">IFERROR(K450/H450,"")</f>
        <v>0.0170494084899095</v>
      </c>
      <c r="R450" s="10" t="n">
        <f aca="false">IFERROR(L450/H450,"")</f>
        <v>0.00069589422407794</v>
      </c>
      <c r="S450" s="11" t="n">
        <f aca="false">IFERROR(M450/MEDIAN(INDEX($M$5:$M$627,MATCH($A450-90,$A$5:$A$627,1)):INDEX($M$5:$M$627,MATCH($A450+90,$A$5:$A$627,1))),"")</f>
        <v>3.5919591374707</v>
      </c>
      <c r="T450" s="11" t="n">
        <f aca="false">IFERROR(N450/MEDIAN(INDEX($N$5:$N$627,MATCH($A450-90,$A$5:$A$627,1)):INDEX($N$5:$N$627,MATCH($A450+90,$A$5:$A$627,1))),"")</f>
        <v>0.7112799440599</v>
      </c>
      <c r="U450" s="11" t="n">
        <f aca="false">IFERROR(Q450/MEDIAN(INDEX($Q$5:$Q$627,MATCH($A450-90,$A$5:$A$627,1)):INDEX($Q$5:$Q$627,MATCH($A450+90,$A$5:$A$627,1))),"")</f>
        <v>1.91045891257087</v>
      </c>
    </row>
    <row r="451" customFormat="false" ht="15" hidden="false" customHeight="false" outlineLevel="0" collapsed="false">
      <c r="A451" s="13" t="n">
        <v>46007.427250162</v>
      </c>
      <c r="B451" s="8" t="n">
        <v>10</v>
      </c>
      <c r="C451" s="8" t="s">
        <v>64</v>
      </c>
      <c r="D451" s="8" t="s">
        <v>515</v>
      </c>
      <c r="E451" s="14" t="s">
        <v>66</v>
      </c>
      <c r="F451" s="9" t="n">
        <v>22877</v>
      </c>
      <c r="G451" s="9" t="n">
        <v>3505</v>
      </c>
      <c r="H451" s="9" t="n">
        <v>2370</v>
      </c>
      <c r="I451" s="9" t="n">
        <v>1231</v>
      </c>
      <c r="J451" s="9" t="n">
        <v>186</v>
      </c>
      <c r="K451" s="9" t="n">
        <v>0</v>
      </c>
      <c r="L451" s="9" t="n">
        <v>5</v>
      </c>
      <c r="M451" s="10" t="n">
        <f aca="false">IFERROR(G451/F451,"")</f>
        <v>0.153210648249333</v>
      </c>
      <c r="N451" s="10" t="n">
        <f aca="false">IFERROR(H451/G451,"")</f>
        <v>0.676176890156919</v>
      </c>
      <c r="O451" s="11" t="n">
        <f aca="false">IFERROR(I451/H451,"")</f>
        <v>0.519409282700422</v>
      </c>
      <c r="P451" s="10" t="n">
        <f aca="false">IFERROR(J451/H451,"")</f>
        <v>0.0784810126582279</v>
      </c>
      <c r="Q451" s="10" t="n">
        <f aca="false">IFERROR(K451/H451,"")</f>
        <v>0</v>
      </c>
      <c r="R451" s="10" t="n">
        <f aca="false">IFERROR(L451/H451,"")</f>
        <v>0.00210970464135021</v>
      </c>
      <c r="S451" s="11" t="n">
        <f aca="false">IFERROR(M451/MEDIAN(INDEX($M$5:$M$627,MATCH($A451-90,$A$5:$A$627,1)):INDEX($M$5:$M$627,MATCH($A451+90,$A$5:$A$627,1))),"")</f>
        <v>2.81844731121362</v>
      </c>
      <c r="T451" s="11" t="n">
        <f aca="false">IFERROR(N451/MEDIAN(INDEX($N$5:$N$627,MATCH($A451-90,$A$5:$A$627,1)):INDEX($N$5:$N$627,MATCH($A451+90,$A$5:$A$627,1))),"")</f>
        <v>1.25563655498627</v>
      </c>
      <c r="U451" s="11" t="n">
        <f aca="false">IFERROR(Q451/MEDIAN(INDEX($Q$5:$Q$627,MATCH($A451-90,$A$5:$A$627,1)):INDEX($Q$5:$Q$627,MATCH($A451+90,$A$5:$A$627,1))),"")</f>
        <v>0</v>
      </c>
    </row>
    <row r="452" customFormat="false" ht="15" hidden="false" customHeight="false" outlineLevel="0" collapsed="false">
      <c r="A452" s="13" t="n">
        <v>46008.5359501042</v>
      </c>
      <c r="B452" s="8" t="n">
        <v>12</v>
      </c>
      <c r="C452" s="8" t="s">
        <v>71</v>
      </c>
      <c r="D452" s="8" t="s">
        <v>516</v>
      </c>
      <c r="E452" s="14" t="s">
        <v>66</v>
      </c>
      <c r="F452" s="9" t="n">
        <v>3763967</v>
      </c>
      <c r="G452" s="9" t="n">
        <v>165371</v>
      </c>
      <c r="H452" s="9" t="n">
        <v>107585</v>
      </c>
      <c r="I452" s="9" t="n">
        <v>101081</v>
      </c>
      <c r="J452" s="9" t="n">
        <v>1942</v>
      </c>
      <c r="K452" s="9" t="n">
        <v>506</v>
      </c>
      <c r="L452" s="9" t="n">
        <v>426</v>
      </c>
      <c r="M452" s="10" t="n">
        <f aca="false">IFERROR(G452/F452,"")</f>
        <v>0.0439352948631059</v>
      </c>
      <c r="N452" s="10" t="n">
        <f aca="false">IFERROR(H452/G452,"")</f>
        <v>0.650567511837021</v>
      </c>
      <c r="O452" s="11" t="n">
        <f aca="false">IFERROR(I452/H452,"")</f>
        <v>0.9395454756704</v>
      </c>
      <c r="P452" s="10" t="n">
        <f aca="false">IFERROR(J452/H452,"")</f>
        <v>0.0180508435190779</v>
      </c>
      <c r="Q452" s="10" t="n">
        <f aca="false">IFERROR(K452/H452,"")</f>
        <v>0.00470325788911094</v>
      </c>
      <c r="R452" s="10" t="n">
        <f aca="false">IFERROR(L452/H452,"")</f>
        <v>0.00395965980387601</v>
      </c>
      <c r="S452" s="11" t="n">
        <f aca="false">IFERROR(M452/MEDIAN(INDEX($M$5:$M$627,MATCH($A452-90,$A$5:$A$627,1)):INDEX($M$5:$M$627,MATCH($A452+90,$A$5:$A$627,1))),"")</f>
        <v>0.810948543171288</v>
      </c>
      <c r="T452" s="11" t="n">
        <f aca="false">IFERROR(N452/MEDIAN(INDEX($N$5:$N$627,MATCH($A452-90,$A$5:$A$627,1)):INDEX($N$5:$N$627,MATCH($A452+90,$A$5:$A$627,1))),"")</f>
        <v>1.20546333075683</v>
      </c>
      <c r="U452" s="11" t="n">
        <f aca="false">IFERROR(Q452/MEDIAN(INDEX($Q$5:$Q$627,MATCH($A452-90,$A$5:$A$627,1)):INDEX($Q$5:$Q$627,MATCH($A452+90,$A$5:$A$627,1))),"")</f>
        <v>0.509127666496259</v>
      </c>
    </row>
    <row r="453" customFormat="false" ht="15" hidden="false" customHeight="false" outlineLevel="0" collapsed="false">
      <c r="A453" s="13" t="n">
        <v>46009.4268487732</v>
      </c>
      <c r="B453" s="8" t="n">
        <v>10</v>
      </c>
      <c r="C453" s="8" t="s">
        <v>73</v>
      </c>
      <c r="D453" s="8" t="s">
        <v>517</v>
      </c>
      <c r="E453" s="14" t="s">
        <v>66</v>
      </c>
      <c r="F453" s="9" t="n">
        <v>34341</v>
      </c>
      <c r="G453" s="9" t="n">
        <v>3173</v>
      </c>
      <c r="H453" s="9" t="n">
        <v>1608</v>
      </c>
      <c r="I453" s="9" t="n">
        <v>1734</v>
      </c>
      <c r="J453" s="9" t="n">
        <v>73</v>
      </c>
      <c r="K453" s="9" t="n">
        <v>19</v>
      </c>
      <c r="L453" s="9" t="n">
        <v>4</v>
      </c>
      <c r="M453" s="10" t="n">
        <f aca="false">IFERROR(G453/F453,"")</f>
        <v>0.0923968434233132</v>
      </c>
      <c r="N453" s="10" t="n">
        <f aca="false">IFERROR(H453/G453,"")</f>
        <v>0.506775921840529</v>
      </c>
      <c r="O453" s="11" t="n">
        <f aca="false">IFERROR(I453/H453,"")</f>
        <v>1.07835820895522</v>
      </c>
      <c r="P453" s="10" t="n">
        <f aca="false">IFERROR(J453/H453,"")</f>
        <v>0.0453980099502488</v>
      </c>
      <c r="Q453" s="10" t="n">
        <f aca="false">IFERROR(K453/H453,"")</f>
        <v>0.01181592039801</v>
      </c>
      <c r="R453" s="10" t="n">
        <f aca="false">IFERROR(L453/H453,"")</f>
        <v>0.00248756218905473</v>
      </c>
      <c r="S453" s="11" t="n">
        <f aca="false">IFERROR(M453/MEDIAN(INDEX($M$5:$M$627,MATCH($A453-90,$A$5:$A$627,1)):INDEX($M$5:$M$627,MATCH($A453+90,$A$5:$A$627,1))),"")</f>
        <v>1.71715293067385</v>
      </c>
      <c r="T453" s="11" t="n">
        <f aca="false">IFERROR(N453/MEDIAN(INDEX($N$5:$N$627,MATCH($A453-90,$A$5:$A$627,1)):INDEX($N$5:$N$627,MATCH($A453+90,$A$5:$A$627,1))),"")</f>
        <v>0.941064951956818</v>
      </c>
      <c r="U453" s="11" t="n">
        <f aca="false">IFERROR(Q453/MEDIAN(INDEX($Q$5:$Q$627,MATCH($A453-90,$A$5:$A$627,1)):INDEX($Q$5:$Q$627,MATCH($A453+90,$A$5:$A$627,1))),"")</f>
        <v>1.2775593359368</v>
      </c>
    </row>
    <row r="454" customFormat="false" ht="15" hidden="false" customHeight="false" outlineLevel="0" collapsed="false">
      <c r="A454" s="13" t="n">
        <v>46010.4327907986</v>
      </c>
      <c r="B454" s="8" t="n">
        <v>10</v>
      </c>
      <c r="C454" s="8" t="s">
        <v>84</v>
      </c>
      <c r="D454" s="8" t="s">
        <v>518</v>
      </c>
      <c r="E454" s="14" t="s">
        <v>66</v>
      </c>
      <c r="F454" s="9" t="n">
        <v>16346</v>
      </c>
      <c r="G454" s="9" t="n">
        <v>1912</v>
      </c>
      <c r="H454" s="9" t="n">
        <v>1135</v>
      </c>
      <c r="I454" s="9" t="n">
        <v>954</v>
      </c>
      <c r="J454" s="9" t="n">
        <v>93</v>
      </c>
      <c r="K454" s="9" t="n">
        <v>24</v>
      </c>
      <c r="L454" s="9" t="n">
        <v>1</v>
      </c>
      <c r="M454" s="10" t="n">
        <f aca="false">IFERROR(G454/F454,"")</f>
        <v>0.116970512663649</v>
      </c>
      <c r="N454" s="10" t="n">
        <f aca="false">IFERROR(H454/G454,"")</f>
        <v>0.593619246861925</v>
      </c>
      <c r="O454" s="11" t="n">
        <f aca="false">IFERROR(I454/H454,"")</f>
        <v>0.840528634361234</v>
      </c>
      <c r="P454" s="10" t="n">
        <f aca="false">IFERROR(J454/H454,"")</f>
        <v>0.0819383259911894</v>
      </c>
      <c r="Q454" s="10" t="n">
        <f aca="false">IFERROR(K454/H454,"")</f>
        <v>0.0211453744493392</v>
      </c>
      <c r="R454" s="10" t="n">
        <f aca="false">IFERROR(L454/H454,"")</f>
        <v>0.000881057268722467</v>
      </c>
      <c r="S454" s="11" t="n">
        <f aca="false">IFERROR(M454/MEDIAN(INDEX($M$5:$M$627,MATCH($A454-90,$A$5:$A$627,1)):INDEX($M$5:$M$627,MATCH($A454+90,$A$5:$A$627,1))),"")</f>
        <v>2.20346552159397</v>
      </c>
      <c r="T454" s="11" t="n">
        <f aca="false">IFERROR(N454/MEDIAN(INDEX($N$5:$N$627,MATCH($A454-90,$A$5:$A$627,1)):INDEX($N$5:$N$627,MATCH($A454+90,$A$5:$A$627,1))),"")</f>
        <v>1.10417742114924</v>
      </c>
      <c r="U454" s="11" t="n">
        <f aca="false">IFERROR(Q454/MEDIAN(INDEX($Q$5:$Q$627,MATCH($A454-90,$A$5:$A$627,1)):INDEX($Q$5:$Q$627,MATCH($A454+90,$A$5:$A$627,1))),"")</f>
        <v>2.24191797725901</v>
      </c>
    </row>
    <row r="455" customFormat="false" ht="15" hidden="false" customHeight="false" outlineLevel="0" collapsed="false">
      <c r="A455" s="13" t="n">
        <v>46011.4966624884</v>
      </c>
      <c r="B455" s="8" t="n">
        <v>11</v>
      </c>
      <c r="C455" s="8" t="s">
        <v>68</v>
      </c>
      <c r="D455" s="8" t="s">
        <v>519</v>
      </c>
      <c r="E455" s="14" t="s">
        <v>66</v>
      </c>
      <c r="F455" s="9" t="n">
        <v>1210142</v>
      </c>
      <c r="G455" s="9" t="n">
        <v>59885</v>
      </c>
      <c r="H455" s="9" t="n">
        <v>35224</v>
      </c>
      <c r="I455" s="9" t="n">
        <v>31022</v>
      </c>
      <c r="J455" s="9" t="n">
        <v>921</v>
      </c>
      <c r="K455" s="9" t="n">
        <v>274</v>
      </c>
      <c r="L455" s="9" t="n">
        <v>115</v>
      </c>
      <c r="M455" s="10" t="n">
        <f aca="false">IFERROR(G455/F455,"")</f>
        <v>0.0494859280976943</v>
      </c>
      <c r="N455" s="10" t="n">
        <f aca="false">IFERROR(H455/G455,"")</f>
        <v>0.588194038573933</v>
      </c>
      <c r="O455" s="11" t="n">
        <f aca="false">IFERROR(I455/H455,"")</f>
        <v>0.88070633658869</v>
      </c>
      <c r="P455" s="10" t="n">
        <f aca="false">IFERROR(J455/H455,"")</f>
        <v>0.0261469452645923</v>
      </c>
      <c r="Q455" s="10" t="n">
        <f aca="false">IFERROR(K455/H455,"")</f>
        <v>0.0077787871905519</v>
      </c>
      <c r="R455" s="10" t="n">
        <f aca="false">IFERROR(L455/H455,"")</f>
        <v>0.00326481944129003</v>
      </c>
      <c r="S455" s="11" t="n">
        <f aca="false">IFERROR(M455/MEDIAN(INDEX($M$5:$M$627,MATCH($A455-90,$A$5:$A$627,1)):INDEX($M$5:$M$627,MATCH($A455+90,$A$5:$A$627,1))),"")</f>
        <v>0.946587936189824</v>
      </c>
      <c r="T455" s="11" t="n">
        <f aca="false">IFERROR(N455/MEDIAN(INDEX($N$5:$N$627,MATCH($A455-90,$A$5:$A$627,1)):INDEX($N$5:$N$627,MATCH($A455+90,$A$5:$A$627,1))),"")</f>
        <v>1.09709870610028</v>
      </c>
      <c r="U455" s="11" t="n">
        <f aca="false">IFERROR(Q455/MEDIAN(INDEX($Q$5:$Q$627,MATCH($A455-90,$A$5:$A$627,1)):INDEX($Q$5:$Q$627,MATCH($A455+90,$A$5:$A$627,1))),"")</f>
        <v>0.824738426153309</v>
      </c>
    </row>
    <row r="456" customFormat="false" ht="15" hidden="false" customHeight="false" outlineLevel="0" collapsed="false">
      <c r="A456" s="13" t="n">
        <v>46013.4526852546</v>
      </c>
      <c r="B456" s="8" t="n">
        <v>10</v>
      </c>
      <c r="C456" s="8" t="s">
        <v>80</v>
      </c>
      <c r="D456" s="8" t="s">
        <v>520</v>
      </c>
      <c r="E456" s="14" t="s">
        <v>66</v>
      </c>
      <c r="F456" s="9" t="n">
        <v>210700</v>
      </c>
      <c r="G456" s="9" t="n">
        <v>52714</v>
      </c>
      <c r="H456" s="9" t="n">
        <v>26058</v>
      </c>
      <c r="I456" s="9" t="n">
        <v>15739</v>
      </c>
      <c r="J456" s="9" t="n">
        <v>1304</v>
      </c>
      <c r="K456" s="9" t="n">
        <v>254</v>
      </c>
      <c r="L456" s="9" t="n">
        <v>61</v>
      </c>
      <c r="M456" s="10" t="n">
        <f aca="false">IFERROR(G456/F456,"")</f>
        <v>0.250185097294732</v>
      </c>
      <c r="N456" s="10" t="n">
        <f aca="false">IFERROR(H456/G456,"")</f>
        <v>0.494327882535949</v>
      </c>
      <c r="O456" s="11" t="n">
        <f aca="false">IFERROR(I456/H456,"")</f>
        <v>0.60399877197022</v>
      </c>
      <c r="P456" s="10" t="n">
        <f aca="false">IFERROR(J456/H456,"")</f>
        <v>0.050042213523678</v>
      </c>
      <c r="Q456" s="10" t="n">
        <f aca="false">IFERROR(K456/H456,"")</f>
        <v>0.00974748637654463</v>
      </c>
      <c r="R456" s="10" t="n">
        <f aca="false">IFERROR(L456/H456,"")</f>
        <v>0.00234093176759536</v>
      </c>
      <c r="S456" s="11" t="n">
        <f aca="false">IFERROR(M456/MEDIAN(INDEX($M$5:$M$627,MATCH($A456-90,$A$5:$A$627,1)):INDEX($M$5:$M$627,MATCH($A456+90,$A$5:$A$627,1))),"")</f>
        <v>4.78564723381847</v>
      </c>
      <c r="T456" s="11" t="n">
        <f aca="false">IFERROR(N456/MEDIAN(INDEX($N$5:$N$627,MATCH($A456-90,$A$5:$A$627,1)):INDEX($N$5:$N$627,MATCH($A456+90,$A$5:$A$627,1))),"")</f>
        <v>0.924882347409873</v>
      </c>
      <c r="U456" s="11" t="n">
        <f aca="false">IFERROR(Q456/MEDIAN(INDEX($Q$5:$Q$627,MATCH($A456-90,$A$5:$A$627,1)):INDEX($Q$5:$Q$627,MATCH($A456+90,$A$5:$A$627,1))),"")</f>
        <v>1.00685159702003</v>
      </c>
    </row>
    <row r="457" customFormat="false" ht="15" hidden="false" customHeight="false" outlineLevel="0" collapsed="false">
      <c r="A457" s="13" t="n">
        <v>46014.2921443403</v>
      </c>
      <c r="B457" s="8" t="n">
        <v>7</v>
      </c>
      <c r="C457" s="8" t="s">
        <v>64</v>
      </c>
      <c r="D457" s="8" t="s">
        <v>521</v>
      </c>
      <c r="E457" s="14" t="s">
        <v>66</v>
      </c>
      <c r="F457" s="9" t="n">
        <v>26251</v>
      </c>
      <c r="G457" s="9" t="n">
        <v>1107</v>
      </c>
      <c r="H457" s="9" t="n">
        <v>404</v>
      </c>
      <c r="I457" s="9" t="n">
        <v>320</v>
      </c>
      <c r="J457" s="9" t="n">
        <v>48</v>
      </c>
      <c r="K457" s="9" t="n">
        <v>15</v>
      </c>
      <c r="L457" s="9" t="n">
        <v>2</v>
      </c>
      <c r="M457" s="10" t="n">
        <f aca="false">IFERROR(G457/F457,"")</f>
        <v>0.0421698221020152</v>
      </c>
      <c r="N457" s="10" t="n">
        <f aca="false">IFERROR(H457/G457,"")</f>
        <v>0.364950316169828</v>
      </c>
      <c r="O457" s="11" t="n">
        <f aca="false">IFERROR(I457/H457,"")</f>
        <v>0.792079207920792</v>
      </c>
      <c r="P457" s="10" t="n">
        <f aca="false">IFERROR(J457/H457,"")</f>
        <v>0.118811881188119</v>
      </c>
      <c r="Q457" s="10" t="n">
        <f aca="false">IFERROR(K457/H457,"")</f>
        <v>0.0371287128712871</v>
      </c>
      <c r="R457" s="10" t="n">
        <f aca="false">IFERROR(L457/H457,"")</f>
        <v>0.00495049504950495</v>
      </c>
      <c r="S457" s="11" t="n">
        <f aca="false">IFERROR(M457/MEDIAN(INDEX($M$5:$M$627,MATCH($A457-90,$A$5:$A$627,1)):INDEX($M$5:$M$627,MATCH($A457+90,$A$5:$A$627,1))),"")</f>
        <v>0.807928297060725</v>
      </c>
      <c r="T457" s="11" t="n">
        <f aca="false">IFERROR(N457/MEDIAN(INDEX($N$5:$N$627,MATCH($A457-90,$A$5:$A$627,1)):INDEX($N$5:$N$627,MATCH($A457+90,$A$5:$A$627,1))),"")</f>
        <v>0.684206189767813</v>
      </c>
      <c r="U457" s="11" t="n">
        <f aca="false">IFERROR(Q457/MEDIAN(INDEX($Q$5:$Q$627,MATCH($A457-90,$A$5:$A$627,1)):INDEX($Q$5:$Q$627,MATCH($A457+90,$A$5:$A$627,1))),"")</f>
        <v>3.80905511811024</v>
      </c>
    </row>
    <row r="458" customFormat="false" ht="15" hidden="false" customHeight="false" outlineLevel="0" collapsed="false">
      <c r="A458" s="13" t="n">
        <v>46014.4189106482</v>
      </c>
      <c r="B458" s="8" t="n">
        <v>10</v>
      </c>
      <c r="C458" s="8" t="s">
        <v>64</v>
      </c>
      <c r="D458" s="8" t="s">
        <v>522</v>
      </c>
      <c r="E458" s="14" t="s">
        <v>66</v>
      </c>
      <c r="F458" s="9" t="n">
        <v>2963</v>
      </c>
      <c r="G458" s="9" t="n">
        <v>74</v>
      </c>
      <c r="H458" s="9" t="n">
        <v>44</v>
      </c>
      <c r="I458" s="9" t="n">
        <v>47</v>
      </c>
      <c r="J458" s="9" t="n">
        <v>8</v>
      </c>
      <c r="K458" s="9" t="n">
        <v>0</v>
      </c>
      <c r="L458" s="9" t="n">
        <v>0</v>
      </c>
      <c r="M458" s="10" t="n">
        <f aca="false">IFERROR(G458/F458,"")</f>
        <v>0.0249746878164023</v>
      </c>
      <c r="N458" s="10" t="n">
        <f aca="false">IFERROR(H458/G458,"")</f>
        <v>0.594594594594595</v>
      </c>
      <c r="O458" s="11" t="n">
        <f aca="false">IFERROR(I458/H458,"")</f>
        <v>1.06818181818182</v>
      </c>
      <c r="P458" s="10" t="n">
        <f aca="false">IFERROR(J458/H458,"")</f>
        <v>0.181818181818182</v>
      </c>
      <c r="Q458" s="10" t="n">
        <f aca="false">IFERROR(K458/H458,"")</f>
        <v>0</v>
      </c>
      <c r="R458" s="10" t="n">
        <f aca="false">IFERROR(L458/H458,"")</f>
        <v>0</v>
      </c>
      <c r="S458" s="11" t="n">
        <f aca="false">IFERROR(M458/MEDIAN(INDEX($M$5:$M$627,MATCH($A458-90,$A$5:$A$627,1)):INDEX($M$5:$M$627,MATCH($A458+90,$A$5:$A$627,1))),"")</f>
        <v>0.478488074915661</v>
      </c>
      <c r="T458" s="11" t="n">
        <f aca="false">IFERROR(N458/MEDIAN(INDEX($N$5:$N$627,MATCH($A458-90,$A$5:$A$627,1)):INDEX($N$5:$N$627,MATCH($A458+90,$A$5:$A$627,1))),"")</f>
        <v>1.11474160727892</v>
      </c>
      <c r="U458" s="11" t="n">
        <f aca="false">IFERROR(Q458/MEDIAN(INDEX($Q$5:$Q$627,MATCH($A458-90,$A$5:$A$627,1)):INDEX($Q$5:$Q$627,MATCH($A458+90,$A$5:$A$627,1))),"")</f>
        <v>0</v>
      </c>
    </row>
    <row r="459" customFormat="false" ht="15" hidden="false" customHeight="false" outlineLevel="0" collapsed="false">
      <c r="A459" s="13" t="n">
        <v>46015.4225750232</v>
      </c>
      <c r="B459" s="8" t="n">
        <v>10</v>
      </c>
      <c r="C459" s="8" t="s">
        <v>71</v>
      </c>
      <c r="D459" s="8" t="s">
        <v>523</v>
      </c>
      <c r="E459" s="14" t="s">
        <v>66</v>
      </c>
      <c r="F459" s="9" t="n">
        <v>109444</v>
      </c>
      <c r="G459" s="9" t="n">
        <v>2818</v>
      </c>
      <c r="H459" s="9" t="n">
        <v>1550</v>
      </c>
      <c r="I459" s="9" t="n">
        <v>1808</v>
      </c>
      <c r="J459" s="9" t="n">
        <v>96</v>
      </c>
      <c r="K459" s="9" t="n">
        <v>22</v>
      </c>
      <c r="L459" s="9" t="n">
        <v>8</v>
      </c>
      <c r="M459" s="10" t="n">
        <f aca="false">IFERROR(G459/F459,"")</f>
        <v>0.0257483279119915</v>
      </c>
      <c r="N459" s="10" t="n">
        <f aca="false">IFERROR(H459/G459,"")</f>
        <v>0.550035486160397</v>
      </c>
      <c r="O459" s="11" t="n">
        <f aca="false">IFERROR(I459/H459,"")</f>
        <v>1.16645161290323</v>
      </c>
      <c r="P459" s="10" t="n">
        <f aca="false">IFERROR(J459/H459,"")</f>
        <v>0.0619354838709677</v>
      </c>
      <c r="Q459" s="10" t="n">
        <f aca="false">IFERROR(K459/H459,"")</f>
        <v>0.0141935483870968</v>
      </c>
      <c r="R459" s="10" t="n">
        <f aca="false">IFERROR(L459/H459,"")</f>
        <v>0.00516129032258065</v>
      </c>
      <c r="S459" s="11" t="n">
        <f aca="false">IFERROR(M459/MEDIAN(INDEX($M$5:$M$627,MATCH($A459-90,$A$5:$A$627,1)):INDEX($M$5:$M$627,MATCH($A459+90,$A$5:$A$627,1))),"")</f>
        <v>0.492524996811902</v>
      </c>
      <c r="T459" s="11" t="n">
        <f aca="false">IFERROR(N459/MEDIAN(INDEX($N$5:$N$627,MATCH($A459-90,$A$5:$A$627,1)):INDEX($N$5:$N$627,MATCH($A459+90,$A$5:$A$627,1))),"")</f>
        <v>1.029110696708</v>
      </c>
      <c r="U459" s="11" t="n">
        <f aca="false">IFERROR(Q459/MEDIAN(INDEX($Q$5:$Q$627,MATCH($A459-90,$A$5:$A$627,1)):INDEX($Q$5:$Q$627,MATCH($A459+90,$A$5:$A$627,1))),"")</f>
        <v>1.46610072677992</v>
      </c>
    </row>
    <row r="460" customFormat="false" ht="15" hidden="false" customHeight="false" outlineLevel="0" collapsed="false">
      <c r="A460" s="13" t="n">
        <v>46016.692273507</v>
      </c>
      <c r="B460" s="8" t="n">
        <v>16</v>
      </c>
      <c r="C460" s="8" t="s">
        <v>73</v>
      </c>
      <c r="D460" s="8" t="s">
        <v>524</v>
      </c>
      <c r="E460" s="14" t="s">
        <v>66</v>
      </c>
      <c r="F460" s="9" t="n">
        <v>1639</v>
      </c>
      <c r="G460" s="9" t="n">
        <v>47</v>
      </c>
      <c r="H460" s="9" t="n">
        <v>31</v>
      </c>
      <c r="I460" s="9" t="n">
        <v>35</v>
      </c>
      <c r="J460" s="9" t="n">
        <v>4</v>
      </c>
      <c r="K460" s="9" t="n">
        <v>0</v>
      </c>
      <c r="L460" s="9" t="n">
        <v>0</v>
      </c>
      <c r="M460" s="10" t="n">
        <f aca="false">IFERROR(G460/F460,"")</f>
        <v>0.0286760219646126</v>
      </c>
      <c r="N460" s="10" t="n">
        <f aca="false">IFERROR(H460/G460,"")</f>
        <v>0.659574468085106</v>
      </c>
      <c r="O460" s="11" t="n">
        <f aca="false">IFERROR(I460/H460,"")</f>
        <v>1.12903225806452</v>
      </c>
      <c r="P460" s="10" t="n">
        <f aca="false">IFERROR(J460/H460,"")</f>
        <v>0.129032258064516</v>
      </c>
      <c r="Q460" s="10" t="n">
        <f aca="false">IFERROR(K460/H460,"")</f>
        <v>0</v>
      </c>
      <c r="R460" s="10" t="n">
        <f aca="false">IFERROR(L460/H460,"")</f>
        <v>0</v>
      </c>
      <c r="S460" s="11" t="n">
        <f aca="false">IFERROR(M460/MEDIAN(INDEX($M$5:$M$627,MATCH($A460-90,$A$5:$A$627,1)):INDEX($M$5:$M$627,MATCH($A460+90,$A$5:$A$627,1))),"")</f>
        <v>0.551405658451721</v>
      </c>
      <c r="T460" s="11" t="n">
        <f aca="false">IFERROR(N460/MEDIAN(INDEX($N$5:$N$627,MATCH($A460-90,$A$5:$A$627,1)):INDEX($N$5:$N$627,MATCH($A460+90,$A$5:$A$627,1))),"")</f>
        <v>1.23155875047639</v>
      </c>
      <c r="U460" s="11" t="n">
        <f aca="false">IFERROR(Q460/MEDIAN(INDEX($Q$5:$Q$627,MATCH($A460-90,$A$5:$A$627,1)):INDEX($Q$5:$Q$627,MATCH($A460+90,$A$5:$A$627,1))),"")</f>
        <v>0</v>
      </c>
    </row>
    <row r="461" customFormat="false" ht="15" hidden="false" customHeight="false" outlineLevel="0" collapsed="false">
      <c r="A461" s="13" t="n">
        <v>46017.3828573032</v>
      </c>
      <c r="B461" s="8" t="n">
        <v>9</v>
      </c>
      <c r="C461" s="8" t="s">
        <v>84</v>
      </c>
      <c r="D461" s="8" t="s">
        <v>525</v>
      </c>
      <c r="E461" s="14" t="s">
        <v>66</v>
      </c>
      <c r="F461" s="9" t="n">
        <v>960445</v>
      </c>
      <c r="G461" s="9" t="n">
        <v>65628</v>
      </c>
      <c r="H461" s="9" t="n">
        <v>40342</v>
      </c>
      <c r="I461" s="9" t="n">
        <v>35442</v>
      </c>
      <c r="J461" s="9" t="n">
        <v>565</v>
      </c>
      <c r="K461" s="9" t="n">
        <v>148</v>
      </c>
      <c r="L461" s="9" t="n">
        <v>94</v>
      </c>
      <c r="M461" s="10" t="n">
        <f aca="false">IFERROR(G461/F461,"")</f>
        <v>0.068330825815117</v>
      </c>
      <c r="N461" s="10" t="n">
        <f aca="false">IFERROR(H461/G461,"")</f>
        <v>0.614707137197538</v>
      </c>
      <c r="O461" s="11" t="n">
        <f aca="false">IFERROR(I461/H461,"")</f>
        <v>0.878538495860394</v>
      </c>
      <c r="P461" s="10" t="n">
        <f aca="false">IFERROR(J461/H461,"")</f>
        <v>0.0140052550691587</v>
      </c>
      <c r="Q461" s="10" t="n">
        <f aca="false">IFERROR(K461/H461,"")</f>
        <v>0.0036686331862575</v>
      </c>
      <c r="R461" s="10" t="n">
        <f aca="false">IFERROR(L461/H461,"")</f>
        <v>0.0023300778345149</v>
      </c>
      <c r="S461" s="11" t="n">
        <f aca="false">IFERROR(M461/MEDIAN(INDEX($M$5:$M$627,MATCH($A461-90,$A$5:$A$627,1)):INDEX($M$5:$M$627,MATCH($A461+90,$A$5:$A$627,1))),"")</f>
        <v>1.31152819671346</v>
      </c>
      <c r="T461" s="11" t="n">
        <f aca="false">IFERROR(N461/MEDIAN(INDEX($N$5:$N$627,MATCH($A461-90,$A$5:$A$627,1)):INDEX($N$5:$N$627,MATCH($A461+90,$A$5:$A$627,1))),"")</f>
        <v>1.15011068585539</v>
      </c>
      <c r="U461" s="11" t="n">
        <f aca="false">IFERROR(Q461/MEDIAN(INDEX($Q$5:$Q$627,MATCH($A461-90,$A$5:$A$627,1)):INDEX($Q$5:$Q$627,MATCH($A461+90,$A$5:$A$627,1))),"")</f>
        <v>0.378945816364755</v>
      </c>
    </row>
    <row r="462" customFormat="false" ht="15" hidden="false" customHeight="false" outlineLevel="0" collapsed="false">
      <c r="A462" s="13" t="n">
        <v>46018.2750852431</v>
      </c>
      <c r="B462" s="8" t="n">
        <v>6</v>
      </c>
      <c r="C462" s="8" t="s">
        <v>68</v>
      </c>
      <c r="D462" s="8" t="s">
        <v>526</v>
      </c>
      <c r="E462" s="14" t="s">
        <v>66</v>
      </c>
      <c r="F462" s="9" t="n">
        <v>27588</v>
      </c>
      <c r="G462" s="9" t="n">
        <v>639</v>
      </c>
      <c r="H462" s="9" t="n">
        <v>276</v>
      </c>
      <c r="I462" s="9" t="n">
        <v>301</v>
      </c>
      <c r="J462" s="9" t="n">
        <v>63</v>
      </c>
      <c r="K462" s="9" t="n">
        <v>8</v>
      </c>
      <c r="L462" s="9" t="n">
        <v>1</v>
      </c>
      <c r="M462" s="10" t="n">
        <f aca="false">IFERROR(G462/F462,"")</f>
        <v>0.0231622444541105</v>
      </c>
      <c r="N462" s="10" t="n">
        <f aca="false">IFERROR(H462/G462,"")</f>
        <v>0.431924882629108</v>
      </c>
      <c r="O462" s="11" t="n">
        <f aca="false">IFERROR(I462/H462,"")</f>
        <v>1.09057971014493</v>
      </c>
      <c r="P462" s="10" t="n">
        <f aca="false">IFERROR(J462/H462,"")</f>
        <v>0.228260869565217</v>
      </c>
      <c r="Q462" s="10" t="n">
        <f aca="false">IFERROR(K462/H462,"")</f>
        <v>0.0289855072463768</v>
      </c>
      <c r="R462" s="10" t="n">
        <f aca="false">IFERROR(L462/H462,"")</f>
        <v>0.0036231884057971</v>
      </c>
      <c r="S462" s="11" t="n">
        <f aca="false">IFERROR(M462/MEDIAN(INDEX($M$5:$M$627,MATCH($A462-90,$A$5:$A$627,1)):INDEX($M$5:$M$627,MATCH($A462+90,$A$5:$A$627,1))),"")</f>
        <v>0.445382301289888</v>
      </c>
      <c r="T462" s="11" t="n">
        <f aca="false">IFERROR(N462/MEDIAN(INDEX($N$5:$N$627,MATCH($A462-90,$A$5:$A$627,1)):INDEX($N$5:$N$627,MATCH($A462+90,$A$5:$A$627,1))),"")</f>
        <v>0.806490994557007</v>
      </c>
      <c r="U462" s="11" t="n">
        <f aca="false">IFERROR(Q462/MEDIAN(INDEX($Q$5:$Q$627,MATCH($A462-90,$A$5:$A$627,1)):INDEX($Q$5:$Q$627,MATCH($A462+90,$A$5:$A$627,1))),"")</f>
        <v>3.01466863655551</v>
      </c>
    </row>
    <row r="463" customFormat="false" ht="15" hidden="false" customHeight="false" outlineLevel="0" collapsed="false">
      <c r="A463" s="13" t="n">
        <v>46020.5098302662</v>
      </c>
      <c r="B463" s="8" t="n">
        <v>12</v>
      </c>
      <c r="C463" s="8" t="s">
        <v>80</v>
      </c>
      <c r="D463" s="8" t="s">
        <v>527</v>
      </c>
      <c r="E463" s="14" t="s">
        <v>66</v>
      </c>
      <c r="F463" s="9" t="n">
        <v>215825</v>
      </c>
      <c r="G463" s="9" t="n">
        <v>9044</v>
      </c>
      <c r="H463" s="9" t="n">
        <v>4824</v>
      </c>
      <c r="I463" s="9" t="n">
        <v>5358</v>
      </c>
      <c r="J463" s="9" t="n">
        <v>184</v>
      </c>
      <c r="K463" s="9" t="n">
        <v>43</v>
      </c>
      <c r="L463" s="9" t="n">
        <v>21</v>
      </c>
      <c r="M463" s="10" t="n">
        <f aca="false">IFERROR(G463/F463,"")</f>
        <v>0.0419043206301402</v>
      </c>
      <c r="N463" s="10" t="n">
        <f aca="false">IFERROR(H463/G463,"")</f>
        <v>0.533392304290137</v>
      </c>
      <c r="O463" s="11" t="n">
        <f aca="false">IFERROR(I463/H463,"")</f>
        <v>1.11069651741294</v>
      </c>
      <c r="P463" s="10" t="n">
        <f aca="false">IFERROR(J463/H463,"")</f>
        <v>0.0381426202321725</v>
      </c>
      <c r="Q463" s="10" t="n">
        <f aca="false">IFERROR(K463/H463,"")</f>
        <v>0.00891376451077944</v>
      </c>
      <c r="R463" s="10" t="n">
        <f aca="false">IFERROR(L463/H463,"")</f>
        <v>0.00435323383084577</v>
      </c>
      <c r="S463" s="11" t="n">
        <f aca="false">IFERROR(M463/MEDIAN(INDEX($M$5:$M$627,MATCH($A463-90,$A$5:$A$627,1)):INDEX($M$5:$M$627,MATCH($A463+90,$A$5:$A$627,1))),"")</f>
        <v>0.805770045006542</v>
      </c>
      <c r="T463" s="11" t="n">
        <f aca="false">IFERROR(N463/MEDIAN(INDEX($N$5:$N$627,MATCH($A463-90,$A$5:$A$627,1)):INDEX($N$5:$N$627,MATCH($A463+90,$A$5:$A$627,1))),"")</f>
        <v>1.00210221836665</v>
      </c>
      <c r="U463" s="11" t="n">
        <f aca="false">IFERROR(Q463/MEDIAN(INDEX($Q$5:$Q$627,MATCH($A463-90,$A$5:$A$627,1)):INDEX($Q$5:$Q$627,MATCH($A463+90,$A$5:$A$627,1))),"")</f>
        <v>0.914468014259412</v>
      </c>
    </row>
    <row r="464" customFormat="false" ht="15" hidden="false" customHeight="false" outlineLevel="0" collapsed="false">
      <c r="A464" s="13" t="n">
        <v>46021.1730879861</v>
      </c>
      <c r="B464" s="8" t="n">
        <v>4</v>
      </c>
      <c r="C464" s="8" t="s">
        <v>64</v>
      </c>
      <c r="D464" s="8" t="s">
        <v>528</v>
      </c>
      <c r="E464" s="14" t="s">
        <v>66</v>
      </c>
      <c r="F464" s="9" t="n">
        <v>2570</v>
      </c>
      <c r="G464" s="9" t="n">
        <v>17</v>
      </c>
      <c r="H464" s="9" t="n">
        <v>3</v>
      </c>
      <c r="I464" s="9" t="n">
        <v>1</v>
      </c>
      <c r="J464" s="9" t="n">
        <v>3</v>
      </c>
      <c r="K464" s="9" t="n">
        <v>0</v>
      </c>
      <c r="L464" s="9" t="n">
        <v>0</v>
      </c>
      <c r="M464" s="10" t="n">
        <f aca="false">IFERROR(G464/F464,"")</f>
        <v>0.0066147859922179</v>
      </c>
      <c r="N464" s="10" t="n">
        <f aca="false">IFERROR(H464/G464,"")</f>
        <v>0.176470588235294</v>
      </c>
      <c r="O464" s="11" t="n">
        <f aca="false">IFERROR(I464/H464,"")</f>
        <v>0.333333333333333</v>
      </c>
      <c r="P464" s="10" t="n">
        <f aca="false">IFERROR(J464/H464,"")</f>
        <v>1</v>
      </c>
      <c r="Q464" s="10" t="n">
        <f aca="false">IFERROR(K464/H464,"")</f>
        <v>0</v>
      </c>
      <c r="R464" s="10" t="n">
        <f aca="false">IFERROR(L464/H464,"")</f>
        <v>0</v>
      </c>
      <c r="S464" s="11" t="n">
        <f aca="false">IFERROR(M464/MEDIAN(INDEX($M$5:$M$627,MATCH($A464-90,$A$5:$A$627,1)):INDEX($M$5:$M$627,MATCH($A464+90,$A$5:$A$627,1))),"")</f>
        <v>0.127194435478436</v>
      </c>
      <c r="T464" s="11" t="n">
        <f aca="false">IFERROR(N464/MEDIAN(INDEX($N$5:$N$627,MATCH($A464-90,$A$5:$A$627,1)):INDEX($N$5:$N$627,MATCH($A464+90,$A$5:$A$627,1))),"")</f>
        <v>0.331541281200908</v>
      </c>
      <c r="U464" s="11" t="n">
        <f aca="false">IFERROR(Q464/MEDIAN(INDEX($Q$5:$Q$627,MATCH($A464-90,$A$5:$A$627,1)):INDEX($Q$5:$Q$627,MATCH($A464+90,$A$5:$A$627,1))),"")</f>
        <v>0</v>
      </c>
    </row>
    <row r="465" customFormat="false" ht="15" hidden="false" customHeight="false" outlineLevel="0" collapsed="false">
      <c r="A465" s="13" t="n">
        <v>46022.4310446065</v>
      </c>
      <c r="B465" s="8" t="n">
        <v>10</v>
      </c>
      <c r="C465" s="8" t="s">
        <v>71</v>
      </c>
      <c r="D465" s="8" t="s">
        <v>529</v>
      </c>
      <c r="E465" s="14" t="s">
        <v>66</v>
      </c>
      <c r="F465" s="9" t="n">
        <v>20064</v>
      </c>
      <c r="G465" s="9" t="n">
        <v>470</v>
      </c>
      <c r="H465" s="9" t="n">
        <v>164</v>
      </c>
      <c r="I465" s="9" t="n">
        <v>177</v>
      </c>
      <c r="J465" s="9" t="n">
        <v>57</v>
      </c>
      <c r="K465" s="9" t="n">
        <v>8</v>
      </c>
      <c r="L465" s="9" t="n">
        <v>4</v>
      </c>
      <c r="M465" s="10" t="n">
        <f aca="false">IFERROR(G465/F465,"")</f>
        <v>0.0234250398724083</v>
      </c>
      <c r="N465" s="10" t="n">
        <f aca="false">IFERROR(H465/G465,"")</f>
        <v>0.348936170212766</v>
      </c>
      <c r="O465" s="11" t="n">
        <f aca="false">IFERROR(I465/H465,"")</f>
        <v>1.07926829268293</v>
      </c>
      <c r="P465" s="10" t="n">
        <f aca="false">IFERROR(J465/H465,"")</f>
        <v>0.347560975609756</v>
      </c>
      <c r="Q465" s="10" t="n">
        <f aca="false">IFERROR(K465/H465,"")</f>
        <v>0.0487804878048781</v>
      </c>
      <c r="R465" s="10" t="n">
        <f aca="false">IFERROR(L465/H465,"")</f>
        <v>0.024390243902439</v>
      </c>
      <c r="S465" s="11" t="n">
        <f aca="false">IFERROR(M465/MEDIAN(INDEX($M$5:$M$627,MATCH($A465-90,$A$5:$A$627,1)):INDEX($M$5:$M$627,MATCH($A465+90,$A$5:$A$627,1))),"")</f>
        <v>0.471664158388065</v>
      </c>
      <c r="T465" s="11" t="n">
        <f aca="false">IFERROR(N465/MEDIAN(INDEX($N$5:$N$627,MATCH($A465-90,$A$5:$A$627,1)):INDEX($N$5:$N$627,MATCH($A465+90,$A$5:$A$627,1))),"")</f>
        <v>0.65669238745233</v>
      </c>
      <c r="U465" s="11" t="n">
        <f aca="false">IFERROR(Q465/MEDIAN(INDEX($Q$5:$Q$627,MATCH($A465-90,$A$5:$A$627,1)):INDEX($Q$5:$Q$627,MATCH($A465+90,$A$5:$A$627,1))),"")</f>
        <v>4.89175672614567</v>
      </c>
    </row>
    <row r="466" customFormat="false" ht="15" hidden="false" customHeight="false" outlineLevel="0" collapsed="false">
      <c r="A466" s="13" t="n">
        <v>46023.5364953125</v>
      </c>
      <c r="B466" s="8" t="n">
        <v>12</v>
      </c>
      <c r="C466" s="8" t="s">
        <v>73</v>
      </c>
      <c r="D466" s="8" t="s">
        <v>530</v>
      </c>
      <c r="E466" s="14" t="s">
        <v>66</v>
      </c>
      <c r="F466" s="9" t="n">
        <v>1662</v>
      </c>
      <c r="G466" s="9" t="n">
        <v>11</v>
      </c>
      <c r="H466" s="9" t="n">
        <v>3</v>
      </c>
      <c r="I466" s="9" t="n">
        <v>2</v>
      </c>
      <c r="J466" s="9" t="n">
        <v>3</v>
      </c>
      <c r="K466" s="9" t="n">
        <v>0</v>
      </c>
      <c r="L466" s="9" t="n">
        <v>0</v>
      </c>
      <c r="M466" s="10" t="n">
        <f aca="false">IFERROR(G466/F466,"")</f>
        <v>0.00661853188929001</v>
      </c>
      <c r="N466" s="10" t="n">
        <f aca="false">IFERROR(H466/G466,"")</f>
        <v>0.272727272727273</v>
      </c>
      <c r="O466" s="11" t="n">
        <f aca="false">IFERROR(I466/H466,"")</f>
        <v>0.666666666666667</v>
      </c>
      <c r="P466" s="10" t="n">
        <f aca="false">IFERROR(J466/H466,"")</f>
        <v>1</v>
      </c>
      <c r="Q466" s="10" t="n">
        <f aca="false">IFERROR(K466/H466,"")</f>
        <v>0</v>
      </c>
      <c r="R466" s="10" t="n">
        <f aca="false">IFERROR(L466/H466,"")</f>
        <v>0</v>
      </c>
      <c r="S466" s="11" t="n">
        <f aca="false">IFERROR(M466/MEDIAN(INDEX($M$5:$M$627,MATCH($A466-90,$A$5:$A$627,1)):INDEX($M$5:$M$627,MATCH($A466+90,$A$5:$A$627,1))),"")</f>
        <v>0.132786548880645</v>
      </c>
      <c r="T466" s="11" t="n">
        <f aca="false">IFERROR(N466/MEDIAN(INDEX($N$5:$N$627,MATCH($A466-90,$A$5:$A$627,1)):INDEX($N$5:$N$627,MATCH($A466+90,$A$5:$A$627,1))),"")</f>
        <v>0.514157973174367</v>
      </c>
      <c r="U466" s="11" t="n">
        <f aca="false">IFERROR(Q466/MEDIAN(INDEX($Q$5:$Q$627,MATCH($A466-90,$A$5:$A$627,1)):INDEX($Q$5:$Q$627,MATCH($A466+90,$A$5:$A$627,1))),"")</f>
        <v>0</v>
      </c>
    </row>
    <row r="467" customFormat="false" ht="15" hidden="false" customHeight="false" outlineLevel="0" collapsed="false">
      <c r="A467" s="13" t="n">
        <v>46024.576603287</v>
      </c>
      <c r="B467" s="8" t="n">
        <v>13</v>
      </c>
      <c r="C467" s="8" t="s">
        <v>84</v>
      </c>
      <c r="D467" s="8" t="s">
        <v>531</v>
      </c>
      <c r="E467" s="14" t="s">
        <v>66</v>
      </c>
      <c r="F467" s="9" t="n">
        <v>703533</v>
      </c>
      <c r="G467" s="9" t="n">
        <v>33215</v>
      </c>
      <c r="H467" s="9" t="n">
        <v>13996</v>
      </c>
      <c r="I467" s="9" t="n">
        <v>11919</v>
      </c>
      <c r="J467" s="9" t="n">
        <v>856</v>
      </c>
      <c r="K467" s="9" t="n">
        <v>155</v>
      </c>
      <c r="L467" s="9" t="n">
        <v>58</v>
      </c>
      <c r="M467" s="10" t="n">
        <f aca="false">IFERROR(G467/F467,"")</f>
        <v>0.0472117157261991</v>
      </c>
      <c r="N467" s="10" t="n">
        <f aca="false">IFERROR(H467/G467,"")</f>
        <v>0.421375884389583</v>
      </c>
      <c r="O467" s="11" t="n">
        <f aca="false">IFERROR(I467/H467,"")</f>
        <v>0.851600457273507</v>
      </c>
      <c r="P467" s="10" t="n">
        <f aca="false">IFERROR(J467/H467,"")</f>
        <v>0.0611603315232924</v>
      </c>
      <c r="Q467" s="10" t="n">
        <f aca="false">IFERROR(K467/H467,"")</f>
        <v>0.0110745927407831</v>
      </c>
      <c r="R467" s="10" t="n">
        <f aca="false">IFERROR(L467/H467,"")</f>
        <v>0.0041440411546156</v>
      </c>
      <c r="S467" s="11" t="n">
        <f aca="false">IFERROR(M467/MEDIAN(INDEX($M$5:$M$627,MATCH($A467-90,$A$5:$A$627,1)):INDEX($M$5:$M$627,MATCH($A467+90,$A$5:$A$627,1))),"")</f>
        <v>0.954043251103515</v>
      </c>
      <c r="T467" s="11" t="n">
        <f aca="false">IFERROR(N467/MEDIAN(INDEX($N$5:$N$627,MATCH($A467-90,$A$5:$A$627,1)):INDEX($N$5:$N$627,MATCH($A467+90,$A$5:$A$627,1))),"")</f>
        <v>0.794397159095115</v>
      </c>
      <c r="U467" s="11" t="n">
        <f aca="false">IFERROR(Q467/MEDIAN(INDEX($Q$5:$Q$627,MATCH($A467-90,$A$5:$A$627,1)):INDEX($Q$5:$Q$627,MATCH($A467+90,$A$5:$A$627,1))),"")</f>
        <v>1.15182484524011</v>
      </c>
    </row>
    <row r="468" customFormat="false" ht="15" hidden="false" customHeight="false" outlineLevel="0" collapsed="false">
      <c r="A468" s="13" t="n">
        <v>46034.482555706</v>
      </c>
      <c r="B468" s="8" t="n">
        <v>11</v>
      </c>
      <c r="C468" s="8" t="s">
        <v>80</v>
      </c>
      <c r="D468" s="8" t="s">
        <v>532</v>
      </c>
      <c r="E468" s="14" t="s">
        <v>66</v>
      </c>
      <c r="F468" s="9" t="n">
        <v>20171</v>
      </c>
      <c r="G468" s="9" t="n">
        <v>689</v>
      </c>
      <c r="H468" s="9" t="n">
        <v>365</v>
      </c>
      <c r="I468" s="9" t="n">
        <v>475</v>
      </c>
      <c r="J468" s="9" t="n">
        <v>57</v>
      </c>
      <c r="K468" s="9" t="n">
        <v>33</v>
      </c>
      <c r="L468" s="9" t="n">
        <v>3</v>
      </c>
      <c r="M468" s="10" t="n">
        <f aca="false">IFERROR(G468/F468,"")</f>
        <v>0.0341579495315056</v>
      </c>
      <c r="N468" s="10" t="n">
        <f aca="false">IFERROR(H468/G468,"")</f>
        <v>0.529753265602322</v>
      </c>
      <c r="O468" s="11" t="n">
        <f aca="false">IFERROR(I468/H468,"")</f>
        <v>1.3013698630137</v>
      </c>
      <c r="P468" s="10" t="n">
        <f aca="false">IFERROR(J468/H468,"")</f>
        <v>0.156164383561644</v>
      </c>
      <c r="Q468" s="10" t="n">
        <f aca="false">IFERROR(K468/H468,"")</f>
        <v>0.0904109589041096</v>
      </c>
      <c r="R468" s="10" t="n">
        <f aca="false">IFERROR(L468/H468,"")</f>
        <v>0.00821917808219178</v>
      </c>
      <c r="S468" s="11" t="n">
        <f aca="false">IFERROR(M468/MEDIAN(INDEX($M$5:$M$627,MATCH($A468-90,$A$5:$A$627,1)):INDEX($M$5:$M$627,MATCH($A468+90,$A$5:$A$627,1))),"")</f>
        <v>0.699952970367917</v>
      </c>
      <c r="T468" s="11" t="n">
        <f aca="false">IFERROR(N468/MEDIAN(INDEX($N$5:$N$627,MATCH($A468-90,$A$5:$A$627,1)):INDEX($N$5:$N$627,MATCH($A468+90,$A$5:$A$627,1))),"")</f>
        <v>1.00103877948265</v>
      </c>
      <c r="U468" s="11" t="n">
        <f aca="false">IFERROR(Q468/MEDIAN(INDEX($Q$5:$Q$627,MATCH($A468-90,$A$5:$A$627,1)):INDEX($Q$5:$Q$627,MATCH($A468+90,$A$5:$A$627,1))),"")</f>
        <v>8.76986301369863</v>
      </c>
    </row>
    <row r="469" customFormat="false" ht="15" hidden="false" customHeight="false" outlineLevel="0" collapsed="false">
      <c r="A469" s="13" t="n">
        <v>46035.4415543287</v>
      </c>
      <c r="B469" s="8" t="n">
        <v>10</v>
      </c>
      <c r="C469" s="8" t="s">
        <v>64</v>
      </c>
      <c r="D469" s="8" t="s">
        <v>533</v>
      </c>
      <c r="E469" s="14" t="s">
        <v>66</v>
      </c>
      <c r="F469" s="9" t="n">
        <v>10019</v>
      </c>
      <c r="G469" s="9" t="n">
        <v>272</v>
      </c>
      <c r="H469" s="9" t="n">
        <v>159</v>
      </c>
      <c r="I469" s="9" t="n">
        <v>137</v>
      </c>
      <c r="J469" s="9" t="n">
        <v>12</v>
      </c>
      <c r="K469" s="9" t="n">
        <v>0</v>
      </c>
      <c r="L469" s="9" t="n">
        <v>0</v>
      </c>
      <c r="M469" s="10" t="n">
        <f aca="false">IFERROR(G469/F469,"")</f>
        <v>0.027148418005789</v>
      </c>
      <c r="N469" s="10" t="n">
        <f aca="false">IFERROR(H469/G469,"")</f>
        <v>0.584558823529412</v>
      </c>
      <c r="O469" s="11" t="n">
        <f aca="false">IFERROR(I469/H469,"")</f>
        <v>0.861635220125786</v>
      </c>
      <c r="P469" s="10" t="n">
        <f aca="false">IFERROR(J469/H469,"")</f>
        <v>0.0754716981132075</v>
      </c>
      <c r="Q469" s="10" t="n">
        <f aca="false">IFERROR(K469/H469,"")</f>
        <v>0</v>
      </c>
      <c r="R469" s="10" t="n">
        <f aca="false">IFERROR(L469/H469,"")</f>
        <v>0</v>
      </c>
      <c r="S469" s="11" t="n">
        <f aca="false">IFERROR(M469/MEDIAN(INDEX($M$5:$M$627,MATCH($A469-90,$A$5:$A$627,1)):INDEX($M$5:$M$627,MATCH($A469+90,$A$5:$A$627,1))),"")</f>
        <v>0.556316057742716</v>
      </c>
      <c r="T469" s="11" t="n">
        <f aca="false">IFERROR(N469/MEDIAN(INDEX($N$5:$N$627,MATCH($A469-90,$A$5:$A$627,1)):INDEX($N$5:$N$627,MATCH($A469+90,$A$5:$A$627,1))),"")</f>
        <v>1.10460112138501</v>
      </c>
      <c r="U469" s="11" t="n">
        <f aca="false">IFERROR(Q469/MEDIAN(INDEX($Q$5:$Q$627,MATCH($A469-90,$A$5:$A$627,1)):INDEX($Q$5:$Q$627,MATCH($A469+90,$A$5:$A$627,1))),"")</f>
        <v>0</v>
      </c>
    </row>
    <row r="470" customFormat="false" ht="15" hidden="false" customHeight="false" outlineLevel="0" collapsed="false">
      <c r="A470" s="13" t="n">
        <v>46036.4695548032</v>
      </c>
      <c r="B470" s="8" t="n">
        <v>11</v>
      </c>
      <c r="C470" s="8" t="s">
        <v>71</v>
      </c>
      <c r="D470" s="8" t="s">
        <v>534</v>
      </c>
      <c r="E470" s="14" t="s">
        <v>66</v>
      </c>
      <c r="F470" s="9" t="n">
        <v>2047682</v>
      </c>
      <c r="G470" s="9" t="n">
        <v>207689</v>
      </c>
      <c r="H470" s="9" t="n">
        <v>81725</v>
      </c>
      <c r="I470" s="9" t="n">
        <v>78620</v>
      </c>
      <c r="J470" s="9" t="n">
        <v>1451</v>
      </c>
      <c r="K470" s="9" t="n">
        <v>513</v>
      </c>
      <c r="L470" s="9" t="n">
        <v>317</v>
      </c>
      <c r="M470" s="10" t="n">
        <f aca="false">IFERROR(G470/F470,"")</f>
        <v>0.101426393356</v>
      </c>
      <c r="N470" s="10" t="n">
        <f aca="false">IFERROR(H470/G470,"")</f>
        <v>0.393497007544935</v>
      </c>
      <c r="O470" s="11" t="n">
        <f aca="false">IFERROR(I470/H470,"")</f>
        <v>0.962006729886816</v>
      </c>
      <c r="P470" s="10" t="n">
        <f aca="false">IFERROR(J470/H470,"")</f>
        <v>0.017754665035179</v>
      </c>
      <c r="Q470" s="10" t="n">
        <f aca="false">IFERROR(K470/H470,"")</f>
        <v>0.00627714897522178</v>
      </c>
      <c r="R470" s="10" t="n">
        <f aca="false">IFERROR(L470/H470,"")</f>
        <v>0.00387886203732028</v>
      </c>
      <c r="S470" s="11" t="n">
        <f aca="false">IFERROR(M470/MEDIAN(INDEX($M$5:$M$627,MATCH($A470-90,$A$5:$A$627,1)):INDEX($M$5:$M$627,MATCH($A470+90,$A$5:$A$627,1))),"")</f>
        <v>2.08933477691192</v>
      </c>
      <c r="T470" s="11" t="n">
        <f aca="false">IFERROR(N470/MEDIAN(INDEX($N$5:$N$627,MATCH($A470-90,$A$5:$A$627,1)):INDEX($N$5:$N$627,MATCH($A470+90,$A$5:$A$627,1))),"")</f>
        <v>0.745057081641292</v>
      </c>
      <c r="U470" s="11" t="n">
        <f aca="false">IFERROR(Q470/MEDIAN(INDEX($Q$5:$Q$627,MATCH($A470-90,$A$5:$A$627,1)):INDEX($Q$5:$Q$627,MATCH($A470+90,$A$5:$A$627,1))),"")</f>
        <v>0.60614927821022</v>
      </c>
    </row>
    <row r="471" customFormat="false" ht="15" hidden="false" customHeight="false" outlineLevel="0" collapsed="false">
      <c r="A471" s="13" t="n">
        <v>46037.5270272222</v>
      </c>
      <c r="B471" s="8" t="n">
        <v>12</v>
      </c>
      <c r="C471" s="8" t="s">
        <v>73</v>
      </c>
      <c r="D471" s="8" t="s">
        <v>535</v>
      </c>
      <c r="E471" s="14" t="s">
        <v>66</v>
      </c>
      <c r="F471" s="9" t="n">
        <v>93748</v>
      </c>
      <c r="G471" s="9" t="n">
        <v>2388</v>
      </c>
      <c r="H471" s="9" t="n">
        <v>1135</v>
      </c>
      <c r="I471" s="9" t="n">
        <v>537</v>
      </c>
      <c r="J471" s="9" t="n">
        <v>18</v>
      </c>
      <c r="K471" s="9" t="n">
        <v>0</v>
      </c>
      <c r="L471" s="9" t="n">
        <v>9</v>
      </c>
      <c r="M471" s="10" t="n">
        <f aca="false">IFERROR(G471/F471,"")</f>
        <v>0.0254725434142595</v>
      </c>
      <c r="N471" s="10" t="n">
        <f aca="false">IFERROR(H471/G471,"")</f>
        <v>0.475293132328308</v>
      </c>
      <c r="O471" s="11" t="n">
        <f aca="false">IFERROR(I471/H471,"")</f>
        <v>0.473127753303965</v>
      </c>
      <c r="P471" s="10" t="n">
        <f aca="false">IFERROR(J471/H471,"")</f>
        <v>0.0158590308370044</v>
      </c>
      <c r="Q471" s="10" t="n">
        <f aca="false">IFERROR(K471/H471,"")</f>
        <v>0</v>
      </c>
      <c r="R471" s="10" t="n">
        <f aca="false">IFERROR(L471/H471,"")</f>
        <v>0.0079295154185022</v>
      </c>
      <c r="S471" s="11" t="n">
        <f aca="false">IFERROR(M471/MEDIAN(INDEX($M$5:$M$627,MATCH($A471-90,$A$5:$A$627,1)):INDEX($M$5:$M$627,MATCH($A471+90,$A$5:$A$627,1))),"")</f>
        <v>0.527498679314127</v>
      </c>
      <c r="T471" s="11" t="n">
        <f aca="false">IFERROR(N471/MEDIAN(INDEX($N$5:$N$627,MATCH($A471-90,$A$5:$A$627,1)):INDEX($N$5:$N$627,MATCH($A471+90,$A$5:$A$627,1))),"")</f>
        <v>0.901741911136711</v>
      </c>
      <c r="U471" s="11" t="n">
        <f aca="false">IFERROR(Q471/MEDIAN(INDEX($Q$5:$Q$627,MATCH($A471-90,$A$5:$A$627,1)):INDEX($Q$5:$Q$627,MATCH($A471+90,$A$5:$A$627,1))),"")</f>
        <v>0</v>
      </c>
    </row>
    <row r="472" customFormat="false" ht="15" hidden="false" customHeight="false" outlineLevel="0" collapsed="false">
      <c r="A472" s="13" t="n">
        <v>46038.4842809838</v>
      </c>
      <c r="B472" s="8" t="n">
        <v>11</v>
      </c>
      <c r="C472" s="8" t="s">
        <v>84</v>
      </c>
      <c r="D472" s="8" t="s">
        <v>536</v>
      </c>
      <c r="E472" s="14" t="s">
        <v>66</v>
      </c>
      <c r="F472" s="9" t="n">
        <v>853642</v>
      </c>
      <c r="G472" s="9" t="n">
        <v>32595</v>
      </c>
      <c r="H472" s="9" t="n">
        <v>15606</v>
      </c>
      <c r="I472" s="9" t="n">
        <v>13542</v>
      </c>
      <c r="J472" s="9" t="n">
        <v>221</v>
      </c>
      <c r="K472" s="9" t="n">
        <v>310</v>
      </c>
      <c r="L472" s="9" t="n">
        <v>63</v>
      </c>
      <c r="M472" s="10" t="n">
        <f aca="false">IFERROR(G472/F472,"")</f>
        <v>0.0381834539537652</v>
      </c>
      <c r="N472" s="10" t="n">
        <f aca="false">IFERROR(H472/G472,"")</f>
        <v>0.47878508973769</v>
      </c>
      <c r="O472" s="11" t="n">
        <f aca="false">IFERROR(I472/H472,"")</f>
        <v>0.867743175701653</v>
      </c>
      <c r="P472" s="10" t="n">
        <f aca="false">IFERROR(J472/H472,"")</f>
        <v>0.014161220043573</v>
      </c>
      <c r="Q472" s="10" t="n">
        <f aca="false">IFERROR(K472/H472,"")</f>
        <v>0.0198641548122517</v>
      </c>
      <c r="R472" s="10" t="n">
        <f aca="false">IFERROR(L472/H472,"")</f>
        <v>0.00403690888119954</v>
      </c>
      <c r="S472" s="11" t="n">
        <f aca="false">IFERROR(M472/MEDIAN(INDEX($M$5:$M$627,MATCH($A472-90,$A$5:$A$627,1)):INDEX($M$5:$M$627,MATCH($A472+90,$A$5:$A$627,1))),"")</f>
        <v>0.799644958171749</v>
      </c>
      <c r="T472" s="11" t="n">
        <f aca="false">IFERROR(N472/MEDIAN(INDEX($N$5:$N$627,MATCH($A472-90,$A$5:$A$627,1)):INDEX($N$5:$N$627,MATCH($A472+90,$A$5:$A$627,1))),"")</f>
        <v>0.90902883697465</v>
      </c>
      <c r="U472" s="11" t="n">
        <f aca="false">IFERROR(Q472/MEDIAN(INDEX($Q$5:$Q$627,MATCH($A472-90,$A$5:$A$627,1)):INDEX($Q$5:$Q$627,MATCH($A472+90,$A$5:$A$627,1))),"")</f>
        <v>1.91817067736185</v>
      </c>
    </row>
    <row r="473" customFormat="false" ht="15" hidden="false" customHeight="false" outlineLevel="0" collapsed="false">
      <c r="A473" s="13" t="n">
        <v>46039.2517759954</v>
      </c>
      <c r="B473" s="8" t="n">
        <v>6</v>
      </c>
      <c r="C473" s="8" t="s">
        <v>68</v>
      </c>
      <c r="D473" s="8" t="s">
        <v>537</v>
      </c>
      <c r="E473" s="14" t="s">
        <v>66</v>
      </c>
      <c r="F473" s="9" t="n">
        <v>80515</v>
      </c>
      <c r="G473" s="9" t="n">
        <v>11122</v>
      </c>
      <c r="H473" s="9" t="n">
        <v>5313</v>
      </c>
      <c r="I473" s="9" t="n">
        <v>5282</v>
      </c>
      <c r="J473" s="9" t="n">
        <v>300</v>
      </c>
      <c r="K473" s="9" t="n">
        <v>204</v>
      </c>
      <c r="L473" s="9" t="n">
        <v>23</v>
      </c>
      <c r="M473" s="10" t="n">
        <f aca="false">IFERROR(G473/F473,"")</f>
        <v>0.138135751102279</v>
      </c>
      <c r="N473" s="10" t="n">
        <f aca="false">IFERROR(H473/G473,"")</f>
        <v>0.477701852184859</v>
      </c>
      <c r="O473" s="11" t="n">
        <f aca="false">IFERROR(I473/H473,"")</f>
        <v>0.99416525503482</v>
      </c>
      <c r="P473" s="10" t="n">
        <f aca="false">IFERROR(J473/H473,"")</f>
        <v>0.0564652738565782</v>
      </c>
      <c r="Q473" s="10" t="n">
        <f aca="false">IFERROR(K473/H473,"")</f>
        <v>0.0383963862224732</v>
      </c>
      <c r="R473" s="10" t="n">
        <f aca="false">IFERROR(L473/H473,"")</f>
        <v>0.00432900432900433</v>
      </c>
      <c r="S473" s="11" t="n">
        <f aca="false">IFERROR(M473/MEDIAN(INDEX($M$5:$M$627,MATCH($A473-90,$A$5:$A$627,1)):INDEX($M$5:$M$627,MATCH($A473+90,$A$5:$A$627,1))),"")</f>
        <v>2.86058698919428</v>
      </c>
      <c r="T473" s="11" t="n">
        <f aca="false">IFERROR(N473/MEDIAN(INDEX($N$5:$N$627,MATCH($A473-90,$A$5:$A$627,1)):INDEX($N$5:$N$627,MATCH($A473+90,$A$5:$A$627,1))),"")</f>
        <v>0.906311814421867</v>
      </c>
      <c r="U473" s="11" t="n">
        <f aca="false">IFERROR(Q473/MEDIAN(INDEX($Q$5:$Q$627,MATCH($A473-90,$A$5:$A$627,1)):INDEX($Q$5:$Q$627,MATCH($A473+90,$A$5:$A$627,1))),"")</f>
        <v>3.7244494635799</v>
      </c>
    </row>
    <row r="474" customFormat="false" ht="15" hidden="false" customHeight="false" outlineLevel="0" collapsed="false">
      <c r="A474" s="13" t="n">
        <v>46041.4923403241</v>
      </c>
      <c r="B474" s="8" t="n">
        <v>11</v>
      </c>
      <c r="C474" s="8" t="s">
        <v>80</v>
      </c>
      <c r="D474" s="8" t="s">
        <v>538</v>
      </c>
      <c r="E474" s="14" t="s">
        <v>66</v>
      </c>
      <c r="F474" s="9" t="n">
        <v>8006</v>
      </c>
      <c r="G474" s="9" t="n">
        <v>315</v>
      </c>
      <c r="H474" s="9" t="n">
        <v>170</v>
      </c>
      <c r="I474" s="9" t="n">
        <v>230</v>
      </c>
      <c r="J474" s="9" t="n">
        <v>21</v>
      </c>
      <c r="K474" s="9" t="n">
        <v>15</v>
      </c>
      <c r="L474" s="9" t="n">
        <v>0</v>
      </c>
      <c r="M474" s="10" t="n">
        <f aca="false">IFERROR(G474/F474,"")</f>
        <v>0.0393454908818386</v>
      </c>
      <c r="N474" s="10" t="n">
        <f aca="false">IFERROR(H474/G474,"")</f>
        <v>0.53968253968254</v>
      </c>
      <c r="O474" s="11" t="n">
        <f aca="false">IFERROR(I474/H474,"")</f>
        <v>1.35294117647059</v>
      </c>
      <c r="P474" s="10" t="n">
        <f aca="false">IFERROR(J474/H474,"")</f>
        <v>0.123529411764706</v>
      </c>
      <c r="Q474" s="10" t="n">
        <f aca="false">IFERROR(K474/H474,"")</f>
        <v>0.0882352941176471</v>
      </c>
      <c r="R474" s="10" t="n">
        <f aca="false">IFERROR(L474/H474,"")</f>
        <v>0</v>
      </c>
      <c r="S474" s="11" t="n">
        <f aca="false">IFERROR(M474/MEDIAN(INDEX($M$5:$M$627,MATCH($A474-90,$A$5:$A$627,1)):INDEX($M$5:$M$627,MATCH($A474+90,$A$5:$A$627,1))),"")</f>
        <v>0.79508442893429</v>
      </c>
      <c r="T474" s="11" t="n">
        <f aca="false">IFERROR(N474/MEDIAN(INDEX($N$5:$N$627,MATCH($A474-90,$A$5:$A$627,1)):INDEX($N$5:$N$627,MATCH($A474+90,$A$5:$A$627,1))),"")</f>
        <v>1.02695979016252</v>
      </c>
      <c r="U474" s="11" t="n">
        <f aca="false">IFERROR(Q474/MEDIAN(INDEX($Q$5:$Q$627,MATCH($A474-90,$A$5:$A$627,1)):INDEX($Q$5:$Q$627,MATCH($A474+90,$A$5:$A$627,1))),"")</f>
        <v>8.65351506456241</v>
      </c>
    </row>
    <row r="475" customFormat="false" ht="15" hidden="false" customHeight="false" outlineLevel="0" collapsed="false">
      <c r="A475" s="13" t="n">
        <v>46042.5392189005</v>
      </c>
      <c r="B475" s="8" t="n">
        <v>12</v>
      </c>
      <c r="C475" s="8" t="s">
        <v>64</v>
      </c>
      <c r="D475" s="8" t="s">
        <v>539</v>
      </c>
      <c r="E475" s="14" t="s">
        <v>66</v>
      </c>
      <c r="F475" s="9" t="n">
        <v>4618</v>
      </c>
      <c r="G475" s="9" t="n">
        <v>223</v>
      </c>
      <c r="H475" s="9" t="n">
        <v>147</v>
      </c>
      <c r="I475" s="9" t="n">
        <v>111</v>
      </c>
      <c r="J475" s="9" t="n">
        <v>3</v>
      </c>
      <c r="K475" s="9" t="n">
        <v>0</v>
      </c>
      <c r="L475" s="9" t="n">
        <v>0</v>
      </c>
      <c r="M475" s="10" t="n">
        <f aca="false">IFERROR(G475/F475,"")</f>
        <v>0.0482893027284539</v>
      </c>
      <c r="N475" s="10" t="n">
        <f aca="false">IFERROR(H475/G475,"")</f>
        <v>0.659192825112108</v>
      </c>
      <c r="O475" s="11" t="n">
        <f aca="false">IFERROR(I475/H475,"")</f>
        <v>0.755102040816327</v>
      </c>
      <c r="P475" s="10" t="n">
        <f aca="false">IFERROR(J475/H475,"")</f>
        <v>0.0204081632653061</v>
      </c>
      <c r="Q475" s="10" t="n">
        <f aca="false">IFERROR(K475/H475,"")</f>
        <v>0</v>
      </c>
      <c r="R475" s="10" t="n">
        <f aca="false">IFERROR(L475/H475,"")</f>
        <v>0</v>
      </c>
      <c r="S475" s="11" t="n">
        <f aca="false">IFERROR(M475/MEDIAN(INDEX($M$5:$M$627,MATCH($A475-90,$A$5:$A$627,1)):INDEX($M$5:$M$627,MATCH($A475+90,$A$5:$A$627,1))),"")</f>
        <v>0.987761467202587</v>
      </c>
      <c r="T475" s="11" t="n">
        <f aca="false">IFERROR(N475/MEDIAN(INDEX($N$5:$N$627,MATCH($A475-90,$A$5:$A$627,1)):INDEX($N$5:$N$627,MATCH($A475+90,$A$5:$A$627,1))),"")</f>
        <v>1.2573678665126</v>
      </c>
      <c r="U475" s="11" t="n">
        <f aca="false">IFERROR(Q475/MEDIAN(INDEX($Q$5:$Q$627,MATCH($A475-90,$A$5:$A$627,1)):INDEX($Q$5:$Q$627,MATCH($A475+90,$A$5:$A$627,1))),"")</f>
        <v>0</v>
      </c>
    </row>
    <row r="476" customFormat="false" ht="15" hidden="false" customHeight="false" outlineLevel="0" collapsed="false">
      <c r="A476" s="13" t="n">
        <v>46043.5335797569</v>
      </c>
      <c r="B476" s="8" t="n">
        <v>12</v>
      </c>
      <c r="C476" s="8" t="s">
        <v>71</v>
      </c>
      <c r="D476" s="8" t="s">
        <v>540</v>
      </c>
      <c r="E476" s="14" t="s">
        <v>66</v>
      </c>
      <c r="F476" s="9" t="n">
        <v>10462</v>
      </c>
      <c r="G476" s="9" t="n">
        <v>588</v>
      </c>
      <c r="H476" s="9" t="n">
        <v>248</v>
      </c>
      <c r="I476" s="9" t="n">
        <v>147</v>
      </c>
      <c r="J476" s="9" t="n">
        <v>33</v>
      </c>
      <c r="K476" s="9" t="n">
        <v>23</v>
      </c>
      <c r="L476" s="9" t="n">
        <v>1</v>
      </c>
      <c r="M476" s="10" t="n">
        <f aca="false">IFERROR(G476/F476,"")</f>
        <v>0.0562034027910533</v>
      </c>
      <c r="N476" s="10" t="n">
        <f aca="false">IFERROR(H476/G476,"")</f>
        <v>0.421768707482993</v>
      </c>
      <c r="O476" s="11" t="n">
        <f aca="false">IFERROR(I476/H476,"")</f>
        <v>0.592741935483871</v>
      </c>
      <c r="P476" s="10" t="n">
        <f aca="false">IFERROR(J476/H476,"")</f>
        <v>0.133064516129032</v>
      </c>
      <c r="Q476" s="10" t="n">
        <f aca="false">IFERROR(K476/H476,"")</f>
        <v>0.092741935483871</v>
      </c>
      <c r="R476" s="10" t="n">
        <f aca="false">IFERROR(L476/H476,"")</f>
        <v>0.00403225806451613</v>
      </c>
      <c r="S476" s="11" t="n">
        <f aca="false">IFERROR(M476/MEDIAN(INDEX($M$5:$M$627,MATCH($A476-90,$A$5:$A$627,1)):INDEX($M$5:$M$627,MATCH($A476+90,$A$5:$A$627,1))),"")</f>
        <v>1.17702206113625</v>
      </c>
      <c r="T476" s="11" t="n">
        <f aca="false">IFERROR(N476/MEDIAN(INDEX($N$5:$N$627,MATCH($A476-90,$A$5:$A$627,1)):INDEX($N$5:$N$627,MATCH($A476+90,$A$5:$A$627,1))),"")</f>
        <v>0.804496650580924</v>
      </c>
      <c r="U476" s="11" t="n">
        <f aca="false">IFERROR(Q476/MEDIAN(INDEX($Q$5:$Q$627,MATCH($A476-90,$A$5:$A$627,1)):INDEX($Q$5:$Q$627,MATCH($A476+90,$A$5:$A$627,1))),"")</f>
        <v>9.04545793706491</v>
      </c>
    </row>
    <row r="477" customFormat="false" ht="15" hidden="false" customHeight="false" outlineLevel="0" collapsed="false">
      <c r="A477" s="13" t="n">
        <v>46044.6310852083</v>
      </c>
      <c r="B477" s="8" t="n">
        <v>15</v>
      </c>
      <c r="C477" s="8" t="s">
        <v>73</v>
      </c>
      <c r="D477" s="8" t="s">
        <v>541</v>
      </c>
      <c r="E477" s="14" t="s">
        <v>66</v>
      </c>
      <c r="F477" s="9" t="n">
        <v>3950</v>
      </c>
      <c r="G477" s="9" t="n">
        <v>73</v>
      </c>
      <c r="H477" s="9" t="n">
        <v>52</v>
      </c>
      <c r="I477" s="9" t="n">
        <v>52</v>
      </c>
      <c r="J477" s="9" t="n">
        <v>9</v>
      </c>
      <c r="K477" s="9" t="n">
        <v>0</v>
      </c>
      <c r="L477" s="9" t="n">
        <v>0</v>
      </c>
      <c r="M477" s="10" t="n">
        <f aca="false">IFERROR(G477/F477,"")</f>
        <v>0.0184810126582279</v>
      </c>
      <c r="N477" s="10" t="n">
        <f aca="false">IFERROR(H477/G477,"")</f>
        <v>0.712328767123288</v>
      </c>
      <c r="O477" s="11" t="n">
        <f aca="false">IFERROR(I477/H477,"")</f>
        <v>1</v>
      </c>
      <c r="P477" s="10" t="n">
        <f aca="false">IFERROR(J477/H477,"")</f>
        <v>0.173076923076923</v>
      </c>
      <c r="Q477" s="10" t="n">
        <f aca="false">IFERROR(K477/H477,"")</f>
        <v>0</v>
      </c>
      <c r="R477" s="10" t="n">
        <f aca="false">IFERROR(L477/H477,"")</f>
        <v>0</v>
      </c>
      <c r="S477" s="11" t="n">
        <f aca="false">IFERROR(M477/MEDIAN(INDEX($M$5:$M$627,MATCH($A477-90,$A$5:$A$627,1)):INDEX($M$5:$M$627,MATCH($A477+90,$A$5:$A$627,1))),"")</f>
        <v>0.408304284934642</v>
      </c>
      <c r="T477" s="11" t="n">
        <f aca="false">IFERROR(N477/MEDIAN(INDEX($N$5:$N$627,MATCH($A477-90,$A$5:$A$627,1)):INDEX($N$5:$N$627,MATCH($A477+90,$A$5:$A$627,1))),"")</f>
        <v>1.36197035387227</v>
      </c>
      <c r="U477" s="11" t="n">
        <f aca="false">IFERROR(Q477/MEDIAN(INDEX($Q$5:$Q$627,MATCH($A477-90,$A$5:$A$627,1)):INDEX($Q$5:$Q$627,MATCH($A477+90,$A$5:$A$627,1))),"")</f>
        <v>0</v>
      </c>
    </row>
    <row r="478" customFormat="false" ht="15" hidden="false" customHeight="false" outlineLevel="0" collapsed="false">
      <c r="A478" s="13" t="n">
        <v>46045.5274634607</v>
      </c>
      <c r="B478" s="8" t="n">
        <v>12</v>
      </c>
      <c r="C478" s="8" t="s">
        <v>84</v>
      </c>
      <c r="D478" s="8" t="s">
        <v>542</v>
      </c>
      <c r="E478" s="14" t="s">
        <v>66</v>
      </c>
      <c r="F478" s="9" t="n">
        <v>18517</v>
      </c>
      <c r="G478" s="9" t="n">
        <v>1128</v>
      </c>
      <c r="H478" s="9" t="n">
        <v>693</v>
      </c>
      <c r="I478" s="9" t="n">
        <v>812</v>
      </c>
      <c r="J478" s="9" t="n">
        <v>50</v>
      </c>
      <c r="K478" s="9" t="n">
        <v>16</v>
      </c>
      <c r="L478" s="9" t="n">
        <v>1</v>
      </c>
      <c r="M478" s="10" t="n">
        <f aca="false">IFERROR(G478/F478,"")</f>
        <v>0.0609169951936059</v>
      </c>
      <c r="N478" s="10" t="n">
        <f aca="false">IFERROR(H478/G478,"")</f>
        <v>0.61436170212766</v>
      </c>
      <c r="O478" s="11" t="n">
        <f aca="false">IFERROR(I478/H478,"")</f>
        <v>1.17171717171717</v>
      </c>
      <c r="P478" s="10" t="n">
        <f aca="false">IFERROR(J478/H478,"")</f>
        <v>0.0721500721500721</v>
      </c>
      <c r="Q478" s="10" t="n">
        <f aca="false">IFERROR(K478/H478,"")</f>
        <v>0.0230880230880231</v>
      </c>
      <c r="R478" s="10" t="n">
        <f aca="false">IFERROR(L478/H478,"")</f>
        <v>0.00144300144300144</v>
      </c>
      <c r="S478" s="11" t="n">
        <f aca="false">IFERROR(M478/MEDIAN(INDEX($M$5:$M$627,MATCH($A478-90,$A$5:$A$627,1)):INDEX($M$5:$M$627,MATCH($A478+90,$A$5:$A$627,1))),"")</f>
        <v>1.31748658599879</v>
      </c>
      <c r="T478" s="11" t="n">
        <f aca="false">IFERROR(N478/MEDIAN(INDEX($N$5:$N$627,MATCH($A478-90,$A$5:$A$627,1)):INDEX($N$5:$N$627,MATCH($A478+90,$A$5:$A$627,1))),"")</f>
        <v>1.17185538622926</v>
      </c>
      <c r="U478" s="11" t="n">
        <f aca="false">IFERROR(Q478/MEDIAN(INDEX($Q$5:$Q$627,MATCH($A478-90,$A$5:$A$627,1)):INDEX($Q$5:$Q$627,MATCH($A478+90,$A$5:$A$627,1))),"")</f>
        <v>2.25185877999081</v>
      </c>
    </row>
    <row r="479" customFormat="false" ht="15" hidden="false" customHeight="false" outlineLevel="0" collapsed="false">
      <c r="A479" s="13" t="n">
        <v>46046.5140740625</v>
      </c>
      <c r="B479" s="8" t="n">
        <v>12</v>
      </c>
      <c r="C479" s="8" t="s">
        <v>68</v>
      </c>
      <c r="D479" s="8" t="s">
        <v>543</v>
      </c>
      <c r="E479" s="14" t="s">
        <v>66</v>
      </c>
      <c r="F479" s="9" t="n">
        <v>11370</v>
      </c>
      <c r="G479" s="9" t="n">
        <v>616</v>
      </c>
      <c r="H479" s="9" t="n">
        <v>431</v>
      </c>
      <c r="I479" s="9" t="n">
        <v>584</v>
      </c>
      <c r="J479" s="9" t="n">
        <v>54</v>
      </c>
      <c r="K479" s="9" t="n">
        <v>39</v>
      </c>
      <c r="L479" s="9" t="n">
        <v>0</v>
      </c>
      <c r="M479" s="10" t="n">
        <f aca="false">IFERROR(G479/F479,"")</f>
        <v>0.0541776605101143</v>
      </c>
      <c r="N479" s="10" t="n">
        <f aca="false">IFERROR(H479/G479,"")</f>
        <v>0.699675324675325</v>
      </c>
      <c r="O479" s="11" t="n">
        <f aca="false">IFERROR(I479/H479,"")</f>
        <v>1.35498839907193</v>
      </c>
      <c r="P479" s="10" t="n">
        <f aca="false">IFERROR(J479/H479,"")</f>
        <v>0.125290023201856</v>
      </c>
      <c r="Q479" s="10" t="n">
        <f aca="false">IFERROR(K479/H479,"")</f>
        <v>0.0904872389791183</v>
      </c>
      <c r="R479" s="10" t="n">
        <f aca="false">IFERROR(L479/H479,"")</f>
        <v>0</v>
      </c>
      <c r="S479" s="11" t="n">
        <f aca="false">IFERROR(M479/MEDIAN(INDEX($M$5:$M$627,MATCH($A479-90,$A$5:$A$627,1)):INDEX($M$5:$M$627,MATCH($A479+90,$A$5:$A$627,1))),"")</f>
        <v>1.13459859144517</v>
      </c>
      <c r="T479" s="11" t="n">
        <f aca="false">IFERROR(N479/MEDIAN(INDEX($N$5:$N$627,MATCH($A479-90,$A$5:$A$627,1)):INDEX($N$5:$N$627,MATCH($A479+90,$A$5:$A$627,1))),"")</f>
        <v>1.3303955037929</v>
      </c>
      <c r="U479" s="11" t="n">
        <f aca="false">IFERROR(Q479/MEDIAN(INDEX($Q$5:$Q$627,MATCH($A479-90,$A$5:$A$627,1)):INDEX($Q$5:$Q$627,MATCH($A479+90,$A$5:$A$627,1))),"")</f>
        <v>8.82554919472327</v>
      </c>
    </row>
    <row r="480" customFormat="false" ht="15" hidden="false" customHeight="false" outlineLevel="0" collapsed="false">
      <c r="A480" s="13" t="n">
        <v>46048.5847785069</v>
      </c>
      <c r="B480" s="8" t="n">
        <v>14</v>
      </c>
      <c r="C480" s="8" t="s">
        <v>80</v>
      </c>
      <c r="D480" s="8" t="s">
        <v>544</v>
      </c>
      <c r="E480" s="14" t="s">
        <v>66</v>
      </c>
      <c r="F480" s="9" t="n">
        <v>527806</v>
      </c>
      <c r="G480" s="9" t="n">
        <v>23890</v>
      </c>
      <c r="H480" s="9" t="n">
        <v>10863</v>
      </c>
      <c r="I480" s="9" t="n">
        <v>10001</v>
      </c>
      <c r="J480" s="9" t="n">
        <v>285</v>
      </c>
      <c r="K480" s="9" t="n">
        <v>113</v>
      </c>
      <c r="L480" s="9" t="n">
        <v>54</v>
      </c>
      <c r="M480" s="10" t="n">
        <f aca="false">IFERROR(G480/F480,"")</f>
        <v>0.0452628427869331</v>
      </c>
      <c r="N480" s="10" t="n">
        <f aca="false">IFERROR(H480/G480,"")</f>
        <v>0.454709083298451</v>
      </c>
      <c r="O480" s="11" t="n">
        <f aca="false">IFERROR(I480/H480,"")</f>
        <v>0.920648071435147</v>
      </c>
      <c r="P480" s="10" t="n">
        <f aca="false">IFERROR(J480/H480,"")</f>
        <v>0.0262358464512566</v>
      </c>
      <c r="Q480" s="10" t="n">
        <f aca="false">IFERROR(K480/H480,"")</f>
        <v>0.0104022829789193</v>
      </c>
      <c r="R480" s="10" t="n">
        <f aca="false">IFERROR(L480/H480,"")</f>
        <v>0.00497100248550124</v>
      </c>
      <c r="S480" s="11" t="n">
        <f aca="false">IFERROR(M480/MEDIAN(INDEX($M$5:$M$627,MATCH($A480-90,$A$5:$A$627,1)):INDEX($M$5:$M$627,MATCH($A480+90,$A$5:$A$627,1))),"")</f>
        <v>0.958720565239181</v>
      </c>
      <c r="T480" s="11" t="n">
        <f aca="false">IFERROR(N480/MEDIAN(INDEX($N$5:$N$627,MATCH($A480-90,$A$5:$A$627,1)):INDEX($N$5:$N$627,MATCH($A480+90,$A$5:$A$627,1))),"")</f>
        <v>0.863947258267057</v>
      </c>
      <c r="U480" s="11" t="n">
        <f aca="false">IFERROR(Q480/MEDIAN(INDEX($Q$5:$Q$627,MATCH($A480-90,$A$5:$A$627,1)):INDEX($Q$5:$Q$627,MATCH($A480+90,$A$5:$A$627,1))),"")</f>
        <v>1.00902144895517</v>
      </c>
    </row>
    <row r="481" customFormat="false" ht="15" hidden="false" customHeight="false" outlineLevel="0" collapsed="false">
      <c r="A481" s="13" t="n">
        <v>46049.4479420602</v>
      </c>
      <c r="B481" s="8" t="n">
        <v>10</v>
      </c>
      <c r="C481" s="8" t="s">
        <v>64</v>
      </c>
      <c r="D481" s="8" t="s">
        <v>545</v>
      </c>
      <c r="E481" s="14" t="s">
        <v>66</v>
      </c>
      <c r="F481" s="9" t="n">
        <v>5562</v>
      </c>
      <c r="G481" s="9" t="n">
        <v>223</v>
      </c>
      <c r="H481" s="9" t="n">
        <v>111</v>
      </c>
      <c r="I481" s="9" t="n">
        <v>108</v>
      </c>
      <c r="J481" s="9" t="n">
        <v>7</v>
      </c>
      <c r="K481" s="9" t="n">
        <v>0</v>
      </c>
      <c r="L481" s="9" t="n">
        <v>1</v>
      </c>
      <c r="M481" s="10" t="n">
        <f aca="false">IFERROR(G481/F481,"")</f>
        <v>0.0400934915498022</v>
      </c>
      <c r="N481" s="10" t="n">
        <f aca="false">IFERROR(H481/G481,"")</f>
        <v>0.497757847533632</v>
      </c>
      <c r="O481" s="11" t="n">
        <f aca="false">IFERROR(I481/H481,"")</f>
        <v>0.972972972972973</v>
      </c>
      <c r="P481" s="10" t="n">
        <f aca="false">IFERROR(J481/H481,"")</f>
        <v>0.0630630630630631</v>
      </c>
      <c r="Q481" s="10" t="n">
        <f aca="false">IFERROR(K481/H481,"")</f>
        <v>0</v>
      </c>
      <c r="R481" s="10" t="n">
        <f aca="false">IFERROR(L481/H481,"")</f>
        <v>0.00900900900900901</v>
      </c>
      <c r="S481" s="11" t="n">
        <f aca="false">IFERROR(M481/MEDIAN(INDEX($M$5:$M$627,MATCH($A481-90,$A$5:$A$627,1)):INDEX($M$5:$M$627,MATCH($A481+90,$A$5:$A$627,1))),"")</f>
        <v>0.830276878820568</v>
      </c>
      <c r="T481" s="11" t="n">
        <f aca="false">IFERROR(N481/MEDIAN(INDEX($N$5:$N$627,MATCH($A481-90,$A$5:$A$627,1)):INDEX($N$5:$N$627,MATCH($A481+90,$A$5:$A$627,1))),"")</f>
        <v>0.947181457742874</v>
      </c>
      <c r="U481" s="11" t="n">
        <f aca="false">IFERROR(Q481/MEDIAN(INDEX($Q$5:$Q$627,MATCH($A481-90,$A$5:$A$627,1)):INDEX($Q$5:$Q$627,MATCH($A481+90,$A$5:$A$627,1))),"")</f>
        <v>0</v>
      </c>
    </row>
    <row r="482" customFormat="false" ht="15" hidden="false" customHeight="false" outlineLevel="0" collapsed="false">
      <c r="A482" s="13" t="n">
        <v>46050.5722733218</v>
      </c>
      <c r="B482" s="8" t="n">
        <v>13</v>
      </c>
      <c r="C482" s="8" t="s">
        <v>71</v>
      </c>
      <c r="D482" s="8" t="s">
        <v>546</v>
      </c>
      <c r="E482" s="14" t="s">
        <v>66</v>
      </c>
      <c r="F482" s="9" t="n">
        <v>12273</v>
      </c>
      <c r="G482" s="9" t="n">
        <v>699</v>
      </c>
      <c r="H482" s="9" t="n">
        <v>424</v>
      </c>
      <c r="I482" s="9" t="n">
        <v>699</v>
      </c>
      <c r="J482" s="9" t="n">
        <v>47</v>
      </c>
      <c r="K482" s="9" t="n">
        <v>10</v>
      </c>
      <c r="L482" s="9" t="n">
        <v>0</v>
      </c>
      <c r="M482" s="10" t="n">
        <f aca="false">IFERROR(G482/F482,"")</f>
        <v>0.0569542899046688</v>
      </c>
      <c r="N482" s="10" t="n">
        <f aca="false">IFERROR(H482/G482,"")</f>
        <v>0.606580829756795</v>
      </c>
      <c r="O482" s="11" t="n">
        <f aca="false">IFERROR(I482/H482,"")</f>
        <v>1.64858490566038</v>
      </c>
      <c r="P482" s="10" t="n">
        <f aca="false">IFERROR(J482/H482,"")</f>
        <v>0.110849056603774</v>
      </c>
      <c r="Q482" s="10" t="n">
        <f aca="false">IFERROR(K482/H482,"")</f>
        <v>0.0235849056603774</v>
      </c>
      <c r="R482" s="10" t="n">
        <f aca="false">IFERROR(L482/H482,"")</f>
        <v>0</v>
      </c>
      <c r="S482" s="11" t="n">
        <f aca="false">IFERROR(M482/MEDIAN(INDEX($M$5:$M$627,MATCH($A482-90,$A$5:$A$627,1)):INDEX($M$5:$M$627,MATCH($A482+90,$A$5:$A$627,1))),"")</f>
        <v>1.17943906179265</v>
      </c>
      <c r="T482" s="11" t="n">
        <f aca="false">IFERROR(N482/MEDIAN(INDEX($N$5:$N$627,MATCH($A482-90,$A$5:$A$627,1)):INDEX($N$5:$N$627,MATCH($A482+90,$A$5:$A$627,1))),"")</f>
        <v>1.15978063148053</v>
      </c>
      <c r="U482" s="11" t="n">
        <f aca="false">IFERROR(Q482/MEDIAN(INDEX($Q$5:$Q$627,MATCH($A482-90,$A$5:$A$627,1)):INDEX($Q$5:$Q$627,MATCH($A482+90,$A$5:$A$627,1))),"")</f>
        <v>2.2877358490566</v>
      </c>
    </row>
    <row r="483" customFormat="false" ht="15" hidden="false" customHeight="false" outlineLevel="0" collapsed="false">
      <c r="A483" s="13" t="n">
        <v>46051.5315199769</v>
      </c>
      <c r="B483" s="8" t="n">
        <v>12</v>
      </c>
      <c r="C483" s="8" t="s">
        <v>73</v>
      </c>
      <c r="D483" s="8" t="s">
        <v>547</v>
      </c>
      <c r="E483" s="14" t="s">
        <v>66</v>
      </c>
      <c r="F483" s="9" t="n">
        <v>3837562</v>
      </c>
      <c r="G483" s="9" t="n">
        <v>321480</v>
      </c>
      <c r="H483" s="9" t="n">
        <v>195100</v>
      </c>
      <c r="I483" s="9" t="n">
        <v>68264</v>
      </c>
      <c r="J483" s="9" t="n">
        <v>1464</v>
      </c>
      <c r="K483" s="9" t="n">
        <v>0</v>
      </c>
      <c r="L483" s="9" t="n">
        <v>481</v>
      </c>
      <c r="M483" s="10" t="n">
        <f aca="false">IFERROR(G483/F483,"")</f>
        <v>0.0837719364534045</v>
      </c>
      <c r="N483" s="10" t="n">
        <f aca="false">IFERROR(H483/G483,"")</f>
        <v>0.606880676869479</v>
      </c>
      <c r="O483" s="11" t="n">
        <f aca="false">IFERROR(I483/H483,"")</f>
        <v>0.349892362890825</v>
      </c>
      <c r="P483" s="10" t="n">
        <f aca="false">IFERROR(J483/H483,"")</f>
        <v>0.00750384418247053</v>
      </c>
      <c r="Q483" s="10" t="n">
        <f aca="false">IFERROR(K483/H483,"")</f>
        <v>0</v>
      </c>
      <c r="R483" s="10" t="n">
        <f aca="false">IFERROR(L483/H483,"")</f>
        <v>0.00246540235776525</v>
      </c>
      <c r="S483" s="11" t="n">
        <f aca="false">IFERROR(M483/MEDIAN(INDEX($M$5:$M$627,MATCH($A483-90,$A$5:$A$627,1)):INDEX($M$5:$M$627,MATCH($A483+90,$A$5:$A$627,1))),"")</f>
        <v>1.73479283651041</v>
      </c>
      <c r="T483" s="11" t="n">
        <f aca="false">IFERROR(N483/MEDIAN(INDEX($N$5:$N$627,MATCH($A483-90,$A$5:$A$627,1)):INDEX($N$5:$N$627,MATCH($A483+90,$A$5:$A$627,1))),"")</f>
        <v>1.1636059258985</v>
      </c>
      <c r="U483" s="11" t="n">
        <f aca="false">IFERROR(Q483/MEDIAN(INDEX($Q$5:$Q$627,MATCH($A483-90,$A$5:$A$627,1)):INDEX($Q$5:$Q$627,MATCH($A483+90,$A$5:$A$627,1))),"")</f>
        <v>0</v>
      </c>
    </row>
    <row r="484" customFormat="false" ht="15" hidden="false" customHeight="false" outlineLevel="0" collapsed="false">
      <c r="A484" s="13" t="n">
        <v>46052.5272030903</v>
      </c>
      <c r="B484" s="8" t="n">
        <v>12</v>
      </c>
      <c r="C484" s="8" t="s">
        <v>84</v>
      </c>
      <c r="D484" s="8" t="s">
        <v>548</v>
      </c>
      <c r="E484" s="14" t="s">
        <v>66</v>
      </c>
      <c r="F484" s="9" t="n">
        <v>700418</v>
      </c>
      <c r="G484" s="9" t="n">
        <v>62996</v>
      </c>
      <c r="H484" s="9" t="n">
        <v>35635</v>
      </c>
      <c r="I484" s="9" t="n">
        <v>22750</v>
      </c>
      <c r="J484" s="9" t="n">
        <v>1744</v>
      </c>
      <c r="K484" s="9" t="n">
        <v>460</v>
      </c>
      <c r="L484" s="9" t="n">
        <v>79</v>
      </c>
      <c r="M484" s="10" t="n">
        <f aca="false">IFERROR(G484/F484,"")</f>
        <v>0.0899405783403625</v>
      </c>
      <c r="N484" s="10" t="n">
        <f aca="false">IFERROR(H484/G484,"")</f>
        <v>0.565670836243571</v>
      </c>
      <c r="O484" s="11" t="n">
        <f aca="false">IFERROR(I484/H484,"")</f>
        <v>0.638417286375754</v>
      </c>
      <c r="P484" s="10" t="n">
        <f aca="false">IFERROR(J484/H484,"")</f>
        <v>0.0489406482390908</v>
      </c>
      <c r="Q484" s="10" t="n">
        <f aca="false">IFERROR(K484/H484,"")</f>
        <v>0.0129086572190262</v>
      </c>
      <c r="R484" s="10" t="n">
        <f aca="false">IFERROR(L484/H484,"")</f>
        <v>0.00221692156587625</v>
      </c>
      <c r="S484" s="11" t="n">
        <f aca="false">IFERROR(M484/MEDIAN(INDEX($M$5:$M$627,MATCH($A484-90,$A$5:$A$627,1)):INDEX($M$5:$M$627,MATCH($A484+90,$A$5:$A$627,1))),"")</f>
        <v>1.90504786697366</v>
      </c>
      <c r="T484" s="11" t="n">
        <f aca="false">IFERROR(N484/MEDIAN(INDEX($N$5:$N$627,MATCH($A484-90,$A$5:$A$627,1)):INDEX($N$5:$N$627,MATCH($A484+90,$A$5:$A$627,1))),"")</f>
        <v>1.08156085303871</v>
      </c>
      <c r="U484" s="11" t="n">
        <f aca="false">IFERROR(Q484/MEDIAN(INDEX($Q$5:$Q$627,MATCH($A484-90,$A$5:$A$627,1)):INDEX($Q$5:$Q$627,MATCH($A484+90,$A$5:$A$627,1))),"")</f>
        <v>1.25213975024555</v>
      </c>
    </row>
    <row r="485" customFormat="false" ht="15" hidden="false" customHeight="false" outlineLevel="0" collapsed="false">
      <c r="A485" s="13" t="n">
        <v>46053.4861148611</v>
      </c>
      <c r="B485" s="8" t="n">
        <v>11</v>
      </c>
      <c r="C485" s="8" t="s">
        <v>68</v>
      </c>
      <c r="D485" s="8" t="s">
        <v>549</v>
      </c>
      <c r="E485" s="14" t="s">
        <v>66</v>
      </c>
      <c r="F485" s="9" t="n">
        <v>3138888</v>
      </c>
      <c r="G485" s="9" t="n">
        <v>228430</v>
      </c>
      <c r="H485" s="9" t="n">
        <v>109439</v>
      </c>
      <c r="I485" s="9" t="n">
        <v>89779</v>
      </c>
      <c r="J485" s="9" t="n">
        <v>3298</v>
      </c>
      <c r="K485" s="9" t="n">
        <v>867</v>
      </c>
      <c r="L485" s="9" t="n">
        <v>586</v>
      </c>
      <c r="M485" s="10" t="n">
        <f aca="false">IFERROR(G485/F485,"")</f>
        <v>0.0727741799006527</v>
      </c>
      <c r="N485" s="10" t="n">
        <f aca="false">IFERROR(H485/G485,"")</f>
        <v>0.479092063214114</v>
      </c>
      <c r="O485" s="11" t="n">
        <f aca="false">IFERROR(I485/H485,"")</f>
        <v>0.820356545655571</v>
      </c>
      <c r="P485" s="10" t="n">
        <f aca="false">IFERROR(J485/H485,"")</f>
        <v>0.0301355092791418</v>
      </c>
      <c r="Q485" s="10" t="n">
        <f aca="false">IFERROR(K485/H485,"")</f>
        <v>0.00792222151152697</v>
      </c>
      <c r="R485" s="10" t="n">
        <f aca="false">IFERROR(L485/H485,"")</f>
        <v>0.00535458109083599</v>
      </c>
      <c r="S485" s="11" t="n">
        <f aca="false">IFERROR(M485/MEDIAN(INDEX($M$5:$M$627,MATCH($A485-90,$A$5:$A$627,1)):INDEX($M$5:$M$627,MATCH($A485+90,$A$5:$A$627,1))),"")</f>
        <v>1.52405034162454</v>
      </c>
      <c r="T485" s="11" t="n">
        <f aca="false">IFERROR(N485/MEDIAN(INDEX($N$5:$N$627,MATCH($A485-90,$A$5:$A$627,1)):INDEX($N$5:$N$627,MATCH($A485+90,$A$5:$A$627,1))),"")</f>
        <v>0.913837260416481</v>
      </c>
      <c r="U485" s="11" t="n">
        <f aca="false">IFERROR(Q485/MEDIAN(INDEX($Q$5:$Q$627,MATCH($A485-90,$A$5:$A$627,1)):INDEX($Q$5:$Q$627,MATCH($A485+90,$A$5:$A$627,1))),"")</f>
        <v>0.765004760917577</v>
      </c>
    </row>
    <row r="486" customFormat="false" ht="15" hidden="false" customHeight="false" outlineLevel="0" collapsed="false">
      <c r="A486" s="13" t="n">
        <v>46055.4885729167</v>
      </c>
      <c r="B486" s="8" t="n">
        <v>11</v>
      </c>
      <c r="C486" s="8" t="s">
        <v>80</v>
      </c>
      <c r="D486" s="8" t="s">
        <v>550</v>
      </c>
      <c r="E486" s="14" t="s">
        <v>66</v>
      </c>
      <c r="F486" s="9" t="n">
        <v>70845</v>
      </c>
      <c r="G486" s="9" t="n">
        <v>2135</v>
      </c>
      <c r="H486" s="9" t="n">
        <v>787</v>
      </c>
      <c r="I486" s="9" t="n">
        <v>780</v>
      </c>
      <c r="J486" s="9" t="n">
        <v>97</v>
      </c>
      <c r="K486" s="9" t="n">
        <v>27</v>
      </c>
      <c r="L486" s="9" t="n">
        <v>12</v>
      </c>
      <c r="M486" s="10" t="n">
        <f aca="false">IFERROR(G486/F486,"")</f>
        <v>0.0301362128590585</v>
      </c>
      <c r="N486" s="10" t="n">
        <f aca="false">IFERROR(H486/G486,"")</f>
        <v>0.368618266978923</v>
      </c>
      <c r="O486" s="11" t="n">
        <f aca="false">IFERROR(I486/H486,"")</f>
        <v>0.991105463786531</v>
      </c>
      <c r="P486" s="10" t="n">
        <f aca="false">IFERROR(J486/H486,"")</f>
        <v>0.123252858958069</v>
      </c>
      <c r="Q486" s="10" t="n">
        <f aca="false">IFERROR(K486/H486,"")</f>
        <v>0.0343074968233799</v>
      </c>
      <c r="R486" s="10" t="n">
        <f aca="false">IFERROR(L486/H486,"")</f>
        <v>0.0152477763659466</v>
      </c>
      <c r="S486" s="11" t="n">
        <f aca="false">IFERROR(M486/MEDIAN(INDEX($M$5:$M$627,MATCH($A486-90,$A$5:$A$627,1)):INDEX($M$5:$M$627,MATCH($A486+90,$A$5:$A$627,1))),"")</f>
        <v>0.638320645532802</v>
      </c>
      <c r="T486" s="11" t="n">
        <f aca="false">IFERROR(N486/MEDIAN(INDEX($N$5:$N$627,MATCH($A486-90,$A$5:$A$627,1)):INDEX($N$5:$N$627,MATCH($A486+90,$A$5:$A$627,1))),"")</f>
        <v>0.701442255903674</v>
      </c>
      <c r="U486" s="11" t="n">
        <f aca="false">IFERROR(Q486/MEDIAN(INDEX($Q$5:$Q$627,MATCH($A486-90,$A$5:$A$627,1)):INDEX($Q$5:$Q$627,MATCH($A486+90,$A$5:$A$627,1))),"")</f>
        <v>3.32782719186785</v>
      </c>
    </row>
    <row r="487" customFormat="false" ht="15" hidden="false" customHeight="false" outlineLevel="0" collapsed="false">
      <c r="A487" s="13" t="n">
        <v>46056.5442917245</v>
      </c>
      <c r="B487" s="8" t="n">
        <v>13</v>
      </c>
      <c r="C487" s="8" t="s">
        <v>64</v>
      </c>
      <c r="D487" s="8" t="s">
        <v>551</v>
      </c>
      <c r="E487" s="14" t="s">
        <v>66</v>
      </c>
      <c r="F487" s="9" t="n">
        <v>3284</v>
      </c>
      <c r="G487" s="9" t="n">
        <v>72</v>
      </c>
      <c r="H487" s="9" t="n">
        <v>39</v>
      </c>
      <c r="I487" s="9" t="n">
        <v>14</v>
      </c>
      <c r="J487" s="9" t="n">
        <v>1</v>
      </c>
      <c r="K487" s="9" t="n">
        <v>0</v>
      </c>
      <c r="L487" s="9" t="n">
        <v>0</v>
      </c>
      <c r="M487" s="10" t="n">
        <f aca="false">IFERROR(G487/F487,"")</f>
        <v>0.0219244823386115</v>
      </c>
      <c r="N487" s="10" t="n">
        <f aca="false">IFERROR(H487/G487,"")</f>
        <v>0.541666666666667</v>
      </c>
      <c r="O487" s="11" t="n">
        <f aca="false">IFERROR(I487/H487,"")</f>
        <v>0.358974358974359</v>
      </c>
      <c r="P487" s="10" t="n">
        <f aca="false">IFERROR(J487/H487,"")</f>
        <v>0.0256410256410256</v>
      </c>
      <c r="Q487" s="10" t="n">
        <f aca="false">IFERROR(K487/H487,"")</f>
        <v>0</v>
      </c>
      <c r="R487" s="10" t="n">
        <f aca="false">IFERROR(L487/H487,"")</f>
        <v>0</v>
      </c>
      <c r="S487" s="11" t="n">
        <f aca="false">IFERROR(M487/MEDIAN(INDEX($M$5:$M$627,MATCH($A487-90,$A$5:$A$627,1)):INDEX($M$5:$M$627,MATCH($A487+90,$A$5:$A$627,1))),"")</f>
        <v>0.459146566044674</v>
      </c>
      <c r="T487" s="11" t="n">
        <f aca="false">IFERROR(N487/MEDIAN(INDEX($N$5:$N$627,MATCH($A487-90,$A$5:$A$627,1)):INDEX($N$5:$N$627,MATCH($A487+90,$A$5:$A$627,1))),"")</f>
        <v>1.02995042482343</v>
      </c>
      <c r="U487" s="11" t="n">
        <f aca="false">IFERROR(Q487/MEDIAN(INDEX($Q$5:$Q$627,MATCH($A487-90,$A$5:$A$627,1)):INDEX($Q$5:$Q$627,MATCH($A487+90,$A$5:$A$627,1))),"")</f>
        <v>0</v>
      </c>
    </row>
    <row r="488" customFormat="false" ht="15" hidden="false" customHeight="false" outlineLevel="0" collapsed="false">
      <c r="A488" s="13" t="n">
        <v>46057.5397097107</v>
      </c>
      <c r="B488" s="8" t="n">
        <v>12</v>
      </c>
      <c r="C488" s="8" t="s">
        <v>71</v>
      </c>
      <c r="D488" s="8" t="s">
        <v>552</v>
      </c>
      <c r="E488" s="14" t="s">
        <v>66</v>
      </c>
      <c r="F488" s="9" t="n">
        <v>1379665</v>
      </c>
      <c r="G488" s="9" t="n">
        <v>58527</v>
      </c>
      <c r="H488" s="9" t="n">
        <v>43840</v>
      </c>
      <c r="I488" s="9" t="n">
        <v>60136</v>
      </c>
      <c r="J488" s="9" t="n">
        <v>1351</v>
      </c>
      <c r="K488" s="9" t="n">
        <v>137</v>
      </c>
      <c r="L488" s="9" t="n">
        <v>209</v>
      </c>
      <c r="M488" s="10" t="n">
        <f aca="false">IFERROR(G488/F488,"")</f>
        <v>0.0424211674573175</v>
      </c>
      <c r="N488" s="10" t="n">
        <f aca="false">IFERROR(H488/G488,"")</f>
        <v>0.749055991251901</v>
      </c>
      <c r="O488" s="11" t="n">
        <f aca="false">IFERROR(I488/H488,"")</f>
        <v>1.37171532846715</v>
      </c>
      <c r="P488" s="10" t="n">
        <f aca="false">IFERROR(J488/H488,"")</f>
        <v>0.0308166058394161</v>
      </c>
      <c r="Q488" s="10" t="n">
        <f aca="false">IFERROR(K488/H488,"")</f>
        <v>0.003125</v>
      </c>
      <c r="R488" s="10" t="n">
        <f aca="false">IFERROR(L488/H488,"")</f>
        <v>0.00476733576642336</v>
      </c>
      <c r="S488" s="11" t="n">
        <f aca="false">IFERROR(M488/MEDIAN(INDEX($M$5:$M$627,MATCH($A488-90,$A$5:$A$627,1)):INDEX($M$5:$M$627,MATCH($A488+90,$A$5:$A$627,1))),"")</f>
        <v>0.898530519486647</v>
      </c>
      <c r="T488" s="11" t="n">
        <f aca="false">IFERROR(N488/MEDIAN(INDEX($N$5:$N$627,MATCH($A488-90,$A$5:$A$627,1)):INDEX($N$5:$N$627,MATCH($A488+90,$A$5:$A$627,1))),"")</f>
        <v>1.43219269045598</v>
      </c>
      <c r="U488" s="11" t="n">
        <f aca="false">IFERROR(Q488/MEDIAN(INDEX($Q$5:$Q$627,MATCH($A488-90,$A$5:$A$627,1)):INDEX($Q$5:$Q$627,MATCH($A488+90,$A$5:$A$627,1))),"")</f>
        <v>0.30041482300885</v>
      </c>
    </row>
    <row r="489" customFormat="false" ht="15" hidden="false" customHeight="false" outlineLevel="0" collapsed="false">
      <c r="A489" s="13" t="n">
        <v>46058.5538940857</v>
      </c>
      <c r="B489" s="8" t="n">
        <v>13</v>
      </c>
      <c r="C489" s="8" t="s">
        <v>73</v>
      </c>
      <c r="D489" s="8" t="s">
        <v>553</v>
      </c>
      <c r="E489" s="14" t="s">
        <v>66</v>
      </c>
      <c r="F489" s="9" t="n">
        <v>1934</v>
      </c>
      <c r="G489" s="9" t="n">
        <v>63</v>
      </c>
      <c r="H489" s="9" t="n">
        <v>35</v>
      </c>
      <c r="I489" s="9" t="n">
        <v>36</v>
      </c>
      <c r="J489" s="9" t="n">
        <v>4</v>
      </c>
      <c r="K489" s="9" t="n">
        <v>0</v>
      </c>
      <c r="L489" s="9" t="n">
        <v>0</v>
      </c>
      <c r="M489" s="10" t="n">
        <f aca="false">IFERROR(G489/F489,"")</f>
        <v>0.0325749741468459</v>
      </c>
      <c r="N489" s="10" t="n">
        <f aca="false">IFERROR(H489/G489,"")</f>
        <v>0.555555555555556</v>
      </c>
      <c r="O489" s="11" t="n">
        <f aca="false">IFERROR(I489/H489,"")</f>
        <v>1.02857142857143</v>
      </c>
      <c r="P489" s="10" t="n">
        <f aca="false">IFERROR(J489/H489,"")</f>
        <v>0.114285714285714</v>
      </c>
      <c r="Q489" s="10" t="n">
        <f aca="false">IFERROR(K489/H489,"")</f>
        <v>0</v>
      </c>
      <c r="R489" s="10" t="n">
        <f aca="false">IFERROR(L489/H489,"")</f>
        <v>0</v>
      </c>
      <c r="S489" s="11" t="n">
        <f aca="false">IFERROR(M489/MEDIAN(INDEX($M$5:$M$627,MATCH($A489-90,$A$5:$A$627,1)):INDEX($M$5:$M$627,MATCH($A489+90,$A$5:$A$627,1))),"")</f>
        <v>0.674579509462486</v>
      </c>
      <c r="T489" s="11" t="n">
        <f aca="false">IFERROR(N489/MEDIAN(INDEX($N$5:$N$627,MATCH($A489-90,$A$5:$A$627,1)):INDEX($N$5:$N$627,MATCH($A489+90,$A$5:$A$627,1))),"")</f>
        <v>1.06519742883379</v>
      </c>
      <c r="U489" s="11" t="n">
        <f aca="false">IFERROR(Q489/MEDIAN(INDEX($Q$5:$Q$627,MATCH($A489-90,$A$5:$A$627,1)):INDEX($Q$5:$Q$627,MATCH($A489+90,$A$5:$A$627,1))),"")</f>
        <v>0</v>
      </c>
    </row>
    <row r="490" customFormat="false" ht="15" hidden="false" customHeight="false" outlineLevel="0" collapsed="false">
      <c r="A490" s="13" t="n">
        <v>46059.5312786574</v>
      </c>
      <c r="B490" s="8" t="n">
        <v>12</v>
      </c>
      <c r="C490" s="8" t="s">
        <v>84</v>
      </c>
      <c r="D490" s="8" t="s">
        <v>554</v>
      </c>
      <c r="E490" s="14" t="s">
        <v>66</v>
      </c>
      <c r="F490" s="9" t="n">
        <v>119268</v>
      </c>
      <c r="G490" s="9" t="n">
        <v>33795</v>
      </c>
      <c r="H490" s="9" t="n">
        <v>14455</v>
      </c>
      <c r="I490" s="9" t="n">
        <v>6517</v>
      </c>
      <c r="J490" s="9" t="n">
        <v>1142</v>
      </c>
      <c r="K490" s="9" t="n">
        <v>129</v>
      </c>
      <c r="L490" s="9" t="n">
        <v>39</v>
      </c>
      <c r="M490" s="10" t="n">
        <f aca="false">IFERROR(G490/F490,"")</f>
        <v>0.283353456082101</v>
      </c>
      <c r="N490" s="10" t="n">
        <f aca="false">IFERROR(H490/G490,"")</f>
        <v>0.42772599496967</v>
      </c>
      <c r="O490" s="11" t="n">
        <f aca="false">IFERROR(I490/H490,"")</f>
        <v>0.450847457627119</v>
      </c>
      <c r="P490" s="10" t="n">
        <f aca="false">IFERROR(J490/H490,"")</f>
        <v>0.0790038049117952</v>
      </c>
      <c r="Q490" s="10" t="n">
        <f aca="false">IFERROR(K490/H490,"")</f>
        <v>0.00892424766516776</v>
      </c>
      <c r="R490" s="10" t="n">
        <f aca="false">IFERROR(L490/H490,"")</f>
        <v>0.00269802836388793</v>
      </c>
      <c r="S490" s="11" t="n">
        <f aca="false">IFERROR(M490/MEDIAN(INDEX($M$5:$M$627,MATCH($A490-90,$A$5:$A$627,1)):INDEX($M$5:$M$627,MATCH($A490+90,$A$5:$A$627,1))),"")</f>
        <v>6.0017614637305</v>
      </c>
      <c r="T490" s="11" t="n">
        <f aca="false">IFERROR(N490/MEDIAN(INDEX($N$5:$N$627,MATCH($A490-90,$A$5:$A$627,1)):INDEX($N$5:$N$627,MATCH($A490+90,$A$5:$A$627,1))),"")</f>
        <v>0.817810752023698</v>
      </c>
      <c r="U490" s="11" t="n">
        <f aca="false">IFERROR(Q490/MEDIAN(INDEX($Q$5:$Q$627,MATCH($A490-90,$A$5:$A$627,1)):INDEX($Q$5:$Q$627,MATCH($A490+90,$A$5:$A$627,1))),"")</f>
        <v>0.805830776268955</v>
      </c>
    </row>
    <row r="491" customFormat="false" ht="15" hidden="false" customHeight="false" outlineLevel="0" collapsed="false">
      <c r="A491" s="13" t="n">
        <v>46060.4448231366</v>
      </c>
      <c r="B491" s="8" t="n">
        <v>10</v>
      </c>
      <c r="C491" s="8" t="s">
        <v>68</v>
      </c>
      <c r="D491" s="8" t="s">
        <v>555</v>
      </c>
      <c r="E491" s="14" t="s">
        <v>66</v>
      </c>
      <c r="F491" s="9" t="n">
        <v>141515</v>
      </c>
      <c r="G491" s="9" t="n">
        <v>5487</v>
      </c>
      <c r="H491" s="9" t="n">
        <v>1460</v>
      </c>
      <c r="I491" s="9" t="n">
        <v>1110</v>
      </c>
      <c r="J491" s="9" t="n">
        <v>92</v>
      </c>
      <c r="K491" s="9" t="n">
        <v>20</v>
      </c>
      <c r="L491" s="9" t="n">
        <v>43</v>
      </c>
      <c r="M491" s="10" t="n">
        <f aca="false">IFERROR(G491/F491,"")</f>
        <v>0.0387732749178532</v>
      </c>
      <c r="N491" s="10" t="n">
        <f aca="false">IFERROR(H491/G491,"")</f>
        <v>0.266083470020047</v>
      </c>
      <c r="O491" s="11" t="n">
        <f aca="false">IFERROR(I491/H491,"")</f>
        <v>0.76027397260274</v>
      </c>
      <c r="P491" s="10" t="n">
        <f aca="false">IFERROR(J491/H491,"")</f>
        <v>0.063013698630137</v>
      </c>
      <c r="Q491" s="10" t="n">
        <f aca="false">IFERROR(K491/H491,"")</f>
        <v>0.0136986301369863</v>
      </c>
      <c r="R491" s="10" t="n">
        <f aca="false">IFERROR(L491/H491,"")</f>
        <v>0.0294520547945206</v>
      </c>
      <c r="S491" s="11" t="n">
        <f aca="false">IFERROR(M491/MEDIAN(INDEX($M$5:$M$627,MATCH($A491-90,$A$5:$A$627,1)):INDEX($M$5:$M$627,MATCH($A491+90,$A$5:$A$627,1))),"")</f>
        <v>0.81199709794224</v>
      </c>
      <c r="T491" s="11" t="n">
        <f aca="false">IFERROR(N491/MEDIAN(INDEX($N$5:$N$627,MATCH($A491-90,$A$5:$A$627,1)):INDEX($N$5:$N$627,MATCH($A491+90,$A$5:$A$627,1))),"")</f>
        <v>0.507537085156346</v>
      </c>
      <c r="U491" s="11" t="n">
        <f aca="false">IFERROR(Q491/MEDIAN(INDEX($Q$5:$Q$627,MATCH($A491-90,$A$5:$A$627,1)):INDEX($Q$5:$Q$627,MATCH($A491+90,$A$5:$A$627,1))),"")</f>
        <v>1.27566321244943</v>
      </c>
    </row>
    <row r="492" customFormat="false" ht="15" hidden="false" customHeight="false" outlineLevel="0" collapsed="false">
      <c r="A492" s="13" t="n">
        <v>46062.4908048727</v>
      </c>
      <c r="B492" s="8" t="n">
        <v>11</v>
      </c>
      <c r="C492" s="8" t="s">
        <v>80</v>
      </c>
      <c r="D492" s="8" t="s">
        <v>556</v>
      </c>
      <c r="E492" s="14" t="s">
        <v>66</v>
      </c>
      <c r="F492" s="9" t="n">
        <v>68201</v>
      </c>
      <c r="G492" s="9" t="n">
        <v>1746</v>
      </c>
      <c r="H492" s="9" t="n">
        <v>608</v>
      </c>
      <c r="I492" s="9" t="n">
        <v>172</v>
      </c>
      <c r="J492" s="9" t="n">
        <v>41</v>
      </c>
      <c r="K492" s="9" t="n">
        <v>11</v>
      </c>
      <c r="L492" s="9" t="n">
        <v>26</v>
      </c>
      <c r="M492" s="10" t="n">
        <f aca="false">IFERROR(G492/F492,"")</f>
        <v>0.0256007976422633</v>
      </c>
      <c r="N492" s="10" t="n">
        <f aca="false">IFERROR(H492/G492,"")</f>
        <v>0.348224513172967</v>
      </c>
      <c r="O492" s="11" t="n">
        <f aca="false">IFERROR(I492/H492,"")</f>
        <v>0.282894736842105</v>
      </c>
      <c r="P492" s="10" t="n">
        <f aca="false">IFERROR(J492/H492,"")</f>
        <v>0.0674342105263158</v>
      </c>
      <c r="Q492" s="10" t="n">
        <f aca="false">IFERROR(K492/H492,"")</f>
        <v>0.0180921052631579</v>
      </c>
      <c r="R492" s="10" t="n">
        <f aca="false">IFERROR(L492/H492,"")</f>
        <v>0.0427631578947368</v>
      </c>
      <c r="S492" s="11" t="n">
        <f aca="false">IFERROR(M492/MEDIAN(INDEX($M$5:$M$627,MATCH($A492-90,$A$5:$A$627,1)):INDEX($M$5:$M$627,MATCH($A492+90,$A$5:$A$627,1))),"")</f>
        <v>0.530154634582834</v>
      </c>
      <c r="T492" s="11" t="n">
        <f aca="false">IFERROR(N492/MEDIAN(INDEX($N$5:$N$627,MATCH($A492-90,$A$5:$A$627,1)):INDEX($N$5:$N$627,MATCH($A492+90,$A$5:$A$627,1))),"")</f>
        <v>0.667670140959738</v>
      </c>
      <c r="U492" s="11" t="n">
        <f aca="false">IFERROR(Q492/MEDIAN(INDEX($Q$5:$Q$627,MATCH($A492-90,$A$5:$A$627,1)):INDEX($Q$5:$Q$627,MATCH($A492+90,$A$5:$A$627,1))),"")</f>
        <v>1.7392437121565</v>
      </c>
    </row>
    <row r="493" customFormat="false" ht="15" hidden="false" customHeight="false" outlineLevel="0" collapsed="false">
      <c r="A493" s="13" t="n">
        <v>46063.2930308681</v>
      </c>
      <c r="B493" s="8" t="n">
        <v>7</v>
      </c>
      <c r="C493" s="8" t="s">
        <v>64</v>
      </c>
      <c r="D493" s="8" t="s">
        <v>557</v>
      </c>
      <c r="E493" s="14" t="s">
        <v>66</v>
      </c>
      <c r="F493" s="9" t="n">
        <v>973816</v>
      </c>
      <c r="G493" s="9" t="n">
        <v>77356</v>
      </c>
      <c r="H493" s="9" t="n">
        <v>58428</v>
      </c>
      <c r="I493" s="9" t="n">
        <v>23020</v>
      </c>
      <c r="J493" s="9" t="n">
        <v>801</v>
      </c>
      <c r="K493" s="9" t="n">
        <v>0</v>
      </c>
      <c r="L493" s="9" t="n">
        <v>129</v>
      </c>
      <c r="M493" s="10" t="n">
        <f aca="false">IFERROR(G493/F493,"")</f>
        <v>0.0794359509393972</v>
      </c>
      <c r="N493" s="10" t="n">
        <f aca="false">IFERROR(H493/G493,"")</f>
        <v>0.755313097885103</v>
      </c>
      <c r="O493" s="11" t="n">
        <f aca="false">IFERROR(I493/H493,"")</f>
        <v>0.393989183268296</v>
      </c>
      <c r="P493" s="10" t="n">
        <f aca="false">IFERROR(J493/H493,"")</f>
        <v>0.0137091805298829</v>
      </c>
      <c r="Q493" s="10" t="n">
        <f aca="false">IFERROR(K493/H493,"")</f>
        <v>0</v>
      </c>
      <c r="R493" s="10" t="n">
        <f aca="false">IFERROR(L493/H493,"")</f>
        <v>0.00220784555350175</v>
      </c>
      <c r="S493" s="11" t="n">
        <f aca="false">IFERROR(M493/MEDIAN(INDEX($M$5:$M$627,MATCH($A493-90,$A$5:$A$627,1)):INDEX($M$5:$M$627,MATCH($A493+90,$A$5:$A$627,1))),"")</f>
        <v>1.62486859439157</v>
      </c>
      <c r="T493" s="11" t="n">
        <f aca="false">IFERROR(N493/MEDIAN(INDEX($N$5:$N$627,MATCH($A493-90,$A$5:$A$627,1)):INDEX($N$5:$N$627,MATCH($A493+90,$A$5:$A$627,1))),"")</f>
        <v>1.45097253724</v>
      </c>
      <c r="U493" s="11" t="n">
        <f aca="false">IFERROR(Q493/MEDIAN(INDEX($Q$5:$Q$627,MATCH($A493-90,$A$5:$A$627,1)):INDEX($Q$5:$Q$627,MATCH($A493+90,$A$5:$A$627,1))),"")</f>
        <v>0</v>
      </c>
    </row>
    <row r="494" customFormat="false" ht="15" hidden="false" customHeight="false" outlineLevel="0" collapsed="false">
      <c r="A494" s="13" t="n">
        <v>46064.506319294</v>
      </c>
      <c r="B494" s="8" t="n">
        <v>12</v>
      </c>
      <c r="C494" s="8" t="s">
        <v>71</v>
      </c>
      <c r="D494" s="8" t="s">
        <v>558</v>
      </c>
      <c r="E494" s="14" t="s">
        <v>66</v>
      </c>
      <c r="F494" s="9" t="n">
        <v>76281</v>
      </c>
      <c r="G494" s="9" t="n">
        <v>10986</v>
      </c>
      <c r="H494" s="9" t="n">
        <v>6402</v>
      </c>
      <c r="I494" s="9" t="n">
        <v>3339</v>
      </c>
      <c r="J494" s="9" t="n">
        <v>438</v>
      </c>
      <c r="K494" s="9" t="n">
        <v>46</v>
      </c>
      <c r="L494" s="9" t="n">
        <v>35</v>
      </c>
      <c r="M494" s="10" t="n">
        <f aca="false">IFERROR(G494/F494,"")</f>
        <v>0.144020136075825</v>
      </c>
      <c r="N494" s="10" t="n">
        <f aca="false">IFERROR(H494/G494,"")</f>
        <v>0.582741671217914</v>
      </c>
      <c r="O494" s="11" t="n">
        <f aca="false">IFERROR(I494/H494,"")</f>
        <v>0.521555763823805</v>
      </c>
      <c r="P494" s="10" t="n">
        <f aca="false">IFERROR(J494/H494,"")</f>
        <v>0.0684161199625117</v>
      </c>
      <c r="Q494" s="10" t="n">
        <f aca="false">IFERROR(K494/H494,"")</f>
        <v>0.00718525460793502</v>
      </c>
      <c r="R494" s="10" t="n">
        <f aca="false">IFERROR(L494/H494,"")</f>
        <v>0.00546704154951578</v>
      </c>
      <c r="S494" s="11" t="n">
        <f aca="false">IFERROR(M494/MEDIAN(INDEX($M$5:$M$627,MATCH($A494-90,$A$5:$A$627,1)):INDEX($M$5:$M$627,MATCH($A494+90,$A$5:$A$627,1))),"")</f>
        <v>2.945943156747</v>
      </c>
      <c r="T494" s="11" t="n">
        <f aca="false">IFERROR(N494/MEDIAN(INDEX($N$5:$N$627,MATCH($A494-90,$A$5:$A$627,1)):INDEX($N$5:$N$627,MATCH($A494+90,$A$5:$A$627,1))),"")</f>
        <v>1.11575936987681</v>
      </c>
      <c r="U494" s="11" t="n">
        <f aca="false">IFERROR(Q494/MEDIAN(INDEX($Q$5:$Q$627,MATCH($A494-90,$A$5:$A$627,1)):INDEX($Q$5:$Q$627,MATCH($A494+90,$A$5:$A$627,1))),"")</f>
        <v>0.693839976006398</v>
      </c>
    </row>
    <row r="495" customFormat="false" ht="15" hidden="false" customHeight="false" outlineLevel="0" collapsed="false">
      <c r="A495" s="13" t="n">
        <v>46065.2517389236</v>
      </c>
      <c r="B495" s="8" t="n">
        <v>6</v>
      </c>
      <c r="C495" s="8" t="s">
        <v>73</v>
      </c>
      <c r="D495" s="8" t="s">
        <v>559</v>
      </c>
      <c r="E495" s="14" t="s">
        <v>66</v>
      </c>
      <c r="F495" s="9" t="n">
        <v>1853</v>
      </c>
      <c r="G495" s="9" t="n">
        <v>22</v>
      </c>
      <c r="H495" s="9" t="n">
        <v>15</v>
      </c>
      <c r="I495" s="9" t="n">
        <v>11</v>
      </c>
      <c r="J495" s="9" t="n">
        <v>3</v>
      </c>
      <c r="K495" s="9" t="n">
        <v>0</v>
      </c>
      <c r="L495" s="9" t="n">
        <v>0</v>
      </c>
      <c r="M495" s="10" t="n">
        <f aca="false">IFERROR(G495/F495,"")</f>
        <v>0.0118726389638424</v>
      </c>
      <c r="N495" s="10" t="n">
        <f aca="false">IFERROR(H495/G495,"")</f>
        <v>0.681818181818182</v>
      </c>
      <c r="O495" s="11" t="n">
        <f aca="false">IFERROR(I495/H495,"")</f>
        <v>0.733333333333333</v>
      </c>
      <c r="P495" s="10" t="n">
        <f aca="false">IFERROR(J495/H495,"")</f>
        <v>0.2</v>
      </c>
      <c r="Q495" s="10" t="n">
        <f aca="false">IFERROR(K495/H495,"")</f>
        <v>0</v>
      </c>
      <c r="R495" s="10" t="n">
        <f aca="false">IFERROR(L495/H495,"")</f>
        <v>0</v>
      </c>
      <c r="S495" s="11" t="n">
        <f aca="false">IFERROR(M495/MEDIAN(INDEX($M$5:$M$627,MATCH($A495-90,$A$5:$A$627,1)):INDEX($M$5:$M$627,MATCH($A495+90,$A$5:$A$627,1))),"")</f>
        <v>0.245864783565131</v>
      </c>
      <c r="T495" s="11" t="n">
        <f aca="false">IFERROR(N495/MEDIAN(INDEX($N$5:$N$627,MATCH($A495-90,$A$5:$A$627,1)):INDEX($N$5:$N$627,MATCH($A495+90,$A$5:$A$627,1))),"")</f>
        <v>1.30363421109277</v>
      </c>
      <c r="U495" s="11" t="n">
        <f aca="false">IFERROR(Q495/MEDIAN(INDEX($Q$5:$Q$627,MATCH($A495-90,$A$5:$A$627,1)):INDEX($Q$5:$Q$627,MATCH($A495+90,$A$5:$A$627,1))),"")</f>
        <v>0</v>
      </c>
    </row>
    <row r="496" customFormat="false" ht="15" hidden="false" customHeight="false" outlineLevel="0" collapsed="false">
      <c r="A496" s="13" t="n">
        <v>46066.2503115278</v>
      </c>
      <c r="B496" s="8" t="n">
        <v>6</v>
      </c>
      <c r="C496" s="8" t="s">
        <v>84</v>
      </c>
      <c r="D496" s="8" t="s">
        <v>560</v>
      </c>
      <c r="E496" s="14" t="s">
        <v>66</v>
      </c>
      <c r="F496" s="9" t="n">
        <v>47890</v>
      </c>
      <c r="G496" s="9" t="n">
        <v>2387</v>
      </c>
      <c r="H496" s="9" t="n">
        <v>838</v>
      </c>
      <c r="I496" s="9" t="n">
        <v>710</v>
      </c>
      <c r="J496" s="9" t="n">
        <v>64</v>
      </c>
      <c r="K496" s="9" t="n">
        <v>26</v>
      </c>
      <c r="L496" s="9" t="n">
        <v>11</v>
      </c>
      <c r="M496" s="10" t="n">
        <f aca="false">IFERROR(G496/F496,"")</f>
        <v>0.0498433911046147</v>
      </c>
      <c r="N496" s="10" t="n">
        <f aca="false">IFERROR(H496/G496,"")</f>
        <v>0.351068286552158</v>
      </c>
      <c r="O496" s="11" t="n">
        <f aca="false">IFERROR(I496/H496,"")</f>
        <v>0.847255369928401</v>
      </c>
      <c r="P496" s="10" t="n">
        <f aca="false">IFERROR(J496/H496,"")</f>
        <v>0.0763723150357995</v>
      </c>
      <c r="Q496" s="10" t="n">
        <f aca="false">IFERROR(K496/H496,"")</f>
        <v>0.0310262529832936</v>
      </c>
      <c r="R496" s="10" t="n">
        <f aca="false">IFERROR(L496/H496,"")</f>
        <v>0.013126491646778</v>
      </c>
      <c r="S496" s="11" t="n">
        <f aca="false">IFERROR(M496/MEDIAN(INDEX($M$5:$M$627,MATCH($A496-90,$A$5:$A$627,1)):INDEX($M$5:$M$627,MATCH($A496+90,$A$5:$A$627,1))),"")</f>
        <v>1.03218287049826</v>
      </c>
      <c r="T496" s="11" t="n">
        <f aca="false">IFERROR(N496/MEDIAN(INDEX($N$5:$N$627,MATCH($A496-90,$A$5:$A$627,1)):INDEX($N$5:$N$627,MATCH($A496+90,$A$5:$A$627,1))),"")</f>
        <v>0.671241455542701</v>
      </c>
      <c r="U496" s="11" t="n">
        <f aca="false">IFERROR(Q496/MEDIAN(INDEX($Q$5:$Q$627,MATCH($A496-90,$A$5:$A$627,1)):INDEX($Q$5:$Q$627,MATCH($A496+90,$A$5:$A$627,1))),"")</f>
        <v>3.00954653937947</v>
      </c>
    </row>
    <row r="497" customFormat="false" ht="15" hidden="false" customHeight="false" outlineLevel="0" collapsed="false">
      <c r="A497" s="13" t="n">
        <v>46067.2523373264</v>
      </c>
      <c r="B497" s="8" t="n">
        <v>6</v>
      </c>
      <c r="C497" s="8" t="s">
        <v>68</v>
      </c>
      <c r="D497" s="8" t="s">
        <v>561</v>
      </c>
      <c r="E497" s="14" t="s">
        <v>66</v>
      </c>
      <c r="F497" s="9" t="n">
        <v>56368</v>
      </c>
      <c r="G497" s="9" t="n">
        <v>1263</v>
      </c>
      <c r="H497" s="9" t="n">
        <v>577</v>
      </c>
      <c r="I497" s="9" t="n">
        <v>703</v>
      </c>
      <c r="J497" s="9" t="n">
        <v>55</v>
      </c>
      <c r="K497" s="9" t="n">
        <v>47</v>
      </c>
      <c r="L497" s="9" t="n">
        <v>9</v>
      </c>
      <c r="M497" s="10" t="n">
        <f aca="false">IFERROR(G497/F497,"")</f>
        <v>0.0224063298325291</v>
      </c>
      <c r="N497" s="10" t="n">
        <f aca="false">IFERROR(H497/G497,"")</f>
        <v>0.456848772763262</v>
      </c>
      <c r="O497" s="11" t="n">
        <f aca="false">IFERROR(I497/H497,"")</f>
        <v>1.21837088388215</v>
      </c>
      <c r="P497" s="10" t="n">
        <f aca="false">IFERROR(J497/H497,"")</f>
        <v>0.0953206239168111</v>
      </c>
      <c r="Q497" s="10" t="n">
        <f aca="false">IFERROR(K497/H497,"")</f>
        <v>0.0814558058925477</v>
      </c>
      <c r="R497" s="10" t="n">
        <f aca="false">IFERROR(L497/H497,"")</f>
        <v>0.0155979202772964</v>
      </c>
      <c r="S497" s="11" t="n">
        <f aca="false">IFERROR(M497/MEDIAN(INDEX($M$5:$M$627,MATCH($A497-90,$A$5:$A$627,1)):INDEX($M$5:$M$627,MATCH($A497+90,$A$5:$A$627,1))),"")</f>
        <v>0.458323230601608</v>
      </c>
      <c r="T497" s="11" t="n">
        <f aca="false">IFERROR(N497/MEDIAN(INDEX($N$5:$N$627,MATCH($A497-90,$A$5:$A$627,1)):INDEX($N$5:$N$627,MATCH($A497+90,$A$5:$A$627,1))),"")</f>
        <v>0.874715717106694</v>
      </c>
      <c r="U497" s="11" t="n">
        <f aca="false">IFERROR(Q497/MEDIAN(INDEX($Q$5:$Q$627,MATCH($A497-90,$A$5:$A$627,1)):INDEX($Q$5:$Q$627,MATCH($A497+90,$A$5:$A$627,1))),"")</f>
        <v>8.12252693802101</v>
      </c>
    </row>
    <row r="498" customFormat="false" ht="15" hidden="false" customHeight="false" outlineLevel="0" collapsed="false">
      <c r="A498" s="13" t="n">
        <v>46069.5032025579</v>
      </c>
      <c r="B498" s="8" t="n">
        <v>12</v>
      </c>
      <c r="C498" s="8" t="s">
        <v>80</v>
      </c>
      <c r="D498" s="8" t="s">
        <v>562</v>
      </c>
      <c r="E498" s="14" t="s">
        <v>66</v>
      </c>
      <c r="F498" s="9" t="n">
        <v>53943</v>
      </c>
      <c r="G498" s="9" t="n">
        <v>10898</v>
      </c>
      <c r="H498" s="9" t="n">
        <v>6694</v>
      </c>
      <c r="I498" s="9" t="n">
        <v>3121</v>
      </c>
      <c r="J498" s="9" t="n">
        <v>434</v>
      </c>
      <c r="K498" s="9" t="n">
        <v>198</v>
      </c>
      <c r="L498" s="9" t="n">
        <v>17</v>
      </c>
      <c r="M498" s="10" t="n">
        <f aca="false">IFERROR(G498/F498,"")</f>
        <v>0.202028066662959</v>
      </c>
      <c r="N498" s="10" t="n">
        <f aca="false">IFERROR(H498/G498,"")</f>
        <v>0.61424114516425</v>
      </c>
      <c r="O498" s="11" t="n">
        <f aca="false">IFERROR(I498/H498,"")</f>
        <v>0.466238422467882</v>
      </c>
      <c r="P498" s="10" t="n">
        <f aca="false">IFERROR(J498/H498,"")</f>
        <v>0.0648341798625635</v>
      </c>
      <c r="Q498" s="10" t="n">
        <f aca="false">IFERROR(K498/H498,"")</f>
        <v>0.0295787272184045</v>
      </c>
      <c r="R498" s="10" t="n">
        <f aca="false">IFERROR(L498/H498,"")</f>
        <v>0.00253958769046908</v>
      </c>
      <c r="S498" s="11" t="n">
        <f aca="false">IFERROR(M498/MEDIAN(INDEX($M$5:$M$627,MATCH($A498-90,$A$5:$A$627,1)):INDEX($M$5:$M$627,MATCH($A498+90,$A$5:$A$627,1))),"")</f>
        <v>4.18370229528944</v>
      </c>
      <c r="T498" s="11" t="n">
        <f aca="false">IFERROR(N498/MEDIAN(INDEX($N$5:$N$627,MATCH($A498-90,$A$5:$A$627,1)):INDEX($N$5:$N$627,MATCH($A498+90,$A$5:$A$627,1))),"")</f>
        <v>1.17771855932319</v>
      </c>
      <c r="U498" s="11" t="n">
        <f aca="false">IFERROR(Q498/MEDIAN(INDEX($Q$5:$Q$627,MATCH($A498-90,$A$5:$A$627,1)):INDEX($Q$5:$Q$627,MATCH($A498+90,$A$5:$A$627,1))),"")</f>
        <v>3.0344979285716</v>
      </c>
    </row>
    <row r="499" customFormat="false" ht="15" hidden="false" customHeight="false" outlineLevel="0" collapsed="false">
      <c r="A499" s="13" t="n">
        <v>46070.2504768171</v>
      </c>
      <c r="B499" s="8" t="n">
        <v>6</v>
      </c>
      <c r="C499" s="8" t="s">
        <v>64</v>
      </c>
      <c r="D499" s="8" t="s">
        <v>563</v>
      </c>
      <c r="E499" s="14" t="s">
        <v>66</v>
      </c>
      <c r="F499" s="9" t="n">
        <v>6414</v>
      </c>
      <c r="G499" s="9" t="n">
        <v>148</v>
      </c>
      <c r="H499" s="9" t="n">
        <v>85</v>
      </c>
      <c r="I499" s="9" t="n">
        <v>84</v>
      </c>
      <c r="J499" s="9" t="n">
        <v>4</v>
      </c>
      <c r="K499" s="9" t="n">
        <v>0</v>
      </c>
      <c r="L499" s="9" t="n">
        <v>1</v>
      </c>
      <c r="M499" s="10" t="n">
        <f aca="false">IFERROR(G499/F499,"")</f>
        <v>0.023074524477705</v>
      </c>
      <c r="N499" s="10" t="n">
        <f aca="false">IFERROR(H499/G499,"")</f>
        <v>0.574324324324324</v>
      </c>
      <c r="O499" s="11" t="n">
        <f aca="false">IFERROR(I499/H499,"")</f>
        <v>0.988235294117647</v>
      </c>
      <c r="P499" s="10" t="n">
        <f aca="false">IFERROR(J499/H499,"")</f>
        <v>0.0470588235294118</v>
      </c>
      <c r="Q499" s="10" t="n">
        <f aca="false">IFERROR(K499/H499,"")</f>
        <v>0</v>
      </c>
      <c r="R499" s="10" t="n">
        <f aca="false">IFERROR(L499/H499,"")</f>
        <v>0.0117647058823529</v>
      </c>
      <c r="S499" s="11" t="n">
        <f aca="false">IFERROR(M499/MEDIAN(INDEX($M$5:$M$627,MATCH($A499-90,$A$5:$A$627,1)):INDEX($M$5:$M$627,MATCH($A499+90,$A$5:$A$627,1))),"")</f>
        <v>0.471991204372266</v>
      </c>
      <c r="T499" s="11" t="n">
        <f aca="false">IFERROR(N499/MEDIAN(INDEX($N$5:$N$627,MATCH($A499-90,$A$5:$A$627,1)):INDEX($N$5:$N$627,MATCH($A499+90,$A$5:$A$627,1))),"")</f>
        <v>1.09964290844992</v>
      </c>
      <c r="U499" s="11" t="n">
        <f aca="false">IFERROR(Q499/MEDIAN(INDEX($Q$5:$Q$627,MATCH($A499-90,$A$5:$A$627,1)):INDEX($Q$5:$Q$627,MATCH($A499+90,$A$5:$A$627,1))),"")</f>
        <v>0</v>
      </c>
    </row>
    <row r="500" customFormat="false" ht="15" hidden="false" customHeight="false" outlineLevel="0" collapsed="false">
      <c r="A500" s="13" t="n">
        <v>46071.25079</v>
      </c>
      <c r="B500" s="8" t="n">
        <v>6</v>
      </c>
      <c r="C500" s="8" t="s">
        <v>71</v>
      </c>
      <c r="D500" s="8" t="s">
        <v>564</v>
      </c>
      <c r="E500" s="14" t="s">
        <v>66</v>
      </c>
      <c r="F500" s="9" t="n">
        <v>53628</v>
      </c>
      <c r="G500" s="9" t="n">
        <v>489</v>
      </c>
      <c r="H500" s="9" t="n">
        <v>88</v>
      </c>
      <c r="I500" s="9" t="n">
        <v>50</v>
      </c>
      <c r="J500" s="9" t="n">
        <v>19</v>
      </c>
      <c r="K500" s="9" t="n">
        <v>7</v>
      </c>
      <c r="L500" s="9" t="n">
        <v>10</v>
      </c>
      <c r="M500" s="10" t="n">
        <f aca="false">IFERROR(G500/F500,"")</f>
        <v>0.00911837100022376</v>
      </c>
      <c r="N500" s="10" t="n">
        <f aca="false">IFERROR(H500/G500,"")</f>
        <v>0.179959100204499</v>
      </c>
      <c r="O500" s="11" t="n">
        <f aca="false">IFERROR(I500/H500,"")</f>
        <v>0.568181818181818</v>
      </c>
      <c r="P500" s="10" t="n">
        <f aca="false">IFERROR(J500/H500,"")</f>
        <v>0.215909090909091</v>
      </c>
      <c r="Q500" s="10" t="n">
        <f aca="false">IFERROR(K500/H500,"")</f>
        <v>0.0795454545454545</v>
      </c>
      <c r="R500" s="10" t="n">
        <f aca="false">IFERROR(L500/H500,"")</f>
        <v>0.113636363636364</v>
      </c>
      <c r="S500" s="11" t="n">
        <f aca="false">IFERROR(M500/MEDIAN(INDEX($M$5:$M$627,MATCH($A500-90,$A$5:$A$627,1)):INDEX($M$5:$M$627,MATCH($A500+90,$A$5:$A$627,1))),"")</f>
        <v>0.188827969861136</v>
      </c>
      <c r="T500" s="11" t="n">
        <f aca="false">IFERROR(N500/MEDIAN(INDEX($N$5:$N$627,MATCH($A500-90,$A$5:$A$627,1)):INDEX($N$5:$N$627,MATCH($A500+90,$A$5:$A$627,1))),"")</f>
        <v>0.345045547499535</v>
      </c>
      <c r="U500" s="11" t="n">
        <f aca="false">IFERROR(Q500/MEDIAN(INDEX($Q$5:$Q$627,MATCH($A500-90,$A$5:$A$627,1)):INDEX($Q$5:$Q$627,MATCH($A500+90,$A$5:$A$627,1))),"")</f>
        <v>7.71590909090909</v>
      </c>
    </row>
    <row r="501" customFormat="false" ht="15" hidden="false" customHeight="false" outlineLevel="0" collapsed="false">
      <c r="A501" s="13" t="n">
        <v>46072.2506305903</v>
      </c>
      <c r="B501" s="8" t="n">
        <v>6</v>
      </c>
      <c r="C501" s="8" t="s">
        <v>73</v>
      </c>
      <c r="D501" s="8" t="s">
        <v>565</v>
      </c>
      <c r="E501" s="14" t="s">
        <v>66</v>
      </c>
      <c r="F501" s="9" t="n">
        <v>2223</v>
      </c>
      <c r="G501" s="9" t="n">
        <v>67</v>
      </c>
      <c r="H501" s="9" t="n">
        <v>39</v>
      </c>
      <c r="I501" s="9" t="n">
        <v>43</v>
      </c>
      <c r="J501" s="9" t="n">
        <v>2</v>
      </c>
      <c r="K501" s="9" t="n">
        <v>0</v>
      </c>
      <c r="L501" s="9" t="n">
        <v>0</v>
      </c>
      <c r="M501" s="10" t="n">
        <f aca="false">IFERROR(G501/F501,"")</f>
        <v>0.0301394511920828</v>
      </c>
      <c r="N501" s="10" t="n">
        <f aca="false">IFERROR(H501/G501,"")</f>
        <v>0.582089552238806</v>
      </c>
      <c r="O501" s="11" t="n">
        <f aca="false">IFERROR(I501/H501,"")</f>
        <v>1.1025641025641</v>
      </c>
      <c r="P501" s="10" t="n">
        <f aca="false">IFERROR(J501/H501,"")</f>
        <v>0.0512820512820513</v>
      </c>
      <c r="Q501" s="10" t="n">
        <f aca="false">IFERROR(K501/H501,"")</f>
        <v>0</v>
      </c>
      <c r="R501" s="10" t="n">
        <f aca="false">IFERROR(L501/H501,"")</f>
        <v>0</v>
      </c>
      <c r="S501" s="11" t="n">
        <f aca="false">IFERROR(M501/MEDIAN(INDEX($M$5:$M$627,MATCH($A501-90,$A$5:$A$627,1)):INDEX($M$5:$M$627,MATCH($A501+90,$A$5:$A$627,1))),"")</f>
        <v>0.62414343320645</v>
      </c>
      <c r="T501" s="11" t="n">
        <f aca="false">IFERROR(N501/MEDIAN(INDEX($N$5:$N$627,MATCH($A501-90,$A$5:$A$627,1)):INDEX($N$5:$N$627,MATCH($A501+90,$A$5:$A$627,1))),"")</f>
        <v>1.12034848382522</v>
      </c>
      <c r="U501" s="11" t="n">
        <f aca="false">IFERROR(Q501/MEDIAN(INDEX($Q$5:$Q$627,MATCH($A501-90,$A$5:$A$627,1)):INDEX($Q$5:$Q$627,MATCH($A501+90,$A$5:$A$627,1))),"")</f>
        <v>0</v>
      </c>
    </row>
    <row r="502" customFormat="false" ht="15" hidden="false" customHeight="false" outlineLevel="0" collapsed="false">
      <c r="A502" s="13" t="n">
        <v>46073.4726466435</v>
      </c>
      <c r="B502" s="8" t="n">
        <v>11</v>
      </c>
      <c r="C502" s="8" t="s">
        <v>84</v>
      </c>
      <c r="D502" s="8" t="s">
        <v>566</v>
      </c>
      <c r="E502" s="14" t="s">
        <v>66</v>
      </c>
      <c r="F502" s="9" t="n">
        <v>15565</v>
      </c>
      <c r="G502" s="9" t="n">
        <v>582</v>
      </c>
      <c r="H502" s="9" t="n">
        <v>291</v>
      </c>
      <c r="I502" s="9" t="n">
        <v>333</v>
      </c>
      <c r="J502" s="9" t="n">
        <v>42</v>
      </c>
      <c r="K502" s="9" t="n">
        <v>3</v>
      </c>
      <c r="L502" s="9" t="n">
        <v>0</v>
      </c>
      <c r="M502" s="10" t="n">
        <f aca="false">IFERROR(G502/F502,"")</f>
        <v>0.0373915836813363</v>
      </c>
      <c r="N502" s="10" t="n">
        <f aca="false">IFERROR(H502/G502,"")</f>
        <v>0.5</v>
      </c>
      <c r="O502" s="11" t="n">
        <f aca="false">IFERROR(I502/H502,"")</f>
        <v>1.14432989690722</v>
      </c>
      <c r="P502" s="10" t="n">
        <f aca="false">IFERROR(J502/H502,"")</f>
        <v>0.144329896907216</v>
      </c>
      <c r="Q502" s="10" t="n">
        <f aca="false">IFERROR(K502/H502,"")</f>
        <v>0.0103092783505155</v>
      </c>
      <c r="R502" s="10" t="n">
        <f aca="false">IFERROR(L502/H502,"")</f>
        <v>0</v>
      </c>
      <c r="S502" s="11" t="n">
        <f aca="false">IFERROR(M502/MEDIAN(INDEX($M$5:$M$627,MATCH($A502-90,$A$5:$A$627,1)):INDEX($M$5:$M$627,MATCH($A502+90,$A$5:$A$627,1))),"")</f>
        <v>0.764847771064257</v>
      </c>
      <c r="T502" s="11" t="n">
        <f aca="false">IFERROR(N502/MEDIAN(INDEX($N$5:$N$627,MATCH($A502-90,$A$5:$A$627,1)):INDEX($N$5:$N$627,MATCH($A502+90,$A$5:$A$627,1))),"")</f>
        <v>0.960510642078606</v>
      </c>
      <c r="U502" s="11" t="n">
        <f aca="false">IFERROR(Q502/MEDIAN(INDEX($Q$5:$Q$627,MATCH($A502-90,$A$5:$A$627,1)):INDEX($Q$5:$Q$627,MATCH($A502+90,$A$5:$A$627,1))),"")</f>
        <v>0.995509530791789</v>
      </c>
    </row>
    <row r="503" customFormat="false" ht="15" hidden="false" customHeight="false" outlineLevel="0" collapsed="false">
      <c r="A503" s="13" t="n">
        <v>46074.2507050695</v>
      </c>
      <c r="B503" s="8" t="n">
        <v>6</v>
      </c>
      <c r="C503" s="8" t="s">
        <v>68</v>
      </c>
      <c r="D503" s="8" t="s">
        <v>567</v>
      </c>
      <c r="E503" s="14" t="s">
        <v>66</v>
      </c>
      <c r="F503" s="9" t="n">
        <v>118625</v>
      </c>
      <c r="G503" s="9" t="n">
        <v>9712</v>
      </c>
      <c r="H503" s="9" t="n">
        <v>5562</v>
      </c>
      <c r="I503" s="9" t="n">
        <v>5512</v>
      </c>
      <c r="J503" s="9" t="n">
        <v>179</v>
      </c>
      <c r="K503" s="9" t="n">
        <v>234</v>
      </c>
      <c r="L503" s="9" t="n">
        <v>11</v>
      </c>
      <c r="M503" s="10" t="n">
        <f aca="false">IFERROR(G503/F503,"")</f>
        <v>0.0818714436248683</v>
      </c>
      <c r="N503" s="10" t="n">
        <f aca="false">IFERROR(H503/G503,"")</f>
        <v>0.572693574958814</v>
      </c>
      <c r="O503" s="11" t="n">
        <f aca="false">IFERROR(I503/H503,"")</f>
        <v>0.991010427903632</v>
      </c>
      <c r="P503" s="10" t="n">
        <f aca="false">IFERROR(J503/H503,"")</f>
        <v>0.0321826681049982</v>
      </c>
      <c r="Q503" s="10" t="n">
        <f aca="false">IFERROR(K503/H503,"")</f>
        <v>0.0420711974110032</v>
      </c>
      <c r="R503" s="10" t="n">
        <f aca="false">IFERROR(L503/H503,"")</f>
        <v>0.00197770586120101</v>
      </c>
      <c r="S503" s="11" t="n">
        <f aca="false">IFERROR(M503/MEDIAN(INDEX($M$5:$M$627,MATCH($A503-90,$A$5:$A$627,1)):INDEX($M$5:$M$627,MATCH($A503+90,$A$5:$A$627,1))),"")</f>
        <v>1.69543644241992</v>
      </c>
      <c r="T503" s="11" t="n">
        <f aca="false">IFERROR(N503/MEDIAN(INDEX($N$5:$N$627,MATCH($A503-90,$A$5:$A$627,1)):INDEX($N$5:$N$627,MATCH($A503+90,$A$5:$A$627,1))),"")</f>
        <v>1.09805710240037</v>
      </c>
      <c r="U503" s="11" t="n">
        <f aca="false">IFERROR(Q503/MEDIAN(INDEX($Q$5:$Q$627,MATCH($A503-90,$A$5:$A$627,1)):INDEX($Q$5:$Q$627,MATCH($A503+90,$A$5:$A$627,1))),"")</f>
        <v>4.04441962367901</v>
      </c>
    </row>
    <row r="504" customFormat="false" ht="15" hidden="false" customHeight="false" outlineLevel="0" collapsed="false">
      <c r="A504" s="13" t="n">
        <v>46076.54221625</v>
      </c>
      <c r="B504" s="8" t="n">
        <v>13</v>
      </c>
      <c r="C504" s="8" t="s">
        <v>80</v>
      </c>
      <c r="D504" s="8" t="s">
        <v>568</v>
      </c>
      <c r="E504" s="14" t="s">
        <v>66</v>
      </c>
      <c r="F504" s="9" t="n">
        <v>1132749</v>
      </c>
      <c r="G504" s="9" t="n">
        <v>67188</v>
      </c>
      <c r="H504" s="9" t="n">
        <v>27583</v>
      </c>
      <c r="I504" s="9" t="n">
        <v>21572</v>
      </c>
      <c r="J504" s="9" t="n">
        <v>991</v>
      </c>
      <c r="K504" s="9" t="n">
        <v>500</v>
      </c>
      <c r="L504" s="9" t="n">
        <v>153</v>
      </c>
      <c r="M504" s="10" t="n">
        <f aca="false">IFERROR(G504/F504,"")</f>
        <v>0.0593141110696191</v>
      </c>
      <c r="N504" s="10" t="n">
        <f aca="false">IFERROR(H504/G504,"")</f>
        <v>0.410534619277252</v>
      </c>
      <c r="O504" s="11" t="n">
        <f aca="false">IFERROR(I504/H504,"")</f>
        <v>0.782075916325273</v>
      </c>
      <c r="P504" s="10" t="n">
        <f aca="false">IFERROR(J504/H504,"")</f>
        <v>0.0359279266214697</v>
      </c>
      <c r="Q504" s="10" t="n">
        <f aca="false">IFERROR(K504/H504,"")</f>
        <v>0.0181271072762209</v>
      </c>
      <c r="R504" s="10" t="n">
        <f aca="false">IFERROR(L504/H504,"")</f>
        <v>0.00554689482652358</v>
      </c>
      <c r="S504" s="11" t="n">
        <f aca="false">IFERROR(M504/MEDIAN(INDEX($M$5:$M$627,MATCH($A504-90,$A$5:$A$627,1)):INDEX($M$5:$M$627,MATCH($A504+90,$A$5:$A$627,1))),"")</f>
        <v>1.22830746600673</v>
      </c>
      <c r="T504" s="11" t="n">
        <f aca="false">IFERROR(N504/MEDIAN(INDEX($N$5:$N$627,MATCH($A504-90,$A$5:$A$627,1)):INDEX($N$5:$N$627,MATCH($A504+90,$A$5:$A$627,1))),"")</f>
        <v>0.790156491378389</v>
      </c>
      <c r="U504" s="11" t="n">
        <f aca="false">IFERROR(Q504/MEDIAN(INDEX($Q$5:$Q$627,MATCH($A504-90,$A$5:$A$627,1)):INDEX($Q$5:$Q$627,MATCH($A504+90,$A$5:$A$627,1))),"")</f>
        <v>1.60083544777015</v>
      </c>
    </row>
    <row r="505" customFormat="false" ht="15" hidden="false" customHeight="false" outlineLevel="0" collapsed="false">
      <c r="A505" s="13" t="n">
        <v>46077.691131331</v>
      </c>
      <c r="B505" s="8" t="n">
        <v>16</v>
      </c>
      <c r="C505" s="8" t="s">
        <v>64</v>
      </c>
      <c r="D505" s="8" t="s">
        <v>569</v>
      </c>
      <c r="E505" s="14" t="s">
        <v>66</v>
      </c>
      <c r="F505" s="9" t="n">
        <v>2552</v>
      </c>
      <c r="G505" s="9" t="n">
        <v>36</v>
      </c>
      <c r="H505" s="9" t="n">
        <v>26</v>
      </c>
      <c r="I505" s="9" t="n">
        <v>27</v>
      </c>
      <c r="J505" s="9" t="n">
        <v>3</v>
      </c>
      <c r="K505" s="9" t="n">
        <v>0</v>
      </c>
      <c r="L505" s="9" t="n">
        <v>0</v>
      </c>
      <c r="M505" s="10" t="n">
        <f aca="false">IFERROR(G505/F505,"")</f>
        <v>0.0141065830721003</v>
      </c>
      <c r="N505" s="10" t="n">
        <f aca="false">IFERROR(H505/G505,"")</f>
        <v>0.722222222222222</v>
      </c>
      <c r="O505" s="11" t="n">
        <f aca="false">IFERROR(I505/H505,"")</f>
        <v>1.03846153846154</v>
      </c>
      <c r="P505" s="10" t="n">
        <f aca="false">IFERROR(J505/H505,"")</f>
        <v>0.115384615384615</v>
      </c>
      <c r="Q505" s="10" t="n">
        <f aca="false">IFERROR(K505/H505,"")</f>
        <v>0</v>
      </c>
      <c r="R505" s="10" t="n">
        <f aca="false">IFERROR(L505/H505,"")</f>
        <v>0</v>
      </c>
      <c r="S505" s="11" t="n">
        <f aca="false">IFERROR(M505/MEDIAN(INDEX($M$5:$M$627,MATCH($A505-90,$A$5:$A$627,1)):INDEX($M$5:$M$627,MATCH($A505+90,$A$5:$A$627,1))),"")</f>
        <v>0.29212646021058</v>
      </c>
      <c r="T505" s="11" t="n">
        <f aca="false">IFERROR(N505/MEDIAN(INDEX($N$5:$N$627,MATCH($A505-90,$A$5:$A$627,1)):INDEX($N$5:$N$627,MATCH($A505+90,$A$5:$A$627,1))),"")</f>
        <v>1.39006200770907</v>
      </c>
      <c r="U505" s="11" t="n">
        <f aca="false">IFERROR(Q505/MEDIAN(INDEX($Q$5:$Q$627,MATCH($A505-90,$A$5:$A$627,1)):INDEX($Q$5:$Q$627,MATCH($A505+90,$A$5:$A$627,1))),"")</f>
        <v>0</v>
      </c>
    </row>
    <row r="506" customFormat="false" ht="15" hidden="false" customHeight="false" outlineLevel="0" collapsed="false">
      <c r="A506" s="13" t="n">
        <v>46078.4937182523</v>
      </c>
      <c r="B506" s="8" t="n">
        <v>11</v>
      </c>
      <c r="C506" s="8" t="s">
        <v>71</v>
      </c>
      <c r="D506" s="8" t="s">
        <v>570</v>
      </c>
      <c r="E506" s="14" t="s">
        <v>66</v>
      </c>
      <c r="F506" s="9" t="n">
        <v>491044</v>
      </c>
      <c r="G506" s="9" t="n">
        <v>17834</v>
      </c>
      <c r="H506" s="9" t="n">
        <v>8814</v>
      </c>
      <c r="I506" s="9" t="n">
        <v>5345</v>
      </c>
      <c r="J506" s="9" t="n">
        <v>113</v>
      </c>
      <c r="K506" s="9" t="n">
        <v>320</v>
      </c>
      <c r="L506" s="9" t="n">
        <v>33</v>
      </c>
      <c r="M506" s="10" t="n">
        <f aca="false">IFERROR(G506/F506,"")</f>
        <v>0.0363185376463209</v>
      </c>
      <c r="N506" s="10" t="n">
        <f aca="false">IFERROR(H506/G506,"")</f>
        <v>0.494224514971403</v>
      </c>
      <c r="O506" s="11" t="n">
        <f aca="false">IFERROR(I506/H506,"")</f>
        <v>0.606421601996823</v>
      </c>
      <c r="P506" s="10" t="n">
        <f aca="false">IFERROR(J506/H506,"")</f>
        <v>0.0128205128205128</v>
      </c>
      <c r="Q506" s="10" t="n">
        <f aca="false">IFERROR(K506/H506,"")</f>
        <v>0.0363058770138416</v>
      </c>
      <c r="R506" s="10" t="n">
        <f aca="false">IFERROR(L506/H506,"")</f>
        <v>0.00374404356705242</v>
      </c>
      <c r="S506" s="11" t="n">
        <f aca="false">IFERROR(M506/MEDIAN(INDEX($M$5:$M$627,MATCH($A506-90,$A$5:$A$627,1)):INDEX($M$5:$M$627,MATCH($A506+90,$A$5:$A$627,1))),"")</f>
        <v>0.752103169734125</v>
      </c>
      <c r="T506" s="11" t="n">
        <f aca="false">IFERROR(N506/MEDIAN(INDEX($N$5:$N$627,MATCH($A506-90,$A$5:$A$627,1)):INDEX($N$5:$N$627,MATCH($A506+90,$A$5:$A$627,1))),"")</f>
        <v>0.9476040287055</v>
      </c>
      <c r="U506" s="11" t="n">
        <f aca="false">IFERROR(Q506/MEDIAN(INDEX($Q$5:$Q$627,MATCH($A506-90,$A$5:$A$627,1)):INDEX($Q$5:$Q$627,MATCH($A506+90,$A$5:$A$627,1))),"")</f>
        <v>3.19491717721806</v>
      </c>
    </row>
    <row r="507" customFormat="false" ht="15" hidden="false" customHeight="false" outlineLevel="0" collapsed="false">
      <c r="A507" s="13" t="n">
        <v>46079.506832338</v>
      </c>
      <c r="B507" s="8" t="n">
        <v>12</v>
      </c>
      <c r="C507" s="8" t="s">
        <v>73</v>
      </c>
      <c r="D507" s="8" t="s">
        <v>571</v>
      </c>
      <c r="E507" s="14" t="s">
        <v>66</v>
      </c>
      <c r="F507" s="9" t="n">
        <v>1751</v>
      </c>
      <c r="G507" s="9" t="n">
        <v>21</v>
      </c>
      <c r="H507" s="9" t="n">
        <v>9</v>
      </c>
      <c r="I507" s="9" t="n">
        <v>5</v>
      </c>
      <c r="J507" s="9" t="n">
        <v>1</v>
      </c>
      <c r="K507" s="9" t="n">
        <v>0</v>
      </c>
      <c r="L507" s="9" t="n">
        <v>0</v>
      </c>
      <c r="M507" s="10" t="n">
        <f aca="false">IFERROR(G507/F507,"")</f>
        <v>0.0119931467732724</v>
      </c>
      <c r="N507" s="10" t="n">
        <f aca="false">IFERROR(H507/G507,"")</f>
        <v>0.428571428571429</v>
      </c>
      <c r="O507" s="11" t="n">
        <f aca="false">IFERROR(I507/H507,"")</f>
        <v>0.555555555555556</v>
      </c>
      <c r="P507" s="10" t="n">
        <f aca="false">IFERROR(J507/H507,"")</f>
        <v>0.111111111111111</v>
      </c>
      <c r="Q507" s="10" t="n">
        <f aca="false">IFERROR(K507/H507,"")</f>
        <v>0</v>
      </c>
      <c r="R507" s="10" t="n">
        <f aca="false">IFERROR(L507/H507,"")</f>
        <v>0</v>
      </c>
      <c r="S507" s="11" t="n">
        <f aca="false">IFERROR(M507/MEDIAN(INDEX($M$5:$M$627,MATCH($A507-90,$A$5:$A$627,1)):INDEX($M$5:$M$627,MATCH($A507+90,$A$5:$A$627,1))),"")</f>
        <v>0.251162698939534</v>
      </c>
      <c r="T507" s="11" t="n">
        <f aca="false">IFERROR(N507/MEDIAN(INDEX($N$5:$N$627,MATCH($A507-90,$A$5:$A$627,1)):INDEX($N$5:$N$627,MATCH($A507+90,$A$5:$A$627,1))),"")</f>
        <v>0.823294836067377</v>
      </c>
      <c r="U507" s="11" t="n">
        <f aca="false">IFERROR(Q507/MEDIAN(INDEX($Q$5:$Q$627,MATCH($A507-90,$A$5:$A$627,1)):INDEX($Q$5:$Q$627,MATCH($A507+90,$A$5:$A$627,1))),"")</f>
        <v>0</v>
      </c>
    </row>
    <row r="508" customFormat="false" ht="15" hidden="false" customHeight="false" outlineLevel="0" collapsed="false">
      <c r="A508" s="13" t="n">
        <v>46080.2510791782</v>
      </c>
      <c r="B508" s="8" t="n">
        <v>6</v>
      </c>
      <c r="C508" s="8" t="s">
        <v>84</v>
      </c>
      <c r="D508" s="8" t="s">
        <v>572</v>
      </c>
      <c r="E508" s="14" t="s">
        <v>66</v>
      </c>
      <c r="F508" s="9" t="n">
        <v>963865</v>
      </c>
      <c r="G508" s="9" t="n">
        <v>99189</v>
      </c>
      <c r="H508" s="9" t="n">
        <v>50407</v>
      </c>
      <c r="I508" s="9" t="n">
        <v>42779</v>
      </c>
      <c r="J508" s="9" t="n">
        <v>1473</v>
      </c>
      <c r="K508" s="9" t="n">
        <v>693</v>
      </c>
      <c r="L508" s="9" t="n">
        <v>158</v>
      </c>
      <c r="M508" s="10" t="n">
        <f aca="false">IFERROR(G508/F508,"")</f>
        <v>0.102907564856074</v>
      </c>
      <c r="N508" s="10" t="n">
        <f aca="false">IFERROR(H508/G508,"")</f>
        <v>0.508191432517719</v>
      </c>
      <c r="O508" s="11" t="n">
        <f aca="false">IFERROR(I508/H508,"")</f>
        <v>0.848671811454758</v>
      </c>
      <c r="P508" s="10" t="n">
        <f aca="false">IFERROR(J508/H508,"")</f>
        <v>0.0292221318467673</v>
      </c>
      <c r="Q508" s="10" t="n">
        <f aca="false">IFERROR(K508/H508,"")</f>
        <v>0.0137480905429801</v>
      </c>
      <c r="R508" s="10" t="n">
        <f aca="false">IFERROR(L508/H508,"")</f>
        <v>0.0031344852897415</v>
      </c>
      <c r="S508" s="11" t="n">
        <f aca="false">IFERROR(M508/MEDIAN(INDEX($M$5:$M$627,MATCH($A508-90,$A$5:$A$627,1)):INDEX($M$5:$M$627,MATCH($A508+90,$A$5:$A$627,1))),"")</f>
        <v>2.15510926524701</v>
      </c>
      <c r="T508" s="11" t="n">
        <f aca="false">IFERROR(N508/MEDIAN(INDEX($N$5:$N$627,MATCH($A508-90,$A$5:$A$627,1)):INDEX($N$5:$N$627,MATCH($A508+90,$A$5:$A$627,1))),"")</f>
        <v>0.981432247660987</v>
      </c>
      <c r="U508" s="11" t="n">
        <f aca="false">IFERROR(Q508/MEDIAN(INDEX($Q$5:$Q$627,MATCH($A508-90,$A$5:$A$627,1)):INDEX($Q$5:$Q$627,MATCH($A508+90,$A$5:$A$627,1))),"")</f>
        <v>1.16649029951144</v>
      </c>
    </row>
    <row r="509" customFormat="false" ht="15" hidden="false" customHeight="false" outlineLevel="0" collapsed="false">
      <c r="A509" s="13" t="n">
        <v>46081.2504177083</v>
      </c>
      <c r="B509" s="8" t="n">
        <v>6</v>
      </c>
      <c r="C509" s="8" t="s">
        <v>68</v>
      </c>
      <c r="D509" s="8" t="s">
        <v>573</v>
      </c>
      <c r="E509" s="14" t="s">
        <v>66</v>
      </c>
      <c r="F509" s="9" t="n">
        <v>2012885</v>
      </c>
      <c r="G509" s="9" t="n">
        <v>164828</v>
      </c>
      <c r="H509" s="9" t="n">
        <v>95473</v>
      </c>
      <c r="I509" s="9" t="n">
        <v>94658</v>
      </c>
      <c r="J509" s="9" t="n">
        <v>2191</v>
      </c>
      <c r="K509" s="9" t="n">
        <v>529</v>
      </c>
      <c r="L509" s="9" t="n">
        <v>256</v>
      </c>
      <c r="M509" s="10" t="n">
        <f aca="false">IFERROR(G509/F509,"")</f>
        <v>0.0818864465679858</v>
      </c>
      <c r="N509" s="10" t="n">
        <f aca="false">IFERROR(H509/G509,"")</f>
        <v>0.57922804377897</v>
      </c>
      <c r="O509" s="11" t="n">
        <f aca="false">IFERROR(I509/H509,"")</f>
        <v>0.991463555141244</v>
      </c>
      <c r="P509" s="10" t="n">
        <f aca="false">IFERROR(J509/H509,"")</f>
        <v>0.0229488965466676</v>
      </c>
      <c r="Q509" s="10" t="n">
        <f aca="false">IFERROR(K509/H509,"")</f>
        <v>0.00554083353408817</v>
      </c>
      <c r="R509" s="10" t="n">
        <f aca="false">IFERROR(L509/H509,"")</f>
        <v>0.00268138636054172</v>
      </c>
      <c r="S509" s="11" t="n">
        <f aca="false">IFERROR(M509/MEDIAN(INDEX($M$5:$M$627,MATCH($A509-90,$A$5:$A$627,1)):INDEX($M$5:$M$627,MATCH($A509+90,$A$5:$A$627,1))),"")</f>
        <v>1.69574713117022</v>
      </c>
      <c r="T509" s="11" t="n">
        <f aca="false">IFERROR(N509/MEDIAN(INDEX($N$5:$N$627,MATCH($A509-90,$A$5:$A$627,1)):INDEX($N$5:$N$627,MATCH($A509+90,$A$5:$A$627,1))),"")</f>
        <v>1.11484093494017</v>
      </c>
      <c r="U509" s="11" t="n">
        <f aca="false">IFERROR(Q509/MEDIAN(INDEX($Q$5:$Q$627,MATCH($A509-90,$A$5:$A$627,1)):INDEX($Q$5:$Q$627,MATCH($A509+90,$A$5:$A$627,1))),"")</f>
        <v>0.471327717642063</v>
      </c>
    </row>
    <row r="510" customFormat="false" ht="15" hidden="false" customHeight="false" outlineLevel="0" collapsed="false">
      <c r="A510" s="13" t="n">
        <v>46083.4837538889</v>
      </c>
      <c r="B510" s="8" t="n">
        <v>11</v>
      </c>
      <c r="C510" s="8" t="s">
        <v>80</v>
      </c>
      <c r="D510" s="8" t="s">
        <v>574</v>
      </c>
      <c r="E510" s="14" t="s">
        <v>66</v>
      </c>
      <c r="F510" s="9" t="n">
        <v>209</v>
      </c>
      <c r="G510" s="9" t="n">
        <v>20</v>
      </c>
      <c r="H510" s="9" t="n">
        <v>18</v>
      </c>
      <c r="I510" s="9" t="n">
        <v>19</v>
      </c>
      <c r="J510" s="9" t="n">
        <v>1</v>
      </c>
      <c r="K510" s="9" t="n">
        <v>1</v>
      </c>
      <c r="L510" s="9" t="n">
        <v>0</v>
      </c>
      <c r="M510" s="10" t="n">
        <f aca="false">IFERROR(G510/F510,"")</f>
        <v>0.0956937799043062</v>
      </c>
      <c r="N510" s="10" t="n">
        <f aca="false">IFERROR(H510/G510,"")</f>
        <v>0.9</v>
      </c>
      <c r="O510" s="11" t="n">
        <f aca="false">IFERROR(I510/H510,"")</f>
        <v>1.05555555555556</v>
      </c>
      <c r="P510" s="10" t="n">
        <f aca="false">IFERROR(J510/H510,"")</f>
        <v>0.0555555555555556</v>
      </c>
      <c r="Q510" s="10" t="n">
        <f aca="false">IFERROR(K510/H510,"")</f>
        <v>0.0555555555555556</v>
      </c>
      <c r="R510" s="10" t="n">
        <f aca="false">IFERROR(L510/H510,"")</f>
        <v>0</v>
      </c>
      <c r="S510" s="11" t="n">
        <f aca="false">IFERROR(M510/MEDIAN(INDEX($M$5:$M$627,MATCH($A510-90,$A$5:$A$627,1)):INDEX($M$5:$M$627,MATCH($A510+90,$A$5:$A$627,1))),"")</f>
        <v>1.98167657218873</v>
      </c>
      <c r="T510" s="11" t="n">
        <f aca="false">IFERROR(N510/MEDIAN(INDEX($N$5:$N$627,MATCH($A510-90,$A$5:$A$627,1)):INDEX($N$5:$N$627,MATCH($A510+90,$A$5:$A$627,1))),"")</f>
        <v>1.73223111729899</v>
      </c>
      <c r="U510" s="11" t="n">
        <f aca="false">IFERROR(Q510/MEDIAN(INDEX($Q$5:$Q$627,MATCH($A510-90,$A$5:$A$627,1)):INDEX($Q$5:$Q$627,MATCH($A510+90,$A$5:$A$627,1))),"")</f>
        <v>4.79213483146067</v>
      </c>
    </row>
    <row r="511" customFormat="false" ht="15" hidden="false" customHeight="false" outlineLevel="0" collapsed="false">
      <c r="A511" s="13" t="n">
        <v>46083.5443805671</v>
      </c>
      <c r="B511" s="8" t="n">
        <v>13</v>
      </c>
      <c r="C511" s="8" t="s">
        <v>80</v>
      </c>
      <c r="D511" s="8" t="s">
        <v>575</v>
      </c>
      <c r="E511" s="14" t="s">
        <v>66</v>
      </c>
      <c r="F511" s="9" t="n">
        <v>88664</v>
      </c>
      <c r="G511" s="9" t="n">
        <v>1127</v>
      </c>
      <c r="H511" s="9" t="n">
        <v>330</v>
      </c>
      <c r="I511" s="9" t="n">
        <v>320</v>
      </c>
      <c r="J511" s="9" t="n">
        <v>45</v>
      </c>
      <c r="K511" s="9" t="n">
        <v>51</v>
      </c>
      <c r="L511" s="9" t="n">
        <v>8</v>
      </c>
      <c r="M511" s="10" t="n">
        <f aca="false">IFERROR(G511/F511,"")</f>
        <v>0.0127109085987549</v>
      </c>
      <c r="N511" s="10" t="n">
        <f aca="false">IFERROR(H511/G511,"")</f>
        <v>0.292812777284827</v>
      </c>
      <c r="O511" s="11" t="n">
        <f aca="false">IFERROR(I511/H511,"")</f>
        <v>0.96969696969697</v>
      </c>
      <c r="P511" s="10" t="n">
        <f aca="false">IFERROR(J511/H511,"")</f>
        <v>0.136363636363636</v>
      </c>
      <c r="Q511" s="10" t="n">
        <f aca="false">IFERROR(K511/H511,"")</f>
        <v>0.154545454545455</v>
      </c>
      <c r="R511" s="10" t="n">
        <f aca="false">IFERROR(L511/H511,"")</f>
        <v>0.0242424242424242</v>
      </c>
      <c r="S511" s="11" t="n">
        <f aca="false">IFERROR(M511/MEDIAN(INDEX($M$5:$M$627,MATCH($A511-90,$A$5:$A$627,1)):INDEX($M$5:$M$627,MATCH($A511+90,$A$5:$A$627,1))),"")</f>
        <v>0.26322410721547</v>
      </c>
      <c r="T511" s="11" t="n">
        <f aca="false">IFERROR(N511/MEDIAN(INDEX($N$5:$N$627,MATCH($A511-90,$A$5:$A$627,1)):INDEX($N$5:$N$627,MATCH($A511+90,$A$5:$A$627,1))),"")</f>
        <v>0.563577115950574</v>
      </c>
      <c r="U511" s="11" t="n">
        <f aca="false">IFERROR(Q511/MEDIAN(INDEX($Q$5:$Q$627,MATCH($A511-90,$A$5:$A$627,1)):INDEX($Q$5:$Q$627,MATCH($A511+90,$A$5:$A$627,1))),"")</f>
        <v>13.3308478038815</v>
      </c>
    </row>
    <row r="512" customFormat="false" ht="15" hidden="false" customHeight="false" outlineLevel="0" collapsed="false">
      <c r="A512" s="13" t="n">
        <v>46084.4826965972</v>
      </c>
      <c r="B512" s="8" t="n">
        <v>11</v>
      </c>
      <c r="C512" s="8" t="s">
        <v>64</v>
      </c>
      <c r="D512" s="8" t="s">
        <v>576</v>
      </c>
      <c r="E512" s="14" t="s">
        <v>66</v>
      </c>
      <c r="F512" s="9" t="n">
        <v>3903</v>
      </c>
      <c r="G512" s="9" t="n">
        <v>32</v>
      </c>
      <c r="H512" s="9" t="n">
        <v>14</v>
      </c>
      <c r="I512" s="9" t="n">
        <v>11</v>
      </c>
      <c r="J512" s="9" t="n">
        <v>2</v>
      </c>
      <c r="K512" s="9" t="n">
        <v>0</v>
      </c>
      <c r="L512" s="9" t="n">
        <v>0</v>
      </c>
      <c r="M512" s="10" t="n">
        <f aca="false">IFERROR(G512/F512,"")</f>
        <v>0.00819882141942096</v>
      </c>
      <c r="N512" s="10" t="n">
        <f aca="false">IFERROR(H512/G512,"")</f>
        <v>0.4375</v>
      </c>
      <c r="O512" s="11" t="n">
        <f aca="false">IFERROR(I512/H512,"")</f>
        <v>0.785714285714286</v>
      </c>
      <c r="P512" s="10" t="n">
        <f aca="false">IFERROR(J512/H512,"")</f>
        <v>0.142857142857143</v>
      </c>
      <c r="Q512" s="10" t="n">
        <f aca="false">IFERROR(K512/H512,"")</f>
        <v>0</v>
      </c>
      <c r="R512" s="10" t="n">
        <f aca="false">IFERROR(L512/H512,"")</f>
        <v>0</v>
      </c>
      <c r="S512" s="11" t="n">
        <f aca="false">IFERROR(M512/MEDIAN(INDEX($M$5:$M$627,MATCH($A512-90,$A$5:$A$627,1)):INDEX($M$5:$M$627,MATCH($A512+90,$A$5:$A$627,1))),"")</f>
        <v>0.171701235276649</v>
      </c>
      <c r="T512" s="11" t="n">
        <f aca="false">IFERROR(N512/MEDIAN(INDEX($N$5:$N$627,MATCH($A512-90,$A$5:$A$627,1)):INDEX($N$5:$N$627,MATCH($A512+90,$A$5:$A$627,1))),"")</f>
        <v>0.84491115134396</v>
      </c>
      <c r="U512" s="11" t="n">
        <f aca="false">IFERROR(Q512/MEDIAN(INDEX($Q$5:$Q$627,MATCH($A512-90,$A$5:$A$627,1)):INDEX($Q$5:$Q$627,MATCH($A512+90,$A$5:$A$627,1))),"")</f>
        <v>0</v>
      </c>
    </row>
    <row r="513" customFormat="false" ht="15" hidden="false" customHeight="false" outlineLevel="0" collapsed="false">
      <c r="A513" s="13" t="n">
        <v>46085.483306713</v>
      </c>
      <c r="B513" s="8" t="n">
        <v>11</v>
      </c>
      <c r="C513" s="8" t="s">
        <v>71</v>
      </c>
      <c r="D513" s="8" t="s">
        <v>574</v>
      </c>
      <c r="E513" s="14" t="s">
        <v>66</v>
      </c>
      <c r="F513" s="9" t="n">
        <v>13478</v>
      </c>
      <c r="G513" s="9" t="n">
        <v>1695</v>
      </c>
      <c r="H513" s="9" t="n">
        <v>897</v>
      </c>
      <c r="I513" s="9" t="n">
        <v>0</v>
      </c>
      <c r="J513" s="9" t="n">
        <v>92</v>
      </c>
      <c r="K513" s="9" t="n">
        <v>29</v>
      </c>
      <c r="L513" s="9" t="n">
        <v>5</v>
      </c>
      <c r="M513" s="10" t="n">
        <f aca="false">IFERROR(G513/F513,"")</f>
        <v>0.125760498590295</v>
      </c>
      <c r="N513" s="10" t="n">
        <f aca="false">IFERROR(H513/G513,"")</f>
        <v>0.529203539823009</v>
      </c>
      <c r="O513" s="11" t="n">
        <f aca="false">IFERROR(I513/H513,"")</f>
        <v>0</v>
      </c>
      <c r="P513" s="10" t="n">
        <f aca="false">IFERROR(J513/H513,"")</f>
        <v>0.102564102564103</v>
      </c>
      <c r="Q513" s="10" t="n">
        <f aca="false">IFERROR(K513/H513,"")</f>
        <v>0.032329988851728</v>
      </c>
      <c r="R513" s="10" t="n">
        <f aca="false">IFERROR(L513/H513,"")</f>
        <v>0.00557413600891862</v>
      </c>
      <c r="S513" s="11" t="n">
        <f aca="false">IFERROR(M513/MEDIAN(INDEX($M$5:$M$627,MATCH($A513-90,$A$5:$A$627,1)):INDEX($M$5:$M$627,MATCH($A513+90,$A$5:$A$627,1))),"")</f>
        <v>2.57244084268964</v>
      </c>
      <c r="T513" s="11" t="n">
        <f aca="false">IFERROR(N513/MEDIAN(INDEX($N$5:$N$627,MATCH($A513-90,$A$5:$A$627,1)):INDEX($N$5:$N$627,MATCH($A513+90,$A$5:$A$627,1))),"")</f>
        <v>1.01661126365134</v>
      </c>
      <c r="U513" s="11" t="n">
        <f aca="false">IFERROR(Q513/MEDIAN(INDEX($Q$5:$Q$627,MATCH($A513-90,$A$5:$A$627,1)):INDEX($Q$5:$Q$627,MATCH($A513+90,$A$5:$A$627,1))),"")</f>
        <v>2.74311681763763</v>
      </c>
    </row>
    <row r="514" customFormat="false" ht="15" hidden="false" customHeight="false" outlineLevel="0" collapsed="false">
      <c r="A514" s="13" t="n">
        <v>46086.497163588</v>
      </c>
      <c r="B514" s="8" t="n">
        <v>11</v>
      </c>
      <c r="C514" s="8" t="s">
        <v>73</v>
      </c>
      <c r="D514" s="8" t="s">
        <v>577</v>
      </c>
      <c r="E514" s="14" t="s">
        <v>66</v>
      </c>
      <c r="F514" s="9" t="n">
        <v>1429</v>
      </c>
      <c r="G514" s="9" t="n">
        <v>19</v>
      </c>
      <c r="H514" s="9" t="n">
        <v>10</v>
      </c>
      <c r="I514" s="9" t="n">
        <v>26</v>
      </c>
      <c r="J514" s="9" t="n">
        <v>3</v>
      </c>
      <c r="K514" s="9" t="n">
        <v>0</v>
      </c>
      <c r="L514" s="9" t="n">
        <v>0</v>
      </c>
      <c r="M514" s="10" t="n">
        <f aca="false">IFERROR(G514/F514,"")</f>
        <v>0.013296011196641</v>
      </c>
      <c r="N514" s="10" t="n">
        <f aca="false">IFERROR(H514/G514,"")</f>
        <v>0.526315789473684</v>
      </c>
      <c r="O514" s="11" t="n">
        <f aca="false">IFERROR(I514/H514,"")</f>
        <v>2.6</v>
      </c>
      <c r="P514" s="10" t="n">
        <f aca="false">IFERROR(J514/H514,"")</f>
        <v>0.3</v>
      </c>
      <c r="Q514" s="10" t="n">
        <f aca="false">IFERROR(K514/H514,"")</f>
        <v>0</v>
      </c>
      <c r="R514" s="10" t="n">
        <f aca="false">IFERROR(L514/H514,"")</f>
        <v>0</v>
      </c>
      <c r="S514" s="11" t="n">
        <f aca="false">IFERROR(M514/MEDIAN(INDEX($M$5:$M$627,MATCH($A514-90,$A$5:$A$627,1)):INDEX($M$5:$M$627,MATCH($A514+90,$A$5:$A$627,1))),"")</f>
        <v>0.278447526775945</v>
      </c>
      <c r="T514" s="11" t="n">
        <f aca="false">IFERROR(N514/MEDIAN(INDEX($N$5:$N$627,MATCH($A514-90,$A$5:$A$627,1)):INDEX($N$5:$N$627,MATCH($A514+90,$A$5:$A$627,1))),"")</f>
        <v>1.00772229381169</v>
      </c>
      <c r="U514" s="11" t="n">
        <f aca="false">IFERROR(Q514/MEDIAN(INDEX($Q$5:$Q$627,MATCH($A514-90,$A$5:$A$627,1)):INDEX($Q$5:$Q$627,MATCH($A514+90,$A$5:$A$627,1))),"")</f>
        <v>0</v>
      </c>
    </row>
    <row r="515" customFormat="false" ht="15" hidden="false" customHeight="false" outlineLevel="0" collapsed="false">
      <c r="A515" s="13" t="n">
        <v>46087.2596935764</v>
      </c>
      <c r="B515" s="8" t="n">
        <v>6</v>
      </c>
      <c r="C515" s="8" t="s">
        <v>84</v>
      </c>
      <c r="D515" s="8" t="s">
        <v>578</v>
      </c>
      <c r="E515" s="14" t="s">
        <v>66</v>
      </c>
      <c r="F515" s="9" t="n">
        <v>102812</v>
      </c>
      <c r="G515" s="9" t="n">
        <v>6125</v>
      </c>
      <c r="H515" s="9" t="n">
        <v>2199</v>
      </c>
      <c r="I515" s="9" t="n">
        <v>550</v>
      </c>
      <c r="J515" s="9" t="n">
        <v>136</v>
      </c>
      <c r="K515" s="9" t="n">
        <v>52</v>
      </c>
      <c r="L515" s="9" t="n">
        <v>37</v>
      </c>
      <c r="M515" s="10" t="n">
        <f aca="false">IFERROR(G515/F515,"")</f>
        <v>0.0595747578103723</v>
      </c>
      <c r="N515" s="10" t="n">
        <f aca="false">IFERROR(H515/G515,"")</f>
        <v>0.359020408163265</v>
      </c>
      <c r="O515" s="11" t="n">
        <f aca="false">IFERROR(I515/H515,"")</f>
        <v>0.250113688040018</v>
      </c>
      <c r="P515" s="10" t="n">
        <f aca="false">IFERROR(J515/H515,"")</f>
        <v>0.0618462937698954</v>
      </c>
      <c r="Q515" s="10" t="n">
        <f aca="false">IFERROR(K515/H515,"")</f>
        <v>0.0236471123237835</v>
      </c>
      <c r="R515" s="10" t="n">
        <f aca="false">IFERROR(L515/H515,"")</f>
        <v>0.0168258299226921</v>
      </c>
      <c r="S515" s="11" t="n">
        <f aca="false">IFERROR(M515/MEDIAN(INDEX($M$5:$M$627,MATCH($A515-90,$A$5:$A$627,1)):INDEX($M$5:$M$627,MATCH($A515+90,$A$5:$A$627,1))),"")</f>
        <v>1.24762560178686</v>
      </c>
      <c r="T515" s="11" t="n">
        <f aca="false">IFERROR(N515/MEDIAN(INDEX($N$5:$N$627,MATCH($A515-90,$A$5:$A$627,1)):INDEX($N$5:$N$627,MATCH($A515+90,$A$5:$A$627,1))),"")</f>
        <v>0.68740645155504</v>
      </c>
      <c r="U515" s="11" t="n">
        <f aca="false">IFERROR(Q515/MEDIAN(INDEX($Q$5:$Q$627,MATCH($A515-90,$A$5:$A$627,1)):INDEX($Q$5:$Q$627,MATCH($A515+90,$A$5:$A$627,1))),"")</f>
        <v>1.91284257228239</v>
      </c>
    </row>
    <row r="516" customFormat="false" ht="15" hidden="false" customHeight="false" outlineLevel="0" collapsed="false">
      <c r="A516" s="13" t="n">
        <v>46088.2508774421</v>
      </c>
      <c r="B516" s="8" t="n">
        <v>6</v>
      </c>
      <c r="C516" s="8" t="s">
        <v>68</v>
      </c>
      <c r="D516" s="8" t="s">
        <v>579</v>
      </c>
      <c r="E516" s="14" t="s">
        <v>66</v>
      </c>
      <c r="F516" s="9" t="n">
        <v>14550</v>
      </c>
      <c r="G516" s="9" t="n">
        <v>877</v>
      </c>
      <c r="H516" s="9" t="n">
        <v>525</v>
      </c>
      <c r="I516" s="9" t="n">
        <v>574</v>
      </c>
      <c r="J516" s="9" t="n">
        <v>33</v>
      </c>
      <c r="K516" s="9" t="n">
        <v>8</v>
      </c>
      <c r="L516" s="9" t="n">
        <v>2</v>
      </c>
      <c r="M516" s="10" t="n">
        <f aca="false">IFERROR(G516/F516,"")</f>
        <v>0.0602749140893471</v>
      </c>
      <c r="N516" s="10" t="n">
        <f aca="false">IFERROR(H516/G516,"")</f>
        <v>0.598631698973774</v>
      </c>
      <c r="O516" s="11" t="n">
        <f aca="false">IFERROR(I516/H516,"")</f>
        <v>1.09333333333333</v>
      </c>
      <c r="P516" s="10" t="n">
        <f aca="false">IFERROR(J516/H516,"")</f>
        <v>0.0628571428571429</v>
      </c>
      <c r="Q516" s="10" t="n">
        <f aca="false">IFERROR(K516/H516,"")</f>
        <v>0.0152380952380952</v>
      </c>
      <c r="R516" s="10" t="n">
        <f aca="false">IFERROR(L516/H516,"")</f>
        <v>0.00380952380952381</v>
      </c>
      <c r="S516" s="11" t="n">
        <f aca="false">IFERROR(M516/MEDIAN(INDEX($M$5:$M$627,MATCH($A516-90,$A$5:$A$627,1)):INDEX($M$5:$M$627,MATCH($A516+90,$A$5:$A$627,1))),"")</f>
        <v>1.26228840413817</v>
      </c>
      <c r="T516" s="11" t="n">
        <f aca="false">IFERROR(N516/MEDIAN(INDEX($N$5:$N$627,MATCH($A516-90,$A$5:$A$627,1)):INDEX($N$5:$N$627,MATCH($A516+90,$A$5:$A$627,1))),"")</f>
        <v>1.14998423509981</v>
      </c>
      <c r="U516" s="11" t="n">
        <f aca="false">IFERROR(Q516/MEDIAN(INDEX($Q$5:$Q$627,MATCH($A516-90,$A$5:$A$627,1)):INDEX($Q$5:$Q$627,MATCH($A516+90,$A$5:$A$627,1))),"")</f>
        <v>1.17284804934464</v>
      </c>
    </row>
    <row r="517" customFormat="false" ht="15" hidden="false" customHeight="false" outlineLevel="0" collapsed="false">
      <c r="A517" s="13" t="n">
        <v>46090.2557090625</v>
      </c>
      <c r="B517" s="8" t="n">
        <v>6</v>
      </c>
      <c r="C517" s="8" t="s">
        <v>80</v>
      </c>
      <c r="D517" s="8" t="s">
        <v>580</v>
      </c>
      <c r="E517" s="14" t="s">
        <v>66</v>
      </c>
      <c r="F517" s="9" t="n">
        <v>1067084</v>
      </c>
      <c r="G517" s="9" t="n">
        <v>115300</v>
      </c>
      <c r="H517" s="9" t="n">
        <v>45094</v>
      </c>
      <c r="I517" s="9" t="n">
        <v>40529</v>
      </c>
      <c r="J517" s="9" t="n">
        <v>1030</v>
      </c>
      <c r="K517" s="9" t="n">
        <v>232</v>
      </c>
      <c r="L517" s="9" t="n">
        <v>146</v>
      </c>
      <c r="M517" s="10" t="n">
        <f aca="false">IFERROR(G517/F517,"")</f>
        <v>0.108051474860461</v>
      </c>
      <c r="N517" s="10" t="n">
        <f aca="false">IFERROR(H517/G517,"")</f>
        <v>0.391101474414571</v>
      </c>
      <c r="O517" s="11" t="n">
        <f aca="false">IFERROR(I517/H517,"")</f>
        <v>0.898767020002661</v>
      </c>
      <c r="P517" s="10" t="n">
        <f aca="false">IFERROR(J517/H517,"")</f>
        <v>0.0228411762096953</v>
      </c>
      <c r="Q517" s="10" t="n">
        <f aca="false">IFERROR(K517/H517,"")</f>
        <v>0.00514480862198962</v>
      </c>
      <c r="R517" s="10" t="n">
        <f aca="false">IFERROR(L517/H517,"")</f>
        <v>0.00323768128797623</v>
      </c>
      <c r="S517" s="11" t="n">
        <f aca="false">IFERROR(M517/MEDIAN(INDEX($M$5:$M$627,MATCH($A517-90,$A$5:$A$627,1)):INDEX($M$5:$M$627,MATCH($A517+90,$A$5:$A$627,1))),"")</f>
        <v>2.18347879920828</v>
      </c>
      <c r="T517" s="11" t="n">
        <f aca="false">IFERROR(N517/MEDIAN(INDEX($N$5:$N$627,MATCH($A517-90,$A$5:$A$627,1)):INDEX($N$5:$N$627,MATCH($A517+90,$A$5:$A$627,1))),"")</f>
        <v>0.749880512927111</v>
      </c>
      <c r="U517" s="11" t="n">
        <f aca="false">IFERROR(Q517/MEDIAN(INDEX($Q$5:$Q$627,MATCH($A517-90,$A$5:$A$627,1)):INDEX($Q$5:$Q$627,MATCH($A517+90,$A$5:$A$627,1))),"")</f>
        <v>0.398554902705653</v>
      </c>
    </row>
    <row r="518" customFormat="false" ht="15" hidden="false" customHeight="false" outlineLevel="0" collapsed="false">
      <c r="A518" s="13" t="n">
        <v>46091.5403608796</v>
      </c>
      <c r="B518" s="8" t="n">
        <v>12</v>
      </c>
      <c r="C518" s="8" t="s">
        <v>64</v>
      </c>
      <c r="D518" s="8" t="s">
        <v>581</v>
      </c>
      <c r="E518" s="14" t="s">
        <v>66</v>
      </c>
      <c r="F518" s="9" t="n">
        <v>2257</v>
      </c>
      <c r="G518" s="9" t="n">
        <v>37</v>
      </c>
      <c r="H518" s="9" t="n">
        <v>29</v>
      </c>
      <c r="I518" s="9" t="n">
        <v>38</v>
      </c>
      <c r="J518" s="9" t="n">
        <v>3</v>
      </c>
      <c r="K518" s="9" t="n">
        <v>0</v>
      </c>
      <c r="L518" s="9" t="n">
        <v>0</v>
      </c>
      <c r="M518" s="10" t="n">
        <f aca="false">IFERROR(G518/F518,"")</f>
        <v>0.0163934426229508</v>
      </c>
      <c r="N518" s="10" t="n">
        <f aca="false">IFERROR(H518/G518,"")</f>
        <v>0.783783783783784</v>
      </c>
      <c r="O518" s="11" t="n">
        <f aca="false">IFERROR(I518/H518,"")</f>
        <v>1.31034482758621</v>
      </c>
      <c r="P518" s="10" t="n">
        <f aca="false">IFERROR(J518/H518,"")</f>
        <v>0.103448275862069</v>
      </c>
      <c r="Q518" s="10" t="n">
        <f aca="false">IFERROR(K518/H518,"")</f>
        <v>0</v>
      </c>
      <c r="R518" s="10" t="n">
        <f aca="false">IFERROR(L518/H518,"")</f>
        <v>0</v>
      </c>
      <c r="S518" s="11" t="n">
        <f aca="false">IFERROR(M518/MEDIAN(INDEX($M$5:$M$627,MATCH($A518-90,$A$5:$A$627,1)):INDEX($M$5:$M$627,MATCH($A518+90,$A$5:$A$627,1))),"")</f>
        <v>0.339483937366757</v>
      </c>
      <c r="T518" s="11" t="n">
        <f aca="false">IFERROR(N518/MEDIAN(INDEX($N$5:$N$627,MATCH($A518-90,$A$5:$A$627,1)):INDEX($N$5:$N$627,MATCH($A518+90,$A$5:$A$627,1))),"")</f>
        <v>1.50854962167179</v>
      </c>
      <c r="U518" s="11" t="n">
        <f aca="false">IFERROR(Q518/MEDIAN(INDEX($Q$5:$Q$627,MATCH($A518-90,$A$5:$A$627,1)):INDEX($Q$5:$Q$627,MATCH($A518+90,$A$5:$A$627,1))),"")</f>
        <v>0</v>
      </c>
    </row>
    <row r="519" customFormat="false" ht="15" hidden="false" customHeight="false" outlineLevel="0" collapsed="false">
      <c r="A519" s="13" t="n">
        <v>46092.2506774884</v>
      </c>
      <c r="B519" s="8" t="n">
        <v>6</v>
      </c>
      <c r="C519" s="8" t="s">
        <v>71</v>
      </c>
      <c r="D519" s="8" t="s">
        <v>582</v>
      </c>
      <c r="E519" s="14" t="s">
        <v>66</v>
      </c>
      <c r="F519" s="9" t="n">
        <v>1009160</v>
      </c>
      <c r="G519" s="9" t="n">
        <v>45154</v>
      </c>
      <c r="H519" s="9" t="n">
        <v>22616</v>
      </c>
      <c r="I519" s="9" t="n">
        <v>17012</v>
      </c>
      <c r="J519" s="9" t="n">
        <v>891</v>
      </c>
      <c r="K519" s="9" t="n">
        <v>257</v>
      </c>
      <c r="L519" s="9" t="n">
        <v>69</v>
      </c>
      <c r="M519" s="10" t="n">
        <f aca="false">IFERROR(G519/F519,"")</f>
        <v>0.044744143644219</v>
      </c>
      <c r="N519" s="10" t="n">
        <f aca="false">IFERROR(H519/G519,"")</f>
        <v>0.500863710856181</v>
      </c>
      <c r="O519" s="11" t="n">
        <f aca="false">IFERROR(I519/H519,"")</f>
        <v>0.75221082419526</v>
      </c>
      <c r="P519" s="10" t="n">
        <f aca="false">IFERROR(J519/H519,"")</f>
        <v>0.0393968871595331</v>
      </c>
      <c r="Q519" s="10" t="n">
        <f aca="false">IFERROR(K519/H519,"")</f>
        <v>0.0113636363636364</v>
      </c>
      <c r="R519" s="10" t="n">
        <f aca="false">IFERROR(L519/H519,"")</f>
        <v>0.00305093738945879</v>
      </c>
      <c r="S519" s="11" t="n">
        <f aca="false">IFERROR(M519/MEDIAN(INDEX($M$5:$M$627,MATCH($A519-90,$A$5:$A$627,1)):INDEX($M$5:$M$627,MATCH($A519+90,$A$5:$A$627,1))),"")</f>
        <v>0.926585001565037</v>
      </c>
      <c r="T519" s="11" t="n">
        <f aca="false">IFERROR(N519/MEDIAN(INDEX($N$5:$N$627,MATCH($A519-90,$A$5:$A$627,1)):INDEX($N$5:$N$627,MATCH($A519+90,$A$5:$A$627,1))),"")</f>
        <v>0.964013006078801</v>
      </c>
      <c r="U519" s="11" t="n">
        <f aca="false">IFERROR(Q519/MEDIAN(INDEX($Q$5:$Q$627,MATCH($A519-90,$A$5:$A$627,1)):INDEX($Q$5:$Q$627,MATCH($A519+90,$A$5:$A$627,1))),"")</f>
        <v>0.869037598204265</v>
      </c>
    </row>
    <row r="520" customFormat="false" ht="15" hidden="false" customHeight="false" outlineLevel="0" collapsed="false">
      <c r="A520" s="13" t="n">
        <v>46093.4925071412</v>
      </c>
      <c r="B520" s="8" t="n">
        <v>11</v>
      </c>
      <c r="C520" s="8" t="s">
        <v>73</v>
      </c>
      <c r="D520" s="8" t="s">
        <v>583</v>
      </c>
      <c r="E520" s="14" t="s">
        <v>66</v>
      </c>
      <c r="F520" s="9" t="n">
        <v>1157655</v>
      </c>
      <c r="G520" s="9" t="n">
        <v>74146</v>
      </c>
      <c r="H520" s="9" t="n">
        <v>46624</v>
      </c>
      <c r="I520" s="9" t="n">
        <v>42343</v>
      </c>
      <c r="J520" s="9" t="n">
        <v>967</v>
      </c>
      <c r="K520" s="9" t="n">
        <v>0</v>
      </c>
      <c r="L520" s="9" t="n">
        <v>166</v>
      </c>
      <c r="M520" s="10" t="n">
        <f aca="false">IFERROR(G520/F520,"")</f>
        <v>0.0640484427571254</v>
      </c>
      <c r="N520" s="10" t="n">
        <f aca="false">IFERROR(H520/G520,"")</f>
        <v>0.628813422167076</v>
      </c>
      <c r="O520" s="11" t="n">
        <f aca="false">IFERROR(I520/H520,"")</f>
        <v>0.908180336307481</v>
      </c>
      <c r="P520" s="10" t="n">
        <f aca="false">IFERROR(J520/H520,"")</f>
        <v>0.020740391214825</v>
      </c>
      <c r="Q520" s="10" t="n">
        <f aca="false">IFERROR(K520/H520,"")</f>
        <v>0</v>
      </c>
      <c r="R520" s="10" t="n">
        <f aca="false">IFERROR(L520/H520,"")</f>
        <v>0.00356039807824297</v>
      </c>
      <c r="S520" s="11" t="n">
        <f aca="false">IFERROR(M520/MEDIAN(INDEX($M$5:$M$627,MATCH($A520-90,$A$5:$A$627,1)):INDEX($M$5:$M$627,MATCH($A520+90,$A$5:$A$627,1))),"")</f>
        <v>1.3263484692933</v>
      </c>
      <c r="T520" s="11" t="n">
        <f aca="false">IFERROR(N520/MEDIAN(INDEX($N$5:$N$627,MATCH($A520-90,$A$5:$A$627,1)):INDEX($N$5:$N$627,MATCH($A520+90,$A$5:$A$627,1))),"")</f>
        <v>1.2102779742812</v>
      </c>
      <c r="U520" s="11" t="n">
        <f aca="false">IFERROR(Q520/MEDIAN(INDEX($Q$5:$Q$627,MATCH($A520-90,$A$5:$A$627,1)):INDEX($Q$5:$Q$627,MATCH($A520+90,$A$5:$A$627,1))),"")</f>
        <v>0</v>
      </c>
    </row>
    <row r="521" customFormat="false" ht="15" hidden="false" customHeight="false" outlineLevel="0" collapsed="false">
      <c r="A521" s="13" t="n">
        <v>46094.2883759722</v>
      </c>
      <c r="B521" s="8" t="n">
        <v>6</v>
      </c>
      <c r="C521" s="8" t="s">
        <v>84</v>
      </c>
      <c r="D521" s="8" t="s">
        <v>584</v>
      </c>
      <c r="E521" s="14" t="s">
        <v>66</v>
      </c>
      <c r="F521" s="9" t="n">
        <v>317415</v>
      </c>
      <c r="G521" s="9" t="n">
        <v>17315</v>
      </c>
      <c r="H521" s="9" t="n">
        <v>12389</v>
      </c>
      <c r="I521" s="9" t="n">
        <v>13532</v>
      </c>
      <c r="J521" s="9" t="n">
        <v>250</v>
      </c>
      <c r="K521" s="9" t="n">
        <v>162</v>
      </c>
      <c r="L521" s="9" t="n">
        <v>44</v>
      </c>
      <c r="M521" s="10" t="n">
        <f aca="false">IFERROR(G521/F521,"")</f>
        <v>0.0545500370177843</v>
      </c>
      <c r="N521" s="10" t="n">
        <f aca="false">IFERROR(H521/G521,"")</f>
        <v>0.715506786023679</v>
      </c>
      <c r="O521" s="11" t="n">
        <f aca="false">IFERROR(I521/H521,"")</f>
        <v>1.09225926224877</v>
      </c>
      <c r="P521" s="10" t="n">
        <f aca="false">IFERROR(J521/H521,"")</f>
        <v>0.020179191218016</v>
      </c>
      <c r="Q521" s="10" t="n">
        <f aca="false">IFERROR(K521/H521,"")</f>
        <v>0.0130761159092744</v>
      </c>
      <c r="R521" s="10" t="n">
        <f aca="false">IFERROR(L521/H521,"")</f>
        <v>0.00355153765437081</v>
      </c>
      <c r="S521" s="11" t="n">
        <f aca="false">IFERROR(M521/MEDIAN(INDEX($M$5:$M$627,MATCH($A521-90,$A$5:$A$627,1)):INDEX($M$5:$M$627,MATCH($A521+90,$A$5:$A$627,1))),"")</f>
        <v>1.12965054236829</v>
      </c>
      <c r="T521" s="11" t="n">
        <f aca="false">IFERROR(N521/MEDIAN(INDEX($N$5:$N$627,MATCH($A521-90,$A$5:$A$627,1)):INDEX($N$5:$N$627,MATCH($A521+90,$A$5:$A$627,1))),"")</f>
        <v>1.3771367993209</v>
      </c>
      <c r="U521" s="11" t="n">
        <f aca="false">IFERROR(Q521/MEDIAN(INDEX($Q$5:$Q$627,MATCH($A521-90,$A$5:$A$627,1)):INDEX($Q$5:$Q$627,MATCH($A521+90,$A$5:$A$627,1))),"")</f>
        <v>0.951122329926108</v>
      </c>
    </row>
    <row r="522" customFormat="false" ht="15" hidden="false" customHeight="false" outlineLevel="0" collapsed="false">
      <c r="A522" s="13" t="n">
        <v>46095.2929389699</v>
      </c>
      <c r="B522" s="8" t="n">
        <v>7</v>
      </c>
      <c r="C522" s="8" t="s">
        <v>68</v>
      </c>
      <c r="D522" s="8" t="s">
        <v>585</v>
      </c>
      <c r="E522" s="14" t="s">
        <v>66</v>
      </c>
      <c r="F522" s="9" t="n">
        <v>14780</v>
      </c>
      <c r="G522" s="9" t="n">
        <v>587</v>
      </c>
      <c r="H522" s="9" t="n">
        <v>199</v>
      </c>
      <c r="I522" s="9" t="n">
        <v>237</v>
      </c>
      <c r="J522" s="9" t="n">
        <v>34</v>
      </c>
      <c r="K522" s="9" t="n">
        <v>28</v>
      </c>
      <c r="L522" s="9" t="n">
        <v>3</v>
      </c>
      <c r="M522" s="10" t="n">
        <f aca="false">IFERROR(G522/F522,"")</f>
        <v>0.0397158322056834</v>
      </c>
      <c r="N522" s="10" t="n">
        <f aca="false">IFERROR(H522/G522,"")</f>
        <v>0.339011925042589</v>
      </c>
      <c r="O522" s="11" t="n">
        <f aca="false">IFERROR(I522/H522,"")</f>
        <v>1.19095477386935</v>
      </c>
      <c r="P522" s="10" t="n">
        <f aca="false">IFERROR(J522/H522,"")</f>
        <v>0.170854271356784</v>
      </c>
      <c r="Q522" s="10" t="n">
        <f aca="false">IFERROR(K522/H522,"")</f>
        <v>0.14070351758794</v>
      </c>
      <c r="R522" s="10" t="n">
        <f aca="false">IFERROR(L522/H522,"")</f>
        <v>0.0150753768844221</v>
      </c>
      <c r="S522" s="11" t="n">
        <f aca="false">IFERROR(M522/MEDIAN(INDEX($M$5:$M$627,MATCH($A522-90,$A$5:$A$627,1)):INDEX($M$5:$M$627,MATCH($A522+90,$A$5:$A$627,1))),"")</f>
        <v>0.802568199332889</v>
      </c>
      <c r="T522" s="11" t="n">
        <f aca="false">IFERROR(N522/MEDIAN(INDEX($N$5:$N$627,MATCH($A522-90,$A$5:$A$627,1)):INDEX($N$5:$N$627,MATCH($A522+90,$A$5:$A$627,1))),"")</f>
        <v>0.650006335618849</v>
      </c>
      <c r="U522" s="11" t="n">
        <f aca="false">IFERROR(Q522/MEDIAN(INDEX($Q$5:$Q$627,MATCH($A522-90,$A$5:$A$627,1)):INDEX($Q$5:$Q$627,MATCH($A522+90,$A$5:$A$627,1))),"")</f>
        <v>10.2344043449571</v>
      </c>
    </row>
    <row r="523" customFormat="false" ht="15" hidden="false" customHeight="false" outlineLevel="0" collapsed="false">
      <c r="A523" s="13" t="n">
        <v>46096.475695463</v>
      </c>
      <c r="B523" s="8" t="n">
        <v>11</v>
      </c>
      <c r="C523" s="8" t="s">
        <v>86</v>
      </c>
      <c r="D523" s="8" t="s">
        <v>586</v>
      </c>
      <c r="E523" s="14" t="s">
        <v>66</v>
      </c>
      <c r="F523" s="9" t="n">
        <v>9092</v>
      </c>
      <c r="G523" s="9" t="n">
        <v>690</v>
      </c>
      <c r="H523" s="9" t="n">
        <v>366</v>
      </c>
      <c r="I523" s="9" t="n">
        <v>279</v>
      </c>
      <c r="J523" s="9" t="n">
        <v>64</v>
      </c>
      <c r="K523" s="9" t="n">
        <v>24</v>
      </c>
      <c r="L523" s="9" t="n">
        <v>2</v>
      </c>
      <c r="M523" s="10" t="n">
        <f aca="false">IFERROR(G523/F523,"")</f>
        <v>0.0758908930928289</v>
      </c>
      <c r="N523" s="10" t="n">
        <f aca="false">IFERROR(H523/G523,"")</f>
        <v>0.530434782608696</v>
      </c>
      <c r="O523" s="11" t="n">
        <f aca="false">IFERROR(I523/H523,"")</f>
        <v>0.762295081967213</v>
      </c>
      <c r="P523" s="10" t="n">
        <f aca="false">IFERROR(J523/H523,"")</f>
        <v>0.174863387978142</v>
      </c>
      <c r="Q523" s="10" t="n">
        <f aca="false">IFERROR(K523/H523,"")</f>
        <v>0.0655737704918033</v>
      </c>
      <c r="R523" s="10" t="n">
        <f aca="false">IFERROR(L523/H523,"")</f>
        <v>0.00546448087431694</v>
      </c>
      <c r="S523" s="11" t="n">
        <f aca="false">IFERROR(M523/MEDIAN(INDEX($M$5:$M$627,MATCH($A523-90,$A$5:$A$627,1)):INDEX($M$5:$M$627,MATCH($A523+90,$A$5:$A$627,1))),"")</f>
        <v>1.57158809104342</v>
      </c>
      <c r="T523" s="11" t="n">
        <f aca="false">IFERROR(N523/MEDIAN(INDEX($N$5:$N$627,MATCH($A523-90,$A$5:$A$627,1)):INDEX($N$5:$N$627,MATCH($A523+90,$A$5:$A$627,1))),"")</f>
        <v>1.01418962973131</v>
      </c>
      <c r="U523" s="11" t="n">
        <f aca="false">IFERROR(Q523/MEDIAN(INDEX($Q$5:$Q$627,MATCH($A523-90,$A$5:$A$627,1)):INDEX($Q$5:$Q$627,MATCH($A523+90,$A$5:$A$627,1))),"")</f>
        <v>4.76966385163107</v>
      </c>
    </row>
    <row r="524" customFormat="false" ht="15" hidden="false" customHeight="false" outlineLevel="0" collapsed="false">
      <c r="A524" s="13" t="n">
        <v>46097.2512060764</v>
      </c>
      <c r="B524" s="8" t="n">
        <v>6</v>
      </c>
      <c r="C524" s="8" t="s">
        <v>80</v>
      </c>
      <c r="D524" s="8" t="s">
        <v>587</v>
      </c>
      <c r="E524" s="14" t="s">
        <v>66</v>
      </c>
      <c r="F524" s="9" t="n">
        <v>116064</v>
      </c>
      <c r="G524" s="9" t="n">
        <v>10787</v>
      </c>
      <c r="H524" s="9" t="n">
        <v>7328</v>
      </c>
      <c r="I524" s="9" t="n">
        <v>5342</v>
      </c>
      <c r="J524" s="9" t="n">
        <v>137</v>
      </c>
      <c r="K524" s="9" t="n">
        <v>128</v>
      </c>
      <c r="L524" s="9" t="n">
        <v>27</v>
      </c>
      <c r="M524" s="10" t="n">
        <f aca="false">IFERROR(G524/F524,"")</f>
        <v>0.0929401020126827</v>
      </c>
      <c r="N524" s="10" t="n">
        <f aca="false">IFERROR(H524/G524,"")</f>
        <v>0.679336238064337</v>
      </c>
      <c r="O524" s="11" t="n">
        <f aca="false">IFERROR(I524/H524,"")</f>
        <v>0.728984716157205</v>
      </c>
      <c r="P524" s="10" t="n">
        <f aca="false">IFERROR(J524/H524,"")</f>
        <v>0.0186954148471616</v>
      </c>
      <c r="Q524" s="10" t="n">
        <f aca="false">IFERROR(K524/H524,"")</f>
        <v>0.0174672489082969</v>
      </c>
      <c r="R524" s="10" t="n">
        <f aca="false">IFERROR(L524/H524,"")</f>
        <v>0.00368449781659389</v>
      </c>
      <c r="S524" s="11" t="n">
        <f aca="false">IFERROR(M524/MEDIAN(INDEX($M$5:$M$627,MATCH($A524-90,$A$5:$A$627,1)):INDEX($M$5:$M$627,MATCH($A524+90,$A$5:$A$627,1))),"")</f>
        <v>1.92465197800255</v>
      </c>
      <c r="T524" s="11" t="n">
        <f aca="false">IFERROR(N524/MEDIAN(INDEX($N$5:$N$627,MATCH($A524-90,$A$5:$A$627,1)):INDEX($N$5:$N$627,MATCH($A524+90,$A$5:$A$627,1))),"")</f>
        <v>1.29888874247108</v>
      </c>
      <c r="U524" s="11" t="n">
        <f aca="false">IFERROR(Q524/MEDIAN(INDEX($Q$5:$Q$627,MATCH($A524-90,$A$5:$A$627,1)):INDEX($Q$5:$Q$627,MATCH($A524+90,$A$5:$A$627,1))),"")</f>
        <v>1.27052181200653</v>
      </c>
    </row>
    <row r="525" customFormat="false" ht="15" hidden="false" customHeight="false" outlineLevel="0" collapsed="false">
      <c r="A525" s="13" t="n">
        <v>46098.2508931597</v>
      </c>
      <c r="B525" s="8" t="n">
        <v>6</v>
      </c>
      <c r="C525" s="8" t="s">
        <v>64</v>
      </c>
      <c r="D525" s="8" t="s">
        <v>588</v>
      </c>
      <c r="E525" s="14" t="s">
        <v>66</v>
      </c>
      <c r="F525" s="9" t="n">
        <v>2040</v>
      </c>
      <c r="G525" s="9" t="n">
        <v>31</v>
      </c>
      <c r="H525" s="9" t="n">
        <v>19</v>
      </c>
      <c r="I525" s="9" t="n">
        <v>28</v>
      </c>
      <c r="J525" s="9" t="n">
        <v>3</v>
      </c>
      <c r="K525" s="9" t="n">
        <v>0</v>
      </c>
      <c r="L525" s="9" t="n">
        <v>0</v>
      </c>
      <c r="M525" s="10" t="n">
        <f aca="false">IFERROR(G525/F525,"")</f>
        <v>0.0151960784313725</v>
      </c>
      <c r="N525" s="10" t="n">
        <f aca="false">IFERROR(H525/G525,"")</f>
        <v>0.612903225806452</v>
      </c>
      <c r="O525" s="11" t="n">
        <f aca="false">IFERROR(I525/H525,"")</f>
        <v>1.47368421052632</v>
      </c>
      <c r="P525" s="10" t="n">
        <f aca="false">IFERROR(J525/H525,"")</f>
        <v>0.157894736842105</v>
      </c>
      <c r="Q525" s="10" t="n">
        <f aca="false">IFERROR(K525/H525,"")</f>
        <v>0</v>
      </c>
      <c r="R525" s="10" t="n">
        <f aca="false">IFERROR(L525/H525,"")</f>
        <v>0</v>
      </c>
      <c r="S525" s="11" t="n">
        <f aca="false">IFERROR(M525/MEDIAN(INDEX($M$5:$M$627,MATCH($A525-90,$A$5:$A$627,1)):INDEX($M$5:$M$627,MATCH($A525+90,$A$5:$A$627,1))),"")</f>
        <v>0.318239086394417</v>
      </c>
      <c r="T525" s="11" t="n">
        <f aca="false">IFERROR(N525/MEDIAN(INDEX($N$5:$N$627,MATCH($A525-90,$A$5:$A$627,1)):INDEX($N$5:$N$627,MATCH($A525+90,$A$5:$A$627,1))),"")</f>
        <v>1.16907343656219</v>
      </c>
      <c r="U525" s="11" t="n">
        <f aca="false">IFERROR(Q525/MEDIAN(INDEX($Q$5:$Q$627,MATCH($A525-90,$A$5:$A$627,1)):INDEX($Q$5:$Q$627,MATCH($A525+90,$A$5:$A$627,1))),"")</f>
        <v>0</v>
      </c>
    </row>
    <row r="526" customFormat="false" ht="15" hidden="false" customHeight="false" outlineLevel="0" collapsed="false">
      <c r="A526" s="13" t="n">
        <v>46099.2503485764</v>
      </c>
      <c r="B526" s="8" t="n">
        <v>6</v>
      </c>
      <c r="C526" s="8" t="s">
        <v>71</v>
      </c>
      <c r="D526" s="8" t="s">
        <v>589</v>
      </c>
      <c r="E526" s="14" t="s">
        <v>66</v>
      </c>
      <c r="F526" s="9" t="n">
        <v>34031</v>
      </c>
      <c r="G526" s="9" t="n">
        <v>1254</v>
      </c>
      <c r="H526" s="9" t="n">
        <v>434</v>
      </c>
      <c r="I526" s="9" t="n">
        <v>419</v>
      </c>
      <c r="J526" s="9" t="n">
        <v>43</v>
      </c>
      <c r="K526" s="9" t="n">
        <v>21</v>
      </c>
      <c r="L526" s="9" t="n">
        <v>8</v>
      </c>
      <c r="M526" s="10" t="n">
        <f aca="false">IFERROR(G526/F526,"")</f>
        <v>0.0368487555464136</v>
      </c>
      <c r="N526" s="10" t="n">
        <f aca="false">IFERROR(H526/G526,"")</f>
        <v>0.346092503987241</v>
      </c>
      <c r="O526" s="11" t="n">
        <f aca="false">IFERROR(I526/H526,"")</f>
        <v>0.965437788018433</v>
      </c>
      <c r="P526" s="10" t="n">
        <f aca="false">IFERROR(J526/H526,"")</f>
        <v>0.0990783410138249</v>
      </c>
      <c r="Q526" s="10" t="n">
        <f aca="false">IFERROR(K526/H526,"")</f>
        <v>0.0483870967741936</v>
      </c>
      <c r="R526" s="10" t="n">
        <f aca="false">IFERROR(L526/H526,"")</f>
        <v>0.0184331797235023</v>
      </c>
      <c r="S526" s="11" t="n">
        <f aca="false">IFERROR(M526/MEDIAN(INDEX($M$5:$M$627,MATCH($A526-90,$A$5:$A$627,1)):INDEX($M$5:$M$627,MATCH($A526+90,$A$5:$A$627,1))),"")</f>
        <v>0.786057293121158</v>
      </c>
      <c r="T526" s="11" t="n">
        <f aca="false">IFERROR(N526/MEDIAN(INDEX($N$5:$N$627,MATCH($A526-90,$A$5:$A$627,1)):INDEX($N$5:$N$627,MATCH($A526+90,$A$5:$A$627,1))),"")</f>
        <v>0.663918943844588</v>
      </c>
      <c r="U526" s="11" t="n">
        <f aca="false">IFERROR(Q526/MEDIAN(INDEX($Q$5:$Q$627,MATCH($A526-90,$A$5:$A$627,1)):INDEX($Q$5:$Q$627,MATCH($A526+90,$A$5:$A$627,1))),"")</f>
        <v>3.51188225239762</v>
      </c>
    </row>
    <row r="527" customFormat="false" ht="15" hidden="false" customHeight="false" outlineLevel="0" collapsed="false">
      <c r="A527" s="13" t="n">
        <v>46100.5297311111</v>
      </c>
      <c r="B527" s="8" t="n">
        <v>12</v>
      </c>
      <c r="C527" s="8" t="s">
        <v>73</v>
      </c>
      <c r="D527" s="8" t="s">
        <v>590</v>
      </c>
      <c r="E527" s="14" t="s">
        <v>66</v>
      </c>
      <c r="F527" s="9" t="n">
        <v>1276</v>
      </c>
      <c r="G527" s="9" t="n">
        <v>33</v>
      </c>
      <c r="H527" s="9" t="n">
        <v>16</v>
      </c>
      <c r="I527" s="9" t="n">
        <v>27</v>
      </c>
      <c r="J527" s="9" t="n">
        <v>3</v>
      </c>
      <c r="K527" s="9" t="n">
        <v>0</v>
      </c>
      <c r="L527" s="9" t="n">
        <v>0</v>
      </c>
      <c r="M527" s="10" t="n">
        <f aca="false">IFERROR(G527/F527,"")</f>
        <v>0.0258620689655172</v>
      </c>
      <c r="N527" s="10" t="n">
        <f aca="false">IFERROR(H527/G527,"")</f>
        <v>0.484848484848485</v>
      </c>
      <c r="O527" s="11" t="n">
        <f aca="false">IFERROR(I527/H527,"")</f>
        <v>1.6875</v>
      </c>
      <c r="P527" s="10" t="n">
        <f aca="false">IFERROR(J527/H527,"")</f>
        <v>0.1875</v>
      </c>
      <c r="Q527" s="10" t="n">
        <f aca="false">IFERROR(K527/H527,"")</f>
        <v>0</v>
      </c>
      <c r="R527" s="10" t="n">
        <f aca="false">IFERROR(L527/H527,"")</f>
        <v>0</v>
      </c>
      <c r="S527" s="11" t="n">
        <f aca="false">IFERROR(M527/MEDIAN(INDEX($M$5:$M$627,MATCH($A527-90,$A$5:$A$627,1)):INDEX($M$5:$M$627,MATCH($A527+90,$A$5:$A$627,1))),"")</f>
        <v>0.54160823379695</v>
      </c>
      <c r="T527" s="11" t="n">
        <f aca="false">IFERROR(N527/MEDIAN(INDEX($N$5:$N$627,MATCH($A527-90,$A$5:$A$627,1)):INDEX($N$5:$N$627,MATCH($A527+90,$A$5:$A$627,1))),"")</f>
        <v>0.924817264010916</v>
      </c>
      <c r="U527" s="11" t="n">
        <f aca="false">IFERROR(Q527/MEDIAN(INDEX($Q$5:$Q$627,MATCH($A527-90,$A$5:$A$627,1)):INDEX($Q$5:$Q$627,MATCH($A527+90,$A$5:$A$627,1))),"")</f>
        <v>0</v>
      </c>
    </row>
    <row r="528" customFormat="false" ht="15" hidden="false" customHeight="false" outlineLevel="0" collapsed="false">
      <c r="A528" s="13" t="n">
        <v>46101.2511552778</v>
      </c>
      <c r="B528" s="8" t="n">
        <v>6</v>
      </c>
      <c r="C528" s="8" t="s">
        <v>84</v>
      </c>
      <c r="D528" s="8" t="s">
        <v>591</v>
      </c>
      <c r="E528" s="14" t="s">
        <v>66</v>
      </c>
      <c r="F528" s="9" t="n">
        <v>725454</v>
      </c>
      <c r="G528" s="9" t="n">
        <v>12428</v>
      </c>
      <c r="H528" s="9" t="n">
        <v>1757</v>
      </c>
      <c r="I528" s="9" t="n">
        <v>1140</v>
      </c>
      <c r="J528" s="9" t="n">
        <v>118</v>
      </c>
      <c r="K528" s="9" t="n">
        <v>55</v>
      </c>
      <c r="L528" s="9" t="n">
        <v>93</v>
      </c>
      <c r="M528" s="10" t="n">
        <f aca="false">IFERROR(G528/F528,"")</f>
        <v>0.0171313412015097</v>
      </c>
      <c r="N528" s="10" t="n">
        <f aca="false">IFERROR(H528/G528,"")</f>
        <v>0.141374316060509</v>
      </c>
      <c r="O528" s="11" t="n">
        <f aca="false">IFERROR(I528/H528,"")</f>
        <v>0.648833238474673</v>
      </c>
      <c r="P528" s="10" t="n">
        <f aca="false">IFERROR(J528/H528,"")</f>
        <v>0.0671599317017644</v>
      </c>
      <c r="Q528" s="10" t="n">
        <f aca="false">IFERROR(K528/H528,"")</f>
        <v>0.0313033579965851</v>
      </c>
      <c r="R528" s="10" t="n">
        <f aca="false">IFERROR(L528/H528,"")</f>
        <v>0.0529311326124075</v>
      </c>
      <c r="S528" s="11" t="n">
        <f aca="false">IFERROR(M528/MEDIAN(INDEX($M$5:$M$627,MATCH($A528-90,$A$5:$A$627,1)):INDEX($M$5:$M$627,MATCH($A528+90,$A$5:$A$627,1))),"")</f>
        <v>0.358767717427939</v>
      </c>
      <c r="T528" s="11" t="n">
        <f aca="false">IFERROR(N528/MEDIAN(INDEX($N$5:$N$627,MATCH($A528-90,$A$5:$A$627,1)):INDEX($N$5:$N$627,MATCH($A528+90,$A$5:$A$627,1))),"")</f>
        <v>0.269662404372269</v>
      </c>
      <c r="U528" s="11" t="n">
        <f aca="false">IFERROR(Q528/MEDIAN(INDEX($Q$5:$Q$627,MATCH($A528-90,$A$5:$A$627,1)):INDEX($Q$5:$Q$627,MATCH($A528+90,$A$5:$A$627,1))),"")</f>
        <v>2.22923479704619</v>
      </c>
    </row>
    <row r="529" customFormat="false" ht="15" hidden="false" customHeight="false" outlineLevel="0" collapsed="false">
      <c r="A529" s="13" t="n">
        <v>46102.2506233912</v>
      </c>
      <c r="B529" s="8" t="n">
        <v>6</v>
      </c>
      <c r="C529" s="8" t="s">
        <v>68</v>
      </c>
      <c r="D529" s="8" t="s">
        <v>592</v>
      </c>
      <c r="E529" s="14" t="s">
        <v>66</v>
      </c>
      <c r="F529" s="9" t="n">
        <v>878352</v>
      </c>
      <c r="G529" s="9" t="n">
        <v>50219</v>
      </c>
      <c r="H529" s="9" t="n">
        <v>25094</v>
      </c>
      <c r="I529" s="9" t="n">
        <v>18808</v>
      </c>
      <c r="J529" s="9" t="n">
        <v>410</v>
      </c>
      <c r="K529" s="9" t="n">
        <v>295</v>
      </c>
      <c r="L529" s="9" t="n">
        <v>61</v>
      </c>
      <c r="M529" s="10" t="n">
        <f aca="false">IFERROR(G529/F529,"")</f>
        <v>0.0571741169827131</v>
      </c>
      <c r="N529" s="10" t="n">
        <f aca="false">IFERROR(H529/G529,"")</f>
        <v>0.499691351878771</v>
      </c>
      <c r="O529" s="11" t="n">
        <f aca="false">IFERROR(I529/H529,"")</f>
        <v>0.749501872957679</v>
      </c>
      <c r="P529" s="10" t="n">
        <f aca="false">IFERROR(J529/H529,"")</f>
        <v>0.0163385669881247</v>
      </c>
      <c r="Q529" s="10" t="n">
        <f aca="false">IFERROR(K529/H529,"")</f>
        <v>0.0117557981987726</v>
      </c>
      <c r="R529" s="10" t="n">
        <f aca="false">IFERROR(L529/H529,"")</f>
        <v>0.00243085996652586</v>
      </c>
      <c r="S529" s="11" t="n">
        <f aca="false">IFERROR(M529/MEDIAN(INDEX($M$5:$M$627,MATCH($A529-90,$A$5:$A$627,1)):INDEX($M$5:$M$627,MATCH($A529+90,$A$5:$A$627,1))),"")</f>
        <v>1.21101544612973</v>
      </c>
      <c r="T529" s="11" t="n">
        <f aca="false">IFERROR(N529/MEDIAN(INDEX($N$5:$N$627,MATCH($A529-90,$A$5:$A$627,1)):INDEX($N$5:$N$627,MATCH($A529+90,$A$5:$A$627,1))),"")</f>
        <v>0.955408287234667</v>
      </c>
      <c r="U529" s="11" t="n">
        <f aca="false">IFERROR(Q529/MEDIAN(INDEX($Q$5:$Q$627,MATCH($A529-90,$A$5:$A$627,1)):INDEX($Q$5:$Q$627,MATCH($A529+90,$A$5:$A$627,1))),"")</f>
        <v>0.843226610800533</v>
      </c>
    </row>
    <row r="530" customFormat="false" ht="15" hidden="false" customHeight="false" outlineLevel="0" collapsed="false">
      <c r="A530" s="13" t="n">
        <v>46104.2543769097</v>
      </c>
      <c r="B530" s="8" t="n">
        <v>6</v>
      </c>
      <c r="C530" s="8" t="s">
        <v>80</v>
      </c>
      <c r="D530" s="8" t="s">
        <v>593</v>
      </c>
      <c r="E530" s="14" t="s">
        <v>66</v>
      </c>
      <c r="F530" s="9" t="n">
        <v>327330</v>
      </c>
      <c r="G530" s="9" t="n">
        <v>68209</v>
      </c>
      <c r="H530" s="9" t="n">
        <v>45372</v>
      </c>
      <c r="I530" s="9" t="n">
        <v>23554</v>
      </c>
      <c r="J530" s="9" t="n">
        <v>1530</v>
      </c>
      <c r="K530" s="9" t="n">
        <v>260</v>
      </c>
      <c r="L530" s="9" t="n">
        <v>106</v>
      </c>
      <c r="M530" s="10" t="n">
        <f aca="false">IFERROR(G530/F530,"")</f>
        <v>0.208379922402468</v>
      </c>
      <c r="N530" s="10" t="n">
        <f aca="false">IFERROR(H530/G530,"")</f>
        <v>0.665190810596842</v>
      </c>
      <c r="O530" s="11" t="n">
        <f aca="false">IFERROR(I530/H530,"")</f>
        <v>0.51913074142643</v>
      </c>
      <c r="P530" s="10" t="n">
        <f aca="false">IFERROR(J530/H530,"")</f>
        <v>0.0337212377677863</v>
      </c>
      <c r="Q530" s="10" t="n">
        <f aca="false">IFERROR(K530/H530,"")</f>
        <v>0.00573040641805519</v>
      </c>
      <c r="R530" s="10" t="n">
        <f aca="false">IFERROR(L530/H530,"")</f>
        <v>0.00233624261659173</v>
      </c>
      <c r="S530" s="11" t="n">
        <f aca="false">IFERROR(M530/MEDIAN(INDEX($M$5:$M$627,MATCH($A530-90,$A$5:$A$627,1)):INDEX($M$5:$M$627,MATCH($A530+90,$A$5:$A$627,1))),"")</f>
        <v>4.41373331168375</v>
      </c>
      <c r="T530" s="11" t="n">
        <f aca="false">IFERROR(N530/MEDIAN(INDEX($N$5:$N$627,MATCH($A530-90,$A$5:$A$627,1)):INDEX($N$5:$N$627,MATCH($A530+90,$A$5:$A$627,1))),"")</f>
        <v>1.27184272981125</v>
      </c>
      <c r="U530" s="11" t="n">
        <f aca="false">IFERROR(Q530/MEDIAN(INDEX($Q$5:$Q$627,MATCH($A530-90,$A$5:$A$627,1)):INDEX($Q$5:$Q$627,MATCH($A530+90,$A$5:$A$627,1))),"")</f>
        <v>0.405177548621189</v>
      </c>
    </row>
    <row r="531" customFormat="false" ht="15" hidden="false" customHeight="false" outlineLevel="0" collapsed="false">
      <c r="A531" s="13" t="n">
        <v>46105.5318287616</v>
      </c>
      <c r="B531" s="8" t="n">
        <v>12</v>
      </c>
      <c r="C531" s="8" t="s">
        <v>64</v>
      </c>
      <c r="D531" s="8" t="s">
        <v>594</v>
      </c>
      <c r="E531" s="14" t="s">
        <v>66</v>
      </c>
      <c r="F531" s="9" t="n">
        <v>2176</v>
      </c>
      <c r="G531" s="9" t="n">
        <v>35</v>
      </c>
      <c r="H531" s="9" t="n">
        <v>21</v>
      </c>
      <c r="I531" s="9" t="n">
        <v>22</v>
      </c>
      <c r="J531" s="9" t="n">
        <v>2</v>
      </c>
      <c r="K531" s="9" t="n">
        <v>0</v>
      </c>
      <c r="L531" s="9" t="n">
        <v>0</v>
      </c>
      <c r="M531" s="10" t="n">
        <f aca="false">IFERROR(G531/F531,"")</f>
        <v>0.0160845588235294</v>
      </c>
      <c r="N531" s="10" t="n">
        <f aca="false">IFERROR(H531/G531,"")</f>
        <v>0.6</v>
      </c>
      <c r="O531" s="11" t="n">
        <f aca="false">IFERROR(I531/H531,"")</f>
        <v>1.04761904761905</v>
      </c>
      <c r="P531" s="10" t="n">
        <f aca="false">IFERROR(J531/H531,"")</f>
        <v>0.0952380952380952</v>
      </c>
      <c r="Q531" s="10" t="n">
        <f aca="false">IFERROR(K531/H531,"")</f>
        <v>0</v>
      </c>
      <c r="R531" s="10" t="n">
        <f aca="false">IFERROR(L531/H531,"")</f>
        <v>0</v>
      </c>
      <c r="S531" s="11" t="n">
        <f aca="false">IFERROR(M531/MEDIAN(INDEX($M$5:$M$627,MATCH($A531-90,$A$5:$A$627,1)):INDEX($M$5:$M$627,MATCH($A531+90,$A$5:$A$627,1))),"")</f>
        <v>0.340689987138164</v>
      </c>
      <c r="T531" s="11" t="n">
        <f aca="false">IFERROR(N531/MEDIAN(INDEX($N$5:$N$627,MATCH($A531-90,$A$5:$A$627,1)):INDEX($N$5:$N$627,MATCH($A531+90,$A$5:$A$627,1))),"")</f>
        <v>1.14719810576164</v>
      </c>
      <c r="U531" s="11" t="n">
        <f aca="false">IFERROR(Q531/MEDIAN(INDEX($Q$5:$Q$627,MATCH($A531-90,$A$5:$A$627,1)):INDEX($Q$5:$Q$627,MATCH($A531+90,$A$5:$A$627,1))),"")</f>
        <v>0</v>
      </c>
    </row>
    <row r="532" customFormat="false" ht="15" hidden="false" customHeight="false" outlineLevel="0" collapsed="false">
      <c r="A532" s="13" t="n">
        <v>46106.2951391204</v>
      </c>
      <c r="B532" s="8" t="n">
        <v>7</v>
      </c>
      <c r="C532" s="8" t="s">
        <v>71</v>
      </c>
      <c r="D532" s="8" t="s">
        <v>595</v>
      </c>
      <c r="E532" s="14" t="s">
        <v>66</v>
      </c>
      <c r="F532" s="9" t="n">
        <v>544316</v>
      </c>
      <c r="G532" s="9" t="n">
        <v>9585</v>
      </c>
      <c r="H532" s="9" t="n">
        <v>1968</v>
      </c>
      <c r="I532" s="9" t="n">
        <v>1483</v>
      </c>
      <c r="J532" s="9" t="n">
        <v>116</v>
      </c>
      <c r="K532" s="9" t="n">
        <v>31</v>
      </c>
      <c r="L532" s="9" t="n">
        <v>46</v>
      </c>
      <c r="M532" s="10" t="n">
        <f aca="false">IFERROR(G532/F532,"")</f>
        <v>0.0176092563878335</v>
      </c>
      <c r="N532" s="10" t="n">
        <f aca="false">IFERROR(H532/G532,"")</f>
        <v>0.205320813771518</v>
      </c>
      <c r="O532" s="11" t="n">
        <f aca="false">IFERROR(I532/H532,"")</f>
        <v>0.753556910569106</v>
      </c>
      <c r="P532" s="10" t="n">
        <f aca="false">IFERROR(J532/H532,"")</f>
        <v>0.0589430894308943</v>
      </c>
      <c r="Q532" s="10" t="n">
        <f aca="false">IFERROR(K532/H532,"")</f>
        <v>0.0157520325203252</v>
      </c>
      <c r="R532" s="10" t="n">
        <f aca="false">IFERROR(L532/H532,"")</f>
        <v>0.0233739837398374</v>
      </c>
      <c r="S532" s="11" t="n">
        <f aca="false">IFERROR(M532/MEDIAN(INDEX($M$5:$M$627,MATCH($A532-90,$A$5:$A$627,1)):INDEX($M$5:$M$627,MATCH($A532+90,$A$5:$A$627,1))),"")</f>
        <v>0.372984885572834</v>
      </c>
      <c r="T532" s="11" t="n">
        <f aca="false">IFERROR(N532/MEDIAN(INDEX($N$5:$N$627,MATCH($A532-90,$A$5:$A$627,1)):INDEX($N$5:$N$627,MATCH($A532+90,$A$5:$A$627,1))),"")</f>
        <v>0.392572747720207</v>
      </c>
      <c r="U532" s="11" t="n">
        <f aca="false">IFERROR(Q532/MEDIAN(INDEX($Q$5:$Q$627,MATCH($A532-90,$A$5:$A$627,1)):INDEX($Q$5:$Q$627,MATCH($A532+90,$A$5:$A$627,1))),"")</f>
        <v>1.10980229120473</v>
      </c>
    </row>
    <row r="533" customFormat="false" ht="15" hidden="false" customHeight="false" outlineLevel="0" collapsed="false">
      <c r="A533" s="13" t="n">
        <v>46107.5621147454</v>
      </c>
      <c r="B533" s="8" t="n">
        <v>13</v>
      </c>
      <c r="C533" s="8" t="s">
        <v>73</v>
      </c>
      <c r="D533" s="8" t="s">
        <v>596</v>
      </c>
      <c r="E533" s="14" t="s">
        <v>66</v>
      </c>
      <c r="F533" s="9" t="n">
        <v>1351</v>
      </c>
      <c r="G533" s="9" t="n">
        <v>11</v>
      </c>
      <c r="H533" s="9" t="n">
        <v>8</v>
      </c>
      <c r="I533" s="9" t="n">
        <v>13</v>
      </c>
      <c r="J533" s="9" t="n">
        <v>4</v>
      </c>
      <c r="K533" s="9" t="n">
        <v>0</v>
      </c>
      <c r="L533" s="9" t="n">
        <v>0</v>
      </c>
      <c r="M533" s="10" t="n">
        <f aca="false">IFERROR(G533/F533,"")</f>
        <v>0.00814211695040711</v>
      </c>
      <c r="N533" s="10" t="n">
        <f aca="false">IFERROR(H533/G533,"")</f>
        <v>0.727272727272727</v>
      </c>
      <c r="O533" s="11" t="n">
        <f aca="false">IFERROR(I533/H533,"")</f>
        <v>1.625</v>
      </c>
      <c r="P533" s="10" t="n">
        <f aca="false">IFERROR(J533/H533,"")</f>
        <v>0.5</v>
      </c>
      <c r="Q533" s="10" t="n">
        <f aca="false">IFERROR(K533/H533,"")</f>
        <v>0</v>
      </c>
      <c r="R533" s="10" t="n">
        <f aca="false">IFERROR(L533/H533,"")</f>
        <v>0</v>
      </c>
      <c r="S533" s="11" t="n">
        <f aca="false">IFERROR(M533/MEDIAN(INDEX($M$5:$M$627,MATCH($A533-90,$A$5:$A$627,1)):INDEX($M$5:$M$627,MATCH($A533+90,$A$5:$A$627,1))),"")</f>
        <v>0.163353992775449</v>
      </c>
      <c r="T533" s="11" t="n">
        <f aca="false">IFERROR(N533/MEDIAN(INDEX($N$5:$N$627,MATCH($A533-90,$A$5:$A$627,1)):INDEX($N$5:$N$627,MATCH($A533+90,$A$5:$A$627,1))),"")</f>
        <v>1.40558659217877</v>
      </c>
      <c r="U533" s="11" t="n">
        <f aca="false">IFERROR(Q533/MEDIAN(INDEX($Q$5:$Q$627,MATCH($A533-90,$A$5:$A$627,1)):INDEX($Q$5:$Q$627,MATCH($A533+90,$A$5:$A$627,1))),"")</f>
        <v>0</v>
      </c>
    </row>
    <row r="534" customFormat="false" ht="15" hidden="false" customHeight="false" outlineLevel="0" collapsed="false">
      <c r="A534" s="13" t="n">
        <v>46108.2778741898</v>
      </c>
      <c r="B534" s="8" t="n">
        <v>6</v>
      </c>
      <c r="C534" s="8" t="s">
        <v>84</v>
      </c>
      <c r="D534" s="8" t="s">
        <v>597</v>
      </c>
      <c r="E534" s="14" t="s">
        <v>66</v>
      </c>
      <c r="F534" s="9" t="n">
        <v>485704</v>
      </c>
      <c r="G534" s="9" t="n">
        <v>47844</v>
      </c>
      <c r="H534" s="9" t="n">
        <v>23559</v>
      </c>
      <c r="I534" s="9" t="n">
        <v>25082</v>
      </c>
      <c r="J534" s="9" t="n">
        <v>423</v>
      </c>
      <c r="K534" s="9" t="n">
        <v>655</v>
      </c>
      <c r="L534" s="9" t="n">
        <v>110</v>
      </c>
      <c r="M534" s="10" t="n">
        <f aca="false">IFERROR(G534/F534,"")</f>
        <v>0.09850443891753</v>
      </c>
      <c r="N534" s="10" t="n">
        <f aca="false">IFERROR(H534/G534,"")</f>
        <v>0.492412841735641</v>
      </c>
      <c r="O534" s="11" t="n">
        <f aca="false">IFERROR(I534/H534,"")</f>
        <v>1.0646462073942</v>
      </c>
      <c r="P534" s="10" t="n">
        <f aca="false">IFERROR(J534/H534,"")</f>
        <v>0.0179549216859799</v>
      </c>
      <c r="Q534" s="10" t="n">
        <f aca="false">IFERROR(K534/H534,"")</f>
        <v>0.0278025383080776</v>
      </c>
      <c r="R534" s="10" t="n">
        <f aca="false">IFERROR(L534/H534,"")</f>
        <v>0.00466912857082219</v>
      </c>
      <c r="S534" s="11" t="n">
        <f aca="false">IFERROR(M534/MEDIAN(INDEX($M$5:$M$627,MATCH($A534-90,$A$5:$A$627,1)):INDEX($M$5:$M$627,MATCH($A534+90,$A$5:$A$627,1))),"")</f>
        <v>2.00757637582219</v>
      </c>
      <c r="T534" s="11" t="n">
        <f aca="false">IFERROR(N534/MEDIAN(INDEX($N$5:$N$627,MATCH($A534-90,$A$5:$A$627,1)):INDEX($N$5:$N$627,MATCH($A534+90,$A$5:$A$627,1))),"")</f>
        <v>0.952934302006842</v>
      </c>
      <c r="U534" s="11" t="n">
        <f aca="false">IFERROR(Q534/MEDIAN(INDEX($Q$5:$Q$627,MATCH($A534-90,$A$5:$A$627,1)):INDEX($Q$5:$Q$627,MATCH($A534+90,$A$5:$A$627,1))),"")</f>
        <v>1.78027436971241</v>
      </c>
    </row>
    <row r="535" customFormat="false" ht="15" hidden="false" customHeight="false" outlineLevel="0" collapsed="false">
      <c r="A535" s="13" t="n">
        <v>46109.2921509607</v>
      </c>
      <c r="B535" s="8" t="n">
        <v>7</v>
      </c>
      <c r="C535" s="8" t="s">
        <v>68</v>
      </c>
      <c r="D535" s="8" t="s">
        <v>598</v>
      </c>
      <c r="E535" s="14" t="s">
        <v>66</v>
      </c>
      <c r="F535" s="9" t="n">
        <v>2855138</v>
      </c>
      <c r="G535" s="9" t="n">
        <v>317033</v>
      </c>
      <c r="H535" s="9" t="n">
        <v>139292</v>
      </c>
      <c r="I535" s="9" t="n">
        <v>105572</v>
      </c>
      <c r="J535" s="9" t="n">
        <v>3976</v>
      </c>
      <c r="K535" s="9" t="n">
        <v>1970</v>
      </c>
      <c r="L535" s="9" t="n">
        <v>653</v>
      </c>
      <c r="M535" s="10" t="n">
        <f aca="false">IFERROR(G535/F535,"")</f>
        <v>0.111039466393568</v>
      </c>
      <c r="N535" s="10" t="n">
        <f aca="false">IFERROR(H535/G535,"")</f>
        <v>0.439361202146149</v>
      </c>
      <c r="O535" s="11" t="n">
        <f aca="false">IFERROR(I535/H535,"")</f>
        <v>0.757918617006002</v>
      </c>
      <c r="P535" s="10" t="n">
        <f aca="false">IFERROR(J535/H535,"")</f>
        <v>0.0285443528702294</v>
      </c>
      <c r="Q535" s="10" t="n">
        <f aca="false">IFERROR(K535/H535,"")</f>
        <v>0.0141429514975734</v>
      </c>
      <c r="R535" s="10" t="n">
        <f aca="false">IFERROR(L535/H535,"")</f>
        <v>0.00468799356746978</v>
      </c>
      <c r="S535" s="11" t="n">
        <f aca="false">IFERROR(M535/MEDIAN(INDEX($M$5:$M$627,MATCH($A535-90,$A$5:$A$627,1)):INDEX($M$5:$M$627,MATCH($A535+90,$A$5:$A$627,1))),"")</f>
        <v>2.22776709073648</v>
      </c>
      <c r="T535" s="11" t="n">
        <f aca="false">IFERROR(N535/MEDIAN(INDEX($N$5:$N$627,MATCH($A535-90,$A$5:$A$627,1)):INDEX($N$5:$N$627,MATCH($A535+90,$A$5:$A$627,1))),"")</f>
        <v>0.849145295432738</v>
      </c>
      <c r="U535" s="11" t="n">
        <f aca="false">IFERROR(Q535/MEDIAN(INDEX($Q$5:$Q$627,MATCH($A535-90,$A$5:$A$627,1)):INDEX($Q$5:$Q$627,MATCH($A535+90,$A$5:$A$627,1))),"")</f>
        <v>0.897849307974985</v>
      </c>
    </row>
    <row r="536" customFormat="false" ht="15" hidden="false" customHeight="false" outlineLevel="0" collapsed="false">
      <c r="A536" s="13" t="n">
        <v>46111.2501045602</v>
      </c>
      <c r="B536" s="8" t="n">
        <v>6</v>
      </c>
      <c r="C536" s="8" t="s">
        <v>80</v>
      </c>
      <c r="D536" s="8" t="s">
        <v>599</v>
      </c>
      <c r="E536" s="14" t="s">
        <v>66</v>
      </c>
      <c r="F536" s="9" t="n">
        <v>590625</v>
      </c>
      <c r="G536" s="9" t="n">
        <v>25850</v>
      </c>
      <c r="H536" s="9" t="n">
        <v>14418</v>
      </c>
      <c r="I536" s="9" t="n">
        <v>14788</v>
      </c>
      <c r="J536" s="9" t="n">
        <v>547</v>
      </c>
      <c r="K536" s="9" t="n">
        <v>524</v>
      </c>
      <c r="L536" s="9" t="n">
        <v>59</v>
      </c>
      <c r="M536" s="10" t="n">
        <f aca="false">IFERROR(G536/F536,"")</f>
        <v>0.0437671957671958</v>
      </c>
      <c r="N536" s="10" t="n">
        <f aca="false">IFERROR(H536/G536,"")</f>
        <v>0.557756286266925</v>
      </c>
      <c r="O536" s="11" t="n">
        <f aca="false">IFERROR(I536/H536,"")</f>
        <v>1.02566236648634</v>
      </c>
      <c r="P536" s="10" t="n">
        <f aca="false">IFERROR(J536/H536,"")</f>
        <v>0.0379386877514218</v>
      </c>
      <c r="Q536" s="10" t="n">
        <f aca="false">IFERROR(K536/H536,"")</f>
        <v>0.0363434595644334</v>
      </c>
      <c r="R536" s="10" t="n">
        <f aca="false">IFERROR(L536/H536,"")</f>
        <v>0.00409210708836177</v>
      </c>
      <c r="S536" s="11" t="n">
        <f aca="false">IFERROR(M536/MEDIAN(INDEX($M$5:$M$627,MATCH($A536-90,$A$5:$A$627,1)):INDEX($M$5:$M$627,MATCH($A536+90,$A$5:$A$627,1))),"")</f>
        <v>0.873531897684764</v>
      </c>
      <c r="T536" s="11" t="n">
        <f aca="false">IFERROR(N536/MEDIAN(INDEX($N$5:$N$627,MATCH($A536-90,$A$5:$A$627,1)):INDEX($N$5:$N$627,MATCH($A536+90,$A$5:$A$627,1))),"")</f>
        <v>1.07796529181029</v>
      </c>
      <c r="U536" s="11" t="n">
        <f aca="false">IFERROR(Q536/MEDIAN(INDEX($Q$5:$Q$627,MATCH($A536-90,$A$5:$A$627,1)):INDEX($Q$5:$Q$627,MATCH($A536+90,$A$5:$A$627,1))),"")</f>
        <v>2.30722349750983</v>
      </c>
    </row>
    <row r="537" customFormat="false" ht="15" hidden="false" customHeight="false" outlineLevel="0" collapsed="false">
      <c r="A537" s="13" t="n">
        <v>46112.4899185764</v>
      </c>
      <c r="B537" s="8" t="n">
        <v>11</v>
      </c>
      <c r="C537" s="8" t="s">
        <v>64</v>
      </c>
      <c r="D537" s="8" t="s">
        <v>600</v>
      </c>
      <c r="E537" s="14" t="s">
        <v>66</v>
      </c>
      <c r="F537" s="9" t="n">
        <v>1522</v>
      </c>
      <c r="G537" s="9" t="n">
        <v>20</v>
      </c>
      <c r="H537" s="9" t="n">
        <v>7</v>
      </c>
      <c r="I537" s="9" t="n">
        <v>9</v>
      </c>
      <c r="J537" s="9" t="n">
        <v>3</v>
      </c>
      <c r="K537" s="9" t="n">
        <v>0</v>
      </c>
      <c r="L537" s="9" t="n">
        <v>0</v>
      </c>
      <c r="M537" s="10" t="n">
        <f aca="false">IFERROR(G537/F537,"")</f>
        <v>0.0131406044678055</v>
      </c>
      <c r="N537" s="10" t="n">
        <f aca="false">IFERROR(H537/G537,"")</f>
        <v>0.35</v>
      </c>
      <c r="O537" s="11" t="n">
        <f aca="false">IFERROR(I537/H537,"")</f>
        <v>1.28571428571429</v>
      </c>
      <c r="P537" s="10" t="n">
        <f aca="false">IFERROR(J537/H537,"")</f>
        <v>0.428571428571429</v>
      </c>
      <c r="Q537" s="10" t="n">
        <f aca="false">IFERROR(K537/H537,"")</f>
        <v>0</v>
      </c>
      <c r="R537" s="10" t="n">
        <f aca="false">IFERROR(L537/H537,"")</f>
        <v>0</v>
      </c>
      <c r="S537" s="11" t="n">
        <f aca="false">IFERROR(M537/MEDIAN(INDEX($M$5:$M$627,MATCH($A537-90,$A$5:$A$627,1)):INDEX($M$5:$M$627,MATCH($A537+90,$A$5:$A$627,1))),"")</f>
        <v>0.262951166878923</v>
      </c>
      <c r="T537" s="11" t="n">
        <f aca="false">IFERROR(N537/MEDIAN(INDEX($N$5:$N$627,MATCH($A537-90,$A$5:$A$627,1)):INDEX($N$5:$N$627,MATCH($A537+90,$A$5:$A$627,1))),"")</f>
        <v>0.677332062516464</v>
      </c>
      <c r="U537" s="11" t="n">
        <f aca="false">IFERROR(Q537/MEDIAN(INDEX($Q$5:$Q$627,MATCH($A537-90,$A$5:$A$627,1)):INDEX($Q$5:$Q$627,MATCH($A537+90,$A$5:$A$627,1))),"")</f>
        <v>0</v>
      </c>
    </row>
    <row r="538" customFormat="false" ht="15" hidden="false" customHeight="false" outlineLevel="0" collapsed="false">
      <c r="A538" s="13" t="n">
        <v>46113.2517030671</v>
      </c>
      <c r="B538" s="8" t="n">
        <v>6</v>
      </c>
      <c r="C538" s="8" t="s">
        <v>71</v>
      </c>
      <c r="D538" s="8" t="s">
        <v>601</v>
      </c>
      <c r="E538" s="14" t="s">
        <v>66</v>
      </c>
      <c r="F538" s="9" t="n">
        <v>970923</v>
      </c>
      <c r="G538" s="9" t="n">
        <v>107697</v>
      </c>
      <c r="H538" s="9" t="n">
        <v>26578</v>
      </c>
      <c r="I538" s="9" t="n">
        <v>21138</v>
      </c>
      <c r="J538" s="9" t="n">
        <v>686</v>
      </c>
      <c r="K538" s="9" t="n">
        <v>163</v>
      </c>
      <c r="L538" s="9" t="n">
        <v>174</v>
      </c>
      <c r="M538" s="10" t="n">
        <f aca="false">IFERROR(G538/F538,"")</f>
        <v>0.110922287349254</v>
      </c>
      <c r="N538" s="10" t="n">
        <f aca="false">IFERROR(H538/G538,"")</f>
        <v>0.246784961512391</v>
      </c>
      <c r="O538" s="11" t="n">
        <f aca="false">IFERROR(I538/H538,"")</f>
        <v>0.795319437128452</v>
      </c>
      <c r="P538" s="10" t="n">
        <f aca="false">IFERROR(J538/H538,"")</f>
        <v>0.0258108209797577</v>
      </c>
      <c r="Q538" s="10" t="n">
        <f aca="false">IFERROR(K538/H538,"")</f>
        <v>0.00613289186545263</v>
      </c>
      <c r="R538" s="10" t="n">
        <f aca="false">IFERROR(L538/H538,"")</f>
        <v>0.00654676800361201</v>
      </c>
      <c r="S538" s="11" t="n">
        <f aca="false">IFERROR(M538/MEDIAN(INDEX($M$5:$M$627,MATCH($A538-90,$A$5:$A$627,1)):INDEX($M$5:$M$627,MATCH($A538+90,$A$5:$A$627,1))),"")</f>
        <v>2.21961972623292</v>
      </c>
      <c r="T538" s="11" t="n">
        <f aca="false">IFERROR(N538/MEDIAN(INDEX($N$5:$N$627,MATCH($A538-90,$A$5:$A$627,1)):INDEX($N$5:$N$627,MATCH($A538+90,$A$5:$A$627,1))),"")</f>
        <v>0.477586762797812</v>
      </c>
      <c r="U538" s="11" t="n">
        <f aca="false">IFERROR(Q538/MEDIAN(INDEX($Q$5:$Q$627,MATCH($A538-90,$A$5:$A$627,1)):INDEX($Q$5:$Q$627,MATCH($A538+90,$A$5:$A$627,1))),"")</f>
        <v>0.384422835974266</v>
      </c>
    </row>
    <row r="539" customFormat="false" ht="15" hidden="false" customHeight="false" outlineLevel="0" collapsed="false">
      <c r="A539" s="13" t="n">
        <v>46114.2932734838</v>
      </c>
      <c r="B539" s="8" t="n">
        <v>7</v>
      </c>
      <c r="C539" s="8" t="s">
        <v>73</v>
      </c>
      <c r="D539" s="8" t="s">
        <v>602</v>
      </c>
      <c r="E539" s="14" t="s">
        <v>66</v>
      </c>
      <c r="F539" s="9" t="n">
        <v>1361</v>
      </c>
      <c r="G539" s="9" t="n">
        <v>21</v>
      </c>
      <c r="H539" s="9" t="n">
        <v>6</v>
      </c>
      <c r="I539" s="9" t="n">
        <v>7</v>
      </c>
      <c r="J539" s="9" t="n">
        <v>3</v>
      </c>
      <c r="K539" s="9" t="n">
        <v>0</v>
      </c>
      <c r="L539" s="9" t="n">
        <v>1</v>
      </c>
      <c r="M539" s="10" t="n">
        <f aca="false">IFERROR(G539/F539,"")</f>
        <v>0.0154298310066128</v>
      </c>
      <c r="N539" s="10" t="n">
        <f aca="false">IFERROR(H539/G539,"")</f>
        <v>0.285714285714286</v>
      </c>
      <c r="O539" s="11" t="n">
        <f aca="false">IFERROR(I539/H539,"")</f>
        <v>1.16666666666667</v>
      </c>
      <c r="P539" s="10" t="n">
        <f aca="false">IFERROR(J539/H539,"")</f>
        <v>0.5</v>
      </c>
      <c r="Q539" s="10" t="n">
        <f aca="false">IFERROR(K539/H539,"")</f>
        <v>0</v>
      </c>
      <c r="R539" s="10" t="n">
        <f aca="false">IFERROR(L539/H539,"")</f>
        <v>0.166666666666667</v>
      </c>
      <c r="S539" s="11" t="n">
        <f aca="false">IFERROR(M539/MEDIAN(INDEX($M$5:$M$627,MATCH($A539-90,$A$5:$A$627,1)):INDEX($M$5:$M$627,MATCH($A539+90,$A$5:$A$627,1))),"")</f>
        <v>0.296731041346298</v>
      </c>
      <c r="T539" s="11" t="n">
        <f aca="false">IFERROR(N539/MEDIAN(INDEX($N$5:$N$627,MATCH($A539-90,$A$5:$A$627,1)):INDEX($N$5:$N$627,MATCH($A539+90,$A$5:$A$627,1))),"")</f>
        <v>0.55219473264166</v>
      </c>
      <c r="U539" s="11" t="n">
        <f aca="false">IFERROR(Q539/MEDIAN(INDEX($Q$5:$Q$627,MATCH($A539-90,$A$5:$A$627,1)):INDEX($Q$5:$Q$627,MATCH($A539+90,$A$5:$A$627,1))),"")</f>
        <v>0</v>
      </c>
    </row>
    <row r="540" customFormat="false" ht="15" hidden="false" customHeight="false" outlineLevel="0" collapsed="false">
      <c r="A540" s="13" t="n">
        <v>46115.2922791435</v>
      </c>
      <c r="B540" s="8" t="n">
        <v>7</v>
      </c>
      <c r="C540" s="8" t="s">
        <v>84</v>
      </c>
      <c r="D540" s="8" t="s">
        <v>603</v>
      </c>
      <c r="E540" s="14" t="s">
        <v>66</v>
      </c>
      <c r="F540" s="9" t="n">
        <v>169399</v>
      </c>
      <c r="G540" s="9" t="n">
        <v>5931</v>
      </c>
      <c r="H540" s="9" t="n">
        <v>1366</v>
      </c>
      <c r="I540" s="9" t="n">
        <v>1380</v>
      </c>
      <c r="J540" s="9" t="n">
        <v>65</v>
      </c>
      <c r="K540" s="9" t="n">
        <v>35</v>
      </c>
      <c r="L540" s="9" t="n">
        <v>54</v>
      </c>
      <c r="M540" s="10" t="n">
        <f aca="false">IFERROR(G540/F540,"")</f>
        <v>0.0350120130579283</v>
      </c>
      <c r="N540" s="10" t="n">
        <f aca="false">IFERROR(H540/G540,"")</f>
        <v>0.230315292530771</v>
      </c>
      <c r="O540" s="11" t="n">
        <f aca="false">IFERROR(I540/H540,"")</f>
        <v>1.01024890190337</v>
      </c>
      <c r="P540" s="10" t="n">
        <f aca="false">IFERROR(J540/H540,"")</f>
        <v>0.047584187408492</v>
      </c>
      <c r="Q540" s="10" t="n">
        <f aca="false">IFERROR(K540/H540,"")</f>
        <v>0.0256222547584187</v>
      </c>
      <c r="R540" s="10" t="n">
        <f aca="false">IFERROR(L540/H540,"")</f>
        <v>0.0395314787701318</v>
      </c>
      <c r="S540" s="11" t="n">
        <f aca="false">IFERROR(M540/MEDIAN(INDEX($M$5:$M$627,MATCH($A540-90,$A$5:$A$627,1)):INDEX($M$5:$M$627,MATCH($A540+90,$A$5:$A$627,1))),"")</f>
        <v>0.659502505768118</v>
      </c>
      <c r="T540" s="11" t="n">
        <f aca="false">IFERROR(N540/MEDIAN(INDEX($N$5:$N$627,MATCH($A540-90,$A$5:$A$627,1)):INDEX($N$5:$N$627,MATCH($A540+90,$A$5:$A$627,1))),"")</f>
        <v>0.444205223390155</v>
      </c>
      <c r="U540" s="11" t="n">
        <f aca="false">IFERROR(Q540/MEDIAN(INDEX($Q$5:$Q$627,MATCH($A540-90,$A$5:$A$627,1)):INDEX($Q$5:$Q$627,MATCH($A540+90,$A$5:$A$627,1))),"")</f>
        <v>1.6060579665152</v>
      </c>
    </row>
    <row r="541" customFormat="false" ht="15" hidden="false" customHeight="false" outlineLevel="0" collapsed="false">
      <c r="A541" s="13" t="n">
        <v>46116.2931759259</v>
      </c>
      <c r="B541" s="8" t="n">
        <v>7</v>
      </c>
      <c r="C541" s="8" t="s">
        <v>68</v>
      </c>
      <c r="D541" s="8" t="s">
        <v>604</v>
      </c>
      <c r="E541" s="14" t="s">
        <v>66</v>
      </c>
      <c r="F541" s="9" t="n">
        <v>591045</v>
      </c>
      <c r="G541" s="9" t="n">
        <v>95361</v>
      </c>
      <c r="H541" s="9" t="n">
        <v>32985</v>
      </c>
      <c r="I541" s="9" t="n">
        <v>17237</v>
      </c>
      <c r="J541" s="9" t="n">
        <v>881</v>
      </c>
      <c r="K541" s="9" t="n">
        <v>628</v>
      </c>
      <c r="L541" s="9" t="n">
        <v>120</v>
      </c>
      <c r="M541" s="10" t="n">
        <f aca="false">IFERROR(G541/F541,"")</f>
        <v>0.161343044945816</v>
      </c>
      <c r="N541" s="10" t="n">
        <f aca="false">IFERROR(H541/G541,"")</f>
        <v>0.345896121055778</v>
      </c>
      <c r="O541" s="11" t="n">
        <f aca="false">IFERROR(I541/H541,"")</f>
        <v>0.522570865544945</v>
      </c>
      <c r="P541" s="10" t="n">
        <f aca="false">IFERROR(J541/H541,"")</f>
        <v>0.0267091102016068</v>
      </c>
      <c r="Q541" s="10" t="n">
        <f aca="false">IFERROR(K541/H541,"")</f>
        <v>0.0190389571017129</v>
      </c>
      <c r="R541" s="10" t="n">
        <f aca="false">IFERROR(L541/H541,"")</f>
        <v>0.00363801728058208</v>
      </c>
      <c r="S541" s="11" t="n">
        <f aca="false">IFERROR(M541/MEDIAN(INDEX($M$5:$M$627,MATCH($A541-90,$A$5:$A$627,1)):INDEX($M$5:$M$627,MATCH($A541+90,$A$5:$A$627,1))),"")</f>
        <v>2.97803639778236</v>
      </c>
      <c r="T541" s="11" t="n">
        <f aca="false">IFERROR(N541/MEDIAN(INDEX($N$5:$N$627,MATCH($A541-90,$A$5:$A$627,1)):INDEX($N$5:$N$627,MATCH($A541+90,$A$5:$A$627,1))),"")</f>
        <v>0.665746693606485</v>
      </c>
      <c r="U541" s="11" t="n">
        <f aca="false">IFERROR(Q541/MEDIAN(INDEX($Q$5:$Q$627,MATCH($A541-90,$A$5:$A$627,1)):INDEX($Q$5:$Q$627,MATCH($A541+90,$A$5:$A$627,1))),"")</f>
        <v>1.18363138035716</v>
      </c>
    </row>
    <row r="542" customFormat="false" ht="15" hidden="false" customHeight="false" outlineLevel="0" collapsed="false">
      <c r="A542" s="13" t="n">
        <v>46118.2513131482</v>
      </c>
      <c r="B542" s="8" t="n">
        <v>6</v>
      </c>
      <c r="C542" s="8" t="s">
        <v>80</v>
      </c>
      <c r="D542" s="8" t="s">
        <v>605</v>
      </c>
      <c r="E542" s="14" t="s">
        <v>66</v>
      </c>
      <c r="F542" s="9" t="n">
        <v>63631</v>
      </c>
      <c r="G542" s="9" t="n">
        <v>4845</v>
      </c>
      <c r="H542" s="9" t="n">
        <v>2534</v>
      </c>
      <c r="I542" s="9" t="n">
        <v>2822</v>
      </c>
      <c r="J542" s="9" t="n">
        <v>129</v>
      </c>
      <c r="K542" s="9" t="n">
        <v>148</v>
      </c>
      <c r="L542" s="9" t="n">
        <v>7</v>
      </c>
      <c r="M542" s="10" t="n">
        <f aca="false">IFERROR(G542/F542,"")</f>
        <v>0.0761421319796954</v>
      </c>
      <c r="N542" s="10" t="n">
        <f aca="false">IFERROR(H542/G542,"")</f>
        <v>0.523013415892673</v>
      </c>
      <c r="O542" s="11" t="n">
        <f aca="false">IFERROR(I542/H542,"")</f>
        <v>1.11365430149961</v>
      </c>
      <c r="P542" s="10" t="n">
        <f aca="false">IFERROR(J542/H542,"")</f>
        <v>0.0509076558800316</v>
      </c>
      <c r="Q542" s="10" t="n">
        <f aca="false">IFERROR(K542/H542,"")</f>
        <v>0.058405682715075</v>
      </c>
      <c r="R542" s="10" t="n">
        <f aca="false">IFERROR(L542/H542,"")</f>
        <v>0.00276243093922652</v>
      </c>
      <c r="S542" s="11" t="n">
        <f aca="false">IFERROR(M542/MEDIAN(INDEX($M$5:$M$627,MATCH($A542-90,$A$5:$A$627,1)):INDEX($M$5:$M$627,MATCH($A542+90,$A$5:$A$627,1))),"")</f>
        <v>1.40541565033951</v>
      </c>
      <c r="T542" s="11" t="n">
        <f aca="false">IFERROR(N542/MEDIAN(INDEX($N$5:$N$627,MATCH($A542-90,$A$5:$A$627,1)):INDEX($N$5:$N$627,MATCH($A542+90,$A$5:$A$627,1))),"")</f>
        <v>1.00664457086014</v>
      </c>
      <c r="U542" s="11" t="n">
        <f aca="false">IFERROR(Q542/MEDIAN(INDEX($Q$5:$Q$627,MATCH($A542-90,$A$5:$A$627,1)):INDEX($Q$5:$Q$627,MATCH($A542+90,$A$5:$A$627,1))),"")</f>
        <v>3.6310181531176</v>
      </c>
    </row>
    <row r="543" customFormat="false" ht="15" hidden="false" customHeight="false" outlineLevel="0" collapsed="false">
      <c r="A543" s="13" t="n">
        <v>46119.4595650926</v>
      </c>
      <c r="B543" s="8" t="n">
        <v>11</v>
      </c>
      <c r="C543" s="8" t="s">
        <v>64</v>
      </c>
      <c r="D543" s="8" t="s">
        <v>606</v>
      </c>
      <c r="E543" s="14" t="s">
        <v>66</v>
      </c>
      <c r="F543" s="9" t="n">
        <v>1990</v>
      </c>
      <c r="G543" s="9" t="n">
        <v>39</v>
      </c>
      <c r="H543" s="9" t="n">
        <v>24</v>
      </c>
      <c r="I543" s="9" t="n">
        <v>42</v>
      </c>
      <c r="J543" s="9" t="n">
        <v>5</v>
      </c>
      <c r="K543" s="9" t="n">
        <v>0</v>
      </c>
      <c r="L543" s="9" t="n">
        <v>0</v>
      </c>
      <c r="M543" s="10" t="n">
        <f aca="false">IFERROR(G543/F543,"")</f>
        <v>0.0195979899497487</v>
      </c>
      <c r="N543" s="10" t="n">
        <f aca="false">IFERROR(H543/G543,"")</f>
        <v>0.615384615384615</v>
      </c>
      <c r="O543" s="11" t="n">
        <f aca="false">IFERROR(I543/H543,"")</f>
        <v>1.75</v>
      </c>
      <c r="P543" s="10" t="n">
        <f aca="false">IFERROR(J543/H543,"")</f>
        <v>0.208333333333333</v>
      </c>
      <c r="Q543" s="10" t="n">
        <f aca="false">IFERROR(K543/H543,"")</f>
        <v>0</v>
      </c>
      <c r="R543" s="10" t="n">
        <f aca="false">IFERROR(L543/H543,"")</f>
        <v>0</v>
      </c>
      <c r="S543" s="11" t="n">
        <f aca="false">IFERROR(M543/MEDIAN(INDEX($M$5:$M$627,MATCH($A543-90,$A$5:$A$627,1)):INDEX($M$5:$M$627,MATCH($A543+90,$A$5:$A$627,1))),"")</f>
        <v>0.369156822216793</v>
      </c>
      <c r="T543" s="11" t="n">
        <f aca="false">IFERROR(N543/MEDIAN(INDEX($N$5:$N$627,MATCH($A543-90,$A$5:$A$627,1)):INDEX($N$5:$N$627,MATCH($A543+90,$A$5:$A$627,1))),"")</f>
        <v>1.1868819371222</v>
      </c>
      <c r="U543" s="11" t="n">
        <f aca="false">IFERROR(Q543/MEDIAN(INDEX($Q$5:$Q$627,MATCH($A543-90,$A$5:$A$627,1)):INDEX($Q$5:$Q$627,MATCH($A543+90,$A$5:$A$627,1))),"")</f>
        <v>0</v>
      </c>
    </row>
    <row r="544" customFormat="false" ht="15" hidden="false" customHeight="false" outlineLevel="0" collapsed="false">
      <c r="A544" s="13" t="n">
        <v>46120.2927243171</v>
      </c>
      <c r="B544" s="8" t="n">
        <v>7</v>
      </c>
      <c r="C544" s="8" t="s">
        <v>71</v>
      </c>
      <c r="D544" s="8" t="s">
        <v>607</v>
      </c>
      <c r="E544" s="14" t="s">
        <v>66</v>
      </c>
      <c r="F544" s="9" t="n">
        <v>142075</v>
      </c>
      <c r="G544" s="9" t="n">
        <v>15167</v>
      </c>
      <c r="H544" s="9" t="n">
        <v>7428</v>
      </c>
      <c r="I544" s="9" t="n">
        <v>8442</v>
      </c>
      <c r="J544" s="9" t="n">
        <v>204</v>
      </c>
      <c r="K544" s="9" t="n">
        <v>115</v>
      </c>
      <c r="L544" s="9" t="n">
        <v>22</v>
      </c>
      <c r="M544" s="10" t="n">
        <f aca="false">IFERROR(G544/F544,"")</f>
        <v>0.106753475277142</v>
      </c>
      <c r="N544" s="10" t="n">
        <f aca="false">IFERROR(H544/G544,"")</f>
        <v>0.489747478077405</v>
      </c>
      <c r="O544" s="11" t="n">
        <f aca="false">IFERROR(I544/H544,"")</f>
        <v>1.13651050080775</v>
      </c>
      <c r="P544" s="10" t="n">
        <f aca="false">IFERROR(J544/H544,"")</f>
        <v>0.0274636510500808</v>
      </c>
      <c r="Q544" s="10" t="n">
        <f aca="false">IFERROR(K544/H544,"")</f>
        <v>0.0154819601507808</v>
      </c>
      <c r="R544" s="10" t="n">
        <f aca="false">IFERROR(L544/H544,"")</f>
        <v>0.00296176628971459</v>
      </c>
      <c r="S544" s="11" t="n">
        <f aca="false">IFERROR(M544/MEDIAN(INDEX($M$5:$M$627,MATCH($A544-90,$A$5:$A$627,1)):INDEX($M$5:$M$627,MATCH($A544+90,$A$5:$A$627,1))),"")</f>
        <v>2.01085793976612</v>
      </c>
      <c r="T544" s="11" t="n">
        <f aca="false">IFERROR(N544/MEDIAN(INDEX($N$5:$N$627,MATCH($A544-90,$A$5:$A$627,1)):INDEX($N$5:$N$627,MATCH($A544+90,$A$5:$A$627,1))),"")</f>
        <v>0.944567707656989</v>
      </c>
      <c r="U544" s="11" t="n">
        <f aca="false">IFERROR(Q544/MEDIAN(INDEX($Q$5:$Q$627,MATCH($A544-90,$A$5:$A$627,1)):INDEX($Q$5:$Q$627,MATCH($A544+90,$A$5:$A$627,1))),"")</f>
        <v>0.922851052804673</v>
      </c>
    </row>
    <row r="545" customFormat="false" ht="15" hidden="false" customHeight="false" outlineLevel="0" collapsed="false">
      <c r="A545" s="13" t="n">
        <v>46121.2920454051</v>
      </c>
      <c r="B545" s="8" t="n">
        <v>7</v>
      </c>
      <c r="C545" s="8" t="s">
        <v>73</v>
      </c>
      <c r="D545" s="8" t="s">
        <v>608</v>
      </c>
      <c r="E545" s="14" t="s">
        <v>66</v>
      </c>
      <c r="F545" s="9" t="n">
        <v>2107</v>
      </c>
      <c r="G545" s="9" t="n">
        <v>35</v>
      </c>
      <c r="H545" s="9" t="n">
        <v>19</v>
      </c>
      <c r="I545" s="9" t="n">
        <v>21</v>
      </c>
      <c r="J545" s="9" t="n">
        <v>4</v>
      </c>
      <c r="K545" s="9" t="n">
        <v>0</v>
      </c>
      <c r="L545" s="9" t="n">
        <v>0</v>
      </c>
      <c r="M545" s="10" t="n">
        <f aca="false">IFERROR(G545/F545,"")</f>
        <v>0.0166112956810631</v>
      </c>
      <c r="N545" s="10" t="n">
        <f aca="false">IFERROR(H545/G545,"")</f>
        <v>0.542857142857143</v>
      </c>
      <c r="O545" s="11" t="n">
        <f aca="false">IFERROR(I545/H545,"")</f>
        <v>1.10526315789474</v>
      </c>
      <c r="P545" s="10" t="n">
        <f aca="false">IFERROR(J545/H545,"")</f>
        <v>0.210526315789474</v>
      </c>
      <c r="Q545" s="10" t="n">
        <f aca="false">IFERROR(K545/H545,"")</f>
        <v>0</v>
      </c>
      <c r="R545" s="10" t="n">
        <f aca="false">IFERROR(L545/H545,"")</f>
        <v>0</v>
      </c>
      <c r="S545" s="11" t="n">
        <f aca="false">IFERROR(M545/MEDIAN(INDEX($M$5:$M$627,MATCH($A545-90,$A$5:$A$627,1)):INDEX($M$5:$M$627,MATCH($A545+90,$A$5:$A$627,1))),"")</f>
        <v>0.305557756831939</v>
      </c>
      <c r="T545" s="11" t="n">
        <f aca="false">IFERROR(N545/MEDIAN(INDEX($N$5:$N$627,MATCH($A545-90,$A$5:$A$627,1)):INDEX($N$5:$N$627,MATCH($A545+90,$A$5:$A$627,1))),"")</f>
        <v>1.04699942310423</v>
      </c>
      <c r="U545" s="11" t="n">
        <f aca="false">IFERROR(Q545/MEDIAN(INDEX($Q$5:$Q$627,MATCH($A545-90,$A$5:$A$627,1)):INDEX($Q$5:$Q$627,MATCH($A545+90,$A$5:$A$627,1))),"")</f>
        <v>0</v>
      </c>
    </row>
    <row r="546" customFormat="false" ht="15" hidden="false" customHeight="false" outlineLevel="0" collapsed="false">
      <c r="A546" s="13" t="n">
        <v>46122.5463789815</v>
      </c>
      <c r="B546" s="8" t="n">
        <v>13</v>
      </c>
      <c r="C546" s="8" t="s">
        <v>84</v>
      </c>
      <c r="D546" s="8" t="s">
        <v>609</v>
      </c>
      <c r="E546" s="14" t="s">
        <v>66</v>
      </c>
      <c r="F546" s="9" t="n">
        <v>71271</v>
      </c>
      <c r="G546" s="9" t="n">
        <v>2234</v>
      </c>
      <c r="H546" s="9" t="n">
        <v>1174</v>
      </c>
      <c r="I546" s="9" t="n">
        <v>471</v>
      </c>
      <c r="J546" s="9" t="n">
        <v>112</v>
      </c>
      <c r="K546" s="9" t="n">
        <v>53</v>
      </c>
      <c r="L546" s="9" t="n">
        <v>23</v>
      </c>
      <c r="M546" s="10" t="n">
        <f aca="false">IFERROR(G546/F546,"")</f>
        <v>0.0313451473951537</v>
      </c>
      <c r="N546" s="10" t="n">
        <f aca="false">IFERROR(H546/G546,"")</f>
        <v>0.525514771709937</v>
      </c>
      <c r="O546" s="11" t="n">
        <f aca="false">IFERROR(I546/H546,"")</f>
        <v>0.401192504258944</v>
      </c>
      <c r="P546" s="10" t="n">
        <f aca="false">IFERROR(J546/H546,"")</f>
        <v>0.0954003407155026</v>
      </c>
      <c r="Q546" s="10" t="n">
        <f aca="false">IFERROR(K546/H546,"")</f>
        <v>0.045144804088586</v>
      </c>
      <c r="R546" s="10" t="n">
        <f aca="false">IFERROR(L546/H546,"")</f>
        <v>0.0195911413969336</v>
      </c>
      <c r="S546" s="11" t="n">
        <f aca="false">IFERROR(M546/MEDIAN(INDEX($M$5:$M$627,MATCH($A546-90,$A$5:$A$627,1)):INDEX($M$5:$M$627,MATCH($A546+90,$A$5:$A$627,1))),"")</f>
        <v>0.576580726122906</v>
      </c>
      <c r="T546" s="11" t="n">
        <f aca="false">IFERROR(N546/MEDIAN(INDEX($N$5:$N$627,MATCH($A546-90,$A$5:$A$627,1)):INDEX($N$5:$N$627,MATCH($A546+90,$A$5:$A$627,1))),"")</f>
        <v>1.01355148412931</v>
      </c>
      <c r="U546" s="11" t="n">
        <f aca="false">IFERROR(Q546/MEDIAN(INDEX($Q$5:$Q$627,MATCH($A546-90,$A$5:$A$627,1)):INDEX($Q$5:$Q$627,MATCH($A546+90,$A$5:$A$627,1))),"")</f>
        <v>2.69099839917306</v>
      </c>
    </row>
    <row r="547" customFormat="false" ht="15" hidden="false" customHeight="false" outlineLevel="0" collapsed="false">
      <c r="A547" s="13" t="n">
        <v>46123.254675544</v>
      </c>
      <c r="B547" s="8" t="n">
        <v>6</v>
      </c>
      <c r="C547" s="8" t="s">
        <v>68</v>
      </c>
      <c r="D547" s="8" t="s">
        <v>610</v>
      </c>
      <c r="E547" s="14" t="s">
        <v>66</v>
      </c>
      <c r="F547" s="9" t="n">
        <v>27173</v>
      </c>
      <c r="G547" s="9" t="n">
        <v>1975</v>
      </c>
      <c r="H547" s="9" t="n">
        <v>970</v>
      </c>
      <c r="I547" s="9" t="n">
        <v>1552</v>
      </c>
      <c r="J547" s="9" t="n">
        <v>103</v>
      </c>
      <c r="K547" s="9" t="n">
        <v>33</v>
      </c>
      <c r="L547" s="9" t="n">
        <v>7</v>
      </c>
      <c r="M547" s="10" t="n">
        <f aca="false">IFERROR(G547/F547,"")</f>
        <v>0.0726824421300556</v>
      </c>
      <c r="N547" s="10" t="n">
        <f aca="false">IFERROR(H547/G547,"")</f>
        <v>0.491139240506329</v>
      </c>
      <c r="O547" s="11" t="n">
        <f aca="false">IFERROR(I547/H547,"")</f>
        <v>1.6</v>
      </c>
      <c r="P547" s="10" t="n">
        <f aca="false">IFERROR(J547/H547,"")</f>
        <v>0.106185567010309</v>
      </c>
      <c r="Q547" s="10" t="n">
        <f aca="false">IFERROR(K547/H547,"")</f>
        <v>0.034020618556701</v>
      </c>
      <c r="R547" s="10" t="n">
        <f aca="false">IFERROR(L547/H547,"")</f>
        <v>0.00721649484536083</v>
      </c>
      <c r="S547" s="11" t="n">
        <f aca="false">IFERROR(M547/MEDIAN(INDEX($M$5:$M$627,MATCH($A547-90,$A$5:$A$627,1)):INDEX($M$5:$M$627,MATCH($A547+90,$A$5:$A$627,1))),"")</f>
        <v>1.33239950151381</v>
      </c>
      <c r="T547" s="11" t="n">
        <f aca="false">IFERROR(N547/MEDIAN(INDEX($N$5:$N$627,MATCH($A547-90,$A$5:$A$627,1)):INDEX($N$5:$N$627,MATCH($A547+90,$A$5:$A$627,1))),"")</f>
        <v>0.949215755604271</v>
      </c>
      <c r="U547" s="11" t="n">
        <f aca="false">IFERROR(Q547/MEDIAN(INDEX($Q$5:$Q$627,MATCH($A547-90,$A$5:$A$627,1)):INDEX($Q$5:$Q$627,MATCH($A547+90,$A$5:$A$627,1))),"")</f>
        <v>1.94768041237113</v>
      </c>
    </row>
    <row r="548" customFormat="false" ht="15" hidden="false" customHeight="false" outlineLevel="0" collapsed="false">
      <c r="A548" s="13" t="n">
        <v>46125.2524693982</v>
      </c>
      <c r="B548" s="8" t="n">
        <v>6</v>
      </c>
      <c r="C548" s="8" t="s">
        <v>80</v>
      </c>
      <c r="D548" s="8" t="s">
        <v>611</v>
      </c>
      <c r="E548" s="14" t="s">
        <v>66</v>
      </c>
      <c r="F548" s="9" t="n">
        <v>407368</v>
      </c>
      <c r="G548" s="9" t="n">
        <v>16589</v>
      </c>
      <c r="H548" s="9" t="n">
        <v>8619</v>
      </c>
      <c r="I548" s="9" t="n">
        <v>10122</v>
      </c>
      <c r="J548" s="9" t="n">
        <v>652</v>
      </c>
      <c r="K548" s="9" t="n">
        <v>249</v>
      </c>
      <c r="L548" s="9" t="n">
        <v>56</v>
      </c>
      <c r="M548" s="10" t="n">
        <f aca="false">IFERROR(G548/F548,"")</f>
        <v>0.0407223935115178</v>
      </c>
      <c r="N548" s="10" t="n">
        <f aca="false">IFERROR(H548/G548,"")</f>
        <v>0.519561154982217</v>
      </c>
      <c r="O548" s="11" t="n">
        <f aca="false">IFERROR(I548/H548,"")</f>
        <v>1.17438217890707</v>
      </c>
      <c r="P548" s="10" t="n">
        <f aca="false">IFERROR(J548/H548,"")</f>
        <v>0.0756468267780485</v>
      </c>
      <c r="Q548" s="10" t="n">
        <f aca="false">IFERROR(K548/H548,"")</f>
        <v>0.0288896623738253</v>
      </c>
      <c r="R548" s="10" t="n">
        <f aca="false">IFERROR(L548/H548,"")</f>
        <v>0.00649727346559926</v>
      </c>
      <c r="S548" s="11" t="n">
        <f aca="false">IFERROR(M548/MEDIAN(INDEX($M$5:$M$627,MATCH($A548-90,$A$5:$A$627,1)):INDEX($M$5:$M$627,MATCH($A548+90,$A$5:$A$627,1))),"")</f>
        <v>0.735370270788978</v>
      </c>
      <c r="T548" s="11" t="n">
        <f aca="false">IFERROR(N548/MEDIAN(INDEX($N$5:$N$627,MATCH($A548-90,$A$5:$A$627,1)):INDEX($N$5:$N$627,MATCH($A548+90,$A$5:$A$627,1))),"")</f>
        <v>1.00206884387796</v>
      </c>
      <c r="U548" s="11" t="n">
        <f aca="false">IFERROR(Q548/MEDIAN(INDEX($Q$5:$Q$627,MATCH($A548-90,$A$5:$A$627,1)):INDEX($Q$5:$Q$627,MATCH($A548+90,$A$5:$A$627,1))),"")</f>
        <v>1.64789250921084</v>
      </c>
    </row>
    <row r="549" customFormat="false" ht="15" hidden="false" customHeight="false" outlineLevel="0" collapsed="false">
      <c r="A549" s="13" t="n">
        <v>46126.5189804977</v>
      </c>
      <c r="B549" s="8" t="n">
        <v>12</v>
      </c>
      <c r="C549" s="8" t="s">
        <v>64</v>
      </c>
      <c r="D549" s="8" t="s">
        <v>612</v>
      </c>
      <c r="E549" s="14" t="s">
        <v>66</v>
      </c>
      <c r="F549" s="9" t="n">
        <v>4687</v>
      </c>
      <c r="G549" s="9" t="n">
        <v>200</v>
      </c>
      <c r="H549" s="9" t="n">
        <v>106</v>
      </c>
      <c r="I549" s="9" t="n">
        <v>115</v>
      </c>
      <c r="J549" s="9" t="n">
        <v>5</v>
      </c>
      <c r="K549" s="9" t="n">
        <v>0</v>
      </c>
      <c r="L549" s="9" t="n">
        <v>2</v>
      </c>
      <c r="M549" s="10" t="n">
        <f aca="false">IFERROR(G549/F549,"")</f>
        <v>0.0426712182632814</v>
      </c>
      <c r="N549" s="10" t="n">
        <f aca="false">IFERROR(H549/G549,"")</f>
        <v>0.53</v>
      </c>
      <c r="O549" s="11" t="n">
        <f aca="false">IFERROR(I549/H549,"")</f>
        <v>1.08490566037736</v>
      </c>
      <c r="P549" s="10" t="n">
        <f aca="false">IFERROR(J549/H549,"")</f>
        <v>0.0471698113207547</v>
      </c>
      <c r="Q549" s="10" t="n">
        <f aca="false">IFERROR(K549/H549,"")</f>
        <v>0</v>
      </c>
      <c r="R549" s="10" t="n">
        <f aca="false">IFERROR(L549/H549,"")</f>
        <v>0.0188679245283019</v>
      </c>
      <c r="S549" s="11" t="n">
        <f aca="false">IFERROR(M549/MEDIAN(INDEX($M$5:$M$627,MATCH($A549-90,$A$5:$A$627,1)):INDEX($M$5:$M$627,MATCH($A549+90,$A$5:$A$627,1))),"")</f>
        <v>0.759228376650425</v>
      </c>
      <c r="T549" s="11" t="n">
        <f aca="false">IFERROR(N549/MEDIAN(INDEX($N$5:$N$627,MATCH($A549-90,$A$5:$A$627,1)):INDEX($N$5:$N$627,MATCH($A549+90,$A$5:$A$627,1))),"")</f>
        <v>1.02703088235294</v>
      </c>
      <c r="U549" s="11" t="n">
        <f aca="false">IFERROR(Q549/MEDIAN(INDEX($Q$5:$Q$627,MATCH($A549-90,$A$5:$A$627,1)):INDEX($Q$5:$Q$627,MATCH($A549+90,$A$5:$A$627,1))),"")</f>
        <v>0</v>
      </c>
    </row>
    <row r="550" customFormat="false" ht="15" hidden="false" customHeight="false" outlineLevel="0" collapsed="false">
      <c r="A550" s="13" t="n">
        <v>46127.4167912153</v>
      </c>
      <c r="B550" s="8" t="n">
        <v>10</v>
      </c>
      <c r="C550" s="8" t="s">
        <v>71</v>
      </c>
      <c r="D550" s="8" t="s">
        <v>613</v>
      </c>
      <c r="E550" s="14" t="s">
        <v>66</v>
      </c>
      <c r="F550" s="9" t="n">
        <v>23274</v>
      </c>
      <c r="G550" s="9" t="n">
        <v>1846</v>
      </c>
      <c r="H550" s="9" t="n">
        <v>899</v>
      </c>
      <c r="I550" s="9" t="n">
        <v>1098</v>
      </c>
      <c r="J550" s="9" t="n">
        <v>84</v>
      </c>
      <c r="K550" s="9" t="n">
        <v>57</v>
      </c>
      <c r="L550" s="9" t="n">
        <v>4</v>
      </c>
      <c r="M550" s="10" t="n">
        <f aca="false">IFERROR(G550/F550,"")</f>
        <v>0.0793159749076222</v>
      </c>
      <c r="N550" s="10" t="n">
        <f aca="false">IFERROR(H550/G550,"")</f>
        <v>0.486998916576381</v>
      </c>
      <c r="O550" s="11" t="n">
        <f aca="false">IFERROR(I550/H550,"")</f>
        <v>1.22135706340378</v>
      </c>
      <c r="P550" s="10" t="n">
        <f aca="false">IFERROR(J550/H550,"")</f>
        <v>0.0934371523915462</v>
      </c>
      <c r="Q550" s="10" t="n">
        <f aca="false">IFERROR(K550/H550,"")</f>
        <v>0.0634037819799778</v>
      </c>
      <c r="R550" s="10" t="n">
        <f aca="false">IFERROR(L550/H550,"")</f>
        <v>0.00444938820912125</v>
      </c>
      <c r="S550" s="11" t="n">
        <f aca="false">IFERROR(M550/MEDIAN(INDEX($M$5:$M$627,MATCH($A550-90,$A$5:$A$627,1)):INDEX($M$5:$M$627,MATCH($A550+90,$A$5:$A$627,1))),"")</f>
        <v>1.41123083245501</v>
      </c>
      <c r="T550" s="11" t="n">
        <f aca="false">IFERROR(N550/MEDIAN(INDEX($N$5:$N$627,MATCH($A550-90,$A$5:$A$627,1)):INDEX($N$5:$N$627,MATCH($A550+90,$A$5:$A$627,1))),"")</f>
        <v>0.943703635842203</v>
      </c>
      <c r="U550" s="11" t="n">
        <f aca="false">IFERROR(Q550/MEDIAN(INDEX($Q$5:$Q$627,MATCH($A550-90,$A$5:$A$627,1)):INDEX($Q$5:$Q$627,MATCH($A550+90,$A$5:$A$627,1))),"")</f>
        <v>3.60344827586207</v>
      </c>
    </row>
    <row r="551" customFormat="false" ht="15" hidden="false" customHeight="false" outlineLevel="0" collapsed="false">
      <c r="A551" s="13" t="n">
        <v>46128.5676090394</v>
      </c>
      <c r="B551" s="8" t="n">
        <v>13</v>
      </c>
      <c r="C551" s="8" t="s">
        <v>73</v>
      </c>
      <c r="D551" s="8" t="s">
        <v>614</v>
      </c>
      <c r="E551" s="14" t="s">
        <v>66</v>
      </c>
      <c r="F551" s="9" t="n">
        <v>96322</v>
      </c>
      <c r="G551" s="9" t="n">
        <v>12803</v>
      </c>
      <c r="H551" s="9" t="n">
        <v>9245</v>
      </c>
      <c r="I551" s="9" t="n">
        <v>8153</v>
      </c>
      <c r="J551" s="9" t="n">
        <v>617</v>
      </c>
      <c r="K551" s="9" t="n">
        <v>0</v>
      </c>
      <c r="L551" s="9" t="n">
        <v>36</v>
      </c>
      <c r="M551" s="10" t="n">
        <f aca="false">IFERROR(G551/F551,"")</f>
        <v>0.13291875168705</v>
      </c>
      <c r="N551" s="10" t="n">
        <f aca="false">IFERROR(H551/G551,"")</f>
        <v>0.72209638366008</v>
      </c>
      <c r="O551" s="11" t="n">
        <f aca="false">IFERROR(I551/H551,"")</f>
        <v>0.881882098431585</v>
      </c>
      <c r="P551" s="10" t="n">
        <f aca="false">IFERROR(J551/H551,"")</f>
        <v>0.0667387777176852</v>
      </c>
      <c r="Q551" s="10" t="n">
        <f aca="false">IFERROR(K551/H551,"")</f>
        <v>0</v>
      </c>
      <c r="R551" s="10" t="n">
        <f aca="false">IFERROR(L551/H551,"")</f>
        <v>0.0038939967550027</v>
      </c>
      <c r="S551" s="11" t="n">
        <f aca="false">IFERROR(M551/MEDIAN(INDEX($M$5:$M$627,MATCH($A551-90,$A$5:$A$627,1)):INDEX($M$5:$M$627,MATCH($A551+90,$A$5:$A$627,1))),"")</f>
        <v>2.33377945558678</v>
      </c>
      <c r="T551" s="11" t="n">
        <f aca="false">IFERROR(N551/MEDIAN(INDEX($N$5:$N$627,MATCH($A551-90,$A$5:$A$627,1)):INDEX($N$5:$N$627,MATCH($A551+90,$A$5:$A$627,1))),"")</f>
        <v>1.39558236830841</v>
      </c>
      <c r="U551" s="11" t="n">
        <f aca="false">IFERROR(Q551/MEDIAN(INDEX($Q$5:$Q$627,MATCH($A551-90,$A$5:$A$627,1)):INDEX($Q$5:$Q$627,MATCH($A551+90,$A$5:$A$627,1))),"")</f>
        <v>0</v>
      </c>
    </row>
    <row r="552" customFormat="false" ht="15" hidden="false" customHeight="false" outlineLevel="0" collapsed="false">
      <c r="A552" s="13" t="n">
        <v>46129.2926776157</v>
      </c>
      <c r="B552" s="8" t="n">
        <v>7</v>
      </c>
      <c r="C552" s="8" t="s">
        <v>84</v>
      </c>
      <c r="D552" s="8" t="s">
        <v>615</v>
      </c>
      <c r="E552" s="14" t="s">
        <v>66</v>
      </c>
      <c r="F552" s="9" t="n">
        <v>34438</v>
      </c>
      <c r="G552" s="9" t="n">
        <v>2205</v>
      </c>
      <c r="H552" s="9" t="n">
        <v>1024</v>
      </c>
      <c r="I552" s="9" t="n">
        <v>1039</v>
      </c>
      <c r="J552" s="9" t="n">
        <v>96</v>
      </c>
      <c r="K552" s="9" t="n">
        <v>129</v>
      </c>
      <c r="L552" s="9" t="n">
        <v>5</v>
      </c>
      <c r="M552" s="10" t="n">
        <f aca="false">IFERROR(G552/F552,"")</f>
        <v>0.0640281084848133</v>
      </c>
      <c r="N552" s="10" t="n">
        <f aca="false">IFERROR(H552/G552,"")</f>
        <v>0.464399092970522</v>
      </c>
      <c r="O552" s="11" t="n">
        <f aca="false">IFERROR(I552/H552,"")</f>
        <v>1.0146484375</v>
      </c>
      <c r="P552" s="10" t="n">
        <f aca="false">IFERROR(J552/H552,"")</f>
        <v>0.09375</v>
      </c>
      <c r="Q552" s="10" t="n">
        <f aca="false">IFERROR(K552/H552,"")</f>
        <v>0.1259765625</v>
      </c>
      <c r="R552" s="10" t="n">
        <f aca="false">IFERROR(L552/H552,"")</f>
        <v>0.0048828125</v>
      </c>
      <c r="S552" s="11" t="n">
        <f aca="false">IFERROR(M552/MEDIAN(INDEX($M$5:$M$627,MATCH($A552-90,$A$5:$A$627,1)):INDEX($M$5:$M$627,MATCH($A552+90,$A$5:$A$627,1))),"")</f>
        <v>1.12203631385119</v>
      </c>
      <c r="T552" s="11" t="n">
        <f aca="false">IFERROR(N552/MEDIAN(INDEX($N$5:$N$627,MATCH($A552-90,$A$5:$A$627,1)):INDEX($N$5:$N$627,MATCH($A552+90,$A$5:$A$627,1))),"")</f>
        <v>0.895678704476801</v>
      </c>
      <c r="U552" s="11" t="n">
        <f aca="false">IFERROR(Q552/MEDIAN(INDEX($Q$5:$Q$627,MATCH($A552-90,$A$5:$A$627,1)):INDEX($Q$5:$Q$627,MATCH($A552+90,$A$5:$A$627,1))),"")</f>
        <v>7.0599996621165</v>
      </c>
    </row>
    <row r="553" customFormat="false" ht="15" hidden="false" customHeight="false" outlineLevel="0" collapsed="false">
      <c r="A553" s="13" t="n">
        <v>46130.2924414468</v>
      </c>
      <c r="B553" s="8" t="n">
        <v>7</v>
      </c>
      <c r="C553" s="8" t="s">
        <v>68</v>
      </c>
      <c r="D553" s="8" t="s">
        <v>616</v>
      </c>
      <c r="E553" s="14" t="s">
        <v>66</v>
      </c>
      <c r="F553" s="9" t="n">
        <v>2864643</v>
      </c>
      <c r="G553" s="9" t="n">
        <v>385068</v>
      </c>
      <c r="H553" s="9" t="n">
        <v>164775</v>
      </c>
      <c r="I553" s="9" t="n">
        <v>138509</v>
      </c>
      <c r="J553" s="9" t="n">
        <v>2104</v>
      </c>
      <c r="K553" s="9" t="n">
        <v>935</v>
      </c>
      <c r="L553" s="9" t="n">
        <v>570</v>
      </c>
      <c r="M553" s="10" t="n">
        <f aca="false">IFERROR(G553/F553,"")</f>
        <v>0.134420938315874</v>
      </c>
      <c r="N553" s="10" t="n">
        <f aca="false">IFERROR(H553/G553,"")</f>
        <v>0.427911433824675</v>
      </c>
      <c r="O553" s="11" t="n">
        <f aca="false">IFERROR(I553/H553,"")</f>
        <v>0.840594750417236</v>
      </c>
      <c r="P553" s="10" t="n">
        <f aca="false">IFERROR(J553/H553,"")</f>
        <v>0.0127689273251403</v>
      </c>
      <c r="Q553" s="10" t="n">
        <f aca="false">IFERROR(K553/H553,"")</f>
        <v>0.00567440449097254</v>
      </c>
      <c r="R553" s="10" t="n">
        <f aca="false">IFERROR(L553/H553,"")</f>
        <v>0.00345926263086026</v>
      </c>
      <c r="S553" s="11" t="n">
        <f aca="false">IFERROR(M553/MEDIAN(INDEX($M$5:$M$627,MATCH($A553-90,$A$5:$A$627,1)):INDEX($M$5:$M$627,MATCH($A553+90,$A$5:$A$627,1))),"")</f>
        <v>2.35560877404547</v>
      </c>
      <c r="T553" s="11" t="n">
        <f aca="false">IFERROR(N553/MEDIAN(INDEX($N$5:$N$627,MATCH($A553-90,$A$5:$A$627,1)):INDEX($N$5:$N$627,MATCH($A553+90,$A$5:$A$627,1))),"")</f>
        <v>0.825305571178676</v>
      </c>
      <c r="U553" s="11" t="n">
        <f aca="false">IFERROR(Q553/MEDIAN(INDEX($Q$5:$Q$627,MATCH($A553-90,$A$5:$A$627,1)):INDEX($Q$5:$Q$627,MATCH($A553+90,$A$5:$A$627,1))),"")</f>
        <v>0.318005928991581</v>
      </c>
    </row>
    <row r="554" customFormat="false" ht="15" hidden="false" customHeight="false" outlineLevel="0" collapsed="false">
      <c r="A554" s="13" t="n">
        <v>46132.6528336458</v>
      </c>
      <c r="B554" s="8" t="n">
        <v>15</v>
      </c>
      <c r="C554" s="8" t="s">
        <v>80</v>
      </c>
      <c r="D554" s="8" t="s">
        <v>617</v>
      </c>
      <c r="E554" s="14" t="s">
        <v>66</v>
      </c>
      <c r="F554" s="9" t="n">
        <v>5752</v>
      </c>
      <c r="G554" s="9" t="n">
        <v>152</v>
      </c>
      <c r="H554" s="9" t="n">
        <v>66</v>
      </c>
      <c r="I554" s="9" t="n">
        <v>73</v>
      </c>
      <c r="J554" s="9" t="n">
        <v>25</v>
      </c>
      <c r="K554" s="9" t="n">
        <v>18</v>
      </c>
      <c r="L554" s="9" t="n">
        <v>0</v>
      </c>
      <c r="M554" s="10" t="n">
        <f aca="false">IFERROR(G554/F554,"")</f>
        <v>0.0264255910987483</v>
      </c>
      <c r="N554" s="10" t="n">
        <f aca="false">IFERROR(H554/G554,"")</f>
        <v>0.43421052631579</v>
      </c>
      <c r="O554" s="11" t="n">
        <f aca="false">IFERROR(I554/H554,"")</f>
        <v>1.10606060606061</v>
      </c>
      <c r="P554" s="10" t="n">
        <f aca="false">IFERROR(J554/H554,"")</f>
        <v>0.378787878787879</v>
      </c>
      <c r="Q554" s="10" t="n">
        <f aca="false">IFERROR(K554/H554,"")</f>
        <v>0.272727272727273</v>
      </c>
      <c r="R554" s="10" t="n">
        <f aca="false">IFERROR(L554/H554,"")</f>
        <v>0</v>
      </c>
      <c r="S554" s="11" t="n">
        <f aca="false">IFERROR(M554/MEDIAN(INDEX($M$5:$M$627,MATCH($A554-90,$A$5:$A$627,1)):INDEX($M$5:$M$627,MATCH($A554+90,$A$5:$A$627,1))),"")</f>
        <v>0.4621950017477</v>
      </c>
      <c r="T554" s="11" t="n">
        <f aca="false">IFERROR(N554/MEDIAN(INDEX($N$5:$N$627,MATCH($A554-90,$A$5:$A$627,1)):INDEX($N$5:$N$627,MATCH($A554+90,$A$5:$A$627,1))),"")</f>
        <v>0.835725539047759</v>
      </c>
      <c r="U554" s="11" t="n">
        <f aca="false">IFERROR(Q554/MEDIAN(INDEX($Q$5:$Q$627,MATCH($A554-90,$A$5:$A$627,1)):INDEX($Q$5:$Q$627,MATCH($A554+90,$A$5:$A$627,1))),"")</f>
        <v>15.5</v>
      </c>
    </row>
    <row r="555" customFormat="false" ht="15" hidden="false" customHeight="false" outlineLevel="0" collapsed="false">
      <c r="A555" s="13" t="n">
        <v>46133.5457070023</v>
      </c>
      <c r="B555" s="8" t="n">
        <v>13</v>
      </c>
      <c r="C555" s="8" t="s">
        <v>64</v>
      </c>
      <c r="D555" s="8" t="s">
        <v>618</v>
      </c>
      <c r="E555" s="14" t="s">
        <v>66</v>
      </c>
      <c r="F555" s="9" t="n">
        <v>1771</v>
      </c>
      <c r="G555" s="9" t="n">
        <v>30</v>
      </c>
      <c r="H555" s="9" t="n">
        <v>22</v>
      </c>
      <c r="I555" s="9" t="n">
        <v>37</v>
      </c>
      <c r="J555" s="9" t="n">
        <v>3</v>
      </c>
      <c r="K555" s="9" t="n">
        <v>0</v>
      </c>
      <c r="L555" s="9" t="n">
        <v>0</v>
      </c>
      <c r="M555" s="10" t="n">
        <f aca="false">IFERROR(G555/F555,"")</f>
        <v>0.0169395821569735</v>
      </c>
      <c r="N555" s="10" t="n">
        <f aca="false">IFERROR(H555/G555,"")</f>
        <v>0.733333333333333</v>
      </c>
      <c r="O555" s="11" t="n">
        <f aca="false">IFERROR(I555/H555,"")</f>
        <v>1.68181818181818</v>
      </c>
      <c r="P555" s="10" t="n">
        <f aca="false">IFERROR(J555/H555,"")</f>
        <v>0.136363636363636</v>
      </c>
      <c r="Q555" s="10" t="n">
        <f aca="false">IFERROR(K555/H555,"")</f>
        <v>0</v>
      </c>
      <c r="R555" s="10" t="n">
        <f aca="false">IFERROR(L555/H555,"")</f>
        <v>0</v>
      </c>
      <c r="S555" s="11" t="n">
        <f aca="false">IFERROR(M555/MEDIAN(INDEX($M$5:$M$627,MATCH($A555-90,$A$5:$A$627,1)):INDEX($M$5:$M$627,MATCH($A555+90,$A$5:$A$627,1))),"")</f>
        <v>0.296280608270614</v>
      </c>
      <c r="T555" s="11" t="n">
        <f aca="false">IFERROR(N555/MEDIAN(INDEX($N$5:$N$627,MATCH($A555-90,$A$5:$A$627,1)):INDEX($N$5:$N$627,MATCH($A555+90,$A$5:$A$627,1))),"")</f>
        <v>1.41729981378026</v>
      </c>
      <c r="U555" s="11" t="n">
        <f aca="false">IFERROR(Q555/MEDIAN(INDEX($Q$5:$Q$627,MATCH($A555-90,$A$5:$A$627,1)):INDEX($Q$5:$Q$627,MATCH($A555+90,$A$5:$A$627,1))),"")</f>
        <v>0</v>
      </c>
    </row>
    <row r="556" customFormat="false" ht="15" hidden="false" customHeight="false" outlineLevel="0" collapsed="false">
      <c r="A556" s="13" t="n">
        <v>46134.3224775116</v>
      </c>
      <c r="B556" s="8" t="n">
        <v>7</v>
      </c>
      <c r="C556" s="8" t="s">
        <v>71</v>
      </c>
      <c r="D556" s="8" t="s">
        <v>619</v>
      </c>
      <c r="E556" s="14" t="s">
        <v>66</v>
      </c>
      <c r="F556" s="9" t="n">
        <v>275416</v>
      </c>
      <c r="G556" s="9" t="n">
        <v>9159</v>
      </c>
      <c r="H556" s="9" t="n">
        <v>4665</v>
      </c>
      <c r="I556" s="9" t="n">
        <v>5995</v>
      </c>
      <c r="J556" s="9" t="n">
        <v>279</v>
      </c>
      <c r="K556" s="9" t="n">
        <v>102</v>
      </c>
      <c r="L556" s="9" t="n">
        <v>17</v>
      </c>
      <c r="M556" s="10" t="n">
        <f aca="false">IFERROR(G556/F556,"")</f>
        <v>0.0332551485752462</v>
      </c>
      <c r="N556" s="10" t="n">
        <f aca="false">IFERROR(H556/G556,"")</f>
        <v>0.509335080248936</v>
      </c>
      <c r="O556" s="11" t="n">
        <f aca="false">IFERROR(I556/H556,"")</f>
        <v>1.28510182207931</v>
      </c>
      <c r="P556" s="10" t="n">
        <f aca="false">IFERROR(J556/H556,"")</f>
        <v>0.0598070739549839</v>
      </c>
      <c r="Q556" s="10" t="n">
        <f aca="false">IFERROR(K556/H556,"")</f>
        <v>0.0218649517684887</v>
      </c>
      <c r="R556" s="10" t="n">
        <f aca="false">IFERROR(L556/H556,"")</f>
        <v>0.00364415862808146</v>
      </c>
      <c r="S556" s="11" t="n">
        <f aca="false">IFERROR(M556/MEDIAN(INDEX($M$5:$M$627,MATCH($A556-90,$A$5:$A$627,1)):INDEX($M$5:$M$627,MATCH($A556+90,$A$5:$A$627,1))),"")</f>
        <v>0.581646911753811</v>
      </c>
      <c r="T556" s="11" t="n">
        <f aca="false">IFERROR(N556/MEDIAN(INDEX($N$5:$N$627,MATCH($A556-90,$A$5:$A$627,1)):INDEX($N$5:$N$627,MATCH($A556+90,$A$5:$A$627,1))),"")</f>
        <v>0.984382519620778</v>
      </c>
      <c r="U556" s="11" t="n">
        <f aca="false">IFERROR(Q556/MEDIAN(INDEX($Q$5:$Q$627,MATCH($A556-90,$A$5:$A$627,1)):INDEX($Q$5:$Q$627,MATCH($A556+90,$A$5:$A$627,1))),"")</f>
        <v>1.20853551593101</v>
      </c>
    </row>
    <row r="557" customFormat="false" ht="15" hidden="false" customHeight="false" outlineLevel="0" collapsed="false">
      <c r="A557" s="13" t="n">
        <v>46135.5626001736</v>
      </c>
      <c r="B557" s="8" t="n">
        <v>13</v>
      </c>
      <c r="C557" s="8" t="s">
        <v>73</v>
      </c>
      <c r="D557" s="8" t="s">
        <v>620</v>
      </c>
      <c r="E557" s="14" t="s">
        <v>66</v>
      </c>
      <c r="F557" s="9" t="n">
        <v>307574</v>
      </c>
      <c r="G557" s="9" t="n">
        <v>26925</v>
      </c>
      <c r="H557" s="9" t="n">
        <v>16875</v>
      </c>
      <c r="I557" s="9" t="n">
        <v>12848</v>
      </c>
      <c r="J557" s="9" t="n">
        <v>356</v>
      </c>
      <c r="K557" s="9" t="n">
        <v>0</v>
      </c>
      <c r="L557" s="9" t="n">
        <v>51</v>
      </c>
      <c r="M557" s="10" t="n">
        <f aca="false">IFERROR(G557/F557,"")</f>
        <v>0.087539909095047</v>
      </c>
      <c r="N557" s="10" t="n">
        <f aca="false">IFERROR(H557/G557,"")</f>
        <v>0.626740947075209</v>
      </c>
      <c r="O557" s="11" t="n">
        <f aca="false">IFERROR(I557/H557,"")</f>
        <v>0.761362962962963</v>
      </c>
      <c r="P557" s="10" t="n">
        <f aca="false">IFERROR(J557/H557,"")</f>
        <v>0.0210962962962963</v>
      </c>
      <c r="Q557" s="10" t="n">
        <f aca="false">IFERROR(K557/H557,"")</f>
        <v>0</v>
      </c>
      <c r="R557" s="10" t="n">
        <f aca="false">IFERROR(L557/H557,"")</f>
        <v>0.00302222222222222</v>
      </c>
      <c r="S557" s="11" t="n">
        <f aca="false">IFERROR(M557/MEDIAN(INDEX($M$5:$M$627,MATCH($A557-90,$A$5:$A$627,1)):INDEX($M$5:$M$627,MATCH($A557+90,$A$5:$A$627,1))),"")</f>
        <v>1.46941275655183</v>
      </c>
      <c r="T557" s="11" t="n">
        <f aca="false">IFERROR(N557/MEDIAN(INDEX($N$5:$N$627,MATCH($A557-90,$A$5:$A$627,1)):INDEX($N$5:$N$627,MATCH($A557+90,$A$5:$A$627,1))),"")</f>
        <v>1.20628907889902</v>
      </c>
      <c r="U557" s="11" t="n">
        <f aca="false">IFERROR(Q557/MEDIAN(INDEX($Q$5:$Q$627,MATCH($A557-90,$A$5:$A$627,1)):INDEX($Q$5:$Q$627,MATCH($A557+90,$A$5:$A$627,1))),"")</f>
        <v>0</v>
      </c>
    </row>
    <row r="558" customFormat="false" ht="15" hidden="false" customHeight="false" outlineLevel="0" collapsed="false">
      <c r="A558" s="13" t="n">
        <v>46136.2521608565</v>
      </c>
      <c r="B558" s="8" t="n">
        <v>6</v>
      </c>
      <c r="C558" s="8" t="s">
        <v>84</v>
      </c>
      <c r="D558" s="8" t="s">
        <v>621</v>
      </c>
      <c r="E558" s="14" t="s">
        <v>66</v>
      </c>
      <c r="F558" s="9" t="n">
        <v>30484</v>
      </c>
      <c r="G558" s="9" t="n">
        <v>5624</v>
      </c>
      <c r="H558" s="9" t="n">
        <v>3222</v>
      </c>
      <c r="I558" s="9" t="n">
        <v>1736</v>
      </c>
      <c r="J558" s="9" t="n">
        <v>417</v>
      </c>
      <c r="K558" s="9" t="n">
        <v>104</v>
      </c>
      <c r="L558" s="9" t="n">
        <v>13</v>
      </c>
      <c r="M558" s="10" t="n">
        <f aca="false">IFERROR(G558/F558,"")</f>
        <v>0.184490224380003</v>
      </c>
      <c r="N558" s="10" t="n">
        <f aca="false">IFERROR(H558/G558,"")</f>
        <v>0.572901849217639</v>
      </c>
      <c r="O558" s="11" t="n">
        <f aca="false">IFERROR(I558/H558,"")</f>
        <v>0.538795779019243</v>
      </c>
      <c r="P558" s="10" t="n">
        <f aca="false">IFERROR(J558/H558,"")</f>
        <v>0.129422718808194</v>
      </c>
      <c r="Q558" s="10" t="n">
        <f aca="false">IFERROR(K558/H558,"")</f>
        <v>0.0322780881440099</v>
      </c>
      <c r="R558" s="10" t="n">
        <f aca="false">IFERROR(L558/H558,"")</f>
        <v>0.00403476101800124</v>
      </c>
      <c r="S558" s="11" t="n">
        <f aca="false">IFERROR(M558/MEDIAN(INDEX($M$5:$M$627,MATCH($A558-90,$A$5:$A$627,1)):INDEX($M$5:$M$627,MATCH($A558+90,$A$5:$A$627,1))),"")</f>
        <v>3.09678513452356</v>
      </c>
      <c r="T558" s="11" t="n">
        <f aca="false">IFERROR(N558/MEDIAN(INDEX($N$5:$N$627,MATCH($A558-90,$A$5:$A$627,1)):INDEX($N$5:$N$627,MATCH($A558+90,$A$5:$A$627,1))),"")</f>
        <v>1.10266490041436</v>
      </c>
      <c r="U558" s="11" t="n">
        <f aca="false">IFERROR(Q558/MEDIAN(INDEX($Q$5:$Q$627,MATCH($A558-90,$A$5:$A$627,1)):INDEX($Q$5:$Q$627,MATCH($A558+90,$A$5:$A$627,1))),"")</f>
        <v>1.78409796286891</v>
      </c>
    </row>
    <row r="559" customFormat="false" ht="15" hidden="false" customHeight="false" outlineLevel="0" collapsed="false">
      <c r="A559" s="13" t="n">
        <v>46137.2515369792</v>
      </c>
      <c r="B559" s="8" t="n">
        <v>6</v>
      </c>
      <c r="C559" s="8" t="s">
        <v>68</v>
      </c>
      <c r="D559" s="8" t="s">
        <v>622</v>
      </c>
      <c r="E559" s="14" t="s">
        <v>66</v>
      </c>
      <c r="F559" s="9" t="n">
        <v>1347421</v>
      </c>
      <c r="G559" s="9" t="n">
        <v>84425</v>
      </c>
      <c r="H559" s="9" t="n">
        <v>28007</v>
      </c>
      <c r="I559" s="9" t="n">
        <v>26786</v>
      </c>
      <c r="J559" s="9" t="n">
        <v>671</v>
      </c>
      <c r="K559" s="9" t="n">
        <v>992</v>
      </c>
      <c r="L559" s="9" t="n">
        <v>182</v>
      </c>
      <c r="M559" s="10" t="n">
        <f aca="false">IFERROR(G559/F559,"")</f>
        <v>0.0626567346063331</v>
      </c>
      <c r="N559" s="10" t="n">
        <f aca="false">IFERROR(H559/G559,"")</f>
        <v>0.331738229197513</v>
      </c>
      <c r="O559" s="11" t="n">
        <f aca="false">IFERROR(I559/H559,"")</f>
        <v>0.956403756203806</v>
      </c>
      <c r="P559" s="10" t="n">
        <f aca="false">IFERROR(J559/H559,"")</f>
        <v>0.0239582961402507</v>
      </c>
      <c r="Q559" s="10" t="n">
        <f aca="false">IFERROR(K559/H559,"")</f>
        <v>0.0354197164994466</v>
      </c>
      <c r="R559" s="10" t="n">
        <f aca="false">IFERROR(L559/H559,"")</f>
        <v>0.00649837540614846</v>
      </c>
      <c r="S559" s="11" t="n">
        <f aca="false">IFERROR(M559/MEDIAN(INDEX($M$5:$M$627,MATCH($A559-90,$A$5:$A$627,1)):INDEX($M$5:$M$627,MATCH($A559+90,$A$5:$A$627,1))),"")</f>
        <v>1.05403870348165</v>
      </c>
      <c r="T559" s="11" t="n">
        <f aca="false">IFERROR(N559/MEDIAN(INDEX($N$5:$N$627,MATCH($A559-90,$A$5:$A$627,1)):INDEX($N$5:$N$627,MATCH($A559+90,$A$5:$A$627,1))),"")</f>
        <v>0.639817932142079</v>
      </c>
      <c r="U559" s="11" t="n">
        <f aca="false">IFERROR(Q559/MEDIAN(INDEX($Q$5:$Q$627,MATCH($A559-90,$A$5:$A$627,1)):INDEX($Q$5:$Q$627,MATCH($A559+90,$A$5:$A$627,1))),"")</f>
        <v>1.98499769763407</v>
      </c>
    </row>
    <row r="560" customFormat="false" ht="15" hidden="false" customHeight="false" outlineLevel="0" collapsed="false">
      <c r="A560" s="13" t="n">
        <v>46139.2510650116</v>
      </c>
      <c r="B560" s="8" t="n">
        <v>6</v>
      </c>
      <c r="C560" s="8" t="s">
        <v>80</v>
      </c>
      <c r="D560" s="8" t="s">
        <v>623</v>
      </c>
      <c r="E560" s="14" t="s">
        <v>66</v>
      </c>
      <c r="F560" s="9" t="n">
        <v>61319</v>
      </c>
      <c r="G560" s="9" t="n">
        <v>7780</v>
      </c>
      <c r="H560" s="9" t="n">
        <v>3528</v>
      </c>
      <c r="I560" s="9" t="n">
        <v>4714</v>
      </c>
      <c r="J560" s="9" t="n">
        <v>243</v>
      </c>
      <c r="K560" s="9" t="n">
        <v>117</v>
      </c>
      <c r="L560" s="9" t="n">
        <v>22</v>
      </c>
      <c r="M560" s="10" t="n">
        <f aca="false">IFERROR(G560/F560,"")</f>
        <v>0.126877476801644</v>
      </c>
      <c r="N560" s="10" t="n">
        <f aca="false">IFERROR(H560/G560,"")</f>
        <v>0.453470437017995</v>
      </c>
      <c r="O560" s="11" t="n">
        <f aca="false">IFERROR(I560/H560,"")</f>
        <v>1.33616780045351</v>
      </c>
      <c r="P560" s="10" t="n">
        <f aca="false">IFERROR(J560/H560,"")</f>
        <v>0.0688775510204082</v>
      </c>
      <c r="Q560" s="10" t="n">
        <f aca="false">IFERROR(K560/H560,"")</f>
        <v>0.0331632653061225</v>
      </c>
      <c r="R560" s="10" t="n">
        <f aca="false">IFERROR(L560/H560,"")</f>
        <v>0.00623582766439909</v>
      </c>
      <c r="S560" s="11" t="n">
        <f aca="false">IFERROR(M560/MEDIAN(INDEX($M$5:$M$627,MATCH($A560-90,$A$5:$A$627,1)):INDEX($M$5:$M$627,MATCH($A560+90,$A$5:$A$627,1))),"")</f>
        <v>2.12146851939854</v>
      </c>
      <c r="T560" s="11" t="n">
        <f aca="false">IFERROR(N560/MEDIAN(INDEX($N$5:$N$627,MATCH($A560-90,$A$5:$A$627,1)):INDEX($N$5:$N$627,MATCH($A560+90,$A$5:$A$627,1))),"")</f>
        <v>0.874600789912801</v>
      </c>
      <c r="U560" s="11" t="n">
        <f aca="false">IFERROR(Q560/MEDIAN(INDEX($Q$5:$Q$627,MATCH($A560-90,$A$5:$A$627,1)):INDEX($Q$5:$Q$627,MATCH($A560+90,$A$5:$A$627,1))),"")</f>
        <v>1.85854128108873</v>
      </c>
    </row>
    <row r="561" customFormat="false" ht="15" hidden="false" customHeight="false" outlineLevel="0" collapsed="false">
      <c r="A561" s="13" t="n">
        <v>46140.3854259375</v>
      </c>
      <c r="B561" s="8" t="n">
        <v>9</v>
      </c>
      <c r="C561" s="8" t="s">
        <v>64</v>
      </c>
      <c r="D561" s="8" t="s">
        <v>624</v>
      </c>
      <c r="E561" s="14" t="s">
        <v>66</v>
      </c>
      <c r="F561" s="9" t="n">
        <v>1765</v>
      </c>
      <c r="G561" s="9" t="n">
        <v>42</v>
      </c>
      <c r="H561" s="9" t="n">
        <v>11</v>
      </c>
      <c r="I561" s="9" t="n">
        <v>18</v>
      </c>
      <c r="J561" s="9" t="n">
        <v>4</v>
      </c>
      <c r="K561" s="9" t="n">
        <v>0</v>
      </c>
      <c r="L561" s="9" t="n">
        <v>0</v>
      </c>
      <c r="M561" s="10" t="n">
        <f aca="false">IFERROR(G561/F561,"")</f>
        <v>0.0237960339943343</v>
      </c>
      <c r="N561" s="10" t="n">
        <f aca="false">IFERROR(H561/G561,"")</f>
        <v>0.261904761904762</v>
      </c>
      <c r="O561" s="11" t="n">
        <f aca="false">IFERROR(I561/H561,"")</f>
        <v>1.63636363636364</v>
      </c>
      <c r="P561" s="10" t="n">
        <f aca="false">IFERROR(J561/H561,"")</f>
        <v>0.363636363636364</v>
      </c>
      <c r="Q561" s="10" t="n">
        <f aca="false">IFERROR(K561/H561,"")</f>
        <v>0</v>
      </c>
      <c r="R561" s="10" t="n">
        <f aca="false">IFERROR(L561/H561,"")</f>
        <v>0</v>
      </c>
      <c r="S561" s="11" t="n">
        <f aca="false">IFERROR(M561/MEDIAN(INDEX($M$5:$M$627,MATCH($A561-90,$A$5:$A$627,1)):INDEX($M$5:$M$627,MATCH($A561+90,$A$5:$A$627,1))),"")</f>
        <v>0.3963487566887</v>
      </c>
      <c r="T561" s="11" t="n">
        <f aca="false">IFERROR(N561/MEDIAN(INDEX($N$5:$N$627,MATCH($A561-90,$A$5:$A$627,1)):INDEX($N$5:$N$627,MATCH($A561+90,$A$5:$A$627,1))),"")</f>
        <v>0.504088420378013</v>
      </c>
      <c r="U561" s="11" t="n">
        <f aca="false">IFERROR(Q561/MEDIAN(INDEX($Q$5:$Q$627,MATCH($A561-90,$A$5:$A$627,1)):INDEX($Q$5:$Q$627,MATCH($A561+90,$A$5:$A$627,1))),"")</f>
        <v>0</v>
      </c>
    </row>
    <row r="562" customFormat="false" ht="15" hidden="false" customHeight="false" outlineLevel="0" collapsed="false">
      <c r="A562" s="13" t="n">
        <v>46141.2939375579</v>
      </c>
      <c r="B562" s="8" t="n">
        <v>7</v>
      </c>
      <c r="C562" s="8" t="s">
        <v>71</v>
      </c>
      <c r="D562" s="8" t="s">
        <v>625</v>
      </c>
      <c r="E562" s="14" t="s">
        <v>66</v>
      </c>
      <c r="F562" s="9" t="n">
        <v>8015</v>
      </c>
      <c r="G562" s="9" t="n">
        <v>252</v>
      </c>
      <c r="H562" s="9" t="n">
        <v>77</v>
      </c>
      <c r="I562" s="9" t="n">
        <v>90</v>
      </c>
      <c r="J562" s="9" t="n">
        <v>19</v>
      </c>
      <c r="K562" s="9" t="n">
        <v>21</v>
      </c>
      <c r="L562" s="9" t="n">
        <v>0</v>
      </c>
      <c r="M562" s="10" t="n">
        <f aca="false">IFERROR(G562/F562,"")</f>
        <v>0.0314410480349345</v>
      </c>
      <c r="N562" s="10" t="n">
        <f aca="false">IFERROR(H562/G562,"")</f>
        <v>0.305555555555556</v>
      </c>
      <c r="O562" s="11" t="n">
        <f aca="false">IFERROR(I562/H562,"")</f>
        <v>1.16883116883117</v>
      </c>
      <c r="P562" s="10" t="n">
        <f aca="false">IFERROR(J562/H562,"")</f>
        <v>0.246753246753247</v>
      </c>
      <c r="Q562" s="10" t="n">
        <f aca="false">IFERROR(K562/H562,"")</f>
        <v>0.272727272727273</v>
      </c>
      <c r="R562" s="10" t="n">
        <f aca="false">IFERROR(L562/H562,"")</f>
        <v>0</v>
      </c>
      <c r="S562" s="11" t="n">
        <f aca="false">IFERROR(M562/MEDIAN(INDEX($M$5:$M$627,MATCH($A562-90,$A$5:$A$627,1)):INDEX($M$5:$M$627,MATCH($A562+90,$A$5:$A$627,1))),"")</f>
        <v>0.522654065189475</v>
      </c>
      <c r="T562" s="11" t="n">
        <f aca="false">IFERROR(N562/MEDIAN(INDEX($N$5:$N$627,MATCH($A562-90,$A$5:$A$627,1)):INDEX($N$5:$N$627,MATCH($A562+90,$A$5:$A$627,1))),"")</f>
        <v>0.586155780299043</v>
      </c>
      <c r="U562" s="11" t="n">
        <f aca="false">IFERROR(Q562/MEDIAN(INDEX($Q$5:$Q$627,MATCH($A562-90,$A$5:$A$627,1)):INDEX($Q$5:$Q$627,MATCH($A562+90,$A$5:$A$627,1))),"")</f>
        <v>15.0598123816609</v>
      </c>
    </row>
    <row r="563" customFormat="false" ht="15" hidden="false" customHeight="false" outlineLevel="0" collapsed="false">
      <c r="A563" s="13" t="n">
        <v>46142.4002817477</v>
      </c>
      <c r="B563" s="8" t="n">
        <v>9</v>
      </c>
      <c r="C563" s="8" t="s">
        <v>73</v>
      </c>
      <c r="D563" s="8" t="s">
        <v>626</v>
      </c>
      <c r="E563" s="14" t="s">
        <v>66</v>
      </c>
      <c r="F563" s="9" t="n">
        <v>5799</v>
      </c>
      <c r="G563" s="9" t="n">
        <v>210</v>
      </c>
      <c r="H563" s="9" t="n">
        <v>143</v>
      </c>
      <c r="I563" s="9" t="n">
        <v>131</v>
      </c>
      <c r="J563" s="9" t="n">
        <v>7</v>
      </c>
      <c r="K563" s="9" t="n">
        <v>0</v>
      </c>
      <c r="L563" s="9" t="n">
        <v>0</v>
      </c>
      <c r="M563" s="10" t="n">
        <f aca="false">IFERROR(G563/F563,"")</f>
        <v>0.0362131401965856</v>
      </c>
      <c r="N563" s="10" t="n">
        <f aca="false">IFERROR(H563/G563,"")</f>
        <v>0.680952380952381</v>
      </c>
      <c r="O563" s="11" t="n">
        <f aca="false">IFERROR(I563/H563,"")</f>
        <v>0.916083916083916</v>
      </c>
      <c r="P563" s="10" t="n">
        <f aca="false">IFERROR(J563/H563,"")</f>
        <v>0.048951048951049</v>
      </c>
      <c r="Q563" s="10" t="n">
        <f aca="false">IFERROR(K563/H563,"")</f>
        <v>0</v>
      </c>
      <c r="R563" s="10" t="n">
        <f aca="false">IFERROR(L563/H563,"")</f>
        <v>0</v>
      </c>
      <c r="S563" s="11" t="n">
        <f aca="false">IFERROR(M563/MEDIAN(INDEX($M$5:$M$627,MATCH($A563-90,$A$5:$A$627,1)):INDEX($M$5:$M$627,MATCH($A563+90,$A$5:$A$627,1))),"")</f>
        <v>0.60079953233788</v>
      </c>
      <c r="T563" s="11" t="n">
        <f aca="false">IFERROR(N563/MEDIAN(INDEX($N$5:$N$627,MATCH($A563-90,$A$5:$A$627,1)):INDEX($N$5:$N$627,MATCH($A563+90,$A$5:$A$627,1))),"")</f>
        <v>1.31062989298283</v>
      </c>
      <c r="U563" s="11" t="n">
        <f aca="false">IFERROR(Q563/MEDIAN(INDEX($Q$5:$Q$627,MATCH($A563-90,$A$5:$A$627,1)):INDEX($Q$5:$Q$627,MATCH($A563+90,$A$5:$A$627,1))),"")</f>
        <v>0</v>
      </c>
    </row>
    <row r="564" customFormat="false" ht="15" hidden="false" customHeight="false" outlineLevel="0" collapsed="false">
      <c r="A564" s="13" t="n">
        <v>46143.2921345139</v>
      </c>
      <c r="B564" s="8" t="n">
        <v>7</v>
      </c>
      <c r="C564" s="8" t="s">
        <v>84</v>
      </c>
      <c r="D564" s="8" t="s">
        <v>627</v>
      </c>
      <c r="E564" s="14" t="s">
        <v>66</v>
      </c>
      <c r="F564" s="9" t="n">
        <v>19350</v>
      </c>
      <c r="G564" s="9" t="n">
        <v>1216</v>
      </c>
      <c r="H564" s="9" t="n">
        <v>737</v>
      </c>
      <c r="I564" s="9" t="n">
        <v>897</v>
      </c>
      <c r="J564" s="9" t="n">
        <v>66</v>
      </c>
      <c r="K564" s="9" t="n">
        <v>55</v>
      </c>
      <c r="L564" s="9" t="n">
        <v>2</v>
      </c>
      <c r="M564" s="10" t="n">
        <f aca="false">IFERROR(G564/F564,"")</f>
        <v>0.0628423772609819</v>
      </c>
      <c r="N564" s="10" t="n">
        <f aca="false">IFERROR(H564/G564,"")</f>
        <v>0.60608552631579</v>
      </c>
      <c r="O564" s="11" t="n">
        <f aca="false">IFERROR(I564/H564,"")</f>
        <v>1.21709633649932</v>
      </c>
      <c r="P564" s="10" t="n">
        <f aca="false">IFERROR(J564/H564,"")</f>
        <v>0.0895522388059701</v>
      </c>
      <c r="Q564" s="10" t="n">
        <f aca="false">IFERROR(K564/H564,"")</f>
        <v>0.0746268656716418</v>
      </c>
      <c r="R564" s="10" t="n">
        <f aca="false">IFERROR(L564/H564,"")</f>
        <v>0.00271370420624152</v>
      </c>
      <c r="S564" s="11" t="n">
        <f aca="false">IFERROR(M564/MEDIAN(INDEX($M$5:$M$627,MATCH($A564-90,$A$5:$A$627,1)):INDEX($M$5:$M$627,MATCH($A564+90,$A$5:$A$627,1))),"")</f>
        <v>1.04464787258773</v>
      </c>
      <c r="T564" s="11" t="n">
        <f aca="false">IFERROR(N564/MEDIAN(INDEX($N$5:$N$627,MATCH($A564-90,$A$5:$A$627,1)):INDEX($N$5:$N$627,MATCH($A564+90,$A$5:$A$627,1))),"")</f>
        <v>1.16894694074505</v>
      </c>
      <c r="U564" s="11" t="n">
        <f aca="false">IFERROR(Q564/MEDIAN(INDEX($Q$5:$Q$627,MATCH($A564-90,$A$5:$A$627,1)):INDEX($Q$5:$Q$627,MATCH($A564+90,$A$5:$A$627,1))),"")</f>
        <v>4.12084418403658</v>
      </c>
    </row>
    <row r="565" customFormat="false" ht="15" hidden="false" customHeight="false" outlineLevel="0" collapsed="false">
      <c r="A565" s="13" t="n">
        <v>46144.2504522454</v>
      </c>
      <c r="B565" s="8" t="n">
        <v>6</v>
      </c>
      <c r="C565" s="8" t="s">
        <v>68</v>
      </c>
      <c r="D565" s="8" t="s">
        <v>628</v>
      </c>
      <c r="E565" s="14" t="s">
        <v>66</v>
      </c>
      <c r="F565" s="9" t="n">
        <v>1164110</v>
      </c>
      <c r="G565" s="9" t="n">
        <v>110631</v>
      </c>
      <c r="H565" s="9" t="n">
        <v>74693</v>
      </c>
      <c r="I565" s="9" t="n">
        <v>53848</v>
      </c>
      <c r="J565" s="9" t="n">
        <v>2016</v>
      </c>
      <c r="K565" s="9" t="n">
        <v>723</v>
      </c>
      <c r="L565" s="9" t="n">
        <v>252</v>
      </c>
      <c r="M565" s="10" t="n">
        <f aca="false">IFERROR(G565/F565,"")</f>
        <v>0.0950348334779359</v>
      </c>
      <c r="N565" s="10" t="n">
        <f aca="false">IFERROR(H565/G565,"")</f>
        <v>0.675154341911399</v>
      </c>
      <c r="O565" s="11" t="n">
        <f aca="false">IFERROR(I565/H565,"")</f>
        <v>0.72092431687039</v>
      </c>
      <c r="P565" s="10" t="n">
        <f aca="false">IFERROR(J565/H565,"")</f>
        <v>0.0269904810357062</v>
      </c>
      <c r="Q565" s="10" t="n">
        <f aca="false">IFERROR(K565/H565,"")</f>
        <v>0.00967962191905533</v>
      </c>
      <c r="R565" s="10" t="n">
        <f aca="false">IFERROR(L565/H565,"")</f>
        <v>0.00337381012946327</v>
      </c>
      <c r="S565" s="11" t="n">
        <f aca="false">IFERROR(M565/MEDIAN(INDEX($M$5:$M$627,MATCH($A565-90,$A$5:$A$627,1)):INDEX($M$5:$M$627,MATCH($A565+90,$A$5:$A$627,1))),"")</f>
        <v>1.58290823168541</v>
      </c>
      <c r="T565" s="11" t="n">
        <f aca="false">IFERROR(N565/MEDIAN(INDEX($N$5:$N$627,MATCH($A565-90,$A$5:$A$627,1)):INDEX($N$5:$N$627,MATCH($A565+90,$A$5:$A$627,1))),"")</f>
        <v>1.30485834963267</v>
      </c>
      <c r="U565" s="11" t="n">
        <f aca="false">IFERROR(Q565/MEDIAN(INDEX($Q$5:$Q$627,MATCH($A565-90,$A$5:$A$627,1)):INDEX($Q$5:$Q$627,MATCH($A565+90,$A$5:$A$627,1))),"")</f>
        <v>0.533986022786607</v>
      </c>
    </row>
    <row r="566" customFormat="false" ht="15" hidden="false" customHeight="false" outlineLevel="0" collapsed="false">
      <c r="A566" s="13" t="n">
        <v>46146.5187492361</v>
      </c>
      <c r="B566" s="8" t="n">
        <v>12</v>
      </c>
      <c r="C566" s="8" t="s">
        <v>80</v>
      </c>
      <c r="D566" s="8" t="s">
        <v>629</v>
      </c>
      <c r="E566" s="14" t="s">
        <v>66</v>
      </c>
      <c r="F566" s="9" t="n">
        <v>12534</v>
      </c>
      <c r="G566" s="9" t="n">
        <v>628</v>
      </c>
      <c r="H566" s="9" t="n">
        <v>389</v>
      </c>
      <c r="I566" s="9" t="n">
        <v>575</v>
      </c>
      <c r="J566" s="9" t="n">
        <v>39</v>
      </c>
      <c r="K566" s="9" t="n">
        <v>116</v>
      </c>
      <c r="L566" s="9" t="n">
        <v>1</v>
      </c>
      <c r="M566" s="10" t="n">
        <f aca="false">IFERROR(G566/F566,"")</f>
        <v>0.0501037178873464</v>
      </c>
      <c r="N566" s="10" t="n">
        <f aca="false">IFERROR(H566/G566,"")</f>
        <v>0.619426751592357</v>
      </c>
      <c r="O566" s="11" t="n">
        <f aca="false">IFERROR(I566/H566,"")</f>
        <v>1.47814910025707</v>
      </c>
      <c r="P566" s="10" t="n">
        <f aca="false">IFERROR(J566/H566,"")</f>
        <v>0.10025706940874</v>
      </c>
      <c r="Q566" s="10" t="n">
        <f aca="false">IFERROR(K566/H566,"")</f>
        <v>0.298200514138818</v>
      </c>
      <c r="R566" s="10" t="n">
        <f aca="false">IFERROR(L566/H566,"")</f>
        <v>0.0025706940874036</v>
      </c>
      <c r="S566" s="11" t="n">
        <f aca="false">IFERROR(M566/MEDIAN(INDEX($M$5:$M$627,MATCH($A566-90,$A$5:$A$627,1)):INDEX($M$5:$M$627,MATCH($A566+90,$A$5:$A$627,1))),"")</f>
        <v>0.837764612619203</v>
      </c>
      <c r="T566" s="11" t="n">
        <f aca="false">IFERROR(N566/MEDIAN(INDEX($N$5:$N$627,MATCH($A566-90,$A$5:$A$627,1)):INDEX($N$5:$N$627,MATCH($A566+90,$A$5:$A$627,1))),"")</f>
        <v>1.19467793710728</v>
      </c>
      <c r="U566" s="11" t="n">
        <f aca="false">IFERROR(Q566/MEDIAN(INDEX($Q$5:$Q$627,MATCH($A566-90,$A$5:$A$627,1)):INDEX($Q$5:$Q$627,MATCH($A566+90,$A$5:$A$627,1))),"")</f>
        <v>16.0469244796264</v>
      </c>
    </row>
    <row r="567" customFormat="false" ht="15" hidden="false" customHeight="false" outlineLevel="0" collapsed="false">
      <c r="A567" s="13" t="n">
        <v>46147.4903810532</v>
      </c>
      <c r="B567" s="8" t="n">
        <v>11</v>
      </c>
      <c r="C567" s="8" t="s">
        <v>64</v>
      </c>
      <c r="D567" s="8" t="s">
        <v>630</v>
      </c>
      <c r="E567" s="14" t="s">
        <v>66</v>
      </c>
      <c r="F567" s="9" t="n">
        <v>2773</v>
      </c>
      <c r="G567" s="9" t="n">
        <v>60</v>
      </c>
      <c r="H567" s="9" t="n">
        <v>30</v>
      </c>
      <c r="I567" s="9" t="n">
        <v>16</v>
      </c>
      <c r="J567" s="9" t="n">
        <v>1</v>
      </c>
      <c r="K567" s="9" t="n">
        <v>0</v>
      </c>
      <c r="L567" s="9" t="n">
        <v>0</v>
      </c>
      <c r="M567" s="10" t="n">
        <f aca="false">IFERROR(G567/F567,"")</f>
        <v>0.0216372160115399</v>
      </c>
      <c r="N567" s="10" t="n">
        <f aca="false">IFERROR(H567/G567,"")</f>
        <v>0.5</v>
      </c>
      <c r="O567" s="11" t="n">
        <f aca="false">IFERROR(I567/H567,"")</f>
        <v>0.533333333333333</v>
      </c>
      <c r="P567" s="10" t="n">
        <f aca="false">IFERROR(J567/H567,"")</f>
        <v>0.0333333333333333</v>
      </c>
      <c r="Q567" s="10" t="n">
        <f aca="false">IFERROR(K567/H567,"")</f>
        <v>0</v>
      </c>
      <c r="R567" s="10" t="n">
        <f aca="false">IFERROR(L567/H567,"")</f>
        <v>0</v>
      </c>
      <c r="S567" s="11" t="n">
        <f aca="false">IFERROR(M567/MEDIAN(INDEX($M$5:$M$627,MATCH($A567-90,$A$5:$A$627,1)):INDEX($M$5:$M$627,MATCH($A567+90,$A$5:$A$627,1))),"")</f>
        <v>0.360391301610198</v>
      </c>
      <c r="T567" s="11" t="n">
        <f aca="false">IFERROR(N567/MEDIAN(INDEX($N$5:$N$627,MATCH($A567-90,$A$5:$A$627,1)):INDEX($N$5:$N$627,MATCH($A567+90,$A$5:$A$627,1))),"")</f>
        <v>0.962350620721661</v>
      </c>
      <c r="U567" s="11" t="n">
        <f aca="false">IFERROR(Q567/MEDIAN(INDEX($Q$5:$Q$627,MATCH($A567-90,$A$5:$A$627,1)):INDEX($Q$5:$Q$627,MATCH($A567+90,$A$5:$A$627,1))),"")</f>
        <v>0</v>
      </c>
    </row>
    <row r="568" customFormat="false" ht="15" hidden="false" customHeight="false" outlineLevel="0" collapsed="false">
      <c r="A568" s="13" t="n">
        <v>46148.2927852778</v>
      </c>
      <c r="B568" s="8" t="n">
        <v>7</v>
      </c>
      <c r="C568" s="8" t="s">
        <v>71</v>
      </c>
      <c r="D568" s="8" t="s">
        <v>631</v>
      </c>
      <c r="E568" s="14" t="s">
        <v>66</v>
      </c>
      <c r="F568" s="9" t="n">
        <v>13526</v>
      </c>
      <c r="G568" s="9" t="n">
        <v>2144</v>
      </c>
      <c r="H568" s="9" t="n">
        <v>939</v>
      </c>
      <c r="I568" s="9" t="n">
        <v>603</v>
      </c>
      <c r="J568" s="9" t="n">
        <v>129</v>
      </c>
      <c r="K568" s="9" t="n">
        <v>84</v>
      </c>
      <c r="L568" s="9" t="n">
        <v>2</v>
      </c>
      <c r="M568" s="10" t="n">
        <f aca="false">IFERROR(G568/F568,"")</f>
        <v>0.158509537187639</v>
      </c>
      <c r="N568" s="10" t="n">
        <f aca="false">IFERROR(H568/G568,"")</f>
        <v>0.437966417910448</v>
      </c>
      <c r="O568" s="11" t="n">
        <f aca="false">IFERROR(I568/H568,"")</f>
        <v>0.642172523961661</v>
      </c>
      <c r="P568" s="10" t="n">
        <f aca="false">IFERROR(J568/H568,"")</f>
        <v>0.137380191693291</v>
      </c>
      <c r="Q568" s="10" t="n">
        <f aca="false">IFERROR(K568/H568,"")</f>
        <v>0.0894568690095847</v>
      </c>
      <c r="R568" s="10" t="n">
        <f aca="false">IFERROR(L568/H568,"")</f>
        <v>0.00212992545260916</v>
      </c>
      <c r="S568" s="11" t="n">
        <f aca="false">IFERROR(M568/MEDIAN(INDEX($M$5:$M$627,MATCH($A568-90,$A$5:$A$627,1)):INDEX($M$5:$M$627,MATCH($A568+90,$A$5:$A$627,1))),"")</f>
        <v>2.63495205027424</v>
      </c>
      <c r="T568" s="11" t="n">
        <f aca="false">IFERROR(N568/MEDIAN(INDEX($N$5:$N$627,MATCH($A568-90,$A$5:$A$627,1)):INDEX($N$5:$N$627,MATCH($A568+90,$A$5:$A$627,1))),"")</f>
        <v>0.84469844953654</v>
      </c>
      <c r="U568" s="11" t="n">
        <f aca="false">IFERROR(Q568/MEDIAN(INDEX($Q$5:$Q$627,MATCH($A568-90,$A$5:$A$627,1)):INDEX($Q$5:$Q$627,MATCH($A568+90,$A$5:$A$627,1))),"")</f>
        <v>4.81390055723506</v>
      </c>
    </row>
    <row r="569" customFormat="false" ht="15" hidden="false" customHeight="false" outlineLevel="0" collapsed="false">
      <c r="A569" s="13" t="n">
        <v>46149.2922868866</v>
      </c>
      <c r="B569" s="8" t="n">
        <v>7</v>
      </c>
      <c r="C569" s="8" t="s">
        <v>73</v>
      </c>
      <c r="D569" s="8" t="s">
        <v>632</v>
      </c>
      <c r="E569" s="14" t="s">
        <v>66</v>
      </c>
      <c r="F569" s="9" t="n">
        <v>2765</v>
      </c>
      <c r="G569" s="9" t="n">
        <v>28</v>
      </c>
      <c r="H569" s="9" t="n">
        <v>19</v>
      </c>
      <c r="I569" s="9" t="n">
        <v>17</v>
      </c>
      <c r="J569" s="9" t="n">
        <v>2</v>
      </c>
      <c r="K569" s="9" t="n">
        <v>0</v>
      </c>
      <c r="L569" s="9" t="n">
        <v>0</v>
      </c>
      <c r="M569" s="10" t="n">
        <f aca="false">IFERROR(G569/F569,"")</f>
        <v>0.010126582278481</v>
      </c>
      <c r="N569" s="10" t="n">
        <f aca="false">IFERROR(H569/G569,"")</f>
        <v>0.678571428571429</v>
      </c>
      <c r="O569" s="11" t="n">
        <f aca="false">IFERROR(I569/H569,"")</f>
        <v>0.894736842105263</v>
      </c>
      <c r="P569" s="10" t="n">
        <f aca="false">IFERROR(J569/H569,"")</f>
        <v>0.105263157894737</v>
      </c>
      <c r="Q569" s="10" t="n">
        <f aca="false">IFERROR(K569/H569,"")</f>
        <v>0</v>
      </c>
      <c r="R569" s="10" t="n">
        <f aca="false">IFERROR(L569/H569,"")</f>
        <v>0</v>
      </c>
      <c r="S569" s="11" t="n">
        <f aca="false">IFERROR(M569/MEDIAN(INDEX($M$5:$M$627,MATCH($A569-90,$A$5:$A$627,1)):INDEX($M$5:$M$627,MATCH($A569+90,$A$5:$A$627,1))),"")</f>
        <v>0.168006581701139</v>
      </c>
      <c r="T569" s="11" t="n">
        <f aca="false">IFERROR(N569/MEDIAN(INDEX($N$5:$N$627,MATCH($A569-90,$A$5:$A$627,1)):INDEX($N$5:$N$627,MATCH($A569+90,$A$5:$A$627,1))),"")</f>
        <v>1.31146249002394</v>
      </c>
      <c r="U569" s="11" t="n">
        <f aca="false">IFERROR(Q569/MEDIAN(INDEX($Q$5:$Q$627,MATCH($A569-90,$A$5:$A$627,1)):INDEX($Q$5:$Q$627,MATCH($A569+90,$A$5:$A$627,1))),"")</f>
        <v>0</v>
      </c>
    </row>
    <row r="570" customFormat="false" ht="15" hidden="false" customHeight="false" outlineLevel="0" collapsed="false">
      <c r="A570" s="13" t="n">
        <v>46150.2919309954</v>
      </c>
      <c r="B570" s="8" t="n">
        <v>7</v>
      </c>
      <c r="C570" s="8" t="s">
        <v>84</v>
      </c>
      <c r="D570" s="8" t="s">
        <v>633</v>
      </c>
      <c r="E570" s="14" t="s">
        <v>66</v>
      </c>
      <c r="F570" s="9" t="n">
        <v>320124</v>
      </c>
      <c r="G570" s="9" t="n">
        <v>28936</v>
      </c>
      <c r="H570" s="9" t="n">
        <v>15215</v>
      </c>
      <c r="I570" s="9" t="n">
        <v>13699</v>
      </c>
      <c r="J570" s="9" t="n">
        <v>273</v>
      </c>
      <c r="K570" s="9" t="n">
        <v>92</v>
      </c>
      <c r="L570" s="9" t="n">
        <v>45</v>
      </c>
      <c r="M570" s="10" t="n">
        <f aca="false">IFERROR(G570/F570,"")</f>
        <v>0.0903899738851195</v>
      </c>
      <c r="N570" s="10" t="n">
        <f aca="false">IFERROR(H570/G570,"")</f>
        <v>0.5258155930329</v>
      </c>
      <c r="O570" s="11" t="n">
        <f aca="false">IFERROR(I570/H570,"")</f>
        <v>0.900361485376273</v>
      </c>
      <c r="P570" s="10" t="n">
        <f aca="false">IFERROR(J570/H570,"")</f>
        <v>0.0179428195859349</v>
      </c>
      <c r="Q570" s="10" t="n">
        <f aca="false">IFERROR(K570/H570,"")</f>
        <v>0.00604666447584621</v>
      </c>
      <c r="R570" s="10" t="n">
        <f aca="false">IFERROR(L570/H570,"")</f>
        <v>0.00295760762405521</v>
      </c>
      <c r="S570" s="11" t="n">
        <f aca="false">IFERROR(M570/MEDIAN(INDEX($M$5:$M$627,MATCH($A570-90,$A$5:$A$627,1)):INDEX($M$5:$M$627,MATCH($A570+90,$A$5:$A$627,1))),"")</f>
        <v>1.47057287271696</v>
      </c>
      <c r="T570" s="11" t="n">
        <f aca="false">IFERROR(N570/MEDIAN(INDEX($N$5:$N$627,MATCH($A570-90,$A$5:$A$627,1)):INDEX($N$5:$N$627,MATCH($A570+90,$A$5:$A$627,1))),"")</f>
        <v>1.01757645752083</v>
      </c>
      <c r="U570" s="11" t="n">
        <f aca="false">IFERROR(Q570/MEDIAN(INDEX($Q$5:$Q$627,MATCH($A570-90,$A$5:$A$627,1)):INDEX($Q$5:$Q$627,MATCH($A570+90,$A$5:$A$627,1))),"")</f>
        <v>0.295652158576521</v>
      </c>
    </row>
    <row r="571" customFormat="false" ht="15" hidden="false" customHeight="false" outlineLevel="0" collapsed="false">
      <c r="A571" s="13" t="n">
        <v>46151.2653591667</v>
      </c>
      <c r="B571" s="8" t="n">
        <v>6</v>
      </c>
      <c r="C571" s="8" t="s">
        <v>68</v>
      </c>
      <c r="D571" s="8" t="s">
        <v>634</v>
      </c>
      <c r="E571" s="14" t="s">
        <v>66</v>
      </c>
      <c r="F571" s="9" t="n">
        <v>2024144</v>
      </c>
      <c r="G571" s="9" t="n">
        <v>176823</v>
      </c>
      <c r="H571" s="9" t="n">
        <v>87882</v>
      </c>
      <c r="I571" s="9" t="n">
        <v>57632</v>
      </c>
      <c r="J571" s="9" t="n">
        <v>1254</v>
      </c>
      <c r="K571" s="9" t="n">
        <v>510</v>
      </c>
      <c r="L571" s="9" t="n">
        <v>327</v>
      </c>
      <c r="M571" s="10" t="n">
        <f aca="false">IFERROR(G571/F571,"")</f>
        <v>0.0873569271751417</v>
      </c>
      <c r="N571" s="10" t="n">
        <f aca="false">IFERROR(H571/G571,"")</f>
        <v>0.497005480056328</v>
      </c>
      <c r="O571" s="11" t="n">
        <f aca="false">IFERROR(I571/H571,"")</f>
        <v>0.65578844359482</v>
      </c>
      <c r="P571" s="10" t="n">
        <f aca="false">IFERROR(J571/H571,"")</f>
        <v>0.0142691336109784</v>
      </c>
      <c r="Q571" s="10" t="n">
        <f aca="false">IFERROR(K571/H571,"")</f>
        <v>0.00580323615757493</v>
      </c>
      <c r="R571" s="10" t="n">
        <f aca="false">IFERROR(L571/H571,"")</f>
        <v>0.00372089847750393</v>
      </c>
      <c r="S571" s="11" t="n">
        <f aca="false">IFERROR(M571/MEDIAN(INDEX($M$5:$M$627,MATCH($A571-90,$A$5:$A$627,1)):INDEX($M$5:$M$627,MATCH($A571+90,$A$5:$A$627,1))),"")</f>
        <v>1.44930819885782</v>
      </c>
      <c r="T571" s="11" t="n">
        <f aca="false">IFERROR(N571/MEDIAN(INDEX($N$5:$N$627,MATCH($A571-90,$A$5:$A$627,1)):INDEX($N$5:$N$627,MATCH($A571+90,$A$5:$A$627,1))),"")</f>
        <v>0.960553328634003</v>
      </c>
      <c r="U571" s="11" t="n">
        <f aca="false">IFERROR(Q571/MEDIAN(INDEX($Q$5:$Q$627,MATCH($A571-90,$A$5:$A$627,1)):INDEX($Q$5:$Q$627,MATCH($A571+90,$A$5:$A$627,1))),"")</f>
        <v>0.265412712500853</v>
      </c>
    </row>
    <row r="572" customFormat="false" ht="15" hidden="false" customHeight="false" outlineLevel="0" collapsed="false">
      <c r="A572" s="13" t="n">
        <v>46153.2934272801</v>
      </c>
      <c r="B572" s="8" t="n">
        <v>7</v>
      </c>
      <c r="C572" s="8" t="s">
        <v>80</v>
      </c>
      <c r="D572" s="8" t="s">
        <v>635</v>
      </c>
      <c r="E572" s="14" t="s">
        <v>66</v>
      </c>
      <c r="F572" s="9" t="n">
        <v>363461</v>
      </c>
      <c r="G572" s="9" t="n">
        <v>31996</v>
      </c>
      <c r="H572" s="9" t="n">
        <v>18175</v>
      </c>
      <c r="I572" s="9" t="n">
        <v>16013</v>
      </c>
      <c r="J572" s="9" t="n">
        <v>643</v>
      </c>
      <c r="K572" s="9" t="n">
        <v>118</v>
      </c>
      <c r="L572" s="9" t="n">
        <v>48</v>
      </c>
      <c r="M572" s="10" t="n">
        <f aca="false">IFERROR(G572/F572,"")</f>
        <v>0.0880314531682904</v>
      </c>
      <c r="N572" s="10" t="n">
        <f aca="false">IFERROR(H572/G572,"")</f>
        <v>0.568039754969371</v>
      </c>
      <c r="O572" s="11" t="n">
        <f aca="false">IFERROR(I572/H572,"")</f>
        <v>0.881045392022008</v>
      </c>
      <c r="P572" s="10" t="n">
        <f aca="false">IFERROR(J572/H572,"")</f>
        <v>0.0353782668500688</v>
      </c>
      <c r="Q572" s="10" t="n">
        <f aca="false">IFERROR(K572/H572,"")</f>
        <v>0.00649243466299863</v>
      </c>
      <c r="R572" s="10" t="n">
        <f aca="false">IFERROR(L572/H572,"")</f>
        <v>0.00264099037138927</v>
      </c>
      <c r="S572" s="11" t="n">
        <f aca="false">IFERROR(M572/MEDIAN(INDEX($M$5:$M$627,MATCH($A572-90,$A$5:$A$627,1)):INDEX($M$5:$M$627,MATCH($A572+90,$A$5:$A$627,1))),"")</f>
        <v>1.40497990713025</v>
      </c>
      <c r="T572" s="11" t="n">
        <f aca="false">IFERROR(N572/MEDIAN(INDEX($N$5:$N$627,MATCH($A572-90,$A$5:$A$627,1)):INDEX($N$5:$N$627,MATCH($A572+90,$A$5:$A$627,1))),"")</f>
        <v>1.09330682157871</v>
      </c>
      <c r="U572" s="11" t="n">
        <f aca="false">IFERROR(Q572/MEDIAN(INDEX($Q$5:$Q$627,MATCH($A572-90,$A$5:$A$627,1)):INDEX($Q$5:$Q$627,MATCH($A572+90,$A$5:$A$627,1))),"")</f>
        <v>0.274555073537192</v>
      </c>
    </row>
    <row r="573" customFormat="false" ht="15" hidden="false" customHeight="false" outlineLevel="0" collapsed="false">
      <c r="A573" s="13" t="n">
        <v>46154.6081588542</v>
      </c>
      <c r="B573" s="8" t="n">
        <v>14</v>
      </c>
      <c r="C573" s="8" t="s">
        <v>64</v>
      </c>
      <c r="D573" s="8" t="s">
        <v>636</v>
      </c>
      <c r="E573" s="14" t="s">
        <v>66</v>
      </c>
      <c r="F573" s="9" t="n">
        <v>4817</v>
      </c>
      <c r="G573" s="9" t="n">
        <v>112</v>
      </c>
      <c r="H573" s="9" t="n">
        <v>75</v>
      </c>
      <c r="I573" s="9" t="n">
        <v>84</v>
      </c>
      <c r="J573" s="9" t="n">
        <v>7</v>
      </c>
      <c r="K573" s="9" t="n">
        <v>0</v>
      </c>
      <c r="L573" s="9" t="n">
        <v>0</v>
      </c>
      <c r="M573" s="10" t="n">
        <f aca="false">IFERROR(G573/F573,"")</f>
        <v>0.023250986090928</v>
      </c>
      <c r="N573" s="10" t="n">
        <f aca="false">IFERROR(H573/G573,"")</f>
        <v>0.669642857142857</v>
      </c>
      <c r="O573" s="11" t="n">
        <f aca="false">IFERROR(I573/H573,"")</f>
        <v>1.12</v>
      </c>
      <c r="P573" s="10" t="n">
        <f aca="false">IFERROR(J573/H573,"")</f>
        <v>0.0933333333333333</v>
      </c>
      <c r="Q573" s="10" t="n">
        <f aca="false">IFERROR(K573/H573,"")</f>
        <v>0</v>
      </c>
      <c r="R573" s="10" t="n">
        <f aca="false">IFERROR(L573/H573,"")</f>
        <v>0</v>
      </c>
      <c r="S573" s="11" t="n">
        <f aca="false">IFERROR(M573/MEDIAN(INDEX($M$5:$M$627,MATCH($A573-90,$A$5:$A$627,1)):INDEX($M$5:$M$627,MATCH($A573+90,$A$5:$A$627,1))),"")</f>
        <v>0.378275022545028</v>
      </c>
      <c r="T573" s="11" t="n">
        <f aca="false">IFERROR(N573/MEDIAN(INDEX($N$5:$N$627,MATCH($A573-90,$A$5:$A$627,1)):INDEX($N$5:$N$627,MATCH($A573+90,$A$5:$A$627,1))),"")</f>
        <v>1.29152889363186</v>
      </c>
      <c r="U573" s="11" t="n">
        <f aca="false">IFERROR(Q573/MEDIAN(INDEX($Q$5:$Q$627,MATCH($A573-90,$A$5:$A$627,1)):INDEX($Q$5:$Q$627,MATCH($A573+90,$A$5:$A$627,1))),"")</f>
        <v>0</v>
      </c>
    </row>
    <row r="574" customFormat="false" ht="15" hidden="false" customHeight="false" outlineLevel="0" collapsed="false">
      <c r="A574" s="13" t="n">
        <v>46155.2922341551</v>
      </c>
      <c r="B574" s="8" t="n">
        <v>7</v>
      </c>
      <c r="C574" s="8" t="s">
        <v>71</v>
      </c>
      <c r="D574" s="8" t="s">
        <v>637</v>
      </c>
      <c r="E574" s="14" t="s">
        <v>66</v>
      </c>
      <c r="F574" s="9" t="n">
        <v>3534182</v>
      </c>
      <c r="G574" s="9" t="n">
        <v>392445</v>
      </c>
      <c r="H574" s="9" t="n">
        <v>215121</v>
      </c>
      <c r="I574" s="9" t="n">
        <v>225445</v>
      </c>
      <c r="J574" s="9" t="n">
        <v>5408</v>
      </c>
      <c r="K574" s="9" t="n">
        <v>1686</v>
      </c>
      <c r="L574" s="9" t="n">
        <v>913</v>
      </c>
      <c r="M574" s="10" t="n">
        <f aca="false">IFERROR(G574/F574,"")</f>
        <v>0.111042668430771</v>
      </c>
      <c r="N574" s="10" t="n">
        <f aca="false">IFERROR(H574/G574,"")</f>
        <v>0.548155792531438</v>
      </c>
      <c r="O574" s="11" t="n">
        <f aca="false">IFERROR(I574/H574,"")</f>
        <v>1.04799159542769</v>
      </c>
      <c r="P574" s="10" t="n">
        <f aca="false">IFERROR(J574/H574,"")</f>
        <v>0.0251393401852911</v>
      </c>
      <c r="Q574" s="10" t="n">
        <f aca="false">IFERROR(K574/H574,"")</f>
        <v>0.00783744962137588</v>
      </c>
      <c r="R574" s="10" t="n">
        <f aca="false">IFERROR(L574/H574,"")</f>
        <v>0.00424412307492063</v>
      </c>
      <c r="S574" s="11" t="n">
        <f aca="false">IFERROR(M574/MEDIAN(INDEX($M$5:$M$627,MATCH($A574-90,$A$5:$A$627,1)):INDEX($M$5:$M$627,MATCH($A574+90,$A$5:$A$627,1))),"")</f>
        <v>1.84227004067015</v>
      </c>
      <c r="T574" s="11" t="n">
        <f aca="false">IFERROR(N574/MEDIAN(INDEX($N$5:$N$627,MATCH($A574-90,$A$5:$A$627,1)):INDEX($N$5:$N$627,MATCH($A574+90,$A$5:$A$627,1))),"")</f>
        <v>1.05941059456006</v>
      </c>
      <c r="U574" s="11" t="n">
        <f aca="false">IFERROR(Q574/MEDIAN(INDEX($Q$5:$Q$627,MATCH($A574-90,$A$5:$A$627,1)):INDEX($Q$5:$Q$627,MATCH($A574+90,$A$5:$A$627,1))),"")</f>
        <v>0.324036177251345</v>
      </c>
    </row>
    <row r="575" customFormat="false" ht="15" hidden="false" customHeight="false" outlineLevel="0" collapsed="false">
      <c r="A575" s="13" t="n">
        <v>46156.2928921065</v>
      </c>
      <c r="B575" s="8" t="n">
        <v>7</v>
      </c>
      <c r="C575" s="8" t="s">
        <v>73</v>
      </c>
      <c r="D575" s="8" t="s">
        <v>638</v>
      </c>
      <c r="E575" s="14" t="s">
        <v>66</v>
      </c>
      <c r="F575" s="9" t="n">
        <v>2829</v>
      </c>
      <c r="G575" s="9" t="n">
        <v>39</v>
      </c>
      <c r="H575" s="9" t="n">
        <v>8</v>
      </c>
      <c r="I575" s="9" t="n">
        <v>14</v>
      </c>
      <c r="J575" s="9" t="n">
        <v>4</v>
      </c>
      <c r="K575" s="9" t="n">
        <v>0</v>
      </c>
      <c r="L575" s="9" t="n">
        <v>0</v>
      </c>
      <c r="M575" s="10" t="n">
        <f aca="false">IFERROR(G575/F575,"")</f>
        <v>0.0137857900318134</v>
      </c>
      <c r="N575" s="10" t="n">
        <f aca="false">IFERROR(H575/G575,"")</f>
        <v>0.205128205128205</v>
      </c>
      <c r="O575" s="11" t="n">
        <f aca="false">IFERROR(I575/H575,"")</f>
        <v>1.75</v>
      </c>
      <c r="P575" s="10" t="n">
        <f aca="false">IFERROR(J575/H575,"")</f>
        <v>0.5</v>
      </c>
      <c r="Q575" s="10" t="n">
        <f aca="false">IFERROR(K575/H575,"")</f>
        <v>0</v>
      </c>
      <c r="R575" s="10" t="n">
        <f aca="false">IFERROR(L575/H575,"")</f>
        <v>0</v>
      </c>
      <c r="S575" s="11" t="n">
        <f aca="false">IFERROR(M575/MEDIAN(INDEX($M$5:$M$627,MATCH($A575-90,$A$5:$A$627,1)):INDEX($M$5:$M$627,MATCH($A575+90,$A$5:$A$627,1))),"")</f>
        <v>0.224283822401835</v>
      </c>
      <c r="T575" s="11" t="n">
        <f aca="false">IFERROR(N575/MEDIAN(INDEX($N$5:$N$627,MATCH($A575-90,$A$5:$A$627,1)):INDEX($N$5:$N$627,MATCH($A575+90,$A$5:$A$627,1))),"")</f>
        <v>0.396971172170821</v>
      </c>
      <c r="U575" s="11" t="n">
        <f aca="false">IFERROR(Q575/MEDIAN(INDEX($Q$5:$Q$627,MATCH($A575-90,$A$5:$A$627,1)):INDEX($Q$5:$Q$627,MATCH($A575+90,$A$5:$A$627,1))),"")</f>
        <v>0</v>
      </c>
    </row>
    <row r="576" customFormat="false" ht="15" hidden="false" customHeight="false" outlineLevel="0" collapsed="false">
      <c r="A576" s="13" t="n">
        <v>46157.2511389005</v>
      </c>
      <c r="B576" s="8" t="n">
        <v>6</v>
      </c>
      <c r="C576" s="8" t="s">
        <v>84</v>
      </c>
      <c r="D576" s="8" t="s">
        <v>639</v>
      </c>
      <c r="E576" s="14" t="s">
        <v>66</v>
      </c>
      <c r="F576" s="9" t="n">
        <v>52773</v>
      </c>
      <c r="G576" s="9" t="n">
        <v>5092</v>
      </c>
      <c r="H576" s="9" t="n">
        <v>2682</v>
      </c>
      <c r="I576" s="9" t="n">
        <v>4076</v>
      </c>
      <c r="J576" s="9" t="n">
        <v>292</v>
      </c>
      <c r="K576" s="9" t="n">
        <v>139</v>
      </c>
      <c r="L576" s="9" t="n">
        <v>26</v>
      </c>
      <c r="M576" s="10" t="n">
        <f aca="false">IFERROR(G576/F576,"")</f>
        <v>0.0964887347696739</v>
      </c>
      <c r="N576" s="10" t="n">
        <f aca="false">IFERROR(H576/G576,"")</f>
        <v>0.526708562450903</v>
      </c>
      <c r="O576" s="11" t="n">
        <f aca="false">IFERROR(I576/H576,"")</f>
        <v>1.51976137211037</v>
      </c>
      <c r="P576" s="10" t="n">
        <f aca="false">IFERROR(J576/H576,"")</f>
        <v>0.108873974645787</v>
      </c>
      <c r="Q576" s="10" t="n">
        <f aca="false">IFERROR(K576/H576,"")</f>
        <v>0.0518269947800149</v>
      </c>
      <c r="R576" s="10" t="n">
        <f aca="false">IFERROR(L576/H576,"")</f>
        <v>0.00969425801640567</v>
      </c>
      <c r="S576" s="11" t="n">
        <f aca="false">IFERROR(M576/MEDIAN(INDEX($M$5:$M$627,MATCH($A576-90,$A$5:$A$627,1)):INDEX($M$5:$M$627,MATCH($A576+90,$A$5:$A$627,1))),"")</f>
        <v>1.56979485418818</v>
      </c>
      <c r="T576" s="11" t="n">
        <f aca="false">IFERROR(N576/MEDIAN(INDEX($N$5:$N$627,MATCH($A576-90,$A$5:$A$627,1)):INDEX($N$5:$N$627,MATCH($A576+90,$A$5:$A$627,1))),"")</f>
        <v>1.01930456271415</v>
      </c>
      <c r="U576" s="11" t="n">
        <f aca="false">IFERROR(Q576/MEDIAN(INDEX($Q$5:$Q$627,MATCH($A576-90,$A$5:$A$627,1)):INDEX($Q$5:$Q$627,MATCH($A576+90,$A$5:$A$627,1))),"")</f>
        <v>2.08102040686889</v>
      </c>
    </row>
    <row r="577" customFormat="false" ht="15" hidden="false" customHeight="false" outlineLevel="0" collapsed="false">
      <c r="A577" s="13" t="n">
        <v>46158.291913507</v>
      </c>
      <c r="B577" s="8" t="n">
        <v>7</v>
      </c>
      <c r="C577" s="8" t="s">
        <v>68</v>
      </c>
      <c r="D577" s="8" t="s">
        <v>640</v>
      </c>
      <c r="E577" s="14" t="s">
        <v>66</v>
      </c>
      <c r="F577" s="9" t="n">
        <v>466875</v>
      </c>
      <c r="G577" s="9" t="n">
        <v>31555</v>
      </c>
      <c r="H577" s="9" t="n">
        <v>16117</v>
      </c>
      <c r="I577" s="9" t="n">
        <v>17174</v>
      </c>
      <c r="J577" s="9" t="n">
        <v>803</v>
      </c>
      <c r="K577" s="9" t="n">
        <v>255</v>
      </c>
      <c r="L577" s="9" t="n">
        <v>83</v>
      </c>
      <c r="M577" s="10" t="n">
        <f aca="false">IFERROR(G577/F577,"")</f>
        <v>0.0675876840696118</v>
      </c>
      <c r="N577" s="10" t="n">
        <f aca="false">IFERROR(H577/G577,"")</f>
        <v>0.510758992235779</v>
      </c>
      <c r="O577" s="11" t="n">
        <f aca="false">IFERROR(I577/H577,"")</f>
        <v>1.06558292486195</v>
      </c>
      <c r="P577" s="10" t="n">
        <f aca="false">IFERROR(J577/H577,"")</f>
        <v>0.0498231680833902</v>
      </c>
      <c r="Q577" s="10" t="n">
        <f aca="false">IFERROR(K577/H577,"")</f>
        <v>0.0158218030650866</v>
      </c>
      <c r="R577" s="10" t="n">
        <f aca="false">IFERROR(L577/H577,"")</f>
        <v>0.00514984178196935</v>
      </c>
      <c r="S577" s="11" t="n">
        <f aca="false">IFERROR(M577/MEDIAN(INDEX($M$5:$M$627,MATCH($A577-90,$A$5:$A$627,1)):INDEX($M$5:$M$627,MATCH($A577+90,$A$5:$A$627,1))),"")</f>
        <v>1.07869783662138</v>
      </c>
      <c r="T577" s="11" t="n">
        <f aca="false">IFERROR(N577/MEDIAN(INDEX($N$5:$N$627,MATCH($A577-90,$A$5:$A$627,1)):INDEX($N$5:$N$627,MATCH($A577+90,$A$5:$A$627,1))),"")</f>
        <v>0.987134488066859</v>
      </c>
      <c r="U577" s="11" t="n">
        <f aca="false">IFERROR(Q577/MEDIAN(INDEX($Q$5:$Q$627,MATCH($A577-90,$A$5:$A$627,1)):INDEX($Q$5:$Q$627,MATCH($A577+90,$A$5:$A$627,1))),"")</f>
        <v>0.654146033481518</v>
      </c>
    </row>
    <row r="578" customFormat="false" ht="15" hidden="false" customHeight="false" outlineLevel="0" collapsed="false">
      <c r="A578" s="13" t="n">
        <v>46160.2508987732</v>
      </c>
      <c r="B578" s="8" t="n">
        <v>6</v>
      </c>
      <c r="C578" s="8" t="s">
        <v>80</v>
      </c>
      <c r="D578" s="8" t="s">
        <v>641</v>
      </c>
      <c r="E578" s="14" t="s">
        <v>66</v>
      </c>
      <c r="F578" s="9" t="n">
        <v>7607</v>
      </c>
      <c r="G578" s="9" t="n">
        <v>238</v>
      </c>
      <c r="H578" s="9" t="n">
        <v>86</v>
      </c>
      <c r="I578" s="9" t="n">
        <v>117</v>
      </c>
      <c r="J578" s="9" t="n">
        <v>237</v>
      </c>
      <c r="K578" s="9" t="n">
        <v>49</v>
      </c>
      <c r="L578" s="9" t="n">
        <v>41</v>
      </c>
      <c r="M578" s="10" t="n">
        <f aca="false">IFERROR(G578/F578,"")</f>
        <v>0.0312869725253056</v>
      </c>
      <c r="N578" s="10" t="n">
        <f aca="false">IFERROR(H578/G578,"")</f>
        <v>0.361344537815126</v>
      </c>
      <c r="O578" s="11" t="n">
        <f aca="false">IFERROR(I578/H578,"")</f>
        <v>1.36046511627907</v>
      </c>
      <c r="P578" s="10" t="n">
        <f aca="false">IFERROR(J578/H578,"")</f>
        <v>2.75581395348837</v>
      </c>
      <c r="Q578" s="10" t="n">
        <f aca="false">IFERROR(K578/H578,"")</f>
        <v>0.569767441860465</v>
      </c>
      <c r="R578" s="10" t="n">
        <f aca="false">IFERROR(L578/H578,"")</f>
        <v>0.476744186046512</v>
      </c>
      <c r="S578" s="11" t="n">
        <f aca="false">IFERROR(M578/MEDIAN(INDEX($M$5:$M$627,MATCH($A578-90,$A$5:$A$627,1)):INDEX($M$5:$M$627,MATCH($A578+90,$A$5:$A$627,1))),"")</f>
        <v>0.499339340325968</v>
      </c>
      <c r="T578" s="11" t="n">
        <f aca="false">IFERROR(N578/MEDIAN(INDEX($N$5:$N$627,MATCH($A578-90,$A$5:$A$627,1)):INDEX($N$5:$N$627,MATCH($A578+90,$A$5:$A$627,1))),"")</f>
        <v>0.698363926576217</v>
      </c>
      <c r="U578" s="11" t="n">
        <f aca="false">IFERROR(Q578/MEDIAN(INDEX($Q$5:$Q$627,MATCH($A578-90,$A$5:$A$627,1)):INDEX($Q$5:$Q$627,MATCH($A578+90,$A$5:$A$627,1))),"")</f>
        <v>24.0945885509839</v>
      </c>
    </row>
    <row r="579" customFormat="false" ht="15" hidden="false" customHeight="false" outlineLevel="0" collapsed="false">
      <c r="A579" s="13" t="n">
        <v>46161.4678830671</v>
      </c>
      <c r="B579" s="8" t="n">
        <v>11</v>
      </c>
      <c r="C579" s="8" t="s">
        <v>64</v>
      </c>
      <c r="D579" s="8" t="s">
        <v>642</v>
      </c>
      <c r="E579" s="14" t="s">
        <v>66</v>
      </c>
      <c r="F579" s="9" t="n">
        <v>84251</v>
      </c>
      <c r="G579" s="9" t="n">
        <v>4381</v>
      </c>
      <c r="H579" s="9" t="n">
        <v>2116</v>
      </c>
      <c r="I579" s="9" t="n">
        <v>3108</v>
      </c>
      <c r="J579" s="9" t="n">
        <v>191</v>
      </c>
      <c r="K579" s="9" t="n">
        <v>0</v>
      </c>
      <c r="L579" s="9" t="n">
        <v>14</v>
      </c>
      <c r="M579" s="10" t="n">
        <f aca="false">IFERROR(G579/F579,"")</f>
        <v>0.0519993827966434</v>
      </c>
      <c r="N579" s="10" t="n">
        <f aca="false">IFERROR(H579/G579,"")</f>
        <v>0.482994750057065</v>
      </c>
      <c r="O579" s="11" t="n">
        <f aca="false">IFERROR(I579/H579,"")</f>
        <v>1.46880907372401</v>
      </c>
      <c r="P579" s="10" t="n">
        <f aca="false">IFERROR(J579/H579,"")</f>
        <v>0.0902646502835539</v>
      </c>
      <c r="Q579" s="10" t="n">
        <f aca="false">IFERROR(K579/H579,"")</f>
        <v>0</v>
      </c>
      <c r="R579" s="10" t="n">
        <f aca="false">IFERROR(L579/H579,"")</f>
        <v>0.00661625708884688</v>
      </c>
      <c r="S579" s="11" t="n">
        <f aca="false">IFERROR(M579/MEDIAN(INDEX($M$5:$M$627,MATCH($A579-90,$A$5:$A$627,1)):INDEX($M$5:$M$627,MATCH($A579+90,$A$5:$A$627,1))),"")</f>
        <v>0.828681287428076</v>
      </c>
      <c r="T579" s="11" t="n">
        <f aca="false">IFERROR(N579/MEDIAN(INDEX($N$5:$N$627,MATCH($A579-90,$A$5:$A$627,1)):INDEX($N$5:$N$627,MATCH($A579+90,$A$5:$A$627,1))),"")</f>
        <v>0.934708086402215</v>
      </c>
      <c r="U579" s="11" t="n">
        <f aca="false">IFERROR(Q579/MEDIAN(INDEX($Q$5:$Q$627,MATCH($A579-90,$A$5:$A$627,1)):INDEX($Q$5:$Q$627,MATCH($A579+90,$A$5:$A$627,1))),"")</f>
        <v>0</v>
      </c>
    </row>
    <row r="580" customFormat="false" ht="15" hidden="false" customHeight="false" outlineLevel="0" collapsed="false">
      <c r="A580" s="13" t="n">
        <v>46162.3369993866</v>
      </c>
      <c r="B580" s="8" t="n">
        <v>8</v>
      </c>
      <c r="C580" s="8" t="s">
        <v>71</v>
      </c>
      <c r="D580" s="8" t="s">
        <v>643</v>
      </c>
      <c r="E580" s="14" t="s">
        <v>66</v>
      </c>
      <c r="F580" s="9" t="n">
        <v>32231</v>
      </c>
      <c r="G580" s="9" t="n">
        <v>5171</v>
      </c>
      <c r="H580" s="9" t="n">
        <v>2999</v>
      </c>
      <c r="I580" s="9" t="n">
        <v>2039</v>
      </c>
      <c r="J580" s="9" t="n">
        <v>256</v>
      </c>
      <c r="K580" s="9" t="n">
        <v>129</v>
      </c>
      <c r="L580" s="9" t="n">
        <v>11</v>
      </c>
      <c r="M580" s="10" t="n">
        <f aca="false">IFERROR(G580/F580,"")</f>
        <v>0.160435605472992</v>
      </c>
      <c r="N580" s="10" t="n">
        <f aca="false">IFERROR(H580/G580,"")</f>
        <v>0.579965190485399</v>
      </c>
      <c r="O580" s="11" t="n">
        <f aca="false">IFERROR(I580/H580,"")</f>
        <v>0.679893297765922</v>
      </c>
      <c r="P580" s="10" t="n">
        <f aca="false">IFERROR(J580/H580,"")</f>
        <v>0.0853617872624208</v>
      </c>
      <c r="Q580" s="10" t="n">
        <f aca="false">IFERROR(K580/H580,"")</f>
        <v>0.0430143381127042</v>
      </c>
      <c r="R580" s="10" t="n">
        <f aca="false">IFERROR(L580/H580,"")</f>
        <v>0.00366788929643214</v>
      </c>
      <c r="S580" s="11" t="n">
        <f aca="false">IFERROR(M580/MEDIAN(INDEX($M$5:$M$627,MATCH($A580-90,$A$5:$A$627,1)):INDEX($M$5:$M$627,MATCH($A580+90,$A$5:$A$627,1))),"")</f>
        <v>2.5529843469592</v>
      </c>
      <c r="T580" s="11" t="n">
        <f aca="false">IFERROR(N580/MEDIAN(INDEX($N$5:$N$627,MATCH($A580-90,$A$5:$A$627,1)):INDEX($N$5:$N$627,MATCH($A580+90,$A$5:$A$627,1))),"")</f>
        <v>1.12088803155544</v>
      </c>
      <c r="U580" s="11" t="n">
        <f aca="false">IFERROR(Q580/MEDIAN(INDEX($Q$5:$Q$627,MATCH($A580-90,$A$5:$A$627,1)):INDEX($Q$5:$Q$627,MATCH($A580+90,$A$5:$A$627,1))),"")</f>
        <v>1.81901018288147</v>
      </c>
    </row>
    <row r="581" customFormat="false" ht="15" hidden="false" customHeight="false" outlineLevel="0" collapsed="false">
      <c r="A581" s="13" t="n">
        <v>46163.4822576389</v>
      </c>
      <c r="B581" s="8" t="n">
        <v>11</v>
      </c>
      <c r="C581" s="8" t="s">
        <v>73</v>
      </c>
      <c r="D581" s="8" t="s">
        <v>644</v>
      </c>
      <c r="E581" s="14" t="s">
        <v>66</v>
      </c>
      <c r="F581" s="9" t="n">
        <v>4424</v>
      </c>
      <c r="G581" s="9" t="n">
        <v>176</v>
      </c>
      <c r="H581" s="9" t="n">
        <v>120</v>
      </c>
      <c r="I581" s="9" t="n">
        <v>177</v>
      </c>
      <c r="J581" s="9" t="n">
        <v>22</v>
      </c>
      <c r="K581" s="9" t="n">
        <v>25</v>
      </c>
      <c r="L581" s="9" t="n">
        <v>0</v>
      </c>
      <c r="M581" s="10" t="n">
        <f aca="false">IFERROR(G581/F581,"")</f>
        <v>0.0397830018083183</v>
      </c>
      <c r="N581" s="10" t="n">
        <f aca="false">IFERROR(H581/G581,"")</f>
        <v>0.681818181818182</v>
      </c>
      <c r="O581" s="11" t="n">
        <f aca="false">IFERROR(I581/H581,"")</f>
        <v>1.475</v>
      </c>
      <c r="P581" s="10" t="n">
        <f aca="false">IFERROR(J581/H581,"")</f>
        <v>0.183333333333333</v>
      </c>
      <c r="Q581" s="10" t="n">
        <f aca="false">IFERROR(K581/H581,"")</f>
        <v>0.208333333333333</v>
      </c>
      <c r="R581" s="10" t="n">
        <f aca="false">IFERROR(L581/H581,"")</f>
        <v>0</v>
      </c>
      <c r="S581" s="11" t="n">
        <f aca="false">IFERROR(M581/MEDIAN(INDEX($M$5:$M$627,MATCH($A581-90,$A$5:$A$627,1)):INDEX($M$5:$M$627,MATCH($A581+90,$A$5:$A$627,1))),"")</f>
        <v>0.627143524744277</v>
      </c>
      <c r="T581" s="11" t="n">
        <f aca="false">IFERROR(N581/MEDIAN(INDEX($N$5:$N$627,MATCH($A581-90,$A$5:$A$627,1)):INDEX($N$5:$N$627,MATCH($A581+90,$A$5:$A$627,1))),"")</f>
        <v>1.31947804386324</v>
      </c>
      <c r="U581" s="11" t="n">
        <f aca="false">IFERROR(Q581/MEDIAN(INDEX($Q$5:$Q$627,MATCH($A581-90,$A$5:$A$627,1)):INDEX($Q$5:$Q$627,MATCH($A581+90,$A$5:$A$627,1))),"")</f>
        <v>8.71066706544031</v>
      </c>
    </row>
    <row r="582" customFormat="false" ht="15" hidden="false" customHeight="false" outlineLevel="0" collapsed="false">
      <c r="A582" s="13" t="n">
        <v>46164.5453194213</v>
      </c>
      <c r="B582" s="8" t="n">
        <v>13</v>
      </c>
      <c r="C582" s="8" t="s">
        <v>84</v>
      </c>
      <c r="D582" s="8" t="s">
        <v>645</v>
      </c>
      <c r="E582" s="14" t="s">
        <v>66</v>
      </c>
      <c r="F582" s="9" t="n">
        <v>318622</v>
      </c>
      <c r="G582" s="9" t="n">
        <v>26354</v>
      </c>
      <c r="H582" s="9" t="n">
        <v>13600</v>
      </c>
      <c r="I582" s="9" t="n">
        <v>20642</v>
      </c>
      <c r="J582" s="9" t="n">
        <v>289</v>
      </c>
      <c r="K582" s="9" t="n">
        <v>154</v>
      </c>
      <c r="L582" s="9" t="n">
        <v>35</v>
      </c>
      <c r="M582" s="10" t="n">
        <f aca="false">IFERROR(G582/F582,"")</f>
        <v>0.0827124304034247</v>
      </c>
      <c r="N582" s="10" t="n">
        <f aca="false">IFERROR(H582/G582,"")</f>
        <v>0.516050694391743</v>
      </c>
      <c r="O582" s="11" t="n">
        <f aca="false">IFERROR(I582/H582,"")</f>
        <v>1.51779411764706</v>
      </c>
      <c r="P582" s="10" t="n">
        <f aca="false">IFERROR(J582/H582,"")</f>
        <v>0.02125</v>
      </c>
      <c r="Q582" s="10" t="n">
        <f aca="false">IFERROR(K582/H582,"")</f>
        <v>0.0113235294117647</v>
      </c>
      <c r="R582" s="10" t="n">
        <f aca="false">IFERROR(L582/H582,"")</f>
        <v>0.00257352941176471</v>
      </c>
      <c r="S582" s="11" t="n">
        <f aca="false">IFERROR(M582/MEDIAN(INDEX($M$5:$M$627,MATCH($A582-90,$A$5:$A$627,1)):INDEX($M$5:$M$627,MATCH($A582+90,$A$5:$A$627,1))),"")</f>
        <v>1.29181436654564</v>
      </c>
      <c r="T582" s="11" t="n">
        <f aca="false">IFERROR(N582/MEDIAN(INDEX($N$5:$N$627,MATCH($A582-90,$A$5:$A$627,1)):INDEX($N$5:$N$627,MATCH($A582+90,$A$5:$A$627,1))),"")</f>
        <v>0.997361663267171</v>
      </c>
      <c r="U582" s="11" t="n">
        <f aca="false">IFERROR(Q582/MEDIAN(INDEX($Q$5:$Q$627,MATCH($A582-90,$A$5:$A$627,1)):INDEX($Q$5:$Q$627,MATCH($A582+90,$A$5:$A$627,1))),"")</f>
        <v>0.46816673290938</v>
      </c>
    </row>
    <row r="583" customFormat="false" ht="15" hidden="false" customHeight="false" outlineLevel="0" collapsed="false">
      <c r="A583" s="13" t="n">
        <v>46165.2510121875</v>
      </c>
      <c r="B583" s="8" t="n">
        <v>6</v>
      </c>
      <c r="C583" s="8" t="s">
        <v>68</v>
      </c>
      <c r="D583" s="8" t="s">
        <v>646</v>
      </c>
      <c r="E583" s="14" t="s">
        <v>66</v>
      </c>
      <c r="F583" s="9" t="n">
        <v>14636</v>
      </c>
      <c r="G583" s="9" t="n">
        <v>1540</v>
      </c>
      <c r="H583" s="9" t="n">
        <v>1044</v>
      </c>
      <c r="I583" s="9" t="n">
        <v>837</v>
      </c>
      <c r="J583" s="9" t="n">
        <v>67</v>
      </c>
      <c r="K583" s="9" t="n">
        <v>40</v>
      </c>
      <c r="L583" s="9" t="n">
        <v>2</v>
      </c>
      <c r="M583" s="10" t="n">
        <f aca="false">IFERROR(G583/F583,"")</f>
        <v>0.105220005465974</v>
      </c>
      <c r="N583" s="10" t="n">
        <f aca="false">IFERROR(H583/G583,"")</f>
        <v>0.677922077922078</v>
      </c>
      <c r="O583" s="11" t="n">
        <f aca="false">IFERROR(I583/H583,"")</f>
        <v>0.801724137931035</v>
      </c>
      <c r="P583" s="10" t="n">
        <f aca="false">IFERROR(J583/H583,"")</f>
        <v>0.064176245210728</v>
      </c>
      <c r="Q583" s="10" t="n">
        <f aca="false">IFERROR(K583/H583,"")</f>
        <v>0.0383141762452107</v>
      </c>
      <c r="R583" s="10" t="n">
        <f aca="false">IFERROR(L583/H583,"")</f>
        <v>0.00191570881226054</v>
      </c>
      <c r="S583" s="11" t="n">
        <f aca="false">IFERROR(M583/MEDIAN(INDEX($M$5:$M$627,MATCH($A583-90,$A$5:$A$627,1)):INDEX($M$5:$M$627,MATCH($A583+90,$A$5:$A$627,1))),"")</f>
        <v>1.64334083820282</v>
      </c>
      <c r="T583" s="11" t="n">
        <f aca="false">IFERROR(N583/MEDIAN(INDEX($N$5:$N$627,MATCH($A583-90,$A$5:$A$627,1)):INDEX($N$5:$N$627,MATCH($A583+90,$A$5:$A$627,1))),"")</f>
        <v>1.31020750199521</v>
      </c>
      <c r="U583" s="11" t="n">
        <f aca="false">IFERROR(Q583/MEDIAN(INDEX($Q$5:$Q$627,MATCH($A583-90,$A$5:$A$627,1)):INDEX($Q$5:$Q$627,MATCH($A583+90,$A$5:$A$627,1))),"")</f>
        <v>1.58408408408408</v>
      </c>
    </row>
    <row r="584" customFormat="false" ht="15" hidden="false" customHeight="false" outlineLevel="0" collapsed="false">
      <c r="A584" s="13" t="n">
        <v>46167.3326788079</v>
      </c>
      <c r="B584" s="8" t="n">
        <v>7</v>
      </c>
      <c r="C584" s="8" t="s">
        <v>80</v>
      </c>
      <c r="D584" s="8" t="s">
        <v>647</v>
      </c>
      <c r="E584" s="14" t="s">
        <v>66</v>
      </c>
      <c r="F584" s="9" t="n">
        <v>5685</v>
      </c>
      <c r="G584" s="9" t="n">
        <v>179</v>
      </c>
      <c r="H584" s="9" t="n">
        <v>45</v>
      </c>
      <c r="I584" s="9" t="n">
        <v>79</v>
      </c>
      <c r="J584" s="9" t="n">
        <v>78</v>
      </c>
      <c r="K584" s="9" t="n">
        <v>34</v>
      </c>
      <c r="L584" s="9" t="n">
        <v>14</v>
      </c>
      <c r="M584" s="10" t="n">
        <f aca="false">IFERROR(G584/F584,"")</f>
        <v>0.0314863676341249</v>
      </c>
      <c r="N584" s="10" t="n">
        <f aca="false">IFERROR(H584/G584,"")</f>
        <v>0.251396648044693</v>
      </c>
      <c r="O584" s="11" t="n">
        <f aca="false">IFERROR(I584/H584,"")</f>
        <v>1.75555555555556</v>
      </c>
      <c r="P584" s="10" t="n">
        <f aca="false">IFERROR(J584/H584,"")</f>
        <v>1.73333333333333</v>
      </c>
      <c r="Q584" s="10" t="n">
        <f aca="false">IFERROR(K584/H584,"")</f>
        <v>0.755555555555556</v>
      </c>
      <c r="R584" s="10" t="n">
        <f aca="false">IFERROR(L584/H584,"")</f>
        <v>0.311111111111111</v>
      </c>
      <c r="S584" s="11" t="n">
        <f aca="false">IFERROR(M584/MEDIAN(INDEX($M$5:$M$627,MATCH($A584-90,$A$5:$A$627,1)):INDEX($M$5:$M$627,MATCH($A584+90,$A$5:$A$627,1))),"")</f>
        <v>0.496354490156406</v>
      </c>
      <c r="T584" s="11" t="n">
        <f aca="false">IFERROR(N584/MEDIAN(INDEX($N$5:$N$627,MATCH($A584-90,$A$5:$A$627,1)):INDEX($N$5:$N$627,MATCH($A584+90,$A$5:$A$627,1))),"")</f>
        <v>0.486511457513821</v>
      </c>
      <c r="U584" s="11" t="n">
        <f aca="false">IFERROR(Q584/MEDIAN(INDEX($Q$5:$Q$627,MATCH($A584-90,$A$5:$A$627,1)):INDEX($Q$5:$Q$627,MATCH($A584+90,$A$5:$A$627,1))),"")</f>
        <v>31.5906858906635</v>
      </c>
    </row>
    <row r="585" customFormat="false" ht="15" hidden="false" customHeight="false" outlineLevel="0" collapsed="false">
      <c r="A585" s="13" t="n">
        <v>46168.2934906713</v>
      </c>
      <c r="B585" s="8" t="n">
        <v>7</v>
      </c>
      <c r="C585" s="8" t="s">
        <v>64</v>
      </c>
      <c r="D585" s="8" t="s">
        <v>648</v>
      </c>
      <c r="E585" s="14" t="s">
        <v>66</v>
      </c>
      <c r="F585" s="9" t="n">
        <v>30625</v>
      </c>
      <c r="G585" s="9" t="n">
        <v>2895</v>
      </c>
      <c r="H585" s="9" t="n">
        <v>1750</v>
      </c>
      <c r="I585" s="9" t="n">
        <v>2719</v>
      </c>
      <c r="J585" s="9" t="n">
        <v>132</v>
      </c>
      <c r="K585" s="9" t="n">
        <v>65</v>
      </c>
      <c r="L585" s="9" t="n">
        <v>5</v>
      </c>
      <c r="M585" s="10" t="n">
        <f aca="false">IFERROR(G585/F585,"")</f>
        <v>0.094530612244898</v>
      </c>
      <c r="N585" s="10" t="n">
        <f aca="false">IFERROR(H585/G585,"")</f>
        <v>0.604490500863558</v>
      </c>
      <c r="O585" s="11" t="n">
        <f aca="false">IFERROR(I585/H585,"")</f>
        <v>1.55371428571429</v>
      </c>
      <c r="P585" s="10" t="n">
        <f aca="false">IFERROR(J585/H585,"")</f>
        <v>0.0754285714285714</v>
      </c>
      <c r="Q585" s="10" t="n">
        <f aca="false">IFERROR(K585/H585,"")</f>
        <v>0.0371428571428571</v>
      </c>
      <c r="R585" s="10" t="n">
        <f aca="false">IFERROR(L585/H585,"")</f>
        <v>0.00285714285714286</v>
      </c>
      <c r="S585" s="11" t="n">
        <f aca="false">IFERROR(M585/MEDIAN(INDEX($M$5:$M$627,MATCH($A585-90,$A$5:$A$627,1)):INDEX($M$5:$M$627,MATCH($A585+90,$A$5:$A$627,1))),"")</f>
        <v>1.47639239205886</v>
      </c>
      <c r="T585" s="11" t="n">
        <f aca="false">IFERROR(N585/MEDIAN(INDEX($N$5:$N$627,MATCH($A585-90,$A$5:$A$627,1)):INDEX($N$5:$N$627,MATCH($A585+90,$A$5:$A$627,1))),"")</f>
        <v>1.16828764678071</v>
      </c>
      <c r="U585" s="11" t="n">
        <f aca="false">IFERROR(Q585/MEDIAN(INDEX($Q$5:$Q$627,MATCH($A585-90,$A$5:$A$627,1)):INDEX($Q$5:$Q$627,MATCH($A585+90,$A$5:$A$627,1))),"")</f>
        <v>1.53565637065637</v>
      </c>
    </row>
    <row r="586" customFormat="false" ht="15" hidden="false" customHeight="false" outlineLevel="0" collapsed="false">
      <c r="A586" s="13" t="n">
        <v>46169.260275787</v>
      </c>
      <c r="B586" s="8" t="n">
        <v>6</v>
      </c>
      <c r="C586" s="8" t="s">
        <v>71</v>
      </c>
      <c r="D586" s="8" t="s">
        <v>649</v>
      </c>
      <c r="E586" s="14" t="s">
        <v>66</v>
      </c>
      <c r="F586" s="9" t="n">
        <v>157543</v>
      </c>
      <c r="G586" s="9" t="n">
        <v>1074</v>
      </c>
      <c r="H586" s="9" t="n">
        <v>229</v>
      </c>
      <c r="I586" s="9" t="n">
        <v>128</v>
      </c>
      <c r="J586" s="9" t="n">
        <v>23</v>
      </c>
      <c r="K586" s="9" t="n">
        <v>52</v>
      </c>
      <c r="L586" s="9" t="n">
        <v>16</v>
      </c>
      <c r="M586" s="10" t="n">
        <f aca="false">IFERROR(G586/F586,"")</f>
        <v>0.00681718641894594</v>
      </c>
      <c r="N586" s="10" t="n">
        <f aca="false">IFERROR(H586/G586,"")</f>
        <v>0.213221601489758</v>
      </c>
      <c r="O586" s="11" t="n">
        <f aca="false">IFERROR(I586/H586,"")</f>
        <v>0.558951965065502</v>
      </c>
      <c r="P586" s="10" t="n">
        <f aca="false">IFERROR(J586/H586,"")</f>
        <v>0.100436681222707</v>
      </c>
      <c r="Q586" s="10" t="n">
        <f aca="false">IFERROR(K586/H586,"")</f>
        <v>0.22707423580786</v>
      </c>
      <c r="R586" s="10" t="n">
        <f aca="false">IFERROR(L586/H586,"")</f>
        <v>0.0698689956331878</v>
      </c>
      <c r="S586" s="11" t="n">
        <f aca="false">IFERROR(M586/MEDIAN(INDEX($M$5:$M$627,MATCH($A586-90,$A$5:$A$627,1)):INDEX($M$5:$M$627,MATCH($A586+90,$A$5:$A$627,1))),"")</f>
        <v>0.106454871759752</v>
      </c>
      <c r="T586" s="11" t="n">
        <f aca="false">IFERROR(N586/MEDIAN(INDEX($N$5:$N$627,MATCH($A586-90,$A$5:$A$627,1)):INDEX($N$5:$N$627,MATCH($A586+90,$A$5:$A$627,1))),"")</f>
        <v>0.412633791743203</v>
      </c>
      <c r="U586" s="11" t="n">
        <f aca="false">IFERROR(Q586/MEDIAN(INDEX($Q$5:$Q$627,MATCH($A586-90,$A$5:$A$627,1)):INDEX($Q$5:$Q$627,MATCH($A586+90,$A$5:$A$627,1))),"")</f>
        <v>9.11776036013832</v>
      </c>
    </row>
    <row r="587" customFormat="false" ht="15" hidden="false" customHeight="false" outlineLevel="0" collapsed="false">
      <c r="A587" s="13" t="n">
        <v>46170.2510482292</v>
      </c>
      <c r="B587" s="8" t="n">
        <v>6</v>
      </c>
      <c r="C587" s="8" t="s">
        <v>73</v>
      </c>
      <c r="D587" s="8" t="s">
        <v>650</v>
      </c>
      <c r="E587" s="14" t="s">
        <v>66</v>
      </c>
      <c r="F587" s="9" t="n">
        <v>15185</v>
      </c>
      <c r="G587" s="9" t="n">
        <v>999</v>
      </c>
      <c r="H587" s="9" t="n">
        <v>509</v>
      </c>
      <c r="I587" s="9" t="n">
        <v>925</v>
      </c>
      <c r="J587" s="9" t="n">
        <v>62</v>
      </c>
      <c r="K587" s="9" t="n">
        <v>61</v>
      </c>
      <c r="L587" s="9" t="n">
        <v>6</v>
      </c>
      <c r="M587" s="10" t="n">
        <f aca="false">IFERROR(G587/F587,"")</f>
        <v>0.0657886071781363</v>
      </c>
      <c r="N587" s="10" t="n">
        <f aca="false">IFERROR(H587/G587,"")</f>
        <v>0.50950950950951</v>
      </c>
      <c r="O587" s="11" t="n">
        <f aca="false">IFERROR(I587/H587,"")</f>
        <v>1.81728880157171</v>
      </c>
      <c r="P587" s="10" t="n">
        <f aca="false">IFERROR(J587/H587,"")</f>
        <v>0.121807465618861</v>
      </c>
      <c r="Q587" s="10" t="n">
        <f aca="false">IFERROR(K587/H587,"")</f>
        <v>0.119842829076621</v>
      </c>
      <c r="R587" s="10" t="n">
        <f aca="false">IFERROR(L587/H587,"")</f>
        <v>0.0117878192534381</v>
      </c>
      <c r="S587" s="11" t="n">
        <f aca="false">IFERROR(M587/MEDIAN(INDEX($M$5:$M$627,MATCH($A587-90,$A$5:$A$627,1)):INDEX($M$5:$M$627,MATCH($A587+90,$A$5:$A$627,1))),"")</f>
        <v>1.0271695039895</v>
      </c>
      <c r="T587" s="11" t="n">
        <f aca="false">IFERROR(N587/MEDIAN(INDEX($N$5:$N$627,MATCH($A587-90,$A$5:$A$627,1)):INDEX($N$5:$N$627,MATCH($A587+90,$A$5:$A$627,1))),"")</f>
        <v>0.984719635836954</v>
      </c>
      <c r="U587" s="11" t="n">
        <f aca="false">IFERROR(Q587/MEDIAN(INDEX($Q$5:$Q$627,MATCH($A587-90,$A$5:$A$627,1)):INDEX($Q$5:$Q$627,MATCH($A587+90,$A$5:$A$627,1))),"")</f>
        <v>4.95485318324218</v>
      </c>
    </row>
    <row r="588" customFormat="false" ht="15" hidden="false" customHeight="false" outlineLevel="0" collapsed="false">
      <c r="A588" s="13" t="n">
        <v>46171.2505735301</v>
      </c>
      <c r="B588" s="8" t="n">
        <v>6</v>
      </c>
      <c r="C588" s="8" t="s">
        <v>84</v>
      </c>
      <c r="D588" s="8" t="s">
        <v>651</v>
      </c>
      <c r="E588" s="14" t="s">
        <v>66</v>
      </c>
      <c r="F588" s="9" t="n">
        <v>508681</v>
      </c>
      <c r="G588" s="9" t="n">
        <v>32672</v>
      </c>
      <c r="H588" s="9" t="n">
        <v>15354</v>
      </c>
      <c r="I588" s="9" t="n">
        <v>14049</v>
      </c>
      <c r="J588" s="9" t="n">
        <v>551</v>
      </c>
      <c r="K588" s="9" t="n">
        <v>178</v>
      </c>
      <c r="L588" s="9" t="n">
        <v>91</v>
      </c>
      <c r="M588" s="10" t="n">
        <f aca="false">IFERROR(G588/F588,"")</f>
        <v>0.0642288585577209</v>
      </c>
      <c r="N588" s="10" t="n">
        <f aca="false">IFERROR(H588/G588,"")</f>
        <v>0.469943682664055</v>
      </c>
      <c r="O588" s="11" t="n">
        <f aca="false">IFERROR(I588/H588,"")</f>
        <v>0.915005861664713</v>
      </c>
      <c r="P588" s="10" t="n">
        <f aca="false">IFERROR(J588/H588,"")</f>
        <v>0.0358864139637879</v>
      </c>
      <c r="Q588" s="10" t="n">
        <f aca="false">IFERROR(K588/H588,"")</f>
        <v>0.0115930702097173</v>
      </c>
      <c r="R588" s="10" t="n">
        <f aca="false">IFERROR(L588/H588,"")</f>
        <v>0.00592679432069819</v>
      </c>
      <c r="S588" s="11" t="n">
        <f aca="false">IFERROR(M588/MEDIAN(INDEX($M$5:$M$627,MATCH($A588-90,$A$5:$A$627,1)):INDEX($M$5:$M$627,MATCH($A588+90,$A$5:$A$627,1))),"")</f>
        <v>1.00281686474845</v>
      </c>
      <c r="T588" s="11" t="n">
        <f aca="false">IFERROR(N588/MEDIAN(INDEX($N$5:$N$627,MATCH($A588-90,$A$5:$A$627,1)):INDEX($N$5:$N$627,MATCH($A588+90,$A$5:$A$627,1))),"")</f>
        <v>0.904501189431953</v>
      </c>
      <c r="U588" s="11" t="n">
        <f aca="false">IFERROR(Q588/MEDIAN(INDEX($Q$5:$Q$627,MATCH($A588-90,$A$5:$A$627,1)):INDEX($Q$5:$Q$627,MATCH($A588+90,$A$5:$A$627,1))),"")</f>
        <v>0.452460968756397</v>
      </c>
    </row>
    <row r="589" customFormat="false" ht="15" hidden="false" customHeight="false" outlineLevel="0" collapsed="false">
      <c r="A589" s="13" t="n">
        <v>46172.2505693056</v>
      </c>
      <c r="B589" s="8" t="n">
        <v>6</v>
      </c>
      <c r="C589" s="8" t="s">
        <v>68</v>
      </c>
      <c r="D589" s="8" t="s">
        <v>652</v>
      </c>
      <c r="E589" s="14" t="s">
        <v>66</v>
      </c>
      <c r="F589" s="9" t="n">
        <v>8972</v>
      </c>
      <c r="G589" s="9" t="n">
        <v>392</v>
      </c>
      <c r="H589" s="9" t="n">
        <v>138</v>
      </c>
      <c r="I589" s="9" t="n">
        <v>163</v>
      </c>
      <c r="J589" s="9" t="n">
        <v>35</v>
      </c>
      <c r="K589" s="9" t="n">
        <v>34</v>
      </c>
      <c r="L589" s="9" t="n">
        <v>0</v>
      </c>
      <c r="M589" s="10" t="n">
        <f aca="false">IFERROR(G589/F589,"")</f>
        <v>0.0436914846188141</v>
      </c>
      <c r="N589" s="10" t="n">
        <f aca="false">IFERROR(H589/G589,"")</f>
        <v>0.352040816326531</v>
      </c>
      <c r="O589" s="11" t="n">
        <f aca="false">IFERROR(I589/H589,"")</f>
        <v>1.18115942028986</v>
      </c>
      <c r="P589" s="10" t="n">
        <f aca="false">IFERROR(J589/H589,"")</f>
        <v>0.253623188405797</v>
      </c>
      <c r="Q589" s="10" t="n">
        <f aca="false">IFERROR(K589/H589,"")</f>
        <v>0.246376811594203</v>
      </c>
      <c r="R589" s="10" t="n">
        <f aca="false">IFERROR(L589/H589,"")</f>
        <v>0</v>
      </c>
      <c r="S589" s="11" t="n">
        <f aca="false">IFERROR(M589/MEDIAN(INDEX($M$5:$M$627,MATCH($A589-90,$A$5:$A$627,1)):INDEX($M$5:$M$627,MATCH($A589+90,$A$5:$A$627,1))),"")</f>
        <v>0.68216310558079</v>
      </c>
      <c r="T589" s="11" t="n">
        <f aca="false">IFERROR(N589/MEDIAN(INDEX($N$5:$N$627,MATCH($A589-90,$A$5:$A$627,1)):INDEX($N$5:$N$627,MATCH($A589+90,$A$5:$A$627,1))),"")</f>
        <v>0.677573396222394</v>
      </c>
      <c r="U589" s="11" t="n">
        <f aca="false">IFERROR(Q589/MEDIAN(INDEX($Q$5:$Q$627,MATCH($A589-90,$A$5:$A$627,1)):INDEX($Q$5:$Q$627,MATCH($A589+90,$A$5:$A$627,1))),"")</f>
        <v>9.61573498964803</v>
      </c>
    </row>
    <row r="590" customFormat="false" ht="15" hidden="false" customHeight="false" outlineLevel="0" collapsed="false">
      <c r="A590" s="13" t="n">
        <v>46174.442477662</v>
      </c>
      <c r="B590" s="8" t="n">
        <v>10</v>
      </c>
      <c r="C590" s="8" t="s">
        <v>80</v>
      </c>
      <c r="D590" s="8" t="s">
        <v>653</v>
      </c>
      <c r="E590" s="14" t="s">
        <v>66</v>
      </c>
      <c r="F590" s="9" t="n">
        <v>85887</v>
      </c>
      <c r="G590" s="9" t="n">
        <v>907</v>
      </c>
      <c r="H590" s="9" t="n">
        <v>218</v>
      </c>
      <c r="I590" s="9" t="n">
        <v>69</v>
      </c>
      <c r="J590" s="9" t="n">
        <v>116</v>
      </c>
      <c r="K590" s="9" t="n">
        <v>27</v>
      </c>
      <c r="L590" s="9" t="n">
        <v>17</v>
      </c>
      <c r="M590" s="10" t="n">
        <f aca="false">IFERROR(G590/F590,"")</f>
        <v>0.0105603874858826</v>
      </c>
      <c r="N590" s="10" t="n">
        <f aca="false">IFERROR(H590/G590,"")</f>
        <v>0.240352811466373</v>
      </c>
      <c r="O590" s="11" t="n">
        <f aca="false">IFERROR(I590/H590,"")</f>
        <v>0.31651376146789</v>
      </c>
      <c r="P590" s="10" t="n">
        <f aca="false">IFERROR(J590/H590,"")</f>
        <v>0.532110091743119</v>
      </c>
      <c r="Q590" s="10" t="n">
        <f aca="false">IFERROR(K590/H590,"")</f>
        <v>0.123853211009174</v>
      </c>
      <c r="R590" s="10" t="n">
        <f aca="false">IFERROR(L590/H590,"")</f>
        <v>0.0779816513761468</v>
      </c>
      <c r="S590" s="11" t="n">
        <f aca="false">IFERROR(M590/MEDIAN(INDEX($M$5:$M$627,MATCH($A590-90,$A$5:$A$627,1)):INDEX($M$5:$M$627,MATCH($A590+90,$A$5:$A$627,1))),"")</f>
        <v>0.164933616434841</v>
      </c>
      <c r="T590" s="11" t="n">
        <f aca="false">IFERROR(N590/MEDIAN(INDEX($N$5:$N$627,MATCH($A590-90,$A$5:$A$627,1)):INDEX($N$5:$N$627,MATCH($A590+90,$A$5:$A$627,1))),"")</f>
        <v>0.464525447635707</v>
      </c>
      <c r="U590" s="11" t="n">
        <f aca="false">IFERROR(Q590/MEDIAN(INDEX($Q$5:$Q$627,MATCH($A590-90,$A$5:$A$627,1)):INDEX($Q$5:$Q$627,MATCH($A590+90,$A$5:$A$627,1))),"")</f>
        <v>4.83381389252949</v>
      </c>
    </row>
    <row r="591" customFormat="false" ht="15" hidden="false" customHeight="false" outlineLevel="0" collapsed="false">
      <c r="A591" s="13" t="n">
        <v>46175.2507523958</v>
      </c>
      <c r="B591" s="8" t="n">
        <v>6</v>
      </c>
      <c r="C591" s="8" t="s">
        <v>64</v>
      </c>
      <c r="D591" s="8" t="s">
        <v>654</v>
      </c>
      <c r="E591" s="14" t="s">
        <v>66</v>
      </c>
      <c r="F591" s="9" t="n">
        <v>6296</v>
      </c>
      <c r="G591" s="9" t="n">
        <v>378</v>
      </c>
      <c r="H591" s="9" t="n">
        <v>221</v>
      </c>
      <c r="I591" s="9" t="n">
        <v>270</v>
      </c>
      <c r="J591" s="9" t="n">
        <v>24</v>
      </c>
      <c r="K591" s="9" t="n">
        <v>25</v>
      </c>
      <c r="L591" s="9" t="n">
        <v>1</v>
      </c>
      <c r="M591" s="10" t="n">
        <f aca="false">IFERROR(G591/F591,"")</f>
        <v>0.0600381194409149</v>
      </c>
      <c r="N591" s="10" t="n">
        <f aca="false">IFERROR(H591/G591,"")</f>
        <v>0.584656084656085</v>
      </c>
      <c r="O591" s="11" t="n">
        <f aca="false">IFERROR(I591/H591,"")</f>
        <v>1.22171945701357</v>
      </c>
      <c r="P591" s="10" t="n">
        <f aca="false">IFERROR(J591/H591,"")</f>
        <v>0.108597285067873</v>
      </c>
      <c r="Q591" s="10" t="n">
        <f aca="false">IFERROR(K591/H591,"")</f>
        <v>0.113122171945701</v>
      </c>
      <c r="R591" s="10" t="n">
        <f aca="false">IFERROR(L591/H591,"")</f>
        <v>0.00452488687782806</v>
      </c>
      <c r="S591" s="11" t="n">
        <f aca="false">IFERROR(M591/MEDIAN(INDEX($M$5:$M$627,MATCH($A591-90,$A$5:$A$627,1)):INDEX($M$5:$M$627,MATCH($A591+90,$A$5:$A$627,1))),"")</f>
        <v>0.937534917340207</v>
      </c>
      <c r="T591" s="11" t="n">
        <f aca="false">IFERROR(N591/MEDIAN(INDEX($N$5:$N$627,MATCH($A591-90,$A$5:$A$627,1)):INDEX($N$5:$N$627,MATCH($A591+90,$A$5:$A$627,1))),"")</f>
        <v>1.12761633774871</v>
      </c>
      <c r="U591" s="11" t="n">
        <f aca="false">IFERROR(Q591/MEDIAN(INDEX($Q$5:$Q$627,MATCH($A591-90,$A$5:$A$627,1)):INDEX($Q$5:$Q$627,MATCH($A591+90,$A$5:$A$627,1))),"")</f>
        <v>4.54221876625408</v>
      </c>
    </row>
    <row r="592" customFormat="false" ht="15" hidden="false" customHeight="false" outlineLevel="0" collapsed="false">
      <c r="A592" s="13" t="n">
        <v>46175.6640059722</v>
      </c>
      <c r="B592" s="8" t="n">
        <v>15</v>
      </c>
      <c r="C592" s="8" t="s">
        <v>64</v>
      </c>
      <c r="D592" s="8" t="s">
        <v>655</v>
      </c>
      <c r="E592" s="14" t="s">
        <v>66</v>
      </c>
      <c r="F592" s="9" t="n">
        <v>209994</v>
      </c>
      <c r="G592" s="9" t="n">
        <v>9774</v>
      </c>
      <c r="H592" s="9" t="n">
        <v>6119</v>
      </c>
      <c r="I592" s="9" t="n">
        <v>3245</v>
      </c>
      <c r="J592" s="9" t="n">
        <v>126</v>
      </c>
      <c r="K592" s="9" t="n">
        <v>148</v>
      </c>
      <c r="L592" s="9" t="n">
        <v>12</v>
      </c>
      <c r="M592" s="10" t="n">
        <f aca="false">IFERROR(G592/F592,"")</f>
        <v>0.0465441869767708</v>
      </c>
      <c r="N592" s="10" t="n">
        <f aca="false">IFERROR(H592/G592,"")</f>
        <v>0.626048700634336</v>
      </c>
      <c r="O592" s="11" t="n">
        <f aca="false">IFERROR(I592/H592,"")</f>
        <v>0.530315411014872</v>
      </c>
      <c r="P592" s="10" t="n">
        <f aca="false">IFERROR(J592/H592,"")</f>
        <v>0.0205915999346298</v>
      </c>
      <c r="Q592" s="10" t="n">
        <f aca="false">IFERROR(K592/H592,"")</f>
        <v>0.0241869586533747</v>
      </c>
      <c r="R592" s="10" t="n">
        <f aca="false">IFERROR(L592/H592,"")</f>
        <v>0.00196110475567903</v>
      </c>
      <c r="S592" s="11" t="n">
        <f aca="false">IFERROR(M592/MEDIAN(INDEX($M$5:$M$627,MATCH($A592-90,$A$5:$A$627,1)):INDEX($M$5:$M$627,MATCH($A592+90,$A$5:$A$627,1))),"")</f>
        <v>0.726702866973182</v>
      </c>
      <c r="T592" s="11" t="n">
        <f aca="false">IFERROR(N592/MEDIAN(INDEX($N$5:$N$627,MATCH($A592-90,$A$5:$A$627,1)):INDEX($N$5:$N$627,MATCH($A592+90,$A$5:$A$627,1))),"")</f>
        <v>1.20495671131489</v>
      </c>
      <c r="U592" s="11" t="n">
        <f aca="false">IFERROR(Q592/MEDIAN(INDEX($Q$5:$Q$627,MATCH($A592-90,$A$5:$A$627,1)):INDEX($Q$5:$Q$627,MATCH($A592+90,$A$5:$A$627,1))),"")</f>
        <v>0.94398244344314</v>
      </c>
    </row>
    <row r="593" customFormat="false" ht="15" hidden="false" customHeight="false" outlineLevel="0" collapsed="false">
      <c r="A593" s="13" t="n">
        <v>46176.2505135648</v>
      </c>
      <c r="B593" s="8" t="n">
        <v>6</v>
      </c>
      <c r="C593" s="8" t="s">
        <v>71</v>
      </c>
      <c r="D593" s="8" t="s">
        <v>656</v>
      </c>
      <c r="E593" s="14" t="s">
        <v>66</v>
      </c>
      <c r="F593" s="9" t="n">
        <v>21586</v>
      </c>
      <c r="G593" s="9" t="n">
        <v>640</v>
      </c>
      <c r="H593" s="9" t="n">
        <v>344</v>
      </c>
      <c r="I593" s="9" t="n">
        <v>383</v>
      </c>
      <c r="J593" s="9" t="n">
        <v>59</v>
      </c>
      <c r="K593" s="9" t="n">
        <v>64</v>
      </c>
      <c r="L593" s="9" t="n">
        <v>3</v>
      </c>
      <c r="M593" s="10" t="n">
        <f aca="false">IFERROR(G593/F593,"")</f>
        <v>0.0296488464745668</v>
      </c>
      <c r="N593" s="10" t="n">
        <f aca="false">IFERROR(H593/G593,"")</f>
        <v>0.5375</v>
      </c>
      <c r="O593" s="11" t="n">
        <f aca="false">IFERROR(I593/H593,"")</f>
        <v>1.11337209302326</v>
      </c>
      <c r="P593" s="10" t="n">
        <f aca="false">IFERROR(J593/H593,"")</f>
        <v>0.171511627906977</v>
      </c>
      <c r="Q593" s="10" t="n">
        <f aca="false">IFERROR(K593/H593,"")</f>
        <v>0.186046511627907</v>
      </c>
      <c r="R593" s="10" t="n">
        <f aca="false">IFERROR(L593/H593,"")</f>
        <v>0.00872093023255814</v>
      </c>
      <c r="S593" s="11" t="n">
        <f aca="false">IFERROR(M593/MEDIAN(INDEX($M$5:$M$627,MATCH($A593-90,$A$5:$A$627,1)):INDEX($M$5:$M$627,MATCH($A593+90,$A$5:$A$627,1))),"")</f>
        <v>0.462912839067713</v>
      </c>
      <c r="T593" s="11" t="n">
        <f aca="false">IFERROR(N593/MEDIAN(INDEX($N$5:$N$627,MATCH($A593-90,$A$5:$A$627,1)):INDEX($N$5:$N$627,MATCH($A593+90,$A$5:$A$627,1))),"")</f>
        <v>1.03452691727579</v>
      </c>
      <c r="U593" s="11" t="n">
        <f aca="false">IFERROR(Q593/MEDIAN(INDEX($Q$5:$Q$627,MATCH($A593-90,$A$5:$A$627,1)):INDEX($Q$5:$Q$627,MATCH($A593+90,$A$5:$A$627,1))),"")</f>
        <v>7.26112956810631</v>
      </c>
    </row>
    <row r="594" customFormat="false" ht="15" hidden="false" customHeight="false" outlineLevel="0" collapsed="false">
      <c r="A594" s="13" t="n">
        <v>46177.5838715394</v>
      </c>
      <c r="B594" s="8" t="n">
        <v>14</v>
      </c>
      <c r="C594" s="8" t="s">
        <v>73</v>
      </c>
      <c r="D594" s="8" t="s">
        <v>657</v>
      </c>
      <c r="E594" s="14" t="s">
        <v>66</v>
      </c>
      <c r="F594" s="9" t="n">
        <v>998951</v>
      </c>
      <c r="G594" s="9" t="n">
        <v>163517</v>
      </c>
      <c r="H594" s="9" t="n">
        <v>61051</v>
      </c>
      <c r="I594" s="9" t="n">
        <v>57459</v>
      </c>
      <c r="J594" s="9" t="n">
        <v>481</v>
      </c>
      <c r="K594" s="9" t="n">
        <v>843</v>
      </c>
      <c r="L594" s="9" t="n">
        <v>177</v>
      </c>
      <c r="M594" s="10" t="n">
        <f aca="false">IFERROR(G594/F594,"")</f>
        <v>0.16368870945622</v>
      </c>
      <c r="N594" s="10" t="n">
        <f aca="false">IFERROR(H594/G594,"")</f>
        <v>0.373361791128751</v>
      </c>
      <c r="O594" s="11" t="n">
        <f aca="false">IFERROR(I594/H594,"")</f>
        <v>0.941163944898528</v>
      </c>
      <c r="P594" s="10" t="n">
        <f aca="false">IFERROR(J594/H594,"")</f>
        <v>0.00787865882622725</v>
      </c>
      <c r="Q594" s="10" t="n">
        <f aca="false">IFERROR(K594/H594,"")</f>
        <v>0.013808127630997</v>
      </c>
      <c r="R594" s="10" t="n">
        <f aca="false">IFERROR(L594/H594,"")</f>
        <v>0.00289921541006699</v>
      </c>
      <c r="S594" s="11" t="n">
        <f aca="false">IFERROR(M594/MEDIAN(INDEX($M$5:$M$627,MATCH($A594-90,$A$5:$A$627,1)):INDEX($M$5:$M$627,MATCH($A594+90,$A$5:$A$627,1))),"")</f>
        <v>2.55570162848353</v>
      </c>
      <c r="T594" s="11" t="n">
        <f aca="false">IFERROR(N594/MEDIAN(INDEX($N$5:$N$627,MATCH($A594-90,$A$5:$A$627,1)):INDEX($N$5:$N$627,MATCH($A594+90,$A$5:$A$627,1))),"")</f>
        <v>0.721589450508332</v>
      </c>
      <c r="U594" s="11" t="n">
        <f aca="false">IFERROR(Q594/MEDIAN(INDEX($Q$5:$Q$627,MATCH($A594-90,$A$5:$A$627,1)):INDEX($Q$5:$Q$627,MATCH($A594+90,$A$5:$A$627,1))),"")</f>
        <v>0.538911495541199</v>
      </c>
    </row>
    <row r="595" customFormat="false" ht="15" hidden="false" customHeight="false" outlineLevel="0" collapsed="false">
      <c r="A595" s="13" t="n">
        <v>46178.2926039352</v>
      </c>
      <c r="B595" s="8" t="n">
        <v>7</v>
      </c>
      <c r="C595" s="8" t="s">
        <v>84</v>
      </c>
      <c r="D595" s="8" t="s">
        <v>658</v>
      </c>
      <c r="E595" s="14" t="s">
        <v>66</v>
      </c>
      <c r="F595" s="9" t="n">
        <v>255228</v>
      </c>
      <c r="G595" s="9" t="n">
        <v>27676</v>
      </c>
      <c r="H595" s="9" t="n">
        <v>14320</v>
      </c>
      <c r="I595" s="9" t="n">
        <v>19610</v>
      </c>
      <c r="J595" s="9" t="n">
        <v>499</v>
      </c>
      <c r="K595" s="9" t="n">
        <v>95</v>
      </c>
      <c r="L595" s="9" t="n">
        <v>123</v>
      </c>
      <c r="M595" s="10" t="n">
        <f aca="false">IFERROR(G595/F595,"")</f>
        <v>0.108436378453775</v>
      </c>
      <c r="N595" s="10" t="n">
        <f aca="false">IFERROR(H595/G595,"")</f>
        <v>0.517415811533459</v>
      </c>
      <c r="O595" s="11" t="n">
        <f aca="false">IFERROR(I595/H595,"")</f>
        <v>1.36941340782123</v>
      </c>
      <c r="P595" s="10" t="n">
        <f aca="false">IFERROR(J595/H595,"")</f>
        <v>0.0348463687150838</v>
      </c>
      <c r="Q595" s="10" t="n">
        <f aca="false">IFERROR(K595/H595,"")</f>
        <v>0.0066340782122905</v>
      </c>
      <c r="R595" s="10" t="n">
        <f aca="false">IFERROR(L595/H595,"")</f>
        <v>0.00858938547486034</v>
      </c>
      <c r="S595" s="11" t="n">
        <f aca="false">IFERROR(M595/MEDIAN(INDEX($M$5:$M$627,MATCH($A595-90,$A$5:$A$627,1)):INDEX($M$5:$M$627,MATCH($A595+90,$A$5:$A$627,1))),"")</f>
        <v>1.69065574879263</v>
      </c>
      <c r="T595" s="11" t="n">
        <f aca="false">IFERROR(N595/MEDIAN(INDEX($N$5:$N$627,MATCH($A595-90,$A$5:$A$627,1)):INDEX($N$5:$N$627,MATCH($A595+90,$A$5:$A$627,1))),"")</f>
        <v>0.997931156122043</v>
      </c>
      <c r="U595" s="11" t="n">
        <f aca="false">IFERROR(Q595/MEDIAN(INDEX($Q$5:$Q$627,MATCH($A595-90,$A$5:$A$627,1)):INDEX($Q$5:$Q$627,MATCH($A595+90,$A$5:$A$627,1))),"")</f>
        <v>0.248352041496286</v>
      </c>
    </row>
    <row r="596" customFormat="false" ht="15" hidden="false" customHeight="false" outlineLevel="0" collapsed="false">
      <c r="A596" s="13" t="n">
        <v>46179.2518953125</v>
      </c>
      <c r="B596" s="8" t="n">
        <v>6</v>
      </c>
      <c r="C596" s="8" t="s">
        <v>68</v>
      </c>
      <c r="D596" s="8" t="s">
        <v>659</v>
      </c>
      <c r="E596" s="14" t="s">
        <v>66</v>
      </c>
      <c r="F596" s="9" t="n">
        <v>15807</v>
      </c>
      <c r="G596" s="9" t="n">
        <v>1111</v>
      </c>
      <c r="H596" s="9" t="n">
        <v>614</v>
      </c>
      <c r="I596" s="9" t="n">
        <v>717</v>
      </c>
      <c r="J596" s="9" t="n">
        <v>67</v>
      </c>
      <c r="K596" s="9" t="n">
        <v>145</v>
      </c>
      <c r="L596" s="9" t="n">
        <v>2</v>
      </c>
      <c r="M596" s="10" t="n">
        <f aca="false">IFERROR(G596/F596,"")</f>
        <v>0.070285316631872</v>
      </c>
      <c r="N596" s="10" t="n">
        <f aca="false">IFERROR(H596/G596,"")</f>
        <v>0.552655265526553</v>
      </c>
      <c r="O596" s="11" t="n">
        <f aca="false">IFERROR(I596/H596,"")</f>
        <v>1.16775244299674</v>
      </c>
      <c r="P596" s="10" t="n">
        <f aca="false">IFERROR(J596/H596,"")</f>
        <v>0.109120521172638</v>
      </c>
      <c r="Q596" s="10" t="n">
        <f aca="false">IFERROR(K596/H596,"")</f>
        <v>0.236156351791531</v>
      </c>
      <c r="R596" s="10" t="n">
        <f aca="false">IFERROR(L596/H596,"")</f>
        <v>0.00325732899022801</v>
      </c>
      <c r="S596" s="11" t="n">
        <f aca="false">IFERROR(M596/MEDIAN(INDEX($M$5:$M$627,MATCH($A596-90,$A$5:$A$627,1)):INDEX($M$5:$M$627,MATCH($A596+90,$A$5:$A$627,1))),"")</f>
        <v>1.0958340394044</v>
      </c>
      <c r="T596" s="11" t="n">
        <f aca="false">IFERROR(N596/MEDIAN(INDEX($N$5:$N$627,MATCH($A596-90,$A$5:$A$627,1)):INDEX($N$5:$N$627,MATCH($A596+90,$A$5:$A$627,1))),"")</f>
        <v>1.06589689717703</v>
      </c>
      <c r="U596" s="11" t="n">
        <f aca="false">IFERROR(Q596/MEDIAN(INDEX($Q$5:$Q$627,MATCH($A596-90,$A$5:$A$627,1)):INDEX($Q$5:$Q$627,MATCH($A596+90,$A$5:$A$627,1))),"")</f>
        <v>8.84070253665162</v>
      </c>
    </row>
    <row r="597" customFormat="false" ht="15" hidden="false" customHeight="false" outlineLevel="0" collapsed="false">
      <c r="A597" s="13" t="n">
        <v>46181.5101648495</v>
      </c>
      <c r="B597" s="8" t="n">
        <v>12</v>
      </c>
      <c r="C597" s="8" t="s">
        <v>80</v>
      </c>
      <c r="D597" s="8" t="s">
        <v>660</v>
      </c>
      <c r="E597" s="14" t="s">
        <v>66</v>
      </c>
      <c r="F597" s="9" t="n">
        <v>144413</v>
      </c>
      <c r="G597" s="9" t="n">
        <v>1674</v>
      </c>
      <c r="H597" s="9" t="n">
        <v>382</v>
      </c>
      <c r="I597" s="9" t="n">
        <v>61</v>
      </c>
      <c r="J597" s="9" t="n">
        <v>20</v>
      </c>
      <c r="K597" s="9" t="n">
        <v>48</v>
      </c>
      <c r="L597" s="9" t="n">
        <v>15</v>
      </c>
      <c r="M597" s="10" t="n">
        <f aca="false">IFERROR(G597/F597,"")</f>
        <v>0.0115917542049538</v>
      </c>
      <c r="N597" s="10" t="n">
        <f aca="false">IFERROR(H597/G597,"")</f>
        <v>0.228195937873357</v>
      </c>
      <c r="O597" s="11" t="n">
        <f aca="false">IFERROR(I597/H597,"")</f>
        <v>0.159685863874346</v>
      </c>
      <c r="P597" s="10" t="n">
        <f aca="false">IFERROR(J597/H597,"")</f>
        <v>0.0523560209424084</v>
      </c>
      <c r="Q597" s="10" t="n">
        <f aca="false">IFERROR(K597/H597,"")</f>
        <v>0.12565445026178</v>
      </c>
      <c r="R597" s="10" t="n">
        <f aca="false">IFERROR(L597/H597,"")</f>
        <v>0.0392670157068063</v>
      </c>
      <c r="S597" s="11" t="n">
        <f aca="false">IFERROR(M597/MEDIAN(INDEX($M$5:$M$627,MATCH($A597-90,$A$5:$A$627,1)):INDEX($M$5:$M$627,MATCH($A597+90,$A$5:$A$627,1))),"")</f>
        <v>0.18047579336221</v>
      </c>
      <c r="T597" s="11" t="n">
        <f aca="false">IFERROR(N597/MEDIAN(INDEX($N$5:$N$627,MATCH($A597-90,$A$5:$A$627,1)):INDEX($N$5:$N$627,MATCH($A597+90,$A$5:$A$627,1))),"")</f>
        <v>0.44103008216362</v>
      </c>
      <c r="U597" s="11" t="n">
        <f aca="false">IFERROR(Q597/MEDIAN(INDEX($Q$5:$Q$627,MATCH($A597-90,$A$5:$A$627,1)):INDEX($Q$5:$Q$627,MATCH($A597+90,$A$5:$A$627,1))),"")</f>
        <v>4.51953159346149</v>
      </c>
    </row>
    <row r="598" customFormat="false" ht="15" hidden="false" customHeight="false" outlineLevel="0" collapsed="false">
      <c r="A598" s="13" t="n">
        <v>46182.4672590046</v>
      </c>
      <c r="B598" s="8" t="n">
        <v>11</v>
      </c>
      <c r="C598" s="8" t="s">
        <v>64</v>
      </c>
      <c r="D598" s="8" t="s">
        <v>661</v>
      </c>
      <c r="E598" s="14" t="s">
        <v>66</v>
      </c>
      <c r="F598" s="9" t="n">
        <v>628132</v>
      </c>
      <c r="G598" s="9" t="n">
        <v>121496</v>
      </c>
      <c r="H598" s="9" t="n">
        <v>73060</v>
      </c>
      <c r="I598" s="9" t="n">
        <v>40892</v>
      </c>
      <c r="J598" s="9" t="n">
        <v>1678</v>
      </c>
      <c r="K598" s="9" t="n">
        <v>551</v>
      </c>
      <c r="L598" s="9" t="n">
        <v>395</v>
      </c>
      <c r="M598" s="10" t="n">
        <f aca="false">IFERROR(G598/F598,"")</f>
        <v>0.193424312087268</v>
      </c>
      <c r="N598" s="10" t="n">
        <f aca="false">IFERROR(H598/G598,"")</f>
        <v>0.601336669519984</v>
      </c>
      <c r="O598" s="11" t="n">
        <f aca="false">IFERROR(I598/H598,"")</f>
        <v>0.559704352586915</v>
      </c>
      <c r="P598" s="10" t="n">
        <f aca="false">IFERROR(J598/H598,"")</f>
        <v>0.0229674240350397</v>
      </c>
      <c r="Q598" s="10" t="n">
        <f aca="false">IFERROR(K598/H598,"")</f>
        <v>0.00754174650971804</v>
      </c>
      <c r="R598" s="10" t="n">
        <f aca="false">IFERROR(L598/H598,"")</f>
        <v>0.00540651519299206</v>
      </c>
      <c r="S598" s="11" t="n">
        <f aca="false">IFERROR(M598/MEDIAN(INDEX($M$5:$M$627,MATCH($A598-90,$A$5:$A$627,1)):INDEX($M$5:$M$627,MATCH($A598+90,$A$5:$A$627,1))),"")</f>
        <v>3.01148605830264</v>
      </c>
      <c r="T598" s="11" t="n">
        <f aca="false">IFERROR(N598/MEDIAN(INDEX($N$5:$N$627,MATCH($A598-90,$A$5:$A$627,1)):INDEX($N$5:$N$627,MATCH($A598+90,$A$5:$A$627,1))),"")</f>
        <v>1.16219229508625</v>
      </c>
      <c r="U598" s="11" t="n">
        <f aca="false">IFERROR(Q598/MEDIAN(INDEX($Q$5:$Q$627,MATCH($A598-90,$A$5:$A$627,1)):INDEX($Q$5:$Q$627,MATCH($A598+90,$A$5:$A$627,1))),"")</f>
        <v>0.26105346653518</v>
      </c>
    </row>
    <row r="599" customFormat="false" ht="15" hidden="false" customHeight="false" outlineLevel="0" collapsed="false">
      <c r="A599" s="13" t="n">
        <v>46183.4210634607</v>
      </c>
      <c r="B599" s="8" t="n">
        <v>10</v>
      </c>
      <c r="C599" s="8" t="s">
        <v>71</v>
      </c>
      <c r="D599" s="8" t="s">
        <v>662</v>
      </c>
      <c r="E599" s="14" t="s">
        <v>66</v>
      </c>
      <c r="F599" s="9" t="n">
        <v>11225</v>
      </c>
      <c r="G599" s="9" t="n">
        <v>1289</v>
      </c>
      <c r="H599" s="9" t="n">
        <v>823</v>
      </c>
      <c r="I599" s="9" t="n">
        <v>608</v>
      </c>
      <c r="J599" s="9" t="n">
        <v>108</v>
      </c>
      <c r="K599" s="9" t="n">
        <v>88</v>
      </c>
      <c r="L599" s="9" t="n">
        <v>1</v>
      </c>
      <c r="M599" s="10" t="n">
        <f aca="false">IFERROR(G599/F599,"")</f>
        <v>0.114832962138085</v>
      </c>
      <c r="N599" s="10" t="n">
        <f aca="false">IFERROR(H599/G599,"")</f>
        <v>0.638479441427463</v>
      </c>
      <c r="O599" s="11" t="n">
        <f aca="false">IFERROR(I599/H599,"")</f>
        <v>0.738760631834751</v>
      </c>
      <c r="P599" s="10" t="n">
        <f aca="false">IFERROR(J599/H599,"")</f>
        <v>0.131227217496962</v>
      </c>
      <c r="Q599" s="10" t="n">
        <f aca="false">IFERROR(K599/H599,"")</f>
        <v>0.106925880923451</v>
      </c>
      <c r="R599" s="10" t="n">
        <f aca="false">IFERROR(L599/H599,"")</f>
        <v>0.00121506682867558</v>
      </c>
      <c r="S599" s="11" t="n">
        <f aca="false">IFERROR(M599/MEDIAN(INDEX($M$5:$M$627,MATCH($A599-90,$A$5:$A$627,1)):INDEX($M$5:$M$627,MATCH($A599+90,$A$5:$A$627,1))),"")</f>
        <v>1.78787175604074</v>
      </c>
      <c r="T599" s="11" t="n">
        <f aca="false">IFERROR(N599/MEDIAN(INDEX($N$5:$N$627,MATCH($A599-90,$A$5:$A$627,1)):INDEX($N$5:$N$627,MATCH($A599+90,$A$5:$A$627,1))),"")</f>
        <v>1.23397744559682</v>
      </c>
      <c r="U599" s="11" t="n">
        <f aca="false">IFERROR(Q599/MEDIAN(INDEX($Q$5:$Q$627,MATCH($A599-90,$A$5:$A$627,1)):INDEX($Q$5:$Q$627,MATCH($A599+90,$A$5:$A$627,1))),"")</f>
        <v>3.7011813963021</v>
      </c>
    </row>
    <row r="600" customFormat="false" ht="15" hidden="false" customHeight="false" outlineLevel="0" collapsed="false">
      <c r="A600" s="13" t="n">
        <v>46184.5233047222</v>
      </c>
      <c r="B600" s="8" t="n">
        <v>12</v>
      </c>
      <c r="C600" s="8" t="s">
        <v>73</v>
      </c>
      <c r="D600" s="8" t="s">
        <v>663</v>
      </c>
      <c r="E600" s="14" t="s">
        <v>66</v>
      </c>
      <c r="F600" s="9" t="n">
        <v>595458</v>
      </c>
      <c r="G600" s="9" t="n">
        <v>115094</v>
      </c>
      <c r="H600" s="9" t="n">
        <v>68176</v>
      </c>
      <c r="I600" s="9" t="n">
        <v>44419</v>
      </c>
      <c r="J600" s="9" t="n">
        <v>1658</v>
      </c>
      <c r="K600" s="9" t="n">
        <v>667</v>
      </c>
      <c r="L600" s="9" t="n">
        <v>271</v>
      </c>
      <c r="M600" s="10" t="n">
        <f aca="false">IFERROR(G600/F600,"")</f>
        <v>0.193286512230921</v>
      </c>
      <c r="N600" s="10" t="n">
        <f aca="false">IFERROR(H600/G600,"")</f>
        <v>0.592350600378821</v>
      </c>
      <c r="O600" s="11" t="n">
        <f aca="false">IFERROR(I600/H600,"")</f>
        <v>0.651534264257217</v>
      </c>
      <c r="P600" s="10" t="n">
        <f aca="false">IFERROR(J600/H600,"")</f>
        <v>0.024319408589533</v>
      </c>
      <c r="Q600" s="10" t="n">
        <f aca="false">IFERROR(K600/H600,"")</f>
        <v>0.00978350152546351</v>
      </c>
      <c r="R600" s="10" t="n">
        <f aca="false">IFERROR(L600/H600,"")</f>
        <v>0.00397500586716733</v>
      </c>
      <c r="S600" s="11" t="n">
        <f aca="false">IFERROR(M600/MEDIAN(INDEX($M$5:$M$627,MATCH($A600-90,$A$5:$A$627,1)):INDEX($M$5:$M$627,MATCH($A600+90,$A$5:$A$627,1))),"")</f>
        <v>2.93799368190845</v>
      </c>
      <c r="T600" s="11" t="n">
        <f aca="false">IFERROR(N600/MEDIAN(INDEX($N$5:$N$627,MATCH($A600-90,$A$5:$A$627,1)):INDEX($N$5:$N$627,MATCH($A600+90,$A$5:$A$627,1))),"")</f>
        <v>1.14482508492208</v>
      </c>
      <c r="U600" s="11" t="n">
        <f aca="false">IFERROR(Q600/MEDIAN(INDEX($Q$5:$Q$627,MATCH($A600-90,$A$5:$A$627,1)):INDEX($Q$5:$Q$627,MATCH($A600+90,$A$5:$A$627,1))),"")</f>
        <v>0.31253840327708</v>
      </c>
    </row>
    <row r="601" customFormat="false" ht="15" hidden="false" customHeight="false" outlineLevel="0" collapsed="false">
      <c r="A601" s="13" t="n">
        <v>46185.2502598032</v>
      </c>
      <c r="B601" s="8" t="n">
        <v>6</v>
      </c>
      <c r="C601" s="8" t="s">
        <v>84</v>
      </c>
      <c r="D601" s="8" t="s">
        <v>664</v>
      </c>
      <c r="E601" s="14" t="s">
        <v>66</v>
      </c>
      <c r="F601" s="9" t="n">
        <v>585679</v>
      </c>
      <c r="G601" s="9" t="n">
        <v>103293</v>
      </c>
      <c r="H601" s="9" t="n">
        <v>55231</v>
      </c>
      <c r="I601" s="9" t="n">
        <v>30385</v>
      </c>
      <c r="J601" s="9" t="n">
        <v>1430</v>
      </c>
      <c r="K601" s="9" t="n">
        <v>770</v>
      </c>
      <c r="L601" s="9" t="n">
        <v>334</v>
      </c>
      <c r="M601" s="10" t="n">
        <f aca="false">IFERROR(G601/F601,"")</f>
        <v>0.176364527326402</v>
      </c>
      <c r="N601" s="10" t="n">
        <f aca="false">IFERROR(H601/G601,"")</f>
        <v>0.534702254751048</v>
      </c>
      <c r="O601" s="11" t="n">
        <f aca="false">IFERROR(I601/H601,"")</f>
        <v>0.550143940902754</v>
      </c>
      <c r="P601" s="10" t="n">
        <f aca="false">IFERROR(J601/H601,"")</f>
        <v>0.0258912567217686</v>
      </c>
      <c r="Q601" s="10" t="n">
        <f aca="false">IFERROR(K601/H601,"")</f>
        <v>0.0139414459271062</v>
      </c>
      <c r="R601" s="10" t="n">
        <f aca="false">IFERROR(L601/H601,"")</f>
        <v>0.00604732849305644</v>
      </c>
      <c r="S601" s="11" t="n">
        <f aca="false">IFERROR(M601/MEDIAN(INDEX($M$5:$M$627,MATCH($A601-90,$A$5:$A$627,1)):INDEX($M$5:$M$627,MATCH($A601+90,$A$5:$A$627,1))),"")</f>
        <v>2.68077612357499</v>
      </c>
      <c r="T601" s="11" t="n">
        <f aca="false">IFERROR(N601/MEDIAN(INDEX($N$5:$N$627,MATCH($A601-90,$A$5:$A$627,1)):INDEX($N$5:$N$627,MATCH($A601+90,$A$5:$A$627,1))),"")</f>
        <v>1.03340919011802</v>
      </c>
      <c r="U601" s="11" t="n">
        <f aca="false">IFERROR(Q601/MEDIAN(INDEX($Q$5:$Q$627,MATCH($A601-90,$A$5:$A$627,1)):INDEX($Q$5:$Q$627,MATCH($A601+90,$A$5:$A$627,1))),"")</f>
        <v>0.445365827162282</v>
      </c>
    </row>
    <row r="602" customFormat="false" ht="15" hidden="false" customHeight="false" outlineLevel="0" collapsed="false">
      <c r="A602" s="13" t="n">
        <v>46186.2508891898</v>
      </c>
      <c r="B602" s="8" t="n">
        <v>6</v>
      </c>
      <c r="C602" s="8" t="s">
        <v>68</v>
      </c>
      <c r="D602" s="8" t="s">
        <v>665</v>
      </c>
      <c r="E602" s="14" t="s">
        <v>66</v>
      </c>
      <c r="F602" s="9" t="n">
        <v>54720</v>
      </c>
      <c r="G602" s="9" t="n">
        <v>2054</v>
      </c>
      <c r="H602" s="9" t="n">
        <v>1153</v>
      </c>
      <c r="I602" s="9" t="n">
        <v>1562</v>
      </c>
      <c r="J602" s="9" t="n">
        <v>138</v>
      </c>
      <c r="K602" s="9" t="n">
        <v>217</v>
      </c>
      <c r="L602" s="9" t="n">
        <v>7</v>
      </c>
      <c r="M602" s="10" t="n">
        <f aca="false">IFERROR(G602/F602,"")</f>
        <v>0.0375365497076023</v>
      </c>
      <c r="N602" s="10" t="n">
        <f aca="false">IFERROR(H602/G602,"")</f>
        <v>0.561343719571568</v>
      </c>
      <c r="O602" s="11" t="n">
        <f aca="false">IFERROR(I602/H602,"")</f>
        <v>1.35472679965308</v>
      </c>
      <c r="P602" s="10" t="n">
        <f aca="false">IFERROR(J602/H602,"")</f>
        <v>0.11968777103209</v>
      </c>
      <c r="Q602" s="10" t="n">
        <f aca="false">IFERROR(K602/H602,"")</f>
        <v>0.188204683434519</v>
      </c>
      <c r="R602" s="10" t="n">
        <f aca="false">IFERROR(L602/H602,"")</f>
        <v>0.00607111882046834</v>
      </c>
      <c r="S602" s="11" t="n">
        <f aca="false">IFERROR(M602/MEDIAN(INDEX($M$5:$M$627,MATCH($A602-90,$A$5:$A$627,1)):INDEX($M$5:$M$627,MATCH($A602+90,$A$5:$A$627,1))),"")</f>
        <v>0.569470019177199</v>
      </c>
      <c r="T602" s="11" t="n">
        <f aca="false">IFERROR(N602/MEDIAN(INDEX($N$5:$N$627,MATCH($A602-90,$A$5:$A$627,1)):INDEX($N$5:$N$627,MATCH($A602+90,$A$5:$A$627,1))),"")</f>
        <v>1.08633171245164</v>
      </c>
      <c r="U602" s="11" t="n">
        <f aca="false">IFERROR(Q602/MEDIAN(INDEX($Q$5:$Q$627,MATCH($A602-90,$A$5:$A$627,1)):INDEX($Q$5:$Q$627,MATCH($A602+90,$A$5:$A$627,1))),"")</f>
        <v>5.92011333049423</v>
      </c>
    </row>
    <row r="603" customFormat="false" ht="15" hidden="false" customHeight="false" outlineLevel="0" collapsed="false">
      <c r="A603" s="13" t="n">
        <v>46188.4082702431</v>
      </c>
      <c r="B603" s="8" t="n">
        <v>9</v>
      </c>
      <c r="C603" s="8" t="s">
        <v>80</v>
      </c>
      <c r="D603" s="8" t="s">
        <v>666</v>
      </c>
      <c r="E603" s="14" t="s">
        <v>66</v>
      </c>
      <c r="F603" s="9" t="n">
        <v>56064</v>
      </c>
      <c r="G603" s="9" t="n">
        <v>595</v>
      </c>
      <c r="H603" s="9" t="n">
        <v>148</v>
      </c>
      <c r="I603" s="9" t="n">
        <v>232</v>
      </c>
      <c r="J603" s="9" t="n">
        <v>19</v>
      </c>
      <c r="K603" s="9" t="n">
        <v>79</v>
      </c>
      <c r="L603" s="9" t="n">
        <v>3</v>
      </c>
      <c r="M603" s="10" t="n">
        <f aca="false">IFERROR(G603/F603,"")</f>
        <v>0.0106128710045662</v>
      </c>
      <c r="N603" s="10" t="n">
        <f aca="false">IFERROR(H603/G603,"")</f>
        <v>0.248739495798319</v>
      </c>
      <c r="O603" s="11" t="n">
        <f aca="false">IFERROR(I603/H603,"")</f>
        <v>1.56756756756757</v>
      </c>
      <c r="P603" s="10" t="n">
        <f aca="false">IFERROR(J603/H603,"")</f>
        <v>0.128378378378378</v>
      </c>
      <c r="Q603" s="10" t="n">
        <f aca="false">IFERROR(K603/H603,"")</f>
        <v>0.533783783783784</v>
      </c>
      <c r="R603" s="10" t="n">
        <f aca="false">IFERROR(L603/H603,"")</f>
        <v>0.0202702702702703</v>
      </c>
      <c r="S603" s="11" t="n">
        <f aca="false">IFERROR(M603/MEDIAN(INDEX($M$5:$M$627,MATCH($A603-90,$A$5:$A$627,1)):INDEX($M$5:$M$627,MATCH($A603+90,$A$5:$A$627,1))),"")</f>
        <v>0.161317763968306</v>
      </c>
      <c r="T603" s="11" t="n">
        <f aca="false">IFERROR(N603/MEDIAN(INDEX($N$5:$N$627,MATCH($A603-90,$A$5:$A$627,1)):INDEX($N$5:$N$627,MATCH($A603+90,$A$5:$A$627,1))),"")</f>
        <v>0.482005931784479</v>
      </c>
      <c r="U603" s="11" t="n">
        <f aca="false">IFERROR(Q603/MEDIAN(INDEX($Q$5:$Q$627,MATCH($A603-90,$A$5:$A$627,1)):INDEX($Q$5:$Q$627,MATCH($A603+90,$A$5:$A$627,1))),"")</f>
        <v>17.0519656019656</v>
      </c>
    </row>
    <row r="604" customFormat="false" ht="15" hidden="false" customHeight="false" outlineLevel="0" collapsed="false">
      <c r="A604" s="13" t="n">
        <v>46189.4842782986</v>
      </c>
      <c r="B604" s="8" t="n">
        <v>11</v>
      </c>
      <c r="C604" s="8" t="s">
        <v>64</v>
      </c>
      <c r="D604" s="8" t="s">
        <v>667</v>
      </c>
      <c r="E604" s="14" t="s">
        <v>66</v>
      </c>
      <c r="F604" s="9" t="n">
        <v>15430</v>
      </c>
      <c r="G604" s="9" t="n">
        <v>1730</v>
      </c>
      <c r="H604" s="9" t="n">
        <v>1035</v>
      </c>
      <c r="I604" s="9" t="n">
        <v>735</v>
      </c>
      <c r="J604" s="9" t="n">
        <v>112</v>
      </c>
      <c r="K604" s="9" t="n">
        <v>100</v>
      </c>
      <c r="L604" s="9" t="n">
        <v>4</v>
      </c>
      <c r="M604" s="10" t="n">
        <f aca="false">IFERROR(G604/F604,"")</f>
        <v>0.112119248217758</v>
      </c>
      <c r="N604" s="10" t="n">
        <f aca="false">IFERROR(H604/G604,"")</f>
        <v>0.598265895953757</v>
      </c>
      <c r="O604" s="11" t="n">
        <f aca="false">IFERROR(I604/H604,"")</f>
        <v>0.710144927536232</v>
      </c>
      <c r="P604" s="10" t="n">
        <f aca="false">IFERROR(J604/H604,"")</f>
        <v>0.108212560386473</v>
      </c>
      <c r="Q604" s="10" t="n">
        <f aca="false">IFERROR(K604/H604,"")</f>
        <v>0.0966183574879227</v>
      </c>
      <c r="R604" s="10" t="n">
        <f aca="false">IFERROR(L604/H604,"")</f>
        <v>0.00386473429951691</v>
      </c>
      <c r="S604" s="11" t="n">
        <f aca="false">IFERROR(M604/MEDIAN(INDEX($M$5:$M$627,MATCH($A604-90,$A$5:$A$627,1)):INDEX($M$5:$M$627,MATCH($A604+90,$A$5:$A$627,1))),"")</f>
        <v>1.70097014589938</v>
      </c>
      <c r="T604" s="11" t="n">
        <f aca="false">IFERROR(N604/MEDIAN(INDEX($N$5:$N$627,MATCH($A604-90,$A$5:$A$627,1)):INDEX($N$5:$N$627,MATCH($A604+90,$A$5:$A$627,1))),"")</f>
        <v>1.1652907130604</v>
      </c>
      <c r="U604" s="11" t="n">
        <f aca="false">IFERROR(Q604/MEDIAN(INDEX($Q$5:$Q$627,MATCH($A604-90,$A$5:$A$627,1)):INDEX($Q$5:$Q$627,MATCH($A604+90,$A$5:$A$627,1))),"")</f>
        <v>3.03919974623649</v>
      </c>
    </row>
    <row r="605" customFormat="false" ht="15" hidden="false" customHeight="false" outlineLevel="0" collapsed="false">
      <c r="A605" s="13" t="n">
        <v>46190.5032666088</v>
      </c>
      <c r="B605" s="8" t="n">
        <v>12</v>
      </c>
      <c r="C605" s="8" t="s">
        <v>71</v>
      </c>
      <c r="D605" s="8" t="s">
        <v>668</v>
      </c>
      <c r="E605" s="14" t="s">
        <v>66</v>
      </c>
      <c r="F605" s="9" t="n">
        <v>48672</v>
      </c>
      <c r="G605" s="9" t="n">
        <v>5411</v>
      </c>
      <c r="H605" s="9" t="n">
        <v>4037</v>
      </c>
      <c r="I605" s="9" t="n">
        <v>3697</v>
      </c>
      <c r="J605" s="9" t="n">
        <v>169</v>
      </c>
      <c r="K605" s="9" t="n">
        <v>182</v>
      </c>
      <c r="L605" s="9" t="n">
        <v>5</v>
      </c>
      <c r="M605" s="10" t="n">
        <f aca="false">IFERROR(G605/F605,"")</f>
        <v>0.111172748191979</v>
      </c>
      <c r="N605" s="10" t="n">
        <f aca="false">IFERROR(H605/G605,"")</f>
        <v>0.746072814636851</v>
      </c>
      <c r="O605" s="11" t="n">
        <f aca="false">IFERROR(I605/H605,"")</f>
        <v>0.915779043844439</v>
      </c>
      <c r="P605" s="10" t="n">
        <f aca="false">IFERROR(J605/H605,"")</f>
        <v>0.0418627693832054</v>
      </c>
      <c r="Q605" s="10" t="n">
        <f aca="false">IFERROR(K605/H605,"")</f>
        <v>0.0450829824126827</v>
      </c>
      <c r="R605" s="10" t="n">
        <f aca="false">IFERROR(L605/H605,"")</f>
        <v>0.0012385434728759</v>
      </c>
      <c r="S605" s="11" t="n">
        <f aca="false">IFERROR(M605/MEDIAN(INDEX($M$5:$M$627,MATCH($A605-90,$A$5:$A$627,1)):INDEX($M$5:$M$627,MATCH($A605+90,$A$5:$A$627,1))),"")</f>
        <v>1.68661071776786</v>
      </c>
      <c r="T605" s="11" t="n">
        <f aca="false">IFERROR(N605/MEDIAN(INDEX($N$5:$N$627,MATCH($A605-90,$A$5:$A$627,1)):INDEX($N$5:$N$627,MATCH($A605+90,$A$5:$A$627,1))),"")</f>
        <v>1.45318616361571</v>
      </c>
      <c r="U605" s="11" t="n">
        <f aca="false">IFERROR(Q605/MEDIAN(INDEX($Q$5:$Q$627,MATCH($A605-90,$A$5:$A$627,1)):INDEX($Q$5:$Q$627,MATCH($A605+90,$A$5:$A$627,1))),"")</f>
        <v>1.41811755312997</v>
      </c>
    </row>
    <row r="606" customFormat="false" ht="15" hidden="false" customHeight="false" outlineLevel="0" collapsed="false">
      <c r="A606" s="13" t="n">
        <v>46192.4810352894</v>
      </c>
      <c r="B606" s="8" t="n">
        <v>11</v>
      </c>
      <c r="C606" s="8" t="s">
        <v>84</v>
      </c>
      <c r="D606" s="8" t="s">
        <v>669</v>
      </c>
      <c r="E606" s="14" t="s">
        <v>66</v>
      </c>
      <c r="F606" s="9" t="n">
        <v>27372</v>
      </c>
      <c r="G606" s="9" t="n">
        <v>2101</v>
      </c>
      <c r="H606" s="9" t="n">
        <v>1137</v>
      </c>
      <c r="I606" s="9" t="n">
        <v>1627</v>
      </c>
      <c r="J606" s="9" t="n">
        <v>120</v>
      </c>
      <c r="K606" s="9" t="n">
        <v>90</v>
      </c>
      <c r="L606" s="9" t="n">
        <v>5</v>
      </c>
      <c r="M606" s="10" t="n">
        <f aca="false">IFERROR(G606/F606,"")</f>
        <v>0.0767572702031273</v>
      </c>
      <c r="N606" s="10" t="n">
        <f aca="false">IFERROR(H606/G606,"")</f>
        <v>0.541170871013803</v>
      </c>
      <c r="O606" s="11" t="n">
        <f aca="false">IFERROR(I606/H606,"")</f>
        <v>1.43095866314864</v>
      </c>
      <c r="P606" s="10" t="n">
        <f aca="false">IFERROR(J606/H606,"")</f>
        <v>0.105540897097625</v>
      </c>
      <c r="Q606" s="10" t="n">
        <f aca="false">IFERROR(K606/H606,"")</f>
        <v>0.079155672823219</v>
      </c>
      <c r="R606" s="10" t="n">
        <f aca="false">IFERROR(L606/H606,"")</f>
        <v>0.00439753737906772</v>
      </c>
      <c r="S606" s="11" t="n">
        <f aca="false">IFERROR(M606/MEDIAN(INDEX($M$5:$M$627,MATCH($A606-90,$A$5:$A$627,1)):INDEX($M$5:$M$627,MATCH($A606+90,$A$5:$A$627,1))),"")</f>
        <v>1.13566948268373</v>
      </c>
      <c r="T606" s="11" t="n">
        <f aca="false">IFERROR(N606/MEDIAN(INDEX($N$5:$N$627,MATCH($A606-90,$A$5:$A$627,1)):INDEX($N$5:$N$627,MATCH($A606+90,$A$5:$A$627,1))),"")</f>
        <v>1.04591096551522</v>
      </c>
      <c r="U606" s="11" t="n">
        <f aca="false">IFERROR(Q606/MEDIAN(INDEX($Q$5:$Q$627,MATCH($A606-90,$A$5:$A$627,1)):INDEX($Q$5:$Q$627,MATCH($A606+90,$A$5:$A$627,1))),"")</f>
        <v>2.45230363304242</v>
      </c>
    </row>
    <row r="607" customFormat="false" ht="15" hidden="false" customHeight="false" outlineLevel="0" collapsed="false">
      <c r="A607" s="13" t="n">
        <v>46195.4803837616</v>
      </c>
      <c r="B607" s="8" t="n">
        <v>11</v>
      </c>
      <c r="C607" s="8" t="s">
        <v>80</v>
      </c>
      <c r="D607" s="8" t="s">
        <v>670</v>
      </c>
      <c r="E607" s="14" t="s">
        <v>66</v>
      </c>
      <c r="F607" s="9" t="n">
        <v>172640</v>
      </c>
      <c r="G607" s="9" t="n">
        <v>2085</v>
      </c>
      <c r="H607" s="9" t="n">
        <v>322</v>
      </c>
      <c r="I607" s="9" t="n">
        <v>161</v>
      </c>
      <c r="J607" s="9" t="n">
        <v>29</v>
      </c>
      <c r="K607" s="9" t="n">
        <v>22</v>
      </c>
      <c r="L607" s="9" t="n">
        <v>7</v>
      </c>
      <c r="M607" s="10" t="n">
        <f aca="false">IFERROR(G607/F607,"")</f>
        <v>0.0120771547729379</v>
      </c>
      <c r="N607" s="10" t="n">
        <f aca="false">IFERROR(H607/G607,"")</f>
        <v>0.154436450839329</v>
      </c>
      <c r="O607" s="11" t="n">
        <f aca="false">IFERROR(I607/H607,"")</f>
        <v>0.5</v>
      </c>
      <c r="P607" s="10" t="n">
        <f aca="false">IFERROR(J607/H607,"")</f>
        <v>0.0900621118012422</v>
      </c>
      <c r="Q607" s="10" t="n">
        <f aca="false">IFERROR(K607/H607,"")</f>
        <v>0.0683229813664596</v>
      </c>
      <c r="R607" s="10" t="n">
        <f aca="false">IFERROR(L607/H607,"")</f>
        <v>0.0217391304347826</v>
      </c>
      <c r="S607" s="11" t="n">
        <f aca="false">IFERROR(M607/MEDIAN(INDEX($M$5:$M$627,MATCH($A607-90,$A$5:$A$627,1)):INDEX($M$5:$M$627,MATCH($A607+90,$A$5:$A$627,1))),"")</f>
        <v>0.175192455542283</v>
      </c>
      <c r="T607" s="11" t="n">
        <f aca="false">IFERROR(N607/MEDIAN(INDEX($N$5:$N$627,MATCH($A607-90,$A$5:$A$627,1)):INDEX($N$5:$N$627,MATCH($A607+90,$A$5:$A$627,1))),"")</f>
        <v>0.297858980143498</v>
      </c>
      <c r="U607" s="11" t="n">
        <f aca="false">IFERROR(Q607/MEDIAN(INDEX($Q$5:$Q$627,MATCH($A607-90,$A$5:$A$627,1)):INDEX($Q$5:$Q$627,MATCH($A607+90,$A$5:$A$627,1))),"")</f>
        <v>2.08806749140734</v>
      </c>
    </row>
    <row r="608" customFormat="false" ht="15" hidden="false" customHeight="false" outlineLevel="0" collapsed="false">
      <c r="A608" s="13" t="n">
        <v>46196.5775857639</v>
      </c>
      <c r="B608" s="8" t="n">
        <v>13</v>
      </c>
      <c r="C608" s="8" t="s">
        <v>64</v>
      </c>
      <c r="D608" s="8" t="s">
        <v>671</v>
      </c>
      <c r="E608" s="14" t="s">
        <v>66</v>
      </c>
      <c r="F608" s="9" t="n">
        <v>1375976</v>
      </c>
      <c r="G608" s="9" t="n">
        <v>110238</v>
      </c>
      <c r="H608" s="9" t="n">
        <v>46005</v>
      </c>
      <c r="I608" s="9" t="n">
        <v>36630</v>
      </c>
      <c r="J608" s="9" t="n">
        <v>728</v>
      </c>
      <c r="K608" s="9" t="n">
        <v>740</v>
      </c>
      <c r="L608" s="9" t="n">
        <v>298</v>
      </c>
      <c r="M608" s="10" t="n">
        <f aca="false">IFERROR(G608/F608,"")</f>
        <v>0.0801162229573772</v>
      </c>
      <c r="N608" s="10" t="n">
        <f aca="false">IFERROR(H608/G608,"")</f>
        <v>0.417324334621455</v>
      </c>
      <c r="O608" s="11" t="n">
        <f aca="false">IFERROR(I608/H608,"")</f>
        <v>0.796217802412781</v>
      </c>
      <c r="P608" s="10" t="n">
        <f aca="false">IFERROR(J608/H608,"")</f>
        <v>0.0158243669166395</v>
      </c>
      <c r="Q608" s="10" t="n">
        <f aca="false">IFERROR(K608/H608,"")</f>
        <v>0.0160852081295511</v>
      </c>
      <c r="R608" s="10" t="n">
        <f aca="false">IFERROR(L608/H608,"")</f>
        <v>0.00647755678730573</v>
      </c>
      <c r="S608" s="11" t="n">
        <f aca="false">IFERROR(M608/MEDIAN(INDEX($M$5:$M$627,MATCH($A608-90,$A$5:$A$627,1)):INDEX($M$5:$M$627,MATCH($A608+90,$A$5:$A$627,1))),"")</f>
        <v>1.16217421177104</v>
      </c>
      <c r="T608" s="11" t="n">
        <f aca="false">IFERROR(N608/MEDIAN(INDEX($N$5:$N$627,MATCH($A608-90,$A$5:$A$627,1)):INDEX($N$5:$N$627,MATCH($A608+90,$A$5:$A$627,1))),"")</f>
        <v>0.807620435164175</v>
      </c>
      <c r="U608" s="11" t="n">
        <f aca="false">IFERROR(Q608/MEDIAN(INDEX($Q$5:$Q$627,MATCH($A608-90,$A$5:$A$627,1)):INDEX($Q$5:$Q$627,MATCH($A608+90,$A$5:$A$627,1))),"")</f>
        <v>0.478841269801967</v>
      </c>
    </row>
    <row r="609" customFormat="false" ht="15" hidden="false" customHeight="false" outlineLevel="0" collapsed="false">
      <c r="A609" s="13" t="n">
        <v>46197.4786085995</v>
      </c>
      <c r="B609" s="8" t="n">
        <v>11</v>
      </c>
      <c r="C609" s="8" t="s">
        <v>71</v>
      </c>
      <c r="D609" s="8" t="s">
        <v>672</v>
      </c>
      <c r="E609" s="14" t="s">
        <v>66</v>
      </c>
      <c r="F609" s="9" t="n">
        <v>19159</v>
      </c>
      <c r="G609" s="9" t="n">
        <v>2812</v>
      </c>
      <c r="H609" s="9" t="n">
        <v>1323</v>
      </c>
      <c r="I609" s="9" t="n">
        <v>783</v>
      </c>
      <c r="J609" s="9" t="n">
        <v>105</v>
      </c>
      <c r="K609" s="9" t="n">
        <v>83</v>
      </c>
      <c r="L609" s="9" t="n">
        <v>3</v>
      </c>
      <c r="M609" s="10" t="n">
        <f aca="false">IFERROR(G609/F609,"")</f>
        <v>0.146771752179133</v>
      </c>
      <c r="N609" s="10" t="n">
        <f aca="false">IFERROR(H609/G609,"")</f>
        <v>0.470483641536273</v>
      </c>
      <c r="O609" s="11" t="n">
        <f aca="false">IFERROR(I609/H609,"")</f>
        <v>0.591836734693878</v>
      </c>
      <c r="P609" s="10" t="n">
        <f aca="false">IFERROR(J609/H609,"")</f>
        <v>0.0793650793650794</v>
      </c>
      <c r="Q609" s="10" t="n">
        <f aca="false">IFERROR(K609/H609,"")</f>
        <v>0.0627362055933485</v>
      </c>
      <c r="R609" s="10" t="n">
        <f aca="false">IFERROR(L609/H609,"")</f>
        <v>0.00226757369614512</v>
      </c>
      <c r="S609" s="11" t="n">
        <f aca="false">IFERROR(M609/MEDIAN(INDEX($M$5:$M$627,MATCH($A609-90,$A$5:$A$627,1)):INDEX($M$5:$M$627,MATCH($A609+90,$A$5:$A$627,1))),"")</f>
        <v>2.12908620879176</v>
      </c>
      <c r="T609" s="11" t="n">
        <f aca="false">IFERROR(N609/MEDIAN(INDEX($N$5:$N$627,MATCH($A609-90,$A$5:$A$627,1)):INDEX($N$5:$N$627,MATCH($A609+90,$A$5:$A$627,1))),"")</f>
        <v>0.910496158005772</v>
      </c>
      <c r="U609" s="11" t="n">
        <f aca="false">IFERROR(Q609/MEDIAN(INDEX($Q$5:$Q$627,MATCH($A609-90,$A$5:$A$627,1)):INDEX($Q$5:$Q$627,MATCH($A609+90,$A$5:$A$627,1))),"")</f>
        <v>1.86759686955412</v>
      </c>
    </row>
    <row r="610" customFormat="false" ht="15" hidden="false" customHeight="false" outlineLevel="0" collapsed="false">
      <c r="A610" s="13" t="n">
        <v>46199.2642728125</v>
      </c>
      <c r="B610" s="8" t="n">
        <v>6</v>
      </c>
      <c r="C610" s="8" t="s">
        <v>84</v>
      </c>
      <c r="D610" s="8" t="s">
        <v>673</v>
      </c>
      <c r="E610" s="14" t="s">
        <v>66</v>
      </c>
      <c r="F610" s="9" t="n">
        <v>6965</v>
      </c>
      <c r="G610" s="9" t="n">
        <v>515</v>
      </c>
      <c r="H610" s="9" t="n">
        <v>277</v>
      </c>
      <c r="I610" s="9" t="n">
        <v>127</v>
      </c>
      <c r="J610" s="9" t="n">
        <v>36</v>
      </c>
      <c r="K610" s="9" t="n">
        <v>73</v>
      </c>
      <c r="L610" s="9" t="n">
        <v>0</v>
      </c>
      <c r="M610" s="10" t="n">
        <f aca="false">IFERROR(G610/F610,"")</f>
        <v>0.0739411342426418</v>
      </c>
      <c r="N610" s="10" t="n">
        <f aca="false">IFERROR(H610/G610,"")</f>
        <v>0.537864077669903</v>
      </c>
      <c r="O610" s="11" t="n">
        <f aca="false">IFERROR(I610/H610,"")</f>
        <v>0.458483754512635</v>
      </c>
      <c r="P610" s="10" t="n">
        <f aca="false">IFERROR(J610/H610,"")</f>
        <v>0.129963898916968</v>
      </c>
      <c r="Q610" s="10" t="n">
        <f aca="false">IFERROR(K610/H610,"")</f>
        <v>0.263537906137184</v>
      </c>
      <c r="R610" s="10" t="n">
        <f aca="false">IFERROR(L610/H610,"")</f>
        <v>0</v>
      </c>
      <c r="S610" s="11" t="n">
        <f aca="false">IFERROR(M610/MEDIAN(INDEX($M$5:$M$627,MATCH($A610-90,$A$5:$A$627,1)):INDEX($M$5:$M$627,MATCH($A610+90,$A$5:$A$627,1))),"")</f>
        <v>1.04352700013572</v>
      </c>
      <c r="T610" s="11" t="n">
        <f aca="false">IFERROR(N610/MEDIAN(INDEX($N$5:$N$627,MATCH($A610-90,$A$5:$A$627,1)):INDEX($N$5:$N$627,MATCH($A610+90,$A$5:$A$627,1))),"")</f>
        <v>1.04089310023334</v>
      </c>
      <c r="U610" s="11" t="n">
        <f aca="false">IFERROR(Q610/MEDIAN(INDEX($Q$5:$Q$627,MATCH($A610-90,$A$5:$A$627,1)):INDEX($Q$5:$Q$627,MATCH($A610+90,$A$5:$A$627,1))),"")</f>
        <v>7.59034085662445</v>
      </c>
    </row>
    <row r="611" customFormat="false" ht="15" hidden="false" customHeight="false" outlineLevel="0" collapsed="false">
      <c r="A611" s="13" t="n">
        <v>46201.538771794</v>
      </c>
      <c r="B611" s="8" t="n">
        <v>12</v>
      </c>
      <c r="C611" s="8" t="s">
        <v>86</v>
      </c>
      <c r="D611" s="8" t="s">
        <v>674</v>
      </c>
      <c r="E611" s="14" t="s">
        <v>66</v>
      </c>
      <c r="F611" s="9" t="n">
        <v>176552</v>
      </c>
      <c r="G611" s="9" t="n">
        <v>1904</v>
      </c>
      <c r="H611" s="9" t="n">
        <v>891</v>
      </c>
      <c r="I611" s="9" t="n">
        <v>1005</v>
      </c>
      <c r="J611" s="9" t="n">
        <v>88</v>
      </c>
      <c r="K611" s="9" t="n">
        <v>52</v>
      </c>
      <c r="L611" s="9" t="n">
        <v>8</v>
      </c>
      <c r="M611" s="10" t="n">
        <f aca="false">IFERROR(G611/F611,"")</f>
        <v>0.0107843581494404</v>
      </c>
      <c r="N611" s="10" t="n">
        <f aca="false">IFERROR(H611/G611,"")</f>
        <v>0.46796218487395</v>
      </c>
      <c r="O611" s="11" t="n">
        <f aca="false">IFERROR(I611/H611,"")</f>
        <v>1.12794612794613</v>
      </c>
      <c r="P611" s="10" t="n">
        <f aca="false">IFERROR(J611/H611,"")</f>
        <v>0.0987654320987654</v>
      </c>
      <c r="Q611" s="10" t="n">
        <f aca="false">IFERROR(K611/H611,"")</f>
        <v>0.058361391694725</v>
      </c>
      <c r="R611" s="10" t="n">
        <f aca="false">IFERROR(L611/H611,"")</f>
        <v>0.00897867564534231</v>
      </c>
      <c r="S611" s="11" t="n">
        <f aca="false">IFERROR(M611/MEDIAN(INDEX($M$5:$M$627,MATCH($A611-90,$A$5:$A$627,1)):INDEX($M$5:$M$627,MATCH($A611+90,$A$5:$A$627,1))),"")</f>
        <v>0.156439014086452</v>
      </c>
      <c r="T611" s="11" t="n">
        <f aca="false">IFERROR(N611/MEDIAN(INDEX($N$5:$N$627,MATCH($A611-90,$A$5:$A$627,1)):INDEX($N$5:$N$627,MATCH($A611+90,$A$5:$A$627,1))),"")</f>
        <v>0.902550779785089</v>
      </c>
      <c r="U611" s="11" t="n">
        <f aca="false">IFERROR(Q611/MEDIAN(INDEX($Q$5:$Q$627,MATCH($A611-90,$A$5:$A$627,1)):INDEX($Q$5:$Q$627,MATCH($A611+90,$A$5:$A$627,1))),"")</f>
        <v>1.62649968676901</v>
      </c>
    </row>
    <row r="612" customFormat="false" ht="15" hidden="false" customHeight="false" outlineLevel="0" collapsed="false">
      <c r="A612" s="13" t="n">
        <v>46202.2095737153</v>
      </c>
      <c r="B612" s="8" t="n">
        <v>5</v>
      </c>
      <c r="C612" s="8" t="s">
        <v>80</v>
      </c>
      <c r="D612" s="8" t="s">
        <v>675</v>
      </c>
      <c r="E612" s="14" t="s">
        <v>66</v>
      </c>
      <c r="F612" s="9" t="n">
        <v>60259</v>
      </c>
      <c r="G612" s="9" t="n">
        <v>520</v>
      </c>
      <c r="H612" s="9" t="n">
        <v>117</v>
      </c>
      <c r="I612" s="9" t="n">
        <v>185</v>
      </c>
      <c r="J612" s="9" t="n">
        <v>24</v>
      </c>
      <c r="K612" s="9" t="n">
        <v>29</v>
      </c>
      <c r="L612" s="9" t="n">
        <v>4</v>
      </c>
      <c r="M612" s="10" t="n">
        <f aca="false">IFERROR(G612/F612,"")</f>
        <v>0.00862941635274399</v>
      </c>
      <c r="N612" s="10" t="n">
        <f aca="false">IFERROR(H612/G612,"")</f>
        <v>0.225</v>
      </c>
      <c r="O612" s="11" t="n">
        <f aca="false">IFERROR(I612/H612,"")</f>
        <v>1.58119658119658</v>
      </c>
      <c r="P612" s="10" t="n">
        <f aca="false">IFERROR(J612/H612,"")</f>
        <v>0.205128205128205</v>
      </c>
      <c r="Q612" s="10" t="n">
        <f aca="false">IFERROR(K612/H612,"")</f>
        <v>0.247863247863248</v>
      </c>
      <c r="R612" s="10" t="n">
        <f aca="false">IFERROR(L612/H612,"")</f>
        <v>0.0341880341880342</v>
      </c>
      <c r="S612" s="11" t="n">
        <f aca="false">IFERROR(M612/MEDIAN(INDEX($M$5:$M$627,MATCH($A612-90,$A$5:$A$627,1)):INDEX($M$5:$M$627,MATCH($A612+90,$A$5:$A$627,1))),"")</f>
        <v>0.125179205628925</v>
      </c>
      <c r="T612" s="11" t="n">
        <f aca="false">IFERROR(N612/MEDIAN(INDEX($N$5:$N$627,MATCH($A612-90,$A$5:$A$627,1)):INDEX($N$5:$N$627,MATCH($A612+90,$A$5:$A$627,1))),"")</f>
        <v>0.433953708260305</v>
      </c>
      <c r="U612" s="11" t="n">
        <f aca="false">IFERROR(Q612/MEDIAN(INDEX($Q$5:$Q$627,MATCH($A612-90,$A$5:$A$627,1)):INDEX($Q$5:$Q$627,MATCH($A612+90,$A$5:$A$627,1))),"")</f>
        <v>6.9078115395175</v>
      </c>
    </row>
    <row r="613" customFormat="false" ht="15" hidden="false" customHeight="false" outlineLevel="0" collapsed="false">
      <c r="A613" s="13" t="n">
        <v>46203.2620597222</v>
      </c>
      <c r="B613" s="8" t="n">
        <v>6</v>
      </c>
      <c r="C613" s="8" t="s">
        <v>64</v>
      </c>
      <c r="D613" s="8" t="s">
        <v>676</v>
      </c>
      <c r="E613" s="14" t="s">
        <v>66</v>
      </c>
      <c r="F613" s="9" t="n">
        <v>20006</v>
      </c>
      <c r="G613" s="9" t="n">
        <v>4457</v>
      </c>
      <c r="H613" s="9" t="n">
        <v>2728</v>
      </c>
      <c r="I613" s="9" t="n">
        <v>1533</v>
      </c>
      <c r="J613" s="9" t="n">
        <v>95</v>
      </c>
      <c r="K613" s="9" t="n">
        <v>48</v>
      </c>
      <c r="L613" s="9" t="n">
        <v>7</v>
      </c>
      <c r="M613" s="10" t="n">
        <f aca="false">IFERROR(G613/F613,"")</f>
        <v>0.222783165050485</v>
      </c>
      <c r="N613" s="10" t="n">
        <f aca="false">IFERROR(H613/G613,"")</f>
        <v>0.612070899708324</v>
      </c>
      <c r="O613" s="11" t="n">
        <f aca="false">IFERROR(I613/H613,"")</f>
        <v>0.561950146627566</v>
      </c>
      <c r="P613" s="10" t="n">
        <f aca="false">IFERROR(J613/H613,"")</f>
        <v>0.0348240469208211</v>
      </c>
      <c r="Q613" s="10" t="n">
        <f aca="false">IFERROR(K613/H613,"")</f>
        <v>0.0175953079178886</v>
      </c>
      <c r="R613" s="10" t="n">
        <f aca="false">IFERROR(L613/H613,"")</f>
        <v>0.00256598240469208</v>
      </c>
      <c r="S613" s="11" t="n">
        <f aca="false">IFERROR(M613/MEDIAN(INDEX($M$5:$M$627,MATCH($A613-90,$A$5:$A$627,1)):INDEX($M$5:$M$627,MATCH($A613+90,$A$5:$A$627,1))),"")</f>
        <v>3.14412607119302</v>
      </c>
      <c r="T613" s="11" t="n">
        <f aca="false">IFERROR(N613/MEDIAN(INDEX($N$5:$N$627,MATCH($A613-90,$A$5:$A$627,1)):INDEX($N$5:$N$627,MATCH($A613+90,$A$5:$A$627,1))),"")</f>
        <v>1.18049082954066</v>
      </c>
      <c r="U613" s="11" t="n">
        <f aca="false">IFERROR(Q613/MEDIAN(INDEX($Q$5:$Q$627,MATCH($A613-90,$A$5:$A$627,1)):INDEX($Q$5:$Q$627,MATCH($A613+90,$A$5:$A$627,1))),"")</f>
        <v>0.484969235094235</v>
      </c>
    </row>
    <row r="614" customFormat="false" ht="15" hidden="false" customHeight="false" outlineLevel="0" collapsed="false">
      <c r="A614" s="13" t="n">
        <v>46204.2528885648</v>
      </c>
      <c r="B614" s="8" t="n">
        <v>6</v>
      </c>
      <c r="C614" s="8" t="s">
        <v>71</v>
      </c>
      <c r="D614" s="8" t="s">
        <v>677</v>
      </c>
      <c r="E614" s="14" t="s">
        <v>66</v>
      </c>
      <c r="F614" s="9" t="n">
        <v>11252536</v>
      </c>
      <c r="G614" s="9" t="n">
        <v>1262546</v>
      </c>
      <c r="H614" s="9" t="n">
        <v>626654</v>
      </c>
      <c r="I614" s="9" t="n">
        <v>332613</v>
      </c>
      <c r="J614" s="9" t="n">
        <v>4822</v>
      </c>
      <c r="K614" s="9" t="n">
        <v>1904</v>
      </c>
      <c r="L614" s="9" t="n">
        <v>2502</v>
      </c>
      <c r="M614" s="10" t="n">
        <f aca="false">IFERROR(G614/F614,"")</f>
        <v>0.112201018508183</v>
      </c>
      <c r="N614" s="10" t="n">
        <f aca="false">IFERROR(H614/G614,"")</f>
        <v>0.496341519437708</v>
      </c>
      <c r="O614" s="11" t="n">
        <f aca="false">IFERROR(I614/H614,"")</f>
        <v>0.530776153986091</v>
      </c>
      <c r="P614" s="10" t="n">
        <f aca="false">IFERROR(J614/H614,"")</f>
        <v>0.00769483638499076</v>
      </c>
      <c r="Q614" s="10" t="n">
        <f aca="false">IFERROR(K614/H614,"")</f>
        <v>0.00303835928598557</v>
      </c>
      <c r="R614" s="10" t="n">
        <f aca="false">IFERROR(L614/H614,"")</f>
        <v>0.00399263389366381</v>
      </c>
      <c r="S614" s="11" t="n">
        <f aca="false">IFERROR(M614/MEDIAN(INDEX($M$5:$M$627,MATCH($A614-90,$A$5:$A$627,1)):INDEX($M$5:$M$627,MATCH($A614+90,$A$5:$A$627,1))),"")</f>
        <v>1.58348655934594</v>
      </c>
      <c r="T614" s="11" t="n">
        <f aca="false">IFERROR(N614/MEDIAN(INDEX($N$5:$N$627,MATCH($A614-90,$A$5:$A$627,1)):INDEX($N$5:$N$627,MATCH($A614+90,$A$5:$A$627,1))),"")</f>
        <v>0.957285524104656</v>
      </c>
      <c r="U614" s="11" t="n">
        <f aca="false">IFERROR(Q614/MEDIAN(INDEX($Q$5:$Q$627,MATCH($A614-90,$A$5:$A$627,1)):INDEX($Q$5:$Q$627,MATCH($A614+90,$A$5:$A$627,1))),"")</f>
        <v>0.0837445292655446</v>
      </c>
    </row>
    <row r="615" customFormat="false" ht="15" hidden="false" customHeight="false" outlineLevel="0" collapsed="false">
      <c r="A615" s="13" t="n">
        <v>46206.2560452894</v>
      </c>
      <c r="B615" s="8" t="n">
        <v>6</v>
      </c>
      <c r="C615" s="8" t="s">
        <v>84</v>
      </c>
      <c r="D615" s="8" t="s">
        <v>678</v>
      </c>
      <c r="E615" s="14" t="s">
        <v>66</v>
      </c>
      <c r="F615" s="9" t="n">
        <v>39778</v>
      </c>
      <c r="G615" s="9" t="n">
        <v>3843</v>
      </c>
      <c r="H615" s="9" t="n">
        <v>2214</v>
      </c>
      <c r="I615" s="9" t="n">
        <v>2947</v>
      </c>
      <c r="J615" s="9" t="n">
        <v>163</v>
      </c>
      <c r="K615" s="9" t="n">
        <v>120</v>
      </c>
      <c r="L615" s="9" t="n">
        <v>15</v>
      </c>
      <c r="M615" s="10" t="n">
        <f aca="false">IFERROR(G615/F615,"")</f>
        <v>0.0966111921162452</v>
      </c>
      <c r="N615" s="10" t="n">
        <f aca="false">IFERROR(H615/G615,"")</f>
        <v>0.576112412177986</v>
      </c>
      <c r="O615" s="11" t="n">
        <f aca="false">IFERROR(I615/H615,"")</f>
        <v>1.33107497741644</v>
      </c>
      <c r="P615" s="10" t="n">
        <f aca="false">IFERROR(J615/H615,"")</f>
        <v>0.0736224028906956</v>
      </c>
      <c r="Q615" s="10" t="n">
        <f aca="false">IFERROR(K615/H615,"")</f>
        <v>0.0542005420054201</v>
      </c>
      <c r="R615" s="10" t="n">
        <f aca="false">IFERROR(L615/H615,"")</f>
        <v>0.00677506775067751</v>
      </c>
      <c r="S615" s="11" t="n">
        <f aca="false">IFERROR(M615/MEDIAN(INDEX($M$5:$M$627,MATCH($A615-90,$A$5:$A$627,1)):INDEX($M$5:$M$627,MATCH($A615+90,$A$5:$A$627,1))),"")</f>
        <v>1.36346823079244</v>
      </c>
      <c r="T615" s="11" t="n">
        <f aca="false">IFERROR(N615/MEDIAN(INDEX($N$5:$N$627,MATCH($A615-90,$A$5:$A$627,1)):INDEX($N$5:$N$627,MATCH($A615+90,$A$5:$A$627,1))),"")</f>
        <v>1.10517257618231</v>
      </c>
      <c r="U615" s="11" t="n">
        <f aca="false">IFERROR(Q615/MEDIAN(INDEX($Q$5:$Q$627,MATCH($A615-90,$A$5:$A$627,1)):INDEX($Q$5:$Q$627,MATCH($A615+90,$A$5:$A$627,1))),"")</f>
        <v>1.43659350419124</v>
      </c>
    </row>
    <row r="616" customFormat="false" ht="15" hidden="false" customHeight="false" outlineLevel="0" collapsed="false">
      <c r="A616" s="13" t="n">
        <v>46209.2410175232</v>
      </c>
      <c r="B616" s="8" t="n">
        <v>5</v>
      </c>
      <c r="C616" s="8" t="s">
        <v>80</v>
      </c>
      <c r="D616" s="8" t="s">
        <v>679</v>
      </c>
      <c r="E616" s="14" t="s">
        <v>66</v>
      </c>
      <c r="F616" s="9" t="n">
        <v>71410</v>
      </c>
      <c r="G616" s="9" t="n">
        <v>658</v>
      </c>
      <c r="H616" s="9" t="n">
        <v>122</v>
      </c>
      <c r="I616" s="9" t="n">
        <v>177</v>
      </c>
      <c r="J616" s="9" t="n">
        <v>28</v>
      </c>
      <c r="K616" s="9" t="n">
        <v>23</v>
      </c>
      <c r="L616" s="9" t="n">
        <v>2</v>
      </c>
      <c r="M616" s="10" t="n">
        <f aca="false">IFERROR(G616/F616,"")</f>
        <v>0.00921439574289315</v>
      </c>
      <c r="N616" s="10" t="n">
        <f aca="false">IFERROR(H616/G616,"")</f>
        <v>0.185410334346505</v>
      </c>
      <c r="O616" s="11" t="n">
        <f aca="false">IFERROR(I616/H616,"")</f>
        <v>1.45081967213115</v>
      </c>
      <c r="P616" s="10" t="n">
        <f aca="false">IFERROR(J616/H616,"")</f>
        <v>0.229508196721311</v>
      </c>
      <c r="Q616" s="10" t="n">
        <f aca="false">IFERROR(K616/H616,"")</f>
        <v>0.188524590163934</v>
      </c>
      <c r="R616" s="10" t="n">
        <f aca="false">IFERROR(L616/H616,"")</f>
        <v>0.0163934426229508</v>
      </c>
      <c r="S616" s="11" t="n">
        <f aca="false">IFERROR(M616/MEDIAN(INDEX($M$5:$M$627,MATCH($A616-90,$A$5:$A$627,1)):INDEX($M$5:$M$627,MATCH($A616+90,$A$5:$A$627,1))),"")</f>
        <v>0.130042240305524</v>
      </c>
      <c r="T616" s="11" t="n">
        <f aca="false">IFERROR(N616/MEDIAN(INDEX($N$5:$N$627,MATCH($A616-90,$A$5:$A$627,1)):INDEX($N$5:$N$627,MATCH($A616+90,$A$5:$A$627,1))),"")</f>
        <v>0.353658273642472</v>
      </c>
      <c r="U616" s="11" t="n">
        <f aca="false">IFERROR(Q616/MEDIAN(INDEX($Q$5:$Q$627,MATCH($A616-90,$A$5:$A$627,1)):INDEX($Q$5:$Q$627,MATCH($A616+90,$A$5:$A$627,1))),"")</f>
        <v>4.63612526682254</v>
      </c>
    </row>
    <row r="617" customFormat="false" ht="15" hidden="false" customHeight="false" outlineLevel="0" collapsed="false">
      <c r="A617" s="13" t="n">
        <v>46210.524143912</v>
      </c>
      <c r="B617" s="8" t="n">
        <v>12</v>
      </c>
      <c r="C617" s="8" t="s">
        <v>64</v>
      </c>
      <c r="D617" s="8" t="s">
        <v>680</v>
      </c>
      <c r="E617" s="14" t="s">
        <v>66</v>
      </c>
      <c r="F617" s="9" t="n">
        <v>1617779</v>
      </c>
      <c r="G617" s="9" t="n">
        <v>106840</v>
      </c>
      <c r="H617" s="9" t="n">
        <v>62601</v>
      </c>
      <c r="I617" s="9" t="n">
        <v>55008</v>
      </c>
      <c r="J617" s="9" t="n">
        <v>1453</v>
      </c>
      <c r="K617" s="9" t="n">
        <v>770</v>
      </c>
      <c r="L617" s="9" t="n">
        <v>246</v>
      </c>
      <c r="M617" s="10" t="n">
        <f aca="false">IFERROR(G617/F617,"")</f>
        <v>0.0660411588974761</v>
      </c>
      <c r="N617" s="10" t="n">
        <f aca="false">IFERROR(H617/G617,"")</f>
        <v>0.585932235117933</v>
      </c>
      <c r="O617" s="11" t="n">
        <f aca="false">IFERROR(I617/H617,"")</f>
        <v>0.878708007859299</v>
      </c>
      <c r="P617" s="10" t="n">
        <f aca="false">IFERROR(J617/H617,"")</f>
        <v>0.0232104918451782</v>
      </c>
      <c r="Q617" s="10" t="n">
        <f aca="false">IFERROR(K617/H617,"")</f>
        <v>0.01230012300123</v>
      </c>
      <c r="R617" s="10" t="n">
        <f aca="false">IFERROR(L617/H617,"")</f>
        <v>0.00392964968610725</v>
      </c>
      <c r="S617" s="11" t="n">
        <f aca="false">IFERROR(M617/MEDIAN(INDEX($M$5:$M$627,MATCH($A617-90,$A$5:$A$627,1)):INDEX($M$5:$M$627,MATCH($A617+90,$A$5:$A$627,1))),"")</f>
        <v>0.932035099754068</v>
      </c>
      <c r="T617" s="11" t="n">
        <f aca="false">IFERROR(N617/MEDIAN(INDEX($N$5:$N$627,MATCH($A617-90,$A$5:$A$627,1)):INDEX($N$5:$N$627,MATCH($A617+90,$A$5:$A$627,1))),"")</f>
        <v>1.12131993504531</v>
      </c>
      <c r="U617" s="11" t="n">
        <f aca="false">IFERROR(Q617/MEDIAN(INDEX($Q$5:$Q$627,MATCH($A617-90,$A$5:$A$627,1)):INDEX($Q$5:$Q$627,MATCH($A617+90,$A$5:$A$627,1))),"")</f>
        <v>0.302479962860233</v>
      </c>
    </row>
    <row r="618" customFormat="false" ht="15" hidden="false" customHeight="false" outlineLevel="0" collapsed="false">
      <c r="A618" s="13" t="n">
        <v>46211.2505918634</v>
      </c>
      <c r="B618" s="8" t="n">
        <v>6</v>
      </c>
      <c r="C618" s="8" t="s">
        <v>71</v>
      </c>
      <c r="D618" s="8" t="s">
        <v>681</v>
      </c>
      <c r="E618" s="14" t="s">
        <v>66</v>
      </c>
      <c r="F618" s="9" t="n">
        <v>12169</v>
      </c>
      <c r="G618" s="9" t="n">
        <v>1168</v>
      </c>
      <c r="H618" s="9" t="n">
        <v>513</v>
      </c>
      <c r="I618" s="9" t="n">
        <v>534</v>
      </c>
      <c r="J618" s="9" t="n">
        <v>57</v>
      </c>
      <c r="K618" s="9" t="n">
        <v>110</v>
      </c>
      <c r="L618" s="9" t="n">
        <v>5</v>
      </c>
      <c r="M618" s="10" t="n">
        <f aca="false">IFERROR(G618/F618,"")</f>
        <v>0.0959815925712877</v>
      </c>
      <c r="N618" s="10" t="n">
        <f aca="false">IFERROR(H618/G618,"")</f>
        <v>0.439212328767123</v>
      </c>
      <c r="O618" s="11" t="n">
        <f aca="false">IFERROR(I618/H618,"")</f>
        <v>1.04093567251462</v>
      </c>
      <c r="P618" s="10" t="n">
        <f aca="false">IFERROR(J618/H618,"")</f>
        <v>0.111111111111111</v>
      </c>
      <c r="Q618" s="10" t="n">
        <f aca="false">IFERROR(K618/H618,"")</f>
        <v>0.214424951267057</v>
      </c>
      <c r="R618" s="10" t="n">
        <f aca="false">IFERROR(L618/H618,"")</f>
        <v>0.00974658869395711</v>
      </c>
      <c r="S618" s="11" t="n">
        <f aca="false">IFERROR(M618/MEDIAN(INDEX($M$5:$M$627,MATCH($A618-90,$A$5:$A$627,1)):INDEX($M$5:$M$627,MATCH($A618+90,$A$5:$A$627,1))),"")</f>
        <v>1.3545827284105</v>
      </c>
      <c r="T618" s="11" t="n">
        <f aca="false">IFERROR(N618/MEDIAN(INDEX($N$5:$N$627,MATCH($A618-90,$A$5:$A$627,1)):INDEX($N$5:$N$627,MATCH($A618+90,$A$5:$A$627,1))),"")</f>
        <v>0.840536687429604</v>
      </c>
      <c r="U618" s="11" t="n">
        <f aca="false">IFERROR(Q618/MEDIAN(INDEX($Q$5:$Q$627,MATCH($A618-90,$A$5:$A$627,1)):INDEX($Q$5:$Q$627,MATCH($A618+90,$A$5:$A$627,1))),"")</f>
        <v>5.27305713032955</v>
      </c>
    </row>
    <row r="619" customFormat="false" ht="15" hidden="false" customHeight="false" outlineLevel="0" collapsed="false">
      <c r="A619" s="13" t="n">
        <v>46213.2504295602</v>
      </c>
      <c r="B619" s="8" t="n">
        <v>6</v>
      </c>
      <c r="C619" s="8" t="s">
        <v>84</v>
      </c>
      <c r="D619" s="8" t="s">
        <v>682</v>
      </c>
      <c r="E619" s="14" t="s">
        <v>66</v>
      </c>
      <c r="F619" s="9" t="n">
        <v>17885</v>
      </c>
      <c r="G619" s="9" t="n">
        <v>1403</v>
      </c>
      <c r="H619" s="9" t="n">
        <v>646</v>
      </c>
      <c r="I619" s="9" t="n">
        <v>848</v>
      </c>
      <c r="J619" s="9" t="n">
        <v>79</v>
      </c>
      <c r="K619" s="9" t="n">
        <v>109</v>
      </c>
      <c r="L619" s="9" t="n">
        <v>2</v>
      </c>
      <c r="M619" s="10" t="n">
        <f aca="false">IFERROR(G619/F619,"")</f>
        <v>0.0784456248252726</v>
      </c>
      <c r="N619" s="10" t="n">
        <f aca="false">IFERROR(H619/G619,"")</f>
        <v>0.460441910192445</v>
      </c>
      <c r="O619" s="11" t="n">
        <f aca="false">IFERROR(I619/H619,"")</f>
        <v>1.31269349845201</v>
      </c>
      <c r="P619" s="10" t="n">
        <f aca="false">IFERROR(J619/H619,"")</f>
        <v>0.122291021671827</v>
      </c>
      <c r="Q619" s="10" t="n">
        <f aca="false">IFERROR(K619/H619,"")</f>
        <v>0.168730650154799</v>
      </c>
      <c r="R619" s="10" t="n">
        <f aca="false">IFERROR(L619/H619,"")</f>
        <v>0.00309597523219814</v>
      </c>
      <c r="S619" s="11" t="n">
        <f aca="false">IFERROR(M619/MEDIAN(INDEX($M$5:$M$627,MATCH($A619-90,$A$5:$A$627,1)):INDEX($M$5:$M$627,MATCH($A619+90,$A$5:$A$627,1))),"")</f>
        <v>1.1070986181935</v>
      </c>
      <c r="T619" s="11" t="n">
        <f aca="false">IFERROR(N619/MEDIAN(INDEX($N$5:$N$627,MATCH($A619-90,$A$5:$A$627,1)):INDEX($N$5:$N$627,MATCH($A619+90,$A$5:$A$627,1))),"")</f>
        <v>0.881164513376215</v>
      </c>
      <c r="U619" s="11" t="n">
        <f aca="false">IFERROR(Q619/MEDIAN(INDEX($Q$5:$Q$627,MATCH($A619-90,$A$5:$A$627,1)):INDEX($Q$5:$Q$627,MATCH($A619+90,$A$5:$A$627,1))),"")</f>
        <v>3.83055123920996</v>
      </c>
    </row>
    <row r="620" customFormat="false" ht="15" hidden="false" customHeight="false" outlineLevel="0" collapsed="false">
      <c r="A620" s="13" t="n">
        <v>46216.5158887963</v>
      </c>
      <c r="B620" s="8" t="n">
        <v>12</v>
      </c>
      <c r="C620" s="8" t="s">
        <v>80</v>
      </c>
      <c r="D620" s="8" t="s">
        <v>683</v>
      </c>
      <c r="E620" s="14" t="s">
        <v>66</v>
      </c>
      <c r="F620" s="9" t="n">
        <v>63774</v>
      </c>
      <c r="G620" s="9" t="n">
        <v>493</v>
      </c>
      <c r="H620" s="9" t="n">
        <v>77</v>
      </c>
      <c r="I620" s="9" t="n">
        <v>154</v>
      </c>
      <c r="J620" s="9" t="n">
        <v>21</v>
      </c>
      <c r="K620" s="9" t="n">
        <v>7</v>
      </c>
      <c r="L620" s="9" t="n">
        <v>9</v>
      </c>
      <c r="M620" s="10" t="n">
        <f aca="false">IFERROR(G620/F620,"")</f>
        <v>0.00773042305641798</v>
      </c>
      <c r="N620" s="10" t="n">
        <f aca="false">IFERROR(H620/G620,"")</f>
        <v>0.156186612576065</v>
      </c>
      <c r="O620" s="11" t="n">
        <f aca="false">IFERROR(I620/H620,"")</f>
        <v>2</v>
      </c>
      <c r="P620" s="10" t="n">
        <f aca="false">IFERROR(J620/H620,"")</f>
        <v>0.272727272727273</v>
      </c>
      <c r="Q620" s="10" t="n">
        <f aca="false">IFERROR(K620/H620,"")</f>
        <v>0.0909090909090909</v>
      </c>
      <c r="R620" s="10" t="n">
        <f aca="false">IFERROR(L620/H620,"")</f>
        <v>0.116883116883117</v>
      </c>
      <c r="S620" s="11" t="n">
        <f aca="false">IFERROR(M620/MEDIAN(INDEX($M$5:$M$627,MATCH($A620-90,$A$5:$A$627,1)):INDEX($M$5:$M$627,MATCH($A620+90,$A$5:$A$627,1))),"")</f>
        <v>0.109099018624354</v>
      </c>
      <c r="T620" s="11" t="n">
        <f aca="false">IFERROR(N620/MEDIAN(INDEX($N$5:$N$627,MATCH($A620-90,$A$5:$A$627,1)):INDEX($N$5:$N$627,MATCH($A620+90,$A$5:$A$627,1))),"")</f>
        <v>0.298814016808046</v>
      </c>
      <c r="U620" s="11" t="n">
        <f aca="false">IFERROR(Q620/MEDIAN(INDEX($Q$5:$Q$627,MATCH($A620-90,$A$5:$A$627,1)):INDEX($Q$5:$Q$627,MATCH($A620+90,$A$5:$A$627,1))),"")</f>
        <v>2.06383327817317</v>
      </c>
    </row>
    <row r="621" customFormat="false" ht="15" hidden="false" customHeight="false" outlineLevel="0" collapsed="false">
      <c r="A621" s="13" t="n">
        <v>46217.4816684607</v>
      </c>
      <c r="B621" s="8" t="n">
        <v>11</v>
      </c>
      <c r="C621" s="8" t="s">
        <v>64</v>
      </c>
      <c r="D621" s="8" t="s">
        <v>684</v>
      </c>
      <c r="E621" s="14" t="s">
        <v>66</v>
      </c>
      <c r="F621" s="9" t="n">
        <v>4751764</v>
      </c>
      <c r="G621" s="9" t="n">
        <v>587489</v>
      </c>
      <c r="H621" s="9" t="n">
        <v>349832</v>
      </c>
      <c r="I621" s="9" t="n">
        <v>276456</v>
      </c>
      <c r="J621" s="9" t="n">
        <v>3750</v>
      </c>
      <c r="K621" s="9" t="n">
        <v>2222</v>
      </c>
      <c r="L621" s="9" t="n">
        <v>1362</v>
      </c>
      <c r="M621" s="10" t="n">
        <f aca="false">IFERROR(G621/F621,"")</f>
        <v>0.123635980238076</v>
      </c>
      <c r="N621" s="10" t="n">
        <f aca="false">IFERROR(H621/G621,"")</f>
        <v>0.595469872627402</v>
      </c>
      <c r="O621" s="11" t="n">
        <f aca="false">IFERROR(I621/H621,"")</f>
        <v>0.79025360744586</v>
      </c>
      <c r="P621" s="10" t="n">
        <f aca="false">IFERROR(J621/H621,"")</f>
        <v>0.0107194310411855</v>
      </c>
      <c r="Q621" s="10" t="n">
        <f aca="false">IFERROR(K621/H621,"")</f>
        <v>0.00635162020627044</v>
      </c>
      <c r="R621" s="10" t="n">
        <f aca="false">IFERROR(L621/H621,"")</f>
        <v>0.00389329735415857</v>
      </c>
      <c r="S621" s="11" t="n">
        <f aca="false">IFERROR(M621/MEDIAN(INDEX($M$5:$M$627,MATCH($A621-90,$A$5:$A$627,1)):INDEX($M$5:$M$627,MATCH($A621+90,$A$5:$A$627,1))),"")</f>
        <v>1.7009868688557</v>
      </c>
      <c r="T621" s="11" t="n">
        <f aca="false">IFERROR(N621/MEDIAN(INDEX($N$5:$N$627,MATCH($A621-90,$A$5:$A$627,1)):INDEX($N$5:$N$627,MATCH($A621+90,$A$5:$A$627,1))),"")</f>
        <v>1.14158732189417</v>
      </c>
      <c r="U621" s="11" t="n">
        <f aca="false">IFERROR(Q621/MEDIAN(INDEX($Q$5:$Q$627,MATCH($A621-90,$A$5:$A$627,1)):INDEX($Q$5:$Q$627,MATCH($A621+90,$A$5:$A$627,1))),"")</f>
        <v>0.131082895492603</v>
      </c>
    </row>
    <row r="622" customFormat="false" ht="15" hidden="false" customHeight="false" outlineLevel="0" collapsed="false">
      <c r="A622" s="13" t="n">
        <v>46218.4445028704</v>
      </c>
      <c r="B622" s="8" t="n">
        <v>10</v>
      </c>
      <c r="C622" s="8" t="s">
        <v>71</v>
      </c>
      <c r="D622" s="8" t="s">
        <v>685</v>
      </c>
      <c r="E622" s="14" t="s">
        <v>66</v>
      </c>
      <c r="F622" s="9" t="n">
        <v>7812</v>
      </c>
      <c r="G622" s="9" t="n">
        <v>558</v>
      </c>
      <c r="H622" s="9" t="n">
        <v>281</v>
      </c>
      <c r="I622" s="9" t="n">
        <v>305</v>
      </c>
      <c r="J622" s="9" t="n">
        <v>49</v>
      </c>
      <c r="K622" s="9" t="n">
        <v>88</v>
      </c>
      <c r="L622" s="9" t="n">
        <v>0</v>
      </c>
      <c r="M622" s="10" t="n">
        <f aca="false">IFERROR(G622/F622,"")</f>
        <v>0.0714285714285714</v>
      </c>
      <c r="N622" s="10" t="n">
        <f aca="false">IFERROR(H622/G622,"")</f>
        <v>0.503584229390681</v>
      </c>
      <c r="O622" s="11" t="n">
        <f aca="false">IFERROR(I622/H622,"")</f>
        <v>1.08540925266904</v>
      </c>
      <c r="P622" s="10" t="n">
        <f aca="false">IFERROR(J622/H622,"")</f>
        <v>0.174377224199288</v>
      </c>
      <c r="Q622" s="10" t="n">
        <f aca="false">IFERROR(K622/H622,"")</f>
        <v>0.313167259786477</v>
      </c>
      <c r="R622" s="10" t="n">
        <f aca="false">IFERROR(L622/H622,"")</f>
        <v>0</v>
      </c>
      <c r="S622" s="11" t="n">
        <f aca="false">IFERROR(M622/MEDIAN(INDEX($M$5:$M$627,MATCH($A622-90,$A$5:$A$627,1)):INDEX($M$5:$M$627,MATCH($A622+90,$A$5:$A$627,1))),"")</f>
        <v>0.982716049382716</v>
      </c>
      <c r="T622" s="11" t="n">
        <f aca="false">IFERROR(N622/MEDIAN(INDEX($N$5:$N$627,MATCH($A622-90,$A$5:$A$627,1)):INDEX($N$5:$N$627,MATCH($A622+90,$A$5:$A$627,1))),"")</f>
        <v>0.965431499064211</v>
      </c>
      <c r="U622" s="11" t="n">
        <f aca="false">IFERROR(Q622/MEDIAN(INDEX($Q$5:$Q$627,MATCH($A622-90,$A$5:$A$627,1)):INDEX($Q$5:$Q$627,MATCH($A622+90,$A$5:$A$627,1))),"")</f>
        <v>6.463055071487</v>
      </c>
    </row>
    <row r="623" customFormat="false" ht="15" hidden="false" customHeight="false" outlineLevel="0" collapsed="false">
      <c r="A623" s="13" t="n">
        <v>46220.6103066898</v>
      </c>
      <c r="B623" s="8" t="n">
        <v>14</v>
      </c>
      <c r="C623" s="8" t="s">
        <v>84</v>
      </c>
      <c r="D623" s="8" t="s">
        <v>686</v>
      </c>
      <c r="E623" s="14" t="s">
        <v>66</v>
      </c>
      <c r="F623" s="9" t="n">
        <v>22724</v>
      </c>
      <c r="G623" s="9" t="n">
        <v>2139</v>
      </c>
      <c r="H623" s="9" t="n">
        <v>1258</v>
      </c>
      <c r="I623" s="9" t="n">
        <v>1465</v>
      </c>
      <c r="J623" s="9" t="n">
        <v>76</v>
      </c>
      <c r="K623" s="9" t="n">
        <v>67</v>
      </c>
      <c r="L623" s="9" t="n">
        <v>7</v>
      </c>
      <c r="M623" s="10" t="n">
        <f aca="false">IFERROR(G623/F623,"")</f>
        <v>0.0941295546558705</v>
      </c>
      <c r="N623" s="10" t="n">
        <f aca="false">IFERROR(H623/G623,"")</f>
        <v>0.588125292192613</v>
      </c>
      <c r="O623" s="11" t="n">
        <f aca="false">IFERROR(I623/H623,"")</f>
        <v>1.16454689984102</v>
      </c>
      <c r="P623" s="10" t="n">
        <f aca="false">IFERROR(J623/H623,"")</f>
        <v>0.0604133545310016</v>
      </c>
      <c r="Q623" s="10" t="n">
        <f aca="false">IFERROR(K623/H623,"")</f>
        <v>0.0532591414944356</v>
      </c>
      <c r="R623" s="10" t="n">
        <f aca="false">IFERROR(L623/H623,"")</f>
        <v>0.00556438791732909</v>
      </c>
      <c r="S623" s="11" t="n">
        <f aca="false">IFERROR(M623/MEDIAN(INDEX($M$5:$M$627,MATCH($A623-90,$A$5:$A$627,1)):INDEX($M$5:$M$627,MATCH($A623+90,$A$5:$A$627,1))),"")</f>
        <v>1.31781376518219</v>
      </c>
      <c r="T623" s="11" t="n">
        <f aca="false">IFERROR(N623/MEDIAN(INDEX($N$5:$N$627,MATCH($A623-90,$A$5:$A$627,1)):INDEX($N$5:$N$627,MATCH($A623+90,$A$5:$A$627,1))),"")</f>
        <v>1.11850104862869</v>
      </c>
      <c r="U623" s="11" t="n">
        <f aca="false">IFERROR(Q623/MEDIAN(INDEX($Q$5:$Q$627,MATCH($A623-90,$A$5:$A$627,1)):INDEX($Q$5:$Q$627,MATCH($A623+90,$A$5:$A$627,1))),"")</f>
        <v>1.18135799018152</v>
      </c>
    </row>
    <row r="624" customFormat="false" ht="15" hidden="false" customHeight="false" outlineLevel="0" collapsed="false">
      <c r="A624" s="13" t="n">
        <v>46223.4311687732</v>
      </c>
      <c r="B624" s="8" t="n">
        <v>10</v>
      </c>
      <c r="C624" s="8" t="s">
        <v>80</v>
      </c>
      <c r="D624" s="8" t="s">
        <v>687</v>
      </c>
      <c r="E624" s="14" t="s">
        <v>66</v>
      </c>
      <c r="F624" s="9" t="n">
        <v>29328</v>
      </c>
      <c r="G624" s="9" t="n">
        <v>281</v>
      </c>
      <c r="H624" s="9" t="n">
        <v>56</v>
      </c>
      <c r="I624" s="9" t="n">
        <v>102</v>
      </c>
      <c r="J624" s="9" t="n">
        <v>13</v>
      </c>
      <c r="K624" s="9" t="n">
        <v>11</v>
      </c>
      <c r="L624" s="9" t="n">
        <v>2</v>
      </c>
      <c r="M624" s="10" t="n">
        <f aca="false">IFERROR(G624/F624,"")</f>
        <v>0.00958128750681942</v>
      </c>
      <c r="N624" s="10" t="n">
        <f aca="false">IFERROR(H624/G624,"")</f>
        <v>0.199288256227758</v>
      </c>
      <c r="O624" s="11" t="n">
        <f aca="false">IFERROR(I624/H624,"")</f>
        <v>1.82142857142857</v>
      </c>
      <c r="P624" s="10" t="n">
        <f aca="false">IFERROR(J624/H624,"")</f>
        <v>0.232142857142857</v>
      </c>
      <c r="Q624" s="10" t="n">
        <f aca="false">IFERROR(K624/H624,"")</f>
        <v>0.196428571428571</v>
      </c>
      <c r="R624" s="10" t="n">
        <f aca="false">IFERROR(L624/H624,"")</f>
        <v>0.0357142857142857</v>
      </c>
      <c r="S624" s="11" t="n">
        <f aca="false">IFERROR(M624/MEDIAN(INDEX($M$5:$M$627,MATCH($A624-90,$A$5:$A$627,1)):INDEX($M$5:$M$627,MATCH($A624+90,$A$5:$A$627,1))),"")</f>
        <v>0.135220162793541</v>
      </c>
      <c r="T624" s="11" t="n">
        <f aca="false">IFERROR(N624/MEDIAN(INDEX($N$5:$N$627,MATCH($A624-90,$A$5:$A$627,1)):INDEX($N$5:$N$627,MATCH($A624+90,$A$5:$A$627,1))),"")</f>
        <v>0.378686332640324</v>
      </c>
      <c r="U624" s="11" t="n">
        <f aca="false">IFERROR(Q624/MEDIAN(INDEX($Q$5:$Q$627,MATCH($A624-90,$A$5:$A$627,1)):INDEX($Q$5:$Q$627,MATCH($A624+90,$A$5:$A$627,1))),"")</f>
        <v>4.05383588189252</v>
      </c>
    </row>
    <row r="625" customFormat="false" ht="15" hidden="false" customHeight="false" outlineLevel="0" collapsed="false">
      <c r="A625" s="13" t="n">
        <v>46224.4728685764</v>
      </c>
      <c r="B625" s="8" t="n">
        <v>11</v>
      </c>
      <c r="C625" s="8" t="s">
        <v>64</v>
      </c>
      <c r="D625" s="8" t="s">
        <v>688</v>
      </c>
      <c r="E625" s="14" t="s">
        <v>66</v>
      </c>
      <c r="F625" s="9" t="n">
        <v>14189</v>
      </c>
      <c r="G625" s="9" t="n">
        <v>1224</v>
      </c>
      <c r="H625" s="9" t="n">
        <v>854</v>
      </c>
      <c r="I625" s="9" t="n">
        <v>1178</v>
      </c>
      <c r="J625" s="9" t="n">
        <v>77</v>
      </c>
      <c r="K625" s="9" t="n">
        <v>94</v>
      </c>
      <c r="L625" s="9" t="n">
        <v>6</v>
      </c>
      <c r="M625" s="10" t="n">
        <f aca="false">IFERROR(G625/F625,"")</f>
        <v>0.0862640073296215</v>
      </c>
      <c r="N625" s="10" t="n">
        <f aca="false">IFERROR(H625/G625,"")</f>
        <v>0.697712418300654</v>
      </c>
      <c r="O625" s="11" t="n">
        <f aca="false">IFERROR(I625/H625,"")</f>
        <v>1.37939110070258</v>
      </c>
      <c r="P625" s="10" t="n">
        <f aca="false">IFERROR(J625/H625,"")</f>
        <v>0.0901639344262295</v>
      </c>
      <c r="Q625" s="10" t="n">
        <f aca="false">IFERROR(K625/H625,"")</f>
        <v>0.110070257611241</v>
      </c>
      <c r="R625" s="10" t="n">
        <f aca="false">IFERROR(L625/H625,"")</f>
        <v>0.00702576112412178</v>
      </c>
      <c r="S625" s="11" t="n">
        <f aca="false">IFERROR(M625/MEDIAN(INDEX($M$5:$M$627,MATCH($A625-90,$A$5:$A$627,1)):INDEX($M$5:$M$627,MATCH($A625+90,$A$5:$A$627,1))),"")</f>
        <v>1.18682234281642</v>
      </c>
      <c r="T625" s="11" t="n">
        <f aca="false">IFERROR(N625/MEDIAN(INDEX($N$5:$N$627,MATCH($A625-90,$A$5:$A$627,1)):INDEX($N$5:$N$627,MATCH($A625+90,$A$5:$A$627,1))),"")</f>
        <v>1.3257888945645</v>
      </c>
      <c r="U625" s="11" t="n">
        <f aca="false">IFERROR(Q625/MEDIAN(INDEX($Q$5:$Q$627,MATCH($A625-90,$A$5:$A$627,1)):INDEX($Q$5:$Q$627,MATCH($A625+90,$A$5:$A$627,1))),"")</f>
        <v>2.27159805006198</v>
      </c>
    </row>
    <row r="626" customFormat="false" ht="15" hidden="false" customHeight="false" outlineLevel="0" collapsed="false">
      <c r="A626" s="13" t="n">
        <v>46225.4080874306</v>
      </c>
      <c r="B626" s="8" t="n">
        <v>9</v>
      </c>
      <c r="C626" s="8" t="s">
        <v>71</v>
      </c>
      <c r="D626" s="8" t="s">
        <v>689</v>
      </c>
      <c r="E626" s="14" t="s">
        <v>66</v>
      </c>
      <c r="F626" s="9" t="n">
        <v>284675</v>
      </c>
      <c r="G626" s="9" t="n">
        <v>56313</v>
      </c>
      <c r="H626" s="9" t="n">
        <v>37523</v>
      </c>
      <c r="I626" s="9" t="n">
        <v>18959</v>
      </c>
      <c r="J626" s="9" t="n">
        <v>379</v>
      </c>
      <c r="K626" s="9" t="n">
        <v>361</v>
      </c>
      <c r="L626" s="9" t="n">
        <v>90</v>
      </c>
      <c r="M626" s="10" t="n">
        <f aca="false">IFERROR(G626/F626,"")</f>
        <v>0.197815052252569</v>
      </c>
      <c r="N626" s="10" t="n">
        <f aca="false">IFERROR(H626/G626,"")</f>
        <v>0.666329266776766</v>
      </c>
      <c r="O626" s="11" t="n">
        <f aca="false">IFERROR(I626/H626,"")</f>
        <v>0.505263438424433</v>
      </c>
      <c r="P626" s="10" t="n">
        <f aca="false">IFERROR(J626/H626,"")</f>
        <v>0.0101004717106841</v>
      </c>
      <c r="Q626" s="10" t="n">
        <f aca="false">IFERROR(K626/H626,"")</f>
        <v>0.00962076593022946</v>
      </c>
      <c r="R626" s="10" t="n">
        <f aca="false">IFERROR(L626/H626,"")</f>
        <v>0.00239852890227327</v>
      </c>
      <c r="S626" s="11" t="n">
        <f aca="false">IFERROR(M626/MEDIAN(INDEX($M$5:$M$627,MATCH($A626-90,$A$5:$A$627,1)):INDEX($M$5:$M$627,MATCH($A626+90,$A$5:$A$627,1))),"")</f>
        <v>2.72154437321312</v>
      </c>
      <c r="T626" s="11" t="n">
        <f aca="false">IFERROR(N626/MEDIAN(INDEX($N$5:$N$627,MATCH($A626-90,$A$5:$A$627,1)):INDEX($N$5:$N$627,MATCH($A626+90,$A$5:$A$627,1))),"")</f>
        <v>1.26615482087531</v>
      </c>
      <c r="U626" s="11" t="n">
        <f aca="false">IFERROR(Q626/MEDIAN(INDEX($Q$5:$Q$627,MATCH($A626-90,$A$5:$A$627,1)):INDEX($Q$5:$Q$627,MATCH($A626+90,$A$5:$A$627,1))),"")</f>
        <v>0.198550576708925</v>
      </c>
    </row>
    <row r="627" customFormat="false" ht="15" hidden="false" customHeight="false" outlineLevel="0" collapsed="false">
      <c r="A627" s="13" t="n">
        <v>46227.5716806366</v>
      </c>
      <c r="B627" s="8" t="n">
        <v>13</v>
      </c>
      <c r="C627" s="8" t="s">
        <v>84</v>
      </c>
      <c r="D627" s="8" t="s">
        <v>690</v>
      </c>
      <c r="E627" s="14" t="s">
        <v>66</v>
      </c>
      <c r="F627" s="9" t="n">
        <v>4285</v>
      </c>
      <c r="G627" s="9" t="n">
        <v>746</v>
      </c>
      <c r="H627" s="9" t="n">
        <v>432</v>
      </c>
      <c r="I627" s="9" t="n">
        <v>0</v>
      </c>
      <c r="J627" s="9" t="n">
        <v>60</v>
      </c>
      <c r="K627" s="9" t="n">
        <v>234</v>
      </c>
      <c r="L627" s="9" t="n">
        <v>0</v>
      </c>
      <c r="M627" s="10" t="n">
        <f aca="false">IFERROR(G627/F627,"")</f>
        <v>0.174095682613769</v>
      </c>
      <c r="N627" s="10" t="n">
        <f aca="false">IFERROR(H627/G627,"")</f>
        <v>0.579088471849866</v>
      </c>
      <c r="O627" s="11" t="n">
        <f aca="false">IFERROR(I627/H627,"")</f>
        <v>0</v>
      </c>
      <c r="P627" s="10" t="n">
        <f aca="false">IFERROR(J627/H627,"")</f>
        <v>0.138888888888889</v>
      </c>
      <c r="Q627" s="10" t="n">
        <f aca="false">IFERROR(K627/H627,"")</f>
        <v>0.541666666666667</v>
      </c>
      <c r="R627" s="10" t="n">
        <f aca="false">IFERROR(L627/H627,"")</f>
        <v>0</v>
      </c>
      <c r="S627" s="11" t="n">
        <f aca="false">IFERROR(M627/MEDIAN(INDEX($M$5:$M$627,MATCH($A627-90,$A$5:$A$627,1)):INDEX($M$5:$M$627,MATCH($A627+90,$A$5:$A$627,1))),"")</f>
        <v>2.43733955659277</v>
      </c>
      <c r="T627" s="11" t="n">
        <f aca="false">IFERROR(N627/MEDIAN(INDEX($N$5:$N$627,MATCH($A627-90,$A$5:$A$627,1)):INDEX($N$5:$N$627,MATCH($A627+90,$A$5:$A$627,1))),"")</f>
        <v>1.10131475658546</v>
      </c>
      <c r="U627" s="11" t="n">
        <f aca="false">IFERROR(Q627/MEDIAN(INDEX($Q$5:$Q$627,MATCH($A627-90,$A$5:$A$627,1)):INDEX($Q$5:$Q$627,MATCH($A627+90,$A$5:$A$627,1))),"")</f>
        <v>10.1703980099502</v>
      </c>
    </row>
  </sheetData>
  <autoFilter ref="A4:U627"/>
  <hyperlinks>
    <hyperlink ref="E5" r:id="rId1" display="ссылка"/>
    <hyperlink ref="E6" r:id="rId2" display="ссылка"/>
    <hyperlink ref="E7" r:id="rId3" display="ссылка"/>
    <hyperlink ref="E8" r:id="rId4" display="ссылка"/>
    <hyperlink ref="E9" r:id="rId5" display="ссылка"/>
    <hyperlink ref="E10" r:id="rId6" display="ссылка"/>
    <hyperlink ref="E11" r:id="rId7" display="ссылка"/>
    <hyperlink ref="E12" r:id="rId8" display="ссылка"/>
    <hyperlink ref="E13" r:id="rId9" display="ссылка"/>
    <hyperlink ref="E14" r:id="rId10" display="ссылка"/>
    <hyperlink ref="E15" r:id="rId11" display="ссылка"/>
    <hyperlink ref="E16" r:id="rId12" display="ссылка"/>
    <hyperlink ref="E17" r:id="rId13" display="ссылка"/>
    <hyperlink ref="E18" r:id="rId14" display="ссылка"/>
    <hyperlink ref="E19" r:id="rId15" display="ссылка"/>
    <hyperlink ref="E20" r:id="rId16" display="ссылка"/>
    <hyperlink ref="E21" r:id="rId17" display="ссылка"/>
    <hyperlink ref="E22" r:id="rId18" display="ссылка"/>
    <hyperlink ref="E23" r:id="rId19" display="ссылка"/>
    <hyperlink ref="E24" r:id="rId20" display="ссылка"/>
    <hyperlink ref="E25" r:id="rId21" display="ссылка"/>
    <hyperlink ref="E26" r:id="rId22" display="ссылка"/>
    <hyperlink ref="E27" r:id="rId23" display="ссылка"/>
    <hyperlink ref="E28" r:id="rId24" display="ссылка"/>
    <hyperlink ref="E29" r:id="rId25" display="ссылка"/>
    <hyperlink ref="E30" r:id="rId26" display="ссылка"/>
    <hyperlink ref="E31" r:id="rId27" display="ссылка"/>
    <hyperlink ref="E32" r:id="rId28" display="ссылка"/>
    <hyperlink ref="E33" r:id="rId29" display="ссылка"/>
    <hyperlink ref="E34" r:id="rId30" display="ссылка"/>
    <hyperlink ref="E35" r:id="rId31" display="ссылка"/>
    <hyperlink ref="E36" r:id="rId32" display="ссылка"/>
    <hyperlink ref="E37" r:id="rId33" display="ссылка"/>
    <hyperlink ref="E38" r:id="rId34" display="ссылка"/>
    <hyperlink ref="E39" r:id="rId35" display="ссылка"/>
    <hyperlink ref="E40" r:id="rId36" display="ссылка"/>
    <hyperlink ref="E41" r:id="rId37" display="ссылка"/>
    <hyperlink ref="E42" r:id="rId38" display="ссылка"/>
    <hyperlink ref="E43" r:id="rId39" display="ссылка"/>
    <hyperlink ref="E44" r:id="rId40" display="ссылка"/>
    <hyperlink ref="E45" r:id="rId41" display="ссылка"/>
    <hyperlink ref="E46" r:id="rId42" display="ссылка"/>
    <hyperlink ref="E47" r:id="rId43" display="ссылка"/>
    <hyperlink ref="E48" r:id="rId44" display="ссылка"/>
    <hyperlink ref="E49" r:id="rId45" display="ссылка"/>
    <hyperlink ref="E50" r:id="rId46" display="ссылка"/>
    <hyperlink ref="E51" r:id="rId47" display="ссылка"/>
    <hyperlink ref="E52" r:id="rId48" display="ссылка"/>
    <hyperlink ref="E53" r:id="rId49" display="ссылка"/>
    <hyperlink ref="E54" r:id="rId50" display="ссылка"/>
    <hyperlink ref="E55" r:id="rId51" display="ссылка"/>
    <hyperlink ref="E56" r:id="rId52" display="ссылка"/>
    <hyperlink ref="E57" r:id="rId53" display="ссылка"/>
    <hyperlink ref="E58" r:id="rId54" display="ссылка"/>
    <hyperlink ref="E59" r:id="rId55" display="ссылка"/>
    <hyperlink ref="E60" r:id="rId56" display="ссылка"/>
    <hyperlink ref="E61" r:id="rId57" display="ссылка"/>
    <hyperlink ref="E62" r:id="rId58" display="ссылка"/>
    <hyperlink ref="E63" r:id="rId59" display="ссылка"/>
    <hyperlink ref="E64" r:id="rId60" display="ссылка"/>
    <hyperlink ref="E65" r:id="rId61" display="ссылка"/>
    <hyperlink ref="E66" r:id="rId62" display="ссылка"/>
    <hyperlink ref="E67" r:id="rId63" display="ссылка"/>
    <hyperlink ref="E68" r:id="rId64" display="ссылка"/>
    <hyperlink ref="E69" r:id="rId65" display="ссылка"/>
    <hyperlink ref="E70" r:id="rId66" display="ссылка"/>
    <hyperlink ref="E71" r:id="rId67" display="ссылка"/>
    <hyperlink ref="E72" r:id="rId68" display="ссылка"/>
    <hyperlink ref="E73" r:id="rId69" display="ссылка"/>
    <hyperlink ref="E74" r:id="rId70" display="ссылка"/>
    <hyperlink ref="E75" r:id="rId71" display="ссылка"/>
    <hyperlink ref="E76" r:id="rId72" display="ссылка"/>
    <hyperlink ref="E77" r:id="rId73" display="ссылка"/>
    <hyperlink ref="E78" r:id="rId74" display="ссылка"/>
    <hyperlink ref="E79" r:id="rId75" display="ссылка"/>
    <hyperlink ref="E80" r:id="rId76" display="ссылка"/>
    <hyperlink ref="E81" r:id="rId77" display="ссылка"/>
    <hyperlink ref="E82" r:id="rId78" display="ссылка"/>
    <hyperlink ref="E83" r:id="rId79" display="ссылка"/>
    <hyperlink ref="E84" r:id="rId80" display="ссылка"/>
    <hyperlink ref="E85" r:id="rId81" display="ссылка"/>
    <hyperlink ref="E86" r:id="rId82" display="ссылка"/>
    <hyperlink ref="E87" r:id="rId83" display="ссылка"/>
    <hyperlink ref="E88" r:id="rId84" display="ссылка"/>
    <hyperlink ref="E89" r:id="rId85" display="ссылка"/>
    <hyperlink ref="E90" r:id="rId86" display="ссылка"/>
    <hyperlink ref="E91" r:id="rId87" display="ссылка"/>
    <hyperlink ref="E92" r:id="rId88" display="ссылка"/>
    <hyperlink ref="E93" r:id="rId89" display="ссылка"/>
    <hyperlink ref="E94" r:id="rId90" display="ссылка"/>
    <hyperlink ref="E95" r:id="rId91" display="ссылка"/>
    <hyperlink ref="E96" r:id="rId92" display="ссылка"/>
    <hyperlink ref="E97" r:id="rId93" display="ссылка"/>
    <hyperlink ref="E98" r:id="rId94" display="ссылка"/>
    <hyperlink ref="E99" r:id="rId95" display="ссылка"/>
    <hyperlink ref="E100" r:id="rId96" display="ссылка"/>
    <hyperlink ref="E101" r:id="rId97" display="ссылка"/>
    <hyperlink ref="E102" r:id="rId98" display="ссылка"/>
    <hyperlink ref="E103" r:id="rId99" display="ссылка"/>
    <hyperlink ref="E104" r:id="rId100" display="ссылка"/>
    <hyperlink ref="E105" r:id="rId101" display="ссылка"/>
    <hyperlink ref="E106" r:id="rId102" display="ссылка"/>
    <hyperlink ref="E107" r:id="rId103" display="ссылка"/>
    <hyperlink ref="E108" r:id="rId104" display="ссылка"/>
    <hyperlink ref="E109" r:id="rId105" display="ссылка"/>
    <hyperlink ref="E110" r:id="rId106" display="ссылка"/>
    <hyperlink ref="E111" r:id="rId107" display="ссылка"/>
    <hyperlink ref="E112" r:id="rId108" display="ссылка"/>
    <hyperlink ref="E113" r:id="rId109" display="ссылка"/>
    <hyperlink ref="E114" r:id="rId110" display="ссылка"/>
    <hyperlink ref="E115" r:id="rId111" display="ссылка"/>
    <hyperlink ref="E116" r:id="rId112" display="ссылка"/>
    <hyperlink ref="E117" r:id="rId113" display="ссылка"/>
    <hyperlink ref="E118" r:id="rId114" display="ссылка"/>
    <hyperlink ref="E119" r:id="rId115" display="ссылка"/>
    <hyperlink ref="E120" r:id="rId116" display="ссылка"/>
    <hyperlink ref="E121" r:id="rId117" display="ссылка"/>
    <hyperlink ref="E122" r:id="rId118" display="ссылка"/>
    <hyperlink ref="E123" r:id="rId119" display="ссылка"/>
    <hyperlink ref="E124" r:id="rId120" display="ссылка"/>
    <hyperlink ref="E125" r:id="rId121" display="ссылка"/>
    <hyperlink ref="E126" r:id="rId122" display="ссылка"/>
    <hyperlink ref="E127" r:id="rId123" display="ссылка"/>
    <hyperlink ref="E128" r:id="rId124" display="ссылка"/>
    <hyperlink ref="E129" r:id="rId125" display="ссылка"/>
    <hyperlink ref="E130" r:id="rId126" display="ссылка"/>
    <hyperlink ref="E131" r:id="rId127" display="ссылка"/>
    <hyperlink ref="E132" r:id="rId128" display="ссылка"/>
    <hyperlink ref="E133" r:id="rId129" display="ссылка"/>
    <hyperlink ref="E134" r:id="rId130" display="ссылка"/>
    <hyperlink ref="E135" r:id="rId131" display="ссылка"/>
    <hyperlink ref="E136" r:id="rId132" display="ссылка"/>
    <hyperlink ref="E137" r:id="rId133" display="ссылка"/>
    <hyperlink ref="E138" r:id="rId134" display="ссылка"/>
    <hyperlink ref="E139" r:id="rId135" display="ссылка"/>
    <hyperlink ref="E140" r:id="rId136" display="ссылка"/>
    <hyperlink ref="E141" r:id="rId137" display="ссылка"/>
    <hyperlink ref="E142" r:id="rId138" display="ссылка"/>
    <hyperlink ref="E143" r:id="rId139" display="ссылка"/>
    <hyperlink ref="E144" r:id="rId140" display="ссылка"/>
    <hyperlink ref="E145" r:id="rId141" display="ссылка"/>
    <hyperlink ref="E146" r:id="rId142" display="ссылка"/>
    <hyperlink ref="E147" r:id="rId143" display="ссылка"/>
    <hyperlink ref="E148" r:id="rId144" display="ссылка"/>
    <hyperlink ref="E149" r:id="rId145" display="ссылка"/>
    <hyperlink ref="E150" r:id="rId146" display="ссылка"/>
    <hyperlink ref="E151" r:id="rId147" display="ссылка"/>
    <hyperlink ref="E152" r:id="rId148" display="ссылка"/>
    <hyperlink ref="E153" r:id="rId149" display="ссылка"/>
    <hyperlink ref="E154" r:id="rId150" display="ссылка"/>
    <hyperlink ref="E155" r:id="rId151" display="ссылка"/>
    <hyperlink ref="E156" r:id="rId152" display="ссылка"/>
    <hyperlink ref="E157" r:id="rId153" display="ссылка"/>
    <hyperlink ref="E158" r:id="rId154" display="ссылка"/>
    <hyperlink ref="E159" r:id="rId155" display="ссылка"/>
    <hyperlink ref="E160" r:id="rId156" display="ссылка"/>
    <hyperlink ref="E161" r:id="rId157" display="ссылка"/>
    <hyperlink ref="E162" r:id="rId158" display="ссылка"/>
    <hyperlink ref="E163" r:id="rId159" display="ссылка"/>
    <hyperlink ref="E164" r:id="rId160" display="ссылка"/>
    <hyperlink ref="E165" r:id="rId161" display="ссылка"/>
    <hyperlink ref="E166" r:id="rId162" display="ссылка"/>
    <hyperlink ref="E167" r:id="rId163" display="ссылка"/>
    <hyperlink ref="E168" r:id="rId164" display="ссылка"/>
    <hyperlink ref="E169" r:id="rId165" display="ссылка"/>
    <hyperlink ref="E170" r:id="rId166" display="ссылка"/>
    <hyperlink ref="E171" r:id="rId167" display="ссылка"/>
    <hyperlink ref="E172" r:id="rId168" display="ссылка"/>
    <hyperlink ref="E173" r:id="rId169" display="ссылка"/>
    <hyperlink ref="E174" r:id="rId170" display="ссылка"/>
    <hyperlink ref="E175" r:id="rId171" display="ссылка"/>
    <hyperlink ref="E176" r:id="rId172" display="ссылка"/>
    <hyperlink ref="E177" r:id="rId173" display="ссылка"/>
    <hyperlink ref="E178" r:id="rId174" display="ссылка"/>
    <hyperlink ref="E179" r:id="rId175" display="ссылка"/>
    <hyperlink ref="E180" r:id="rId176" display="ссылка"/>
    <hyperlink ref="E181" r:id="rId177" display="ссылка"/>
    <hyperlink ref="E182" r:id="rId178" display="ссылка"/>
    <hyperlink ref="E183" r:id="rId179" display="ссылка"/>
    <hyperlink ref="E184" r:id="rId180" display="ссылка"/>
    <hyperlink ref="E185" r:id="rId181" display="ссылка"/>
    <hyperlink ref="E186" r:id="rId182" display="ссылка"/>
    <hyperlink ref="E187" r:id="rId183" display="ссылка"/>
    <hyperlink ref="E188" r:id="rId184" display="ссылка"/>
    <hyperlink ref="E189" r:id="rId185" display="ссылка"/>
    <hyperlink ref="E190" r:id="rId186" display="ссылка"/>
    <hyperlink ref="E191" r:id="rId187" display="ссылка"/>
    <hyperlink ref="E192" r:id="rId188" display="ссылка"/>
    <hyperlink ref="E193" r:id="rId189" display="ссылка"/>
    <hyperlink ref="E194" r:id="rId190" display="ссылка"/>
    <hyperlink ref="E195" r:id="rId191" display="ссылка"/>
    <hyperlink ref="E196" r:id="rId192" display="ссылка"/>
    <hyperlink ref="E197" r:id="rId193" display="ссылка"/>
    <hyperlink ref="E198" r:id="rId194" display="ссылка"/>
    <hyperlink ref="E199" r:id="rId195" display="ссылка"/>
    <hyperlink ref="E200" r:id="rId196" display="ссылка"/>
    <hyperlink ref="E201" r:id="rId197" display="ссылка"/>
    <hyperlink ref="E202" r:id="rId198" display="ссылка"/>
    <hyperlink ref="E203" r:id="rId199" display="ссылка"/>
    <hyperlink ref="E204" r:id="rId200" display="ссылка"/>
    <hyperlink ref="E205" r:id="rId201" display="ссылка"/>
    <hyperlink ref="E206" r:id="rId202" display="ссылка"/>
    <hyperlink ref="E207" r:id="rId203" display="ссылка"/>
    <hyperlink ref="E208" r:id="rId204" display="ссылка"/>
    <hyperlink ref="E209" r:id="rId205" display="ссылка"/>
    <hyperlink ref="E210" r:id="rId206" display="ссылка"/>
    <hyperlink ref="E211" r:id="rId207" display="ссылка"/>
    <hyperlink ref="E212" r:id="rId208" display="ссылка"/>
    <hyperlink ref="E213" r:id="rId209" display="ссылка"/>
    <hyperlink ref="E214" r:id="rId210" display="ссылка"/>
    <hyperlink ref="E215" r:id="rId211" display="ссылка"/>
    <hyperlink ref="E216" r:id="rId212" display="ссылка"/>
    <hyperlink ref="E217" r:id="rId213" display="ссылка"/>
    <hyperlink ref="E218" r:id="rId214" display="ссылка"/>
    <hyperlink ref="E219" r:id="rId215" display="ссылка"/>
    <hyperlink ref="E220" r:id="rId216" display="ссылка"/>
    <hyperlink ref="E221" r:id="rId217" display="ссылка"/>
    <hyperlink ref="E222" r:id="rId218" display="ссылка"/>
    <hyperlink ref="E223" r:id="rId219" display="ссылка"/>
    <hyperlink ref="E224" r:id="rId220" display="ссылка"/>
    <hyperlink ref="E225" r:id="rId221" display="ссылка"/>
    <hyperlink ref="E226" r:id="rId222" display="ссылка"/>
    <hyperlink ref="E227" r:id="rId223" display="ссылка"/>
    <hyperlink ref="E228" r:id="rId224" display="ссылка"/>
    <hyperlink ref="E229" r:id="rId225" display="ссылка"/>
    <hyperlink ref="E230" r:id="rId226" display="ссылка"/>
    <hyperlink ref="E231" r:id="rId227" display="ссылка"/>
    <hyperlink ref="E232" r:id="rId228" display="ссылка"/>
    <hyperlink ref="E233" r:id="rId229" display="ссылка"/>
    <hyperlink ref="E234" r:id="rId230" display="ссылка"/>
    <hyperlink ref="E235" r:id="rId231" display="ссылка"/>
    <hyperlink ref="E236" r:id="rId232" display="ссылка"/>
    <hyperlink ref="E237" r:id="rId233" display="ссылка"/>
    <hyperlink ref="E238" r:id="rId234" display="ссылка"/>
    <hyperlink ref="E239" r:id="rId235" display="ссылка"/>
    <hyperlink ref="E240" r:id="rId236" display="ссылка"/>
    <hyperlink ref="E241" r:id="rId237" display="ссылка"/>
    <hyperlink ref="E242" r:id="rId238" display="ссылка"/>
    <hyperlink ref="E243" r:id="rId239" display="ссылка"/>
    <hyperlink ref="E244" r:id="rId240" display="ссылка"/>
    <hyperlink ref="E245" r:id="rId241" display="ссылка"/>
    <hyperlink ref="E246" r:id="rId242" display="ссылка"/>
    <hyperlink ref="E247" r:id="rId243" display="ссылка"/>
    <hyperlink ref="E248" r:id="rId244" display="ссылка"/>
    <hyperlink ref="E249" r:id="rId245" display="ссылка"/>
    <hyperlink ref="E250" r:id="rId246" display="ссылка"/>
    <hyperlink ref="E251" r:id="rId247" display="ссылка"/>
    <hyperlink ref="E252" r:id="rId248" display="ссылка"/>
    <hyperlink ref="E253" r:id="rId249" display="ссылка"/>
    <hyperlink ref="E254" r:id="rId250" display="ссылка"/>
    <hyperlink ref="E255" r:id="rId251" display="ссылка"/>
    <hyperlink ref="E256" r:id="rId252" display="ссылка"/>
    <hyperlink ref="E257" r:id="rId253" display="ссылка"/>
    <hyperlink ref="E258" r:id="rId254" display="ссылка"/>
    <hyperlink ref="E259" r:id="rId255" display="ссылка"/>
    <hyperlink ref="E260" r:id="rId256" display="ссылка"/>
    <hyperlink ref="E261" r:id="rId257" display="ссылка"/>
    <hyperlink ref="E262" r:id="rId258" display="ссылка"/>
    <hyperlink ref="E263" r:id="rId259" display="ссылка"/>
    <hyperlink ref="E264" r:id="rId260" display="ссылка"/>
    <hyperlink ref="E265" r:id="rId261" display="ссылка"/>
    <hyperlink ref="E266" r:id="rId262" display="ссылка"/>
    <hyperlink ref="E267" r:id="rId263" display="ссылка"/>
    <hyperlink ref="E268" r:id="rId264" display="ссылка"/>
    <hyperlink ref="E269" r:id="rId265" display="ссылка"/>
    <hyperlink ref="E270" r:id="rId266" display="ссылка"/>
    <hyperlink ref="E271" r:id="rId267" display="ссылка"/>
    <hyperlink ref="E272" r:id="rId268" display="ссылка"/>
    <hyperlink ref="E273" r:id="rId269" display="ссылка"/>
    <hyperlink ref="E274" r:id="rId270" display="ссылка"/>
    <hyperlink ref="E275" r:id="rId271" display="ссылка"/>
    <hyperlink ref="E276" r:id="rId272" display="ссылка"/>
    <hyperlink ref="E277" r:id="rId273" display="ссылка"/>
    <hyperlink ref="E278" r:id="rId274" display="ссылка"/>
    <hyperlink ref="E279" r:id="rId275" display="ссылка"/>
    <hyperlink ref="E280" r:id="rId276" display="ссылка"/>
    <hyperlink ref="E281" r:id="rId277" display="ссылка"/>
    <hyperlink ref="E282" r:id="rId278" display="ссылка"/>
    <hyperlink ref="E283" r:id="rId279" display="ссылка"/>
    <hyperlink ref="E284" r:id="rId280" display="ссылка"/>
    <hyperlink ref="E285" r:id="rId281" display="ссылка"/>
    <hyperlink ref="E286" r:id="rId282" display="ссылка"/>
    <hyperlink ref="E287" r:id="rId283" display="ссылка"/>
    <hyperlink ref="E288" r:id="rId284" display="ссылка"/>
    <hyperlink ref="E289" r:id="rId285" display="ссылка"/>
    <hyperlink ref="E290" r:id="rId286" display="ссылка"/>
    <hyperlink ref="E291" r:id="rId287" display="ссылка"/>
    <hyperlink ref="E292" r:id="rId288" display="ссылка"/>
    <hyperlink ref="E293" r:id="rId289" display="ссылка"/>
    <hyperlink ref="E294" r:id="rId290" display="ссылка"/>
    <hyperlink ref="E295" r:id="rId291" display="ссылка"/>
    <hyperlink ref="E296" r:id="rId292" display="ссылка"/>
    <hyperlink ref="E297" r:id="rId293" display="ссылка"/>
    <hyperlink ref="E298" r:id="rId294" display="ссылка"/>
    <hyperlink ref="E299" r:id="rId295" display="ссылка"/>
    <hyperlink ref="E300" r:id="rId296" display="ссылка"/>
    <hyperlink ref="E301" r:id="rId297" display="ссылка"/>
    <hyperlink ref="E302" r:id="rId298" display="ссылка"/>
    <hyperlink ref="E303" r:id="rId299" display="ссылка"/>
    <hyperlink ref="E304" r:id="rId300" display="ссылка"/>
    <hyperlink ref="E305" r:id="rId301" display="ссылка"/>
    <hyperlink ref="E306" r:id="rId302" display="ссылка"/>
    <hyperlink ref="E307" r:id="rId303" display="ссылка"/>
    <hyperlink ref="E308" r:id="rId304" display="ссылка"/>
    <hyperlink ref="E309" r:id="rId305" display="ссылка"/>
    <hyperlink ref="E310" r:id="rId306" display="ссылка"/>
    <hyperlink ref="E311" r:id="rId307" display="ссылка"/>
    <hyperlink ref="E312" r:id="rId308" display="ссылка"/>
    <hyperlink ref="E313" r:id="rId309" display="ссылка"/>
    <hyperlink ref="E314" r:id="rId310" display="ссылка"/>
    <hyperlink ref="E315" r:id="rId311" display="ссылка"/>
    <hyperlink ref="E316" r:id="rId312" display="ссылка"/>
    <hyperlink ref="E317" r:id="rId313" display="ссылка"/>
    <hyperlink ref="E318" r:id="rId314" display="ссылка"/>
    <hyperlink ref="E319" r:id="rId315" display="ссылка"/>
    <hyperlink ref="E320" r:id="rId316" display="ссылка"/>
    <hyperlink ref="E321" r:id="rId317" display="ссылка"/>
    <hyperlink ref="E322" r:id="rId318" display="ссылка"/>
    <hyperlink ref="E323" r:id="rId319" display="ссылка"/>
    <hyperlink ref="E324" r:id="rId320" display="ссылка"/>
    <hyperlink ref="E325" r:id="rId321" display="ссылка"/>
    <hyperlink ref="E326" r:id="rId322" display="ссылка"/>
    <hyperlink ref="E327" r:id="rId323" display="ссылка"/>
    <hyperlink ref="E328" r:id="rId324" display="ссылка"/>
    <hyperlink ref="E329" r:id="rId325" display="ссылка"/>
    <hyperlink ref="E330" r:id="rId326" display="ссылка"/>
    <hyperlink ref="E331" r:id="rId327" display="ссылка"/>
    <hyperlink ref="E332" r:id="rId328" display="ссылка"/>
    <hyperlink ref="E333" r:id="rId329" display="ссылка"/>
    <hyperlink ref="E334" r:id="rId330" display="ссылка"/>
    <hyperlink ref="E335" r:id="rId331" display="ссылка"/>
    <hyperlink ref="E336" r:id="rId332" display="ссылка"/>
    <hyperlink ref="E337" r:id="rId333" display="ссылка"/>
    <hyperlink ref="E338" r:id="rId334" display="ссылка"/>
    <hyperlink ref="E339" r:id="rId335" display="ссылка"/>
    <hyperlink ref="E340" r:id="rId336" display="ссылка"/>
    <hyperlink ref="E341" r:id="rId337" display="ссылка"/>
    <hyperlink ref="E342" r:id="rId338" display="ссылка"/>
    <hyperlink ref="E343" r:id="rId339" display="ссылка"/>
    <hyperlink ref="E344" r:id="rId340" display="ссылка"/>
    <hyperlink ref="E345" r:id="rId341" display="ссылка"/>
    <hyperlink ref="E346" r:id="rId342" display="ссылка"/>
    <hyperlink ref="E347" r:id="rId343" display="ссылка"/>
    <hyperlink ref="E348" r:id="rId344" display="ссылка"/>
    <hyperlink ref="E349" r:id="rId345" display="ссылка"/>
    <hyperlink ref="E350" r:id="rId346" display="ссылка"/>
    <hyperlink ref="E351" r:id="rId347" display="ссылка"/>
    <hyperlink ref="E352" r:id="rId348" display="ссылка"/>
    <hyperlink ref="E353" r:id="rId349" display="ссылка"/>
    <hyperlink ref="E354" r:id="rId350" display="ссылка"/>
    <hyperlink ref="E355" r:id="rId351" display="ссылка"/>
    <hyperlink ref="E356" r:id="rId352" display="ссылка"/>
    <hyperlink ref="E357" r:id="rId353" display="ссылка"/>
    <hyperlink ref="E358" r:id="rId354" display="ссылка"/>
    <hyperlink ref="E359" r:id="rId355" display="ссылка"/>
    <hyperlink ref="E360" r:id="rId356" display="ссылка"/>
    <hyperlink ref="E361" r:id="rId357" display="ссылка"/>
    <hyperlink ref="E362" r:id="rId358" display="ссылка"/>
    <hyperlink ref="E363" r:id="rId359" display="ссылка"/>
    <hyperlink ref="E364" r:id="rId360" display="ссылка"/>
    <hyperlink ref="E365" r:id="rId361" display="ссылка"/>
    <hyperlink ref="E366" r:id="rId362" display="ссылка"/>
    <hyperlink ref="E367" r:id="rId363" display="ссылка"/>
    <hyperlink ref="E368" r:id="rId364" display="ссылка"/>
    <hyperlink ref="E369" r:id="rId365" display="ссылка"/>
    <hyperlink ref="E370" r:id="rId366" display="ссылка"/>
    <hyperlink ref="E371" r:id="rId367" display="ссылка"/>
    <hyperlink ref="E372" r:id="rId368" display="ссылка"/>
    <hyperlink ref="E373" r:id="rId369" display="ссылка"/>
    <hyperlink ref="E374" r:id="rId370" display="ссылка"/>
    <hyperlink ref="E375" r:id="rId371" display="ссылка"/>
    <hyperlink ref="E376" r:id="rId372" display="ссылка"/>
    <hyperlink ref="E377" r:id="rId373" display="ссылка"/>
    <hyperlink ref="E378" r:id="rId374" display="ссылка"/>
    <hyperlink ref="E379" r:id="rId375" display="ссылка"/>
    <hyperlink ref="E380" r:id="rId376" display="ссылка"/>
    <hyperlink ref="E381" r:id="rId377" display="ссылка"/>
    <hyperlink ref="E382" r:id="rId378" display="ссылка"/>
    <hyperlink ref="E383" r:id="rId379" display="ссылка"/>
    <hyperlink ref="E384" r:id="rId380" display="ссылка"/>
    <hyperlink ref="E385" r:id="rId381" display="ссылка"/>
    <hyperlink ref="E386" r:id="rId382" display="ссылка"/>
    <hyperlink ref="E387" r:id="rId383" display="ссылка"/>
    <hyperlink ref="E388" r:id="rId384" display="ссылка"/>
    <hyperlink ref="E389" r:id="rId385" display="ссылка"/>
    <hyperlink ref="E390" r:id="rId386" display="ссылка"/>
    <hyperlink ref="E391" r:id="rId387" display="ссылка"/>
    <hyperlink ref="E392" r:id="rId388" display="ссылка"/>
    <hyperlink ref="E393" r:id="rId389" display="ссылка"/>
    <hyperlink ref="E394" r:id="rId390" display="ссылка"/>
    <hyperlink ref="E395" r:id="rId391" display="ссылка"/>
    <hyperlink ref="E396" r:id="rId392" display="ссылка"/>
    <hyperlink ref="E397" r:id="rId393" display="ссылка"/>
    <hyperlink ref="E398" r:id="rId394" display="ссылка"/>
    <hyperlink ref="E399" r:id="rId395" display="ссылка"/>
    <hyperlink ref="E400" r:id="rId396" display="ссылка"/>
    <hyperlink ref="E401" r:id="rId397" display="ссылка"/>
    <hyperlink ref="E402" r:id="rId398" display="ссылка"/>
    <hyperlink ref="E403" r:id="rId399" display="ссылка"/>
    <hyperlink ref="E404" r:id="rId400" display="ссылка"/>
    <hyperlink ref="E405" r:id="rId401" display="ссылка"/>
    <hyperlink ref="E406" r:id="rId402" display="ссылка"/>
    <hyperlink ref="E407" r:id="rId403" display="ссылка"/>
    <hyperlink ref="E408" r:id="rId404" display="ссылка"/>
    <hyperlink ref="E409" r:id="rId405" display="ссылка"/>
    <hyperlink ref="E410" r:id="rId406" display="ссылка"/>
    <hyperlink ref="E411" r:id="rId407" display="ссылка"/>
    <hyperlink ref="E412" r:id="rId408" display="ссылка"/>
    <hyperlink ref="E413" r:id="rId409" display="ссылка"/>
    <hyperlink ref="E414" r:id="rId410" display="ссылка"/>
    <hyperlink ref="E415" r:id="rId411" display="ссылка"/>
    <hyperlink ref="E416" r:id="rId412" display="ссылка"/>
    <hyperlink ref="E417" r:id="rId413" display="ссылка"/>
    <hyperlink ref="E418" r:id="rId414" display="ссылка"/>
    <hyperlink ref="E419" r:id="rId415" display="ссылка"/>
    <hyperlink ref="E420" r:id="rId416" display="ссылка"/>
    <hyperlink ref="E421" r:id="rId417" display="ссылка"/>
    <hyperlink ref="E422" r:id="rId418" display="ссылка"/>
    <hyperlink ref="E423" r:id="rId419" display="ссылка"/>
    <hyperlink ref="E424" r:id="rId420" display="ссылка"/>
    <hyperlink ref="E425" r:id="rId421" display="ссылка"/>
    <hyperlink ref="E426" r:id="rId422" display="ссылка"/>
    <hyperlink ref="E427" r:id="rId423" display="ссылка"/>
    <hyperlink ref="E428" r:id="rId424" display="ссылка"/>
    <hyperlink ref="E429" r:id="rId425" display="ссылка"/>
    <hyperlink ref="E430" r:id="rId426" display="ссылка"/>
    <hyperlink ref="E431" r:id="rId427" display="ссылка"/>
    <hyperlink ref="E432" r:id="rId428" display="ссылка"/>
    <hyperlink ref="E433" r:id="rId429" display="ссылка"/>
    <hyperlink ref="E434" r:id="rId430" display="ссылка"/>
    <hyperlink ref="E435" r:id="rId431" display="ссылка"/>
    <hyperlink ref="E436" r:id="rId432" display="ссылка"/>
    <hyperlink ref="E437" r:id="rId433" display="ссылка"/>
    <hyperlink ref="E438" r:id="rId434" display="ссылка"/>
    <hyperlink ref="E439" r:id="rId435" display="ссылка"/>
    <hyperlink ref="E440" r:id="rId436" display="ссылка"/>
    <hyperlink ref="E441" r:id="rId437" display="ссылка"/>
    <hyperlink ref="E442" r:id="rId438" display="ссылка"/>
    <hyperlink ref="E443" r:id="rId439" display="ссылка"/>
    <hyperlink ref="E444" r:id="rId440" display="ссылка"/>
    <hyperlink ref="E445" r:id="rId441" display="ссылка"/>
    <hyperlink ref="E446" r:id="rId442" display="ссылка"/>
    <hyperlink ref="E447" r:id="rId443" display="ссылка"/>
    <hyperlink ref="E448" r:id="rId444" display="ссылка"/>
    <hyperlink ref="E449" r:id="rId445" display="ссылка"/>
    <hyperlink ref="E450" r:id="rId446" display="ссылка"/>
    <hyperlink ref="E451" r:id="rId447" display="ссылка"/>
    <hyperlink ref="E452" r:id="rId448" display="ссылка"/>
    <hyperlink ref="E453" r:id="rId449" display="ссылка"/>
    <hyperlink ref="E454" r:id="rId450" display="ссылка"/>
    <hyperlink ref="E455" r:id="rId451" display="ссылка"/>
    <hyperlink ref="E456" r:id="rId452" display="ссылка"/>
    <hyperlink ref="E457" r:id="rId453" display="ссылка"/>
    <hyperlink ref="E458" r:id="rId454" display="ссылка"/>
    <hyperlink ref="E459" r:id="rId455" display="ссылка"/>
    <hyperlink ref="E460" r:id="rId456" display="ссылка"/>
    <hyperlink ref="E461" r:id="rId457" display="ссылка"/>
    <hyperlink ref="E462" r:id="rId458" display="ссылка"/>
    <hyperlink ref="E463" r:id="rId459" display="ссылка"/>
    <hyperlink ref="E464" r:id="rId460" display="ссылка"/>
    <hyperlink ref="E465" r:id="rId461" display="ссылка"/>
    <hyperlink ref="E466" r:id="rId462" display="ссылка"/>
    <hyperlink ref="E467" r:id="rId463" display="ссылка"/>
    <hyperlink ref="E468" r:id="rId464" display="ссылка"/>
    <hyperlink ref="E469" r:id="rId465" display="ссылка"/>
    <hyperlink ref="E470" r:id="rId466" display="ссылка"/>
    <hyperlink ref="E471" r:id="rId467" display="ссылка"/>
    <hyperlink ref="E472" r:id="rId468" display="ссылка"/>
    <hyperlink ref="E473" r:id="rId469" display="ссылка"/>
    <hyperlink ref="E474" r:id="rId470" display="ссылка"/>
    <hyperlink ref="E475" r:id="rId471" display="ссылка"/>
    <hyperlink ref="E476" r:id="rId472" display="ссылка"/>
    <hyperlink ref="E477" r:id="rId473" display="ссылка"/>
    <hyperlink ref="E478" r:id="rId474" display="ссылка"/>
    <hyperlink ref="E479" r:id="rId475" display="ссылка"/>
    <hyperlink ref="E480" r:id="rId476" display="ссылка"/>
    <hyperlink ref="E481" r:id="rId477" display="ссылка"/>
    <hyperlink ref="E482" r:id="rId478" display="ссылка"/>
    <hyperlink ref="E483" r:id="rId479" display="ссылка"/>
    <hyperlink ref="E484" r:id="rId480" display="ссылка"/>
    <hyperlink ref="E485" r:id="rId481" display="ссылка"/>
    <hyperlink ref="E486" r:id="rId482" display="ссылка"/>
    <hyperlink ref="E487" r:id="rId483" display="ссылка"/>
    <hyperlink ref="E488" r:id="rId484" display="ссылка"/>
    <hyperlink ref="E489" r:id="rId485" display="ссылка"/>
    <hyperlink ref="E490" r:id="rId486" display="ссылка"/>
    <hyperlink ref="E491" r:id="rId487" display="ссылка"/>
    <hyperlink ref="E492" r:id="rId488" display="ссылка"/>
    <hyperlink ref="E493" r:id="rId489" display="ссылка"/>
    <hyperlink ref="E494" r:id="rId490" display="ссылка"/>
    <hyperlink ref="E495" r:id="rId491" display="ссылка"/>
    <hyperlink ref="E496" r:id="rId492" display="ссылка"/>
    <hyperlink ref="E497" r:id="rId493" display="ссылка"/>
    <hyperlink ref="E498" r:id="rId494" display="ссылка"/>
    <hyperlink ref="E499" r:id="rId495" display="ссылка"/>
    <hyperlink ref="E500" r:id="rId496" display="ссылка"/>
    <hyperlink ref="E501" r:id="rId497" display="ссылка"/>
    <hyperlink ref="E502" r:id="rId498" display="ссылка"/>
    <hyperlink ref="E503" r:id="rId499" display="ссылка"/>
    <hyperlink ref="E504" r:id="rId500" display="ссылка"/>
    <hyperlink ref="E505" r:id="rId501" display="ссылка"/>
    <hyperlink ref="E506" r:id="rId502" display="ссылка"/>
    <hyperlink ref="E507" r:id="rId503" display="ссылка"/>
    <hyperlink ref="E508" r:id="rId504" display="ссылка"/>
    <hyperlink ref="E509" r:id="rId505" display="ссылка"/>
    <hyperlink ref="E510" r:id="rId506" display="ссылка"/>
    <hyperlink ref="E511" r:id="rId507" display="ссылка"/>
    <hyperlink ref="E512" r:id="rId508" display="ссылка"/>
    <hyperlink ref="E513" r:id="rId509" display="ссылка"/>
    <hyperlink ref="E514" r:id="rId510" display="ссылка"/>
    <hyperlink ref="E515" r:id="rId511" display="ссылка"/>
    <hyperlink ref="E516" r:id="rId512" display="ссылка"/>
    <hyperlink ref="E517" r:id="rId513" display="ссылка"/>
    <hyperlink ref="E518" r:id="rId514" display="ссылка"/>
    <hyperlink ref="E519" r:id="rId515" display="ссылка"/>
    <hyperlink ref="E520" r:id="rId516" display="ссылка"/>
    <hyperlink ref="E521" r:id="rId517" display="ссылка"/>
    <hyperlink ref="E522" r:id="rId518" display="ссылка"/>
    <hyperlink ref="E523" r:id="rId519" display="ссылка"/>
    <hyperlink ref="E524" r:id="rId520" display="ссылка"/>
    <hyperlink ref="E525" r:id="rId521" display="ссылка"/>
    <hyperlink ref="E526" r:id="rId522" display="ссылка"/>
    <hyperlink ref="E527" r:id="rId523" display="ссылка"/>
    <hyperlink ref="E528" r:id="rId524" display="ссылка"/>
    <hyperlink ref="E529" r:id="rId525" display="ссылка"/>
    <hyperlink ref="E530" r:id="rId526" display="ссылка"/>
    <hyperlink ref="E531" r:id="rId527" display="ссылка"/>
    <hyperlink ref="E532" r:id="rId528" display="ссылка"/>
    <hyperlink ref="E533" r:id="rId529" display="ссылка"/>
    <hyperlink ref="E534" r:id="rId530" display="ссылка"/>
    <hyperlink ref="E535" r:id="rId531" display="ссылка"/>
    <hyperlink ref="E536" r:id="rId532" display="ссылка"/>
    <hyperlink ref="E537" r:id="rId533" display="ссылка"/>
    <hyperlink ref="E538" r:id="rId534" display="ссылка"/>
    <hyperlink ref="E539" r:id="rId535" display="ссылка"/>
    <hyperlink ref="E540" r:id="rId536" display="ссылка"/>
    <hyperlink ref="E541" r:id="rId537" display="ссылка"/>
    <hyperlink ref="E542" r:id="rId538" display="ссылка"/>
    <hyperlink ref="E543" r:id="rId539" display="ссылка"/>
    <hyperlink ref="E544" r:id="rId540" display="ссылка"/>
    <hyperlink ref="E545" r:id="rId541" display="ссылка"/>
    <hyperlink ref="E546" r:id="rId542" display="ссылка"/>
    <hyperlink ref="E547" r:id="rId543" display="ссылка"/>
    <hyperlink ref="E548" r:id="rId544" display="ссылка"/>
    <hyperlink ref="E549" r:id="rId545" display="ссылка"/>
    <hyperlink ref="E550" r:id="rId546" display="ссылка"/>
    <hyperlink ref="E551" r:id="rId547" display="ссылка"/>
    <hyperlink ref="E552" r:id="rId548" display="ссылка"/>
    <hyperlink ref="E553" r:id="rId549" display="ссылка"/>
    <hyperlink ref="E554" r:id="rId550" display="ссылка"/>
    <hyperlink ref="E555" r:id="rId551" display="ссылка"/>
    <hyperlink ref="E556" r:id="rId552" display="ссылка"/>
    <hyperlink ref="E557" r:id="rId553" display="ссылка"/>
    <hyperlink ref="E558" r:id="rId554" display="ссылка"/>
    <hyperlink ref="E559" r:id="rId555" display="ссылка"/>
    <hyperlink ref="E560" r:id="rId556" display="ссылка"/>
    <hyperlink ref="E561" r:id="rId557" display="ссылка"/>
    <hyperlink ref="E562" r:id="rId558" display="ссылка"/>
    <hyperlink ref="E563" r:id="rId559" display="ссылка"/>
    <hyperlink ref="E564" r:id="rId560" display="ссылка"/>
    <hyperlink ref="E565" r:id="rId561" display="ссылка"/>
    <hyperlink ref="E566" r:id="rId562" display="ссылка"/>
    <hyperlink ref="E567" r:id="rId563" display="ссылка"/>
    <hyperlink ref="E568" r:id="rId564" display="ссылка"/>
    <hyperlink ref="E569" r:id="rId565" display="ссылка"/>
    <hyperlink ref="E570" r:id="rId566" display="ссылка"/>
    <hyperlink ref="E571" r:id="rId567" display="ссылка"/>
    <hyperlink ref="E572" r:id="rId568" display="ссылка"/>
    <hyperlink ref="E573" r:id="rId569" display="ссылка"/>
    <hyperlink ref="E574" r:id="rId570" display="ссылка"/>
    <hyperlink ref="E575" r:id="rId571" display="ссылка"/>
    <hyperlink ref="E576" r:id="rId572" display="ссылка"/>
    <hyperlink ref="E577" r:id="rId573" display="ссылка"/>
    <hyperlink ref="E578" r:id="rId574" display="ссылка"/>
    <hyperlink ref="E579" r:id="rId575" display="ссылка"/>
    <hyperlink ref="E580" r:id="rId576" display="ссылка"/>
    <hyperlink ref="E581" r:id="rId577" display="ссылка"/>
    <hyperlink ref="E582" r:id="rId578" display="ссылка"/>
    <hyperlink ref="E583" r:id="rId579" display="ссылка"/>
    <hyperlink ref="E584" r:id="rId580" display="ссылка"/>
    <hyperlink ref="E585" r:id="rId581" display="ссылка"/>
    <hyperlink ref="E586" r:id="rId582" display="ссылка"/>
    <hyperlink ref="E587" r:id="rId583" display="ссылка"/>
    <hyperlink ref="E588" r:id="rId584" display="ссылка"/>
    <hyperlink ref="E589" r:id="rId585" display="ссылка"/>
    <hyperlink ref="E590" r:id="rId586" display="ссылка"/>
    <hyperlink ref="E591" r:id="rId587" display="ссылка"/>
    <hyperlink ref="E592" r:id="rId588" display="ссылка"/>
    <hyperlink ref="E593" r:id="rId589" display="ссылка"/>
    <hyperlink ref="E594" r:id="rId590" display="ссылка"/>
    <hyperlink ref="E595" r:id="rId591" display="ссылка"/>
    <hyperlink ref="E596" r:id="rId592" display="ссылка"/>
    <hyperlink ref="E597" r:id="rId593" display="ссылка"/>
    <hyperlink ref="E598" r:id="rId594" display="ссылка"/>
    <hyperlink ref="E599" r:id="rId595" display="ссылка"/>
    <hyperlink ref="E600" r:id="rId596" display="ссылка"/>
    <hyperlink ref="E601" r:id="rId597" display="ссылка"/>
    <hyperlink ref="E602" r:id="rId598" display="ссылка"/>
    <hyperlink ref="E603" r:id="rId599" display="ссылка"/>
    <hyperlink ref="E604" r:id="rId600" display="ссылка"/>
    <hyperlink ref="E605" r:id="rId601" display="ссылка"/>
    <hyperlink ref="E606" r:id="rId602" display="ссылка"/>
    <hyperlink ref="E607" r:id="rId603" display="ссылка"/>
    <hyperlink ref="E608" r:id="rId604" display="ссылка"/>
    <hyperlink ref="E609" r:id="rId605" display="ссылка"/>
    <hyperlink ref="E610" r:id="rId606" display="ссылка"/>
    <hyperlink ref="E611" r:id="rId607" display="ссылка"/>
    <hyperlink ref="E612" r:id="rId608" display="ссылка"/>
    <hyperlink ref="E613" r:id="rId609" display="ссылка"/>
    <hyperlink ref="E614" r:id="rId610" display="ссылка"/>
    <hyperlink ref="E615" r:id="rId611" display="ссылка"/>
    <hyperlink ref="E616" r:id="rId612" display="ссылка"/>
    <hyperlink ref="E617" r:id="rId613" display="ссылка"/>
    <hyperlink ref="E618" r:id="rId614" display="ссылка"/>
    <hyperlink ref="E619" r:id="rId615" display="ссылка"/>
    <hyperlink ref="E620" r:id="rId616" display="ссылка"/>
    <hyperlink ref="E621" r:id="rId617" display="ссылка"/>
    <hyperlink ref="E622" r:id="rId618" display="ссылка"/>
    <hyperlink ref="E623" r:id="rId619" display="ссылка"/>
    <hyperlink ref="E624" r:id="rId620" display="ссылка"/>
    <hyperlink ref="E625" r:id="rId621" display="ссылка"/>
    <hyperlink ref="E626" r:id="rId622" display="ссылка"/>
    <hyperlink ref="E627" r:id="rId623" display="ссылк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9" min="13" style="0" width="13"/>
    <col collapsed="false" customWidth="true" hidden="false" outlineLevel="0" max="21" min="20" style="0" width="15"/>
  </cols>
  <sheetData>
    <row r="1" customFormat="false" ht="16.15" hidden="false" customHeight="false" outlineLevel="0" collapsed="false">
      <c r="A1" s="1" t="s">
        <v>691</v>
      </c>
    </row>
    <row r="2" customFormat="false" ht="15" hidden="false" customHeight="false" outlineLevel="0" collapsed="false">
      <c r="A2" s="5" t="s">
        <v>692</v>
      </c>
    </row>
    <row r="4" customFormat="false" ht="46.25" hidden="false" customHeight="false" outlineLevel="0" collapsed="false">
      <c r="A4" s="12" t="s">
        <v>47</v>
      </c>
      <c r="B4" s="12" t="s">
        <v>48</v>
      </c>
      <c r="C4" s="12" t="s">
        <v>49</v>
      </c>
      <c r="D4" s="12" t="s">
        <v>50</v>
      </c>
      <c r="E4" s="12" t="s">
        <v>51</v>
      </c>
      <c r="F4" s="12" t="s">
        <v>5</v>
      </c>
      <c r="G4" s="12" t="s">
        <v>7</v>
      </c>
      <c r="H4" s="12" t="s">
        <v>9</v>
      </c>
      <c r="I4" s="12" t="s">
        <v>52</v>
      </c>
      <c r="J4" s="12" t="s">
        <v>53</v>
      </c>
      <c r="K4" s="12" t="s">
        <v>54</v>
      </c>
      <c r="L4" s="12" t="s">
        <v>55</v>
      </c>
      <c r="M4" s="12" t="s">
        <v>56</v>
      </c>
      <c r="N4" s="12" t="s">
        <v>32</v>
      </c>
      <c r="O4" s="12" t="s">
        <v>57</v>
      </c>
      <c r="P4" s="12" t="s">
        <v>58</v>
      </c>
      <c r="Q4" s="12" t="s">
        <v>59</v>
      </c>
      <c r="R4" s="12" t="s">
        <v>60</v>
      </c>
      <c r="S4" s="12" t="s">
        <v>61</v>
      </c>
      <c r="T4" s="12" t="s">
        <v>62</v>
      </c>
      <c r="U4" s="12" t="s">
        <v>63</v>
      </c>
    </row>
    <row r="5" customFormat="false" ht="15" hidden="false" customHeight="false" outlineLevel="0" collapsed="false">
      <c r="A5" s="13" t="n">
        <v>44960.839191794</v>
      </c>
      <c r="B5" s="8" t="n">
        <v>20</v>
      </c>
      <c r="C5" s="8" t="s">
        <v>84</v>
      </c>
      <c r="D5" s="8" t="s">
        <v>693</v>
      </c>
      <c r="E5" s="14" t="s">
        <v>66</v>
      </c>
      <c r="F5" s="9" t="n">
        <v>23914</v>
      </c>
      <c r="G5" s="9" t="n">
        <v>12583</v>
      </c>
      <c r="H5" s="9" t="n">
        <v>12589</v>
      </c>
      <c r="I5" s="9" t="n">
        <v>25</v>
      </c>
      <c r="J5" s="9" t="n">
        <v>267</v>
      </c>
      <c r="K5" s="9" t="n">
        <v>13</v>
      </c>
      <c r="L5" s="9" t="n">
        <v>34</v>
      </c>
      <c r="M5" s="10" t="n">
        <f aca="false">IFERROR(G5/F5,"")</f>
        <v>0.526177134732793</v>
      </c>
      <c r="N5" s="10" t="n">
        <f aca="false">IFERROR(H5/G5,"")</f>
        <v>1.00047683382341</v>
      </c>
      <c r="O5" s="11" t="n">
        <f aca="false">IFERROR(I5/H5,"")</f>
        <v>0.00198586067201525</v>
      </c>
      <c r="P5" s="10" t="n">
        <f aca="false">IFERROR(J5/H5,"")</f>
        <v>0.0212089919771229</v>
      </c>
      <c r="Q5" s="10" t="n">
        <f aca="false">IFERROR(K5/H5,"")</f>
        <v>0.00103264754944793</v>
      </c>
      <c r="R5" s="10" t="n">
        <f aca="false">IFERROR(L5/H5,"")</f>
        <v>0.00270077051394074</v>
      </c>
      <c r="S5" s="11" t="str">
        <f aca="false">IFERROR(M5/MEDIAN(INDEX($M$5:$M$665,MATCH($A5-90,$A$5:$A$665,1)):INDEX($M$5:$M$665,MATCH($A5+90,$A$5:$A$665,1))),"")</f>
        <v/>
      </c>
      <c r="T5" s="11" t="str">
        <f aca="false">IFERROR(N5/MEDIAN(INDEX($N$5:$N$665,MATCH($A5-90,$A$5:$A$665,1)):INDEX($N$5:$N$665,MATCH($A5+90,$A$5:$A$665,1))),"")</f>
        <v/>
      </c>
      <c r="U5" s="11" t="str">
        <f aca="false">IFERROR(Q5/MEDIAN(INDEX($Q$5:$Q$665,MATCH($A5-90,$A$5:$A$665,1)):INDEX($Q$5:$Q$665,MATCH($A5+90,$A$5:$A$665,1))),"")</f>
        <v/>
      </c>
    </row>
    <row r="6" customFormat="false" ht="15" hidden="false" customHeight="false" outlineLevel="0" collapsed="false">
      <c r="A6" s="13" t="n">
        <v>44961.545651088</v>
      </c>
      <c r="B6" s="8" t="n">
        <v>13</v>
      </c>
      <c r="C6" s="8" t="s">
        <v>68</v>
      </c>
      <c r="D6" s="8" t="s">
        <v>694</v>
      </c>
      <c r="E6" s="14" t="s">
        <v>66</v>
      </c>
      <c r="F6" s="9" t="n">
        <v>4422</v>
      </c>
      <c r="G6" s="9" t="n">
        <v>2420</v>
      </c>
      <c r="H6" s="9" t="n">
        <v>2427</v>
      </c>
      <c r="I6" s="9" t="n">
        <v>113</v>
      </c>
      <c r="J6" s="9" t="n">
        <v>152</v>
      </c>
      <c r="K6" s="9" t="n">
        <v>4</v>
      </c>
      <c r="L6" s="9" t="n">
        <v>2</v>
      </c>
      <c r="M6" s="10" t="n">
        <f aca="false">IFERROR(G6/F6,"")</f>
        <v>0.54726368159204</v>
      </c>
      <c r="N6" s="10" t="n">
        <f aca="false">IFERROR(H6/G6,"")</f>
        <v>1.00289256198347</v>
      </c>
      <c r="O6" s="11" t="n">
        <f aca="false">IFERROR(I6/H6,"")</f>
        <v>0.0465595385249279</v>
      </c>
      <c r="P6" s="10" t="n">
        <f aca="false">IFERROR(J6/H6,"")</f>
        <v>0.0626287597857437</v>
      </c>
      <c r="Q6" s="10" t="n">
        <f aca="false">IFERROR(K6/H6,"")</f>
        <v>0.00164812525751957</v>
      </c>
      <c r="R6" s="10" t="n">
        <f aca="false">IFERROR(L6/H6,"")</f>
        <v>0.000824062628759786</v>
      </c>
      <c r="S6" s="11" t="str">
        <f aca="false">IFERROR(M6/MEDIAN(INDEX($M$5:$M$665,MATCH($A6-90,$A$5:$A$665,1)):INDEX($M$5:$M$665,MATCH($A6+90,$A$5:$A$665,1))),"")</f>
        <v/>
      </c>
      <c r="T6" s="11" t="str">
        <f aca="false">IFERROR(N6/MEDIAN(INDEX($N$5:$N$665,MATCH($A6-90,$A$5:$A$665,1)):INDEX($N$5:$N$665,MATCH($A6+90,$A$5:$A$665,1))),"")</f>
        <v/>
      </c>
      <c r="U6" s="11" t="str">
        <f aca="false">IFERROR(Q6/MEDIAN(INDEX($Q$5:$Q$665,MATCH($A6-90,$A$5:$A$665,1)):INDEX($Q$5:$Q$665,MATCH($A6+90,$A$5:$A$665,1))),"")</f>
        <v/>
      </c>
    </row>
    <row r="7" customFormat="false" ht="15" hidden="false" customHeight="false" outlineLevel="0" collapsed="false">
      <c r="A7" s="13" t="n">
        <v>44961.7501670718</v>
      </c>
      <c r="B7" s="8" t="n">
        <v>18</v>
      </c>
      <c r="C7" s="8" t="s">
        <v>68</v>
      </c>
      <c r="D7" s="8" t="s">
        <v>695</v>
      </c>
      <c r="E7" s="14" t="s">
        <v>66</v>
      </c>
      <c r="F7" s="9" t="n">
        <v>4089</v>
      </c>
      <c r="G7" s="9" t="n">
        <v>2091</v>
      </c>
      <c r="H7" s="9" t="n">
        <v>2086</v>
      </c>
      <c r="I7" s="9" t="n">
        <v>10</v>
      </c>
      <c r="J7" s="9" t="n">
        <v>164</v>
      </c>
      <c r="K7" s="9" t="n">
        <v>5</v>
      </c>
      <c r="L7" s="9" t="n">
        <v>4</v>
      </c>
      <c r="M7" s="10" t="n">
        <f aca="false">IFERROR(G7/F7,"")</f>
        <v>0.511371973587674</v>
      </c>
      <c r="N7" s="10" t="n">
        <f aca="false">IFERROR(H7/G7,"")</f>
        <v>0.997608799617408</v>
      </c>
      <c r="O7" s="11" t="n">
        <f aca="false">IFERROR(I7/H7,"")</f>
        <v>0.00479386385426654</v>
      </c>
      <c r="P7" s="10" t="n">
        <f aca="false">IFERROR(J7/H7,"")</f>
        <v>0.0786193672099712</v>
      </c>
      <c r="Q7" s="10" t="n">
        <f aca="false">IFERROR(K7/H7,"")</f>
        <v>0.00239693192713327</v>
      </c>
      <c r="R7" s="10" t="n">
        <f aca="false">IFERROR(L7/H7,"")</f>
        <v>0.00191754554170662</v>
      </c>
      <c r="S7" s="11" t="str">
        <f aca="false">IFERROR(M7/MEDIAN(INDEX($M$5:$M$665,MATCH($A7-90,$A$5:$A$665,1)):INDEX($M$5:$M$665,MATCH($A7+90,$A$5:$A$665,1))),"")</f>
        <v/>
      </c>
      <c r="T7" s="11" t="str">
        <f aca="false">IFERROR(N7/MEDIAN(INDEX($N$5:$N$665,MATCH($A7-90,$A$5:$A$665,1)):INDEX($N$5:$N$665,MATCH($A7+90,$A$5:$A$665,1))),"")</f>
        <v/>
      </c>
      <c r="U7" s="11" t="str">
        <f aca="false">IFERROR(Q7/MEDIAN(INDEX($Q$5:$Q$665,MATCH($A7-90,$A$5:$A$665,1)):INDEX($Q$5:$Q$665,MATCH($A7+90,$A$5:$A$665,1))),"")</f>
        <v/>
      </c>
    </row>
    <row r="8" customFormat="false" ht="15" hidden="false" customHeight="false" outlineLevel="0" collapsed="false">
      <c r="A8" s="13" t="n">
        <v>44962.5000559491</v>
      </c>
      <c r="B8" s="8" t="n">
        <v>12</v>
      </c>
      <c r="C8" s="8" t="s">
        <v>86</v>
      </c>
      <c r="D8" s="8" t="s">
        <v>696</v>
      </c>
      <c r="E8" s="14" t="s">
        <v>66</v>
      </c>
      <c r="F8" s="9" t="n">
        <v>2525</v>
      </c>
      <c r="G8" s="9" t="n">
        <v>1497</v>
      </c>
      <c r="H8" s="9" t="n">
        <v>1499</v>
      </c>
      <c r="I8" s="9" t="n">
        <v>9</v>
      </c>
      <c r="J8" s="9" t="n">
        <v>114</v>
      </c>
      <c r="K8" s="9" t="n">
        <v>3</v>
      </c>
      <c r="L8" s="9" t="n">
        <v>2</v>
      </c>
      <c r="M8" s="10" t="n">
        <f aca="false">IFERROR(G8/F8,"")</f>
        <v>0.592871287128713</v>
      </c>
      <c r="N8" s="10" t="n">
        <f aca="false">IFERROR(H8/G8,"")</f>
        <v>1.00133600534402</v>
      </c>
      <c r="O8" s="11" t="n">
        <f aca="false">IFERROR(I8/H8,"")</f>
        <v>0.00600400266844563</v>
      </c>
      <c r="P8" s="10" t="n">
        <f aca="false">IFERROR(J8/H8,"")</f>
        <v>0.076050700466978</v>
      </c>
      <c r="Q8" s="10" t="n">
        <f aca="false">IFERROR(K8/H8,"")</f>
        <v>0.00200133422281521</v>
      </c>
      <c r="R8" s="10" t="n">
        <f aca="false">IFERROR(L8/H8,"")</f>
        <v>0.00133422281521014</v>
      </c>
      <c r="S8" s="11" t="str">
        <f aca="false">IFERROR(M8/MEDIAN(INDEX($M$5:$M$665,MATCH($A8-90,$A$5:$A$665,1)):INDEX($M$5:$M$665,MATCH($A8+90,$A$5:$A$665,1))),"")</f>
        <v/>
      </c>
      <c r="T8" s="11" t="str">
        <f aca="false">IFERROR(N8/MEDIAN(INDEX($N$5:$N$665,MATCH($A8-90,$A$5:$A$665,1)):INDEX($N$5:$N$665,MATCH($A8+90,$A$5:$A$665,1))),"")</f>
        <v/>
      </c>
      <c r="U8" s="11" t="str">
        <f aca="false">IFERROR(Q8/MEDIAN(INDEX($Q$5:$Q$665,MATCH($A8-90,$A$5:$A$665,1)):INDEX($Q$5:$Q$665,MATCH($A8+90,$A$5:$A$665,1))),"")</f>
        <v/>
      </c>
    </row>
    <row r="9" customFormat="false" ht="15" hidden="false" customHeight="false" outlineLevel="0" collapsed="false">
      <c r="A9" s="13" t="n">
        <v>44962.7499463079</v>
      </c>
      <c r="B9" s="8" t="n">
        <v>17</v>
      </c>
      <c r="C9" s="8" t="s">
        <v>86</v>
      </c>
      <c r="D9" s="8" t="s">
        <v>697</v>
      </c>
      <c r="E9" s="14" t="s">
        <v>66</v>
      </c>
      <c r="F9" s="9" t="n">
        <v>21490</v>
      </c>
      <c r="G9" s="9" t="n">
        <v>7048</v>
      </c>
      <c r="H9" s="9" t="n">
        <v>7046</v>
      </c>
      <c r="I9" s="9" t="n">
        <v>5</v>
      </c>
      <c r="J9" s="9" t="n">
        <v>139</v>
      </c>
      <c r="K9" s="9" t="n">
        <v>4</v>
      </c>
      <c r="L9" s="9" t="n">
        <v>13</v>
      </c>
      <c r="M9" s="10" t="n">
        <f aca="false">IFERROR(G9/F9,"")</f>
        <v>0.327966496044672</v>
      </c>
      <c r="N9" s="10" t="n">
        <f aca="false">IFERROR(H9/G9,"")</f>
        <v>0.999716231555051</v>
      </c>
      <c r="O9" s="11" t="n">
        <f aca="false">IFERROR(I9/H9,"")</f>
        <v>0.000709622480840193</v>
      </c>
      <c r="P9" s="10" t="n">
        <f aca="false">IFERROR(J9/H9,"")</f>
        <v>0.0197275049673574</v>
      </c>
      <c r="Q9" s="10" t="n">
        <f aca="false">IFERROR(K9/H9,"")</f>
        <v>0.000567697984672154</v>
      </c>
      <c r="R9" s="10" t="n">
        <f aca="false">IFERROR(L9/H9,"")</f>
        <v>0.0018450184501845</v>
      </c>
      <c r="S9" s="11" t="str">
        <f aca="false">IFERROR(M9/MEDIAN(INDEX($M$5:$M$665,MATCH($A9-90,$A$5:$A$665,1)):INDEX($M$5:$M$665,MATCH($A9+90,$A$5:$A$665,1))),"")</f>
        <v/>
      </c>
      <c r="T9" s="11" t="str">
        <f aca="false">IFERROR(N9/MEDIAN(INDEX($N$5:$N$665,MATCH($A9-90,$A$5:$A$665,1)):INDEX($N$5:$N$665,MATCH($A9+90,$A$5:$A$665,1))),"")</f>
        <v/>
      </c>
      <c r="U9" s="11" t="str">
        <f aca="false">IFERROR(Q9/MEDIAN(INDEX($Q$5:$Q$665,MATCH($A9-90,$A$5:$A$665,1)):INDEX($Q$5:$Q$665,MATCH($A9+90,$A$5:$A$665,1))),"")</f>
        <v/>
      </c>
    </row>
    <row r="10" customFormat="false" ht="15" hidden="false" customHeight="false" outlineLevel="0" collapsed="false">
      <c r="A10" s="13" t="n">
        <v>44963.4998534259</v>
      </c>
      <c r="B10" s="8" t="n">
        <v>11</v>
      </c>
      <c r="C10" s="8" t="s">
        <v>80</v>
      </c>
      <c r="D10" s="8" t="s">
        <v>698</v>
      </c>
      <c r="E10" s="14" t="s">
        <v>66</v>
      </c>
      <c r="F10" s="9" t="n">
        <v>28486</v>
      </c>
      <c r="G10" s="9" t="n">
        <v>12811</v>
      </c>
      <c r="H10" s="9" t="n">
        <v>12814</v>
      </c>
      <c r="I10" s="9" t="n">
        <v>10</v>
      </c>
      <c r="J10" s="9" t="n">
        <v>191</v>
      </c>
      <c r="K10" s="9" t="n">
        <v>13</v>
      </c>
      <c r="L10" s="9" t="n">
        <v>9</v>
      </c>
      <c r="M10" s="10" t="n">
        <f aca="false">IFERROR(G10/F10,"")</f>
        <v>0.449729691778418</v>
      </c>
      <c r="N10" s="10" t="n">
        <f aca="false">IFERROR(H10/G10,"")</f>
        <v>1.00023417375693</v>
      </c>
      <c r="O10" s="11" t="n">
        <f aca="false">IFERROR(I10/H10,"")</f>
        <v>0.000780396441392227</v>
      </c>
      <c r="P10" s="10" t="n">
        <f aca="false">IFERROR(J10/H10,"")</f>
        <v>0.0149055720305915</v>
      </c>
      <c r="Q10" s="10" t="n">
        <f aca="false">IFERROR(K10/H10,"")</f>
        <v>0.0010145153738099</v>
      </c>
      <c r="R10" s="10" t="n">
        <f aca="false">IFERROR(L10/H10,"")</f>
        <v>0.000702356797253005</v>
      </c>
      <c r="S10" s="11" t="str">
        <f aca="false">IFERROR(M10/MEDIAN(INDEX($M$5:$M$665,MATCH($A10-90,$A$5:$A$665,1)):INDEX($M$5:$M$665,MATCH($A10+90,$A$5:$A$665,1))),"")</f>
        <v/>
      </c>
      <c r="T10" s="11" t="str">
        <f aca="false">IFERROR(N10/MEDIAN(INDEX($N$5:$N$665,MATCH($A10-90,$A$5:$A$665,1)):INDEX($N$5:$N$665,MATCH($A10+90,$A$5:$A$665,1))),"")</f>
        <v/>
      </c>
      <c r="U10" s="11" t="str">
        <f aca="false">IFERROR(Q10/MEDIAN(INDEX($Q$5:$Q$665,MATCH($A10-90,$A$5:$A$665,1)):INDEX($Q$5:$Q$665,MATCH($A10+90,$A$5:$A$665,1))),"")</f>
        <v/>
      </c>
    </row>
    <row r="11" customFormat="false" ht="15" hidden="false" customHeight="false" outlineLevel="0" collapsed="false">
      <c r="A11" s="13" t="n">
        <v>44964.6161276042</v>
      </c>
      <c r="B11" s="8" t="n">
        <v>14</v>
      </c>
      <c r="C11" s="8" t="s">
        <v>64</v>
      </c>
      <c r="D11" s="8" t="s">
        <v>699</v>
      </c>
      <c r="E11" s="14" t="s">
        <v>66</v>
      </c>
      <c r="F11" s="9" t="n">
        <v>29810</v>
      </c>
      <c r="G11" s="9" t="n">
        <v>18272</v>
      </c>
      <c r="H11" s="9" t="n">
        <v>18271</v>
      </c>
      <c r="I11" s="9" t="n">
        <v>5</v>
      </c>
      <c r="J11" s="9" t="n">
        <v>201</v>
      </c>
      <c r="K11" s="9" t="n">
        <v>31</v>
      </c>
      <c r="L11" s="9" t="n">
        <v>89</v>
      </c>
      <c r="M11" s="10" t="n">
        <f aca="false">IFERROR(G11/F11,"")</f>
        <v>0.612948674941295</v>
      </c>
      <c r="N11" s="10" t="n">
        <f aca="false">IFERROR(H11/G11,"")</f>
        <v>0.99994527145359</v>
      </c>
      <c r="O11" s="11" t="n">
        <f aca="false">IFERROR(I11/H11,"")</f>
        <v>0.000273657708937661</v>
      </c>
      <c r="P11" s="10" t="n">
        <f aca="false">IFERROR(J11/H11,"")</f>
        <v>0.011001039899294</v>
      </c>
      <c r="Q11" s="10" t="n">
        <f aca="false">IFERROR(K11/H11,"")</f>
        <v>0.0016966777954135</v>
      </c>
      <c r="R11" s="10" t="n">
        <f aca="false">IFERROR(L11/H11,"")</f>
        <v>0.00487110721909036</v>
      </c>
      <c r="S11" s="11" t="str">
        <f aca="false">IFERROR(M11/MEDIAN(INDEX($M$5:$M$665,MATCH($A11-90,$A$5:$A$665,1)):INDEX($M$5:$M$665,MATCH($A11+90,$A$5:$A$665,1))),"")</f>
        <v/>
      </c>
      <c r="T11" s="11" t="str">
        <f aca="false">IFERROR(N11/MEDIAN(INDEX($N$5:$N$665,MATCH($A11-90,$A$5:$A$665,1)):INDEX($N$5:$N$665,MATCH($A11+90,$A$5:$A$665,1))),"")</f>
        <v/>
      </c>
      <c r="U11" s="11" t="str">
        <f aca="false">IFERROR(Q11/MEDIAN(INDEX($Q$5:$Q$665,MATCH($A11-90,$A$5:$A$665,1)):INDEX($Q$5:$Q$665,MATCH($A11+90,$A$5:$A$665,1))),"")</f>
        <v/>
      </c>
    </row>
    <row r="12" customFormat="false" ht="15" hidden="false" customHeight="false" outlineLevel="0" collapsed="false">
      <c r="A12" s="13" t="n">
        <v>44964.6655169097</v>
      </c>
      <c r="B12" s="8" t="n">
        <v>15</v>
      </c>
      <c r="C12" s="8" t="s">
        <v>64</v>
      </c>
      <c r="D12" s="8" t="s">
        <v>700</v>
      </c>
      <c r="E12" s="14" t="s">
        <v>66</v>
      </c>
      <c r="F12" s="9" t="n">
        <v>60880</v>
      </c>
      <c r="G12" s="9" t="n">
        <v>26764</v>
      </c>
      <c r="H12" s="9" t="n">
        <v>26762</v>
      </c>
      <c r="I12" s="9" t="n">
        <v>4</v>
      </c>
      <c r="J12" s="9" t="n">
        <v>284</v>
      </c>
      <c r="K12" s="9" t="n">
        <v>35</v>
      </c>
      <c r="L12" s="9" t="n">
        <v>55</v>
      </c>
      <c r="M12" s="10" t="n">
        <f aca="false">IFERROR(G12/F12,"")</f>
        <v>0.439618922470434</v>
      </c>
      <c r="N12" s="10" t="n">
        <f aca="false">IFERROR(H12/G12,"")</f>
        <v>0.999925272754446</v>
      </c>
      <c r="O12" s="11" t="n">
        <f aca="false">IFERROR(I12/H12,"")</f>
        <v>0.000149465660264554</v>
      </c>
      <c r="P12" s="10" t="n">
        <f aca="false">IFERROR(J12/H12,"")</f>
        <v>0.0106120618787833</v>
      </c>
      <c r="Q12" s="10" t="n">
        <f aca="false">IFERROR(K12/H12,"")</f>
        <v>0.00130782452731485</v>
      </c>
      <c r="R12" s="10" t="n">
        <f aca="false">IFERROR(L12/H12,"")</f>
        <v>0.00205515282863762</v>
      </c>
      <c r="S12" s="11" t="str">
        <f aca="false">IFERROR(M12/MEDIAN(INDEX($M$5:$M$665,MATCH($A12-90,$A$5:$A$665,1)):INDEX($M$5:$M$665,MATCH($A12+90,$A$5:$A$665,1))),"")</f>
        <v/>
      </c>
      <c r="T12" s="11" t="str">
        <f aca="false">IFERROR(N12/MEDIAN(INDEX($N$5:$N$665,MATCH($A12-90,$A$5:$A$665,1)):INDEX($N$5:$N$665,MATCH($A12+90,$A$5:$A$665,1))),"")</f>
        <v/>
      </c>
      <c r="U12" s="11" t="str">
        <f aca="false">IFERROR(Q12/MEDIAN(INDEX($Q$5:$Q$665,MATCH($A12-90,$A$5:$A$665,1)):INDEX($Q$5:$Q$665,MATCH($A12+90,$A$5:$A$665,1))),"")</f>
        <v/>
      </c>
    </row>
    <row r="13" customFormat="false" ht="15" hidden="false" customHeight="false" outlineLevel="0" collapsed="false">
      <c r="A13" s="13" t="n">
        <v>44965.4238114931</v>
      </c>
      <c r="B13" s="8" t="n">
        <v>10</v>
      </c>
      <c r="C13" s="8" t="s">
        <v>71</v>
      </c>
      <c r="D13" s="8" t="s">
        <v>701</v>
      </c>
      <c r="E13" s="14" t="s">
        <v>66</v>
      </c>
      <c r="F13" s="9" t="n">
        <v>4523</v>
      </c>
      <c r="G13" s="9" t="n">
        <v>2419</v>
      </c>
      <c r="H13" s="9" t="n">
        <v>2414</v>
      </c>
      <c r="I13" s="9" t="n">
        <v>29</v>
      </c>
      <c r="J13" s="9" t="n">
        <v>113</v>
      </c>
      <c r="K13" s="9" t="n">
        <v>8</v>
      </c>
      <c r="L13" s="9" t="n">
        <v>2</v>
      </c>
      <c r="M13" s="10" t="n">
        <f aca="false">IFERROR(G13/F13,"")</f>
        <v>0.534822020782666</v>
      </c>
      <c r="N13" s="10" t="n">
        <f aca="false">IFERROR(H13/G13,"")</f>
        <v>0.997933030177759</v>
      </c>
      <c r="O13" s="11" t="n">
        <f aca="false">IFERROR(I13/H13,"")</f>
        <v>0.012013256006628</v>
      </c>
      <c r="P13" s="10" t="n">
        <f aca="false">IFERROR(J13/H13,"")</f>
        <v>0.0468102734051367</v>
      </c>
      <c r="Q13" s="10" t="n">
        <f aca="false">IFERROR(K13/H13,"")</f>
        <v>0.00331400165700083</v>
      </c>
      <c r="R13" s="10" t="n">
        <f aca="false">IFERROR(L13/H13,"")</f>
        <v>0.000828500414250207</v>
      </c>
      <c r="S13" s="11" t="str">
        <f aca="false">IFERROR(M13/MEDIAN(INDEX($M$5:$M$665,MATCH($A13-90,$A$5:$A$665,1)):INDEX($M$5:$M$665,MATCH($A13+90,$A$5:$A$665,1))),"")</f>
        <v/>
      </c>
      <c r="T13" s="11" t="str">
        <f aca="false">IFERROR(N13/MEDIAN(INDEX($N$5:$N$665,MATCH($A13-90,$A$5:$A$665,1)):INDEX($N$5:$N$665,MATCH($A13+90,$A$5:$A$665,1))),"")</f>
        <v/>
      </c>
      <c r="U13" s="11" t="str">
        <f aca="false">IFERROR(Q13/MEDIAN(INDEX($Q$5:$Q$665,MATCH($A13-90,$A$5:$A$665,1)):INDEX($Q$5:$Q$665,MATCH($A13+90,$A$5:$A$665,1))),"")</f>
        <v/>
      </c>
    </row>
    <row r="14" customFormat="false" ht="15" hidden="false" customHeight="false" outlineLevel="0" collapsed="false">
      <c r="A14" s="13" t="n">
        <v>44965.5836208449</v>
      </c>
      <c r="B14" s="8" t="n">
        <v>14</v>
      </c>
      <c r="C14" s="8" t="s">
        <v>71</v>
      </c>
      <c r="D14" s="8" t="s">
        <v>702</v>
      </c>
      <c r="E14" s="14" t="s">
        <v>66</v>
      </c>
      <c r="F14" s="9" t="n">
        <v>1909</v>
      </c>
      <c r="G14" s="9" t="n">
        <v>1168</v>
      </c>
      <c r="H14" s="9" t="n">
        <v>1147</v>
      </c>
      <c r="I14" s="9" t="n">
        <v>9</v>
      </c>
      <c r="J14" s="9" t="n">
        <v>91</v>
      </c>
      <c r="K14" s="9" t="n">
        <v>7</v>
      </c>
      <c r="L14" s="9" t="n">
        <v>13</v>
      </c>
      <c r="M14" s="10" t="n">
        <f aca="false">IFERROR(G14/F14,"")</f>
        <v>0.611838658983761</v>
      </c>
      <c r="N14" s="10" t="n">
        <f aca="false">IFERROR(H14/G14,"")</f>
        <v>0.982020547945205</v>
      </c>
      <c r="O14" s="11" t="n">
        <f aca="false">IFERROR(I14/H14,"")</f>
        <v>0.00784655623365301</v>
      </c>
      <c r="P14" s="10" t="n">
        <f aca="false">IFERROR(J14/H14,"")</f>
        <v>0.0793374019180471</v>
      </c>
      <c r="Q14" s="10" t="n">
        <f aca="false">IFERROR(K14/H14,"")</f>
        <v>0.00610287707061901</v>
      </c>
      <c r="R14" s="10" t="n">
        <f aca="false">IFERROR(L14/H14,"")</f>
        <v>0.011333914559721</v>
      </c>
      <c r="S14" s="11" t="str">
        <f aca="false">IFERROR(M14/MEDIAN(INDEX($M$5:$M$665,MATCH($A14-90,$A$5:$A$665,1)):INDEX($M$5:$M$665,MATCH($A14+90,$A$5:$A$665,1))),"")</f>
        <v/>
      </c>
      <c r="T14" s="11" t="str">
        <f aca="false">IFERROR(N14/MEDIAN(INDEX($N$5:$N$665,MATCH($A14-90,$A$5:$A$665,1)):INDEX($N$5:$N$665,MATCH($A14+90,$A$5:$A$665,1))),"")</f>
        <v/>
      </c>
      <c r="U14" s="11" t="str">
        <f aca="false">IFERROR(Q14/MEDIAN(INDEX($Q$5:$Q$665,MATCH($A14-90,$A$5:$A$665,1)):INDEX($Q$5:$Q$665,MATCH($A14+90,$A$5:$A$665,1))),"")</f>
        <v/>
      </c>
    </row>
    <row r="15" customFormat="false" ht="15" hidden="false" customHeight="false" outlineLevel="0" collapsed="false">
      <c r="A15" s="13" t="n">
        <v>44965.6666196875</v>
      </c>
      <c r="B15" s="8" t="n">
        <v>15</v>
      </c>
      <c r="C15" s="8" t="s">
        <v>71</v>
      </c>
      <c r="D15" s="8" t="s">
        <v>703</v>
      </c>
      <c r="E15" s="14" t="s">
        <v>66</v>
      </c>
      <c r="F15" s="9" t="n">
        <v>6329</v>
      </c>
      <c r="G15" s="9" t="n">
        <v>2980</v>
      </c>
      <c r="H15" s="9" t="n">
        <v>2978</v>
      </c>
      <c r="I15" s="9" t="n">
        <v>7</v>
      </c>
      <c r="J15" s="9" t="n">
        <v>110</v>
      </c>
      <c r="K15" s="9" t="n">
        <v>2</v>
      </c>
      <c r="L15" s="9" t="n">
        <v>7</v>
      </c>
      <c r="M15" s="10" t="n">
        <f aca="false">IFERROR(G15/F15,"")</f>
        <v>0.470848475272555</v>
      </c>
      <c r="N15" s="10" t="n">
        <f aca="false">IFERROR(H15/G15,"")</f>
        <v>0.999328859060403</v>
      </c>
      <c r="O15" s="11" t="n">
        <f aca="false">IFERROR(I15/H15,"")</f>
        <v>0.00235057085292142</v>
      </c>
      <c r="P15" s="10" t="n">
        <f aca="false">IFERROR(J15/H15,"")</f>
        <v>0.0369375419744795</v>
      </c>
      <c r="Q15" s="10" t="n">
        <f aca="false">IFERROR(K15/H15,"")</f>
        <v>0.000671591672263264</v>
      </c>
      <c r="R15" s="10" t="n">
        <f aca="false">IFERROR(L15/H15,"")</f>
        <v>0.00235057085292142</v>
      </c>
      <c r="S15" s="11" t="str">
        <f aca="false">IFERROR(M15/MEDIAN(INDEX($M$5:$M$665,MATCH($A15-90,$A$5:$A$665,1)):INDEX($M$5:$M$665,MATCH($A15+90,$A$5:$A$665,1))),"")</f>
        <v/>
      </c>
      <c r="T15" s="11" t="str">
        <f aca="false">IFERROR(N15/MEDIAN(INDEX($N$5:$N$665,MATCH($A15-90,$A$5:$A$665,1)):INDEX($N$5:$N$665,MATCH($A15+90,$A$5:$A$665,1))),"")</f>
        <v/>
      </c>
      <c r="U15" s="11" t="str">
        <f aca="false">IFERROR(Q15/MEDIAN(INDEX($Q$5:$Q$665,MATCH($A15-90,$A$5:$A$665,1)):INDEX($Q$5:$Q$665,MATCH($A15+90,$A$5:$A$665,1))),"")</f>
        <v/>
      </c>
    </row>
    <row r="16" customFormat="false" ht="15" hidden="false" customHeight="false" outlineLevel="0" collapsed="false">
      <c r="A16" s="13" t="n">
        <v>44965.7498681134</v>
      </c>
      <c r="B16" s="8" t="n">
        <v>17</v>
      </c>
      <c r="C16" s="8" t="s">
        <v>71</v>
      </c>
      <c r="D16" s="8" t="s">
        <v>704</v>
      </c>
      <c r="E16" s="14" t="s">
        <v>66</v>
      </c>
      <c r="F16" s="9" t="n">
        <v>9857</v>
      </c>
      <c r="G16" s="9" t="n">
        <v>4488</v>
      </c>
      <c r="H16" s="9" t="n">
        <v>4486</v>
      </c>
      <c r="I16" s="9" t="n">
        <v>8</v>
      </c>
      <c r="J16" s="9" t="n">
        <v>180</v>
      </c>
      <c r="K16" s="9" t="n">
        <v>11</v>
      </c>
      <c r="L16" s="9" t="n">
        <v>20</v>
      </c>
      <c r="M16" s="10" t="n">
        <f aca="false">IFERROR(G16/F16,"")</f>
        <v>0.455310946535457</v>
      </c>
      <c r="N16" s="10" t="n">
        <f aca="false">IFERROR(H16/G16,"")</f>
        <v>0.999554367201426</v>
      </c>
      <c r="O16" s="11" t="n">
        <f aca="false">IFERROR(I16/H16,"")</f>
        <v>0.00178332590280874</v>
      </c>
      <c r="P16" s="10" t="n">
        <f aca="false">IFERROR(J16/H16,"")</f>
        <v>0.0401248328131966</v>
      </c>
      <c r="Q16" s="10" t="n">
        <f aca="false">IFERROR(K16/H16,"")</f>
        <v>0.00245207311636202</v>
      </c>
      <c r="R16" s="10" t="n">
        <f aca="false">IFERROR(L16/H16,"")</f>
        <v>0.00445831475702185</v>
      </c>
      <c r="S16" s="11" t="str">
        <f aca="false">IFERROR(M16/MEDIAN(INDEX($M$5:$M$665,MATCH($A16-90,$A$5:$A$665,1)):INDEX($M$5:$M$665,MATCH($A16+90,$A$5:$A$665,1))),"")</f>
        <v/>
      </c>
      <c r="T16" s="11" t="str">
        <f aca="false">IFERROR(N16/MEDIAN(INDEX($N$5:$N$665,MATCH($A16-90,$A$5:$A$665,1)):INDEX($N$5:$N$665,MATCH($A16+90,$A$5:$A$665,1))),"")</f>
        <v/>
      </c>
      <c r="U16" s="11" t="str">
        <f aca="false">IFERROR(Q16/MEDIAN(INDEX($Q$5:$Q$665,MATCH($A16-90,$A$5:$A$665,1)):INDEX($Q$5:$Q$665,MATCH($A16+90,$A$5:$A$665,1))),"")</f>
        <v/>
      </c>
    </row>
    <row r="17" customFormat="false" ht="15" hidden="false" customHeight="false" outlineLevel="0" collapsed="false">
      <c r="A17" s="13" t="n">
        <v>44966.5273297917</v>
      </c>
      <c r="B17" s="8" t="n">
        <v>12</v>
      </c>
      <c r="C17" s="8" t="s">
        <v>73</v>
      </c>
      <c r="D17" s="8" t="s">
        <v>705</v>
      </c>
      <c r="E17" s="14" t="s">
        <v>66</v>
      </c>
      <c r="F17" s="9" t="n">
        <v>22139</v>
      </c>
      <c r="G17" s="9" t="n">
        <v>7011</v>
      </c>
      <c r="H17" s="9" t="n">
        <v>7008</v>
      </c>
      <c r="I17" s="9" t="n">
        <v>13</v>
      </c>
      <c r="J17" s="9" t="n">
        <v>208</v>
      </c>
      <c r="K17" s="9" t="n">
        <v>28</v>
      </c>
      <c r="L17" s="9" t="n">
        <v>31</v>
      </c>
      <c r="M17" s="10" t="n">
        <f aca="false">IFERROR(G17/F17,"")</f>
        <v>0.316680970233525</v>
      </c>
      <c r="N17" s="10" t="n">
        <f aca="false">IFERROR(H17/G17,"")</f>
        <v>0.999572100984168</v>
      </c>
      <c r="O17" s="11" t="n">
        <f aca="false">IFERROR(I17/H17,"")</f>
        <v>0.00185502283105023</v>
      </c>
      <c r="P17" s="10" t="n">
        <f aca="false">IFERROR(J17/H17,"")</f>
        <v>0.0296803652968037</v>
      </c>
      <c r="Q17" s="10" t="n">
        <f aca="false">IFERROR(K17/H17,"")</f>
        <v>0.00399543378995434</v>
      </c>
      <c r="R17" s="10" t="n">
        <f aca="false">IFERROR(L17/H17,"")</f>
        <v>0.00442351598173516</v>
      </c>
      <c r="S17" s="11" t="str">
        <f aca="false">IFERROR(M17/MEDIAN(INDEX($M$5:$M$665,MATCH($A17-90,$A$5:$A$665,1)):INDEX($M$5:$M$665,MATCH($A17+90,$A$5:$A$665,1))),"")</f>
        <v/>
      </c>
      <c r="T17" s="11" t="str">
        <f aca="false">IFERROR(N17/MEDIAN(INDEX($N$5:$N$665,MATCH($A17-90,$A$5:$A$665,1)):INDEX($N$5:$N$665,MATCH($A17+90,$A$5:$A$665,1))),"")</f>
        <v/>
      </c>
      <c r="U17" s="11" t="str">
        <f aca="false">IFERROR(Q17/MEDIAN(INDEX($Q$5:$Q$665,MATCH($A17-90,$A$5:$A$665,1)):INDEX($Q$5:$Q$665,MATCH($A17+90,$A$5:$A$665,1))),"")</f>
        <v/>
      </c>
    </row>
    <row r="18" customFormat="false" ht="15" hidden="false" customHeight="false" outlineLevel="0" collapsed="false">
      <c r="A18" s="13" t="n">
        <v>44966.5286894907</v>
      </c>
      <c r="B18" s="8" t="n">
        <v>12</v>
      </c>
      <c r="C18" s="8" t="s">
        <v>73</v>
      </c>
      <c r="D18" s="8" t="s">
        <v>706</v>
      </c>
      <c r="E18" s="14" t="s">
        <v>66</v>
      </c>
      <c r="F18" s="9" t="n">
        <v>19731</v>
      </c>
      <c r="G18" s="9" t="n">
        <v>10170</v>
      </c>
      <c r="H18" s="9" t="n">
        <v>10167</v>
      </c>
      <c r="I18" s="9" t="n">
        <v>7</v>
      </c>
      <c r="J18" s="9" t="n">
        <v>233</v>
      </c>
      <c r="K18" s="9" t="n">
        <v>16</v>
      </c>
      <c r="L18" s="9" t="n">
        <v>25</v>
      </c>
      <c r="M18" s="10" t="n">
        <f aca="false">IFERROR(G18/F18,"")</f>
        <v>0.51543256804014</v>
      </c>
      <c r="N18" s="10" t="n">
        <f aca="false">IFERROR(H18/G18,"")</f>
        <v>0.999705014749263</v>
      </c>
      <c r="O18" s="11" t="n">
        <f aca="false">IFERROR(I18/H18,"")</f>
        <v>0.000688502016327334</v>
      </c>
      <c r="P18" s="10" t="n">
        <f aca="false">IFERROR(J18/H18,"")</f>
        <v>0.0229172814006098</v>
      </c>
      <c r="Q18" s="10" t="n">
        <f aca="false">IFERROR(K18/H18,"")</f>
        <v>0.00157371889446248</v>
      </c>
      <c r="R18" s="10" t="n">
        <f aca="false">IFERROR(L18/H18,"")</f>
        <v>0.00245893577259762</v>
      </c>
      <c r="S18" s="11" t="str">
        <f aca="false">IFERROR(M18/MEDIAN(INDEX($M$5:$M$665,MATCH($A18-90,$A$5:$A$665,1)):INDEX($M$5:$M$665,MATCH($A18+90,$A$5:$A$665,1))),"")</f>
        <v/>
      </c>
      <c r="T18" s="11" t="str">
        <f aca="false">IFERROR(N18/MEDIAN(INDEX($N$5:$N$665,MATCH($A18-90,$A$5:$A$665,1)):INDEX($N$5:$N$665,MATCH($A18+90,$A$5:$A$665,1))),"")</f>
        <v/>
      </c>
      <c r="U18" s="11" t="str">
        <f aca="false">IFERROR(Q18/MEDIAN(INDEX($Q$5:$Q$665,MATCH($A18-90,$A$5:$A$665,1)):INDEX($Q$5:$Q$665,MATCH($A18+90,$A$5:$A$665,1))),"")</f>
        <v/>
      </c>
    </row>
    <row r="19" customFormat="false" ht="15" hidden="false" customHeight="false" outlineLevel="0" collapsed="false">
      <c r="A19" s="13" t="n">
        <v>44966.6678934607</v>
      </c>
      <c r="B19" s="8" t="n">
        <v>16</v>
      </c>
      <c r="C19" s="8" t="s">
        <v>73</v>
      </c>
      <c r="D19" s="8" t="s">
        <v>707</v>
      </c>
      <c r="E19" s="14" t="s">
        <v>66</v>
      </c>
      <c r="F19" s="9" t="n">
        <v>33648</v>
      </c>
      <c r="G19" s="9" t="n">
        <v>14551</v>
      </c>
      <c r="H19" s="9" t="n">
        <v>14549</v>
      </c>
      <c r="I19" s="9" t="n">
        <v>5</v>
      </c>
      <c r="J19" s="9" t="n">
        <v>177</v>
      </c>
      <c r="K19" s="9" t="n">
        <v>5</v>
      </c>
      <c r="L19" s="9" t="n">
        <v>35</v>
      </c>
      <c r="M19" s="10" t="n">
        <f aca="false">IFERROR(G19/F19,"")</f>
        <v>0.432447693770804</v>
      </c>
      <c r="N19" s="10" t="n">
        <f aca="false">IFERROR(H19/G19,"")</f>
        <v>0.999862552401897</v>
      </c>
      <c r="O19" s="11" t="n">
        <f aca="false">IFERROR(I19/H19,"")</f>
        <v>0.000343666231356107</v>
      </c>
      <c r="P19" s="10" t="n">
        <f aca="false">IFERROR(J19/H19,"")</f>
        <v>0.0121657845900062</v>
      </c>
      <c r="Q19" s="10" t="n">
        <f aca="false">IFERROR(K19/H19,"")</f>
        <v>0.000343666231356107</v>
      </c>
      <c r="R19" s="10" t="n">
        <f aca="false">IFERROR(L19/H19,"")</f>
        <v>0.00240566361949275</v>
      </c>
      <c r="S19" s="11" t="str">
        <f aca="false">IFERROR(M19/MEDIAN(INDEX($M$5:$M$665,MATCH($A19-90,$A$5:$A$665,1)):INDEX($M$5:$M$665,MATCH($A19+90,$A$5:$A$665,1))),"")</f>
        <v/>
      </c>
      <c r="T19" s="11" t="str">
        <f aca="false">IFERROR(N19/MEDIAN(INDEX($N$5:$N$665,MATCH($A19-90,$A$5:$A$665,1)):INDEX($N$5:$N$665,MATCH($A19+90,$A$5:$A$665,1))),"")</f>
        <v/>
      </c>
      <c r="U19" s="11" t="str">
        <f aca="false">IFERROR(Q19/MEDIAN(INDEX($Q$5:$Q$665,MATCH($A19-90,$A$5:$A$665,1)):INDEX($Q$5:$Q$665,MATCH($A19+90,$A$5:$A$665,1))),"")</f>
        <v/>
      </c>
    </row>
    <row r="20" customFormat="false" ht="15" hidden="false" customHeight="false" outlineLevel="0" collapsed="false">
      <c r="A20" s="13" t="n">
        <v>44967.5230643403</v>
      </c>
      <c r="B20" s="8" t="n">
        <v>12</v>
      </c>
      <c r="C20" s="8" t="s">
        <v>84</v>
      </c>
      <c r="D20" s="8" t="s">
        <v>708</v>
      </c>
      <c r="E20" s="14" t="s">
        <v>66</v>
      </c>
      <c r="F20" s="9" t="n">
        <v>17061</v>
      </c>
      <c r="G20" s="9" t="n">
        <v>8224</v>
      </c>
      <c r="H20" s="9" t="n">
        <v>8223</v>
      </c>
      <c r="I20" s="9" t="n">
        <v>10</v>
      </c>
      <c r="J20" s="9" t="n">
        <v>187</v>
      </c>
      <c r="K20" s="9" t="n">
        <v>10</v>
      </c>
      <c r="L20" s="9" t="n">
        <v>24</v>
      </c>
      <c r="M20" s="10" t="n">
        <f aca="false">IFERROR(G20/F20,"")</f>
        <v>0.482035050700428</v>
      </c>
      <c r="N20" s="10" t="n">
        <f aca="false">IFERROR(H20/G20,"")</f>
        <v>0.999878404669261</v>
      </c>
      <c r="O20" s="11" t="n">
        <f aca="false">IFERROR(I20/H20,"")</f>
        <v>0.00121610117961814</v>
      </c>
      <c r="P20" s="10" t="n">
        <f aca="false">IFERROR(J20/H20,"")</f>
        <v>0.0227410920588593</v>
      </c>
      <c r="Q20" s="10" t="n">
        <f aca="false">IFERROR(K20/H20,"")</f>
        <v>0.00121610117961814</v>
      </c>
      <c r="R20" s="10" t="n">
        <f aca="false">IFERROR(L20/H20,"")</f>
        <v>0.00291864283108355</v>
      </c>
      <c r="S20" s="11" t="str">
        <f aca="false">IFERROR(M20/MEDIAN(INDEX($M$5:$M$665,MATCH($A20-90,$A$5:$A$665,1)):INDEX($M$5:$M$665,MATCH($A20+90,$A$5:$A$665,1))),"")</f>
        <v/>
      </c>
      <c r="T20" s="11" t="str">
        <f aca="false">IFERROR(N20/MEDIAN(INDEX($N$5:$N$665,MATCH($A20-90,$A$5:$A$665,1)):INDEX($N$5:$N$665,MATCH($A20+90,$A$5:$A$665,1))),"")</f>
        <v/>
      </c>
      <c r="U20" s="11" t="str">
        <f aca="false">IFERROR(Q20/MEDIAN(INDEX($Q$5:$Q$665,MATCH($A20-90,$A$5:$A$665,1)):INDEX($Q$5:$Q$665,MATCH($A20+90,$A$5:$A$665,1))),"")</f>
        <v/>
      </c>
    </row>
    <row r="21" customFormat="false" ht="15" hidden="false" customHeight="false" outlineLevel="0" collapsed="false">
      <c r="A21" s="13" t="n">
        <v>44967.5838810648</v>
      </c>
      <c r="B21" s="8" t="n">
        <v>14</v>
      </c>
      <c r="C21" s="8" t="s">
        <v>84</v>
      </c>
      <c r="D21" s="8" t="s">
        <v>709</v>
      </c>
      <c r="E21" s="14" t="s">
        <v>66</v>
      </c>
      <c r="F21" s="9" t="n">
        <v>23220</v>
      </c>
      <c r="G21" s="9" t="n">
        <v>8685</v>
      </c>
      <c r="H21" s="9" t="n">
        <v>8683</v>
      </c>
      <c r="I21" s="9" t="n">
        <v>6</v>
      </c>
      <c r="J21" s="9" t="n">
        <v>211</v>
      </c>
      <c r="K21" s="9" t="n">
        <v>8</v>
      </c>
      <c r="L21" s="9" t="n">
        <v>64</v>
      </c>
      <c r="M21" s="10" t="n">
        <f aca="false">IFERROR(G21/F21,"")</f>
        <v>0.374031007751938</v>
      </c>
      <c r="N21" s="10" t="n">
        <f aca="false">IFERROR(H21/G21,"")</f>
        <v>0.999769717904433</v>
      </c>
      <c r="O21" s="11" t="n">
        <f aca="false">IFERROR(I21/H21,"")</f>
        <v>0.000691005412875734</v>
      </c>
      <c r="P21" s="10" t="n">
        <f aca="false">IFERROR(J21/H21,"")</f>
        <v>0.0243003570194633</v>
      </c>
      <c r="Q21" s="10" t="n">
        <f aca="false">IFERROR(K21/H21,"")</f>
        <v>0.000921340550500979</v>
      </c>
      <c r="R21" s="10" t="n">
        <f aca="false">IFERROR(L21/H21,"")</f>
        <v>0.00737072440400783</v>
      </c>
      <c r="S21" s="11" t="str">
        <f aca="false">IFERROR(M21/MEDIAN(INDEX($M$5:$M$665,MATCH($A21-90,$A$5:$A$665,1)):INDEX($M$5:$M$665,MATCH($A21+90,$A$5:$A$665,1))),"")</f>
        <v/>
      </c>
      <c r="T21" s="11" t="str">
        <f aca="false">IFERROR(N21/MEDIAN(INDEX($N$5:$N$665,MATCH($A21-90,$A$5:$A$665,1)):INDEX($N$5:$N$665,MATCH($A21+90,$A$5:$A$665,1))),"")</f>
        <v/>
      </c>
      <c r="U21" s="11" t="str">
        <f aca="false">IFERROR(Q21/MEDIAN(INDEX($Q$5:$Q$665,MATCH($A21-90,$A$5:$A$665,1)):INDEX($Q$5:$Q$665,MATCH($A21+90,$A$5:$A$665,1))),"")</f>
        <v/>
      </c>
    </row>
    <row r="22" customFormat="false" ht="15" hidden="false" customHeight="false" outlineLevel="0" collapsed="false">
      <c r="A22" s="13" t="n">
        <v>44967.6668968171</v>
      </c>
      <c r="B22" s="8" t="n">
        <v>16</v>
      </c>
      <c r="C22" s="8" t="s">
        <v>84</v>
      </c>
      <c r="D22" s="8" t="s">
        <v>710</v>
      </c>
      <c r="E22" s="14" t="s">
        <v>66</v>
      </c>
      <c r="F22" s="9" t="n">
        <v>30135</v>
      </c>
      <c r="G22" s="9" t="n">
        <v>17590</v>
      </c>
      <c r="H22" s="9" t="n">
        <v>17587</v>
      </c>
      <c r="I22" s="9" t="n">
        <v>7</v>
      </c>
      <c r="J22" s="9" t="n">
        <v>172</v>
      </c>
      <c r="K22" s="9" t="n">
        <v>11</v>
      </c>
      <c r="L22" s="9" t="n">
        <v>10</v>
      </c>
      <c r="M22" s="10" t="n">
        <f aca="false">IFERROR(G22/F22,"")</f>
        <v>0.583706653393065</v>
      </c>
      <c r="N22" s="10" t="n">
        <f aca="false">IFERROR(H22/G22,"")</f>
        <v>0.999829448550313</v>
      </c>
      <c r="O22" s="11" t="n">
        <f aca="false">IFERROR(I22/H22,"")</f>
        <v>0.000398021265707625</v>
      </c>
      <c r="P22" s="10" t="n">
        <f aca="false">IFERROR(J22/H22,"")</f>
        <v>0.0097799511002445</v>
      </c>
      <c r="Q22" s="10" t="n">
        <f aca="false">IFERROR(K22/H22,"")</f>
        <v>0.000625461988969125</v>
      </c>
      <c r="R22" s="10" t="n">
        <f aca="false">IFERROR(L22/H22,"")</f>
        <v>0.00056860180815375</v>
      </c>
      <c r="S22" s="11" t="str">
        <f aca="false">IFERROR(M22/MEDIAN(INDEX($M$5:$M$665,MATCH($A22-90,$A$5:$A$665,1)):INDEX($M$5:$M$665,MATCH($A22+90,$A$5:$A$665,1))),"")</f>
        <v/>
      </c>
      <c r="T22" s="11" t="str">
        <f aca="false">IFERROR(N22/MEDIAN(INDEX($N$5:$N$665,MATCH($A22-90,$A$5:$A$665,1)):INDEX($N$5:$N$665,MATCH($A22+90,$A$5:$A$665,1))),"")</f>
        <v/>
      </c>
      <c r="U22" s="11" t="str">
        <f aca="false">IFERROR(Q22/MEDIAN(INDEX($Q$5:$Q$665,MATCH($A22-90,$A$5:$A$665,1)):INDEX($Q$5:$Q$665,MATCH($A22+90,$A$5:$A$665,1))),"")</f>
        <v/>
      </c>
    </row>
    <row r="23" customFormat="false" ht="15" hidden="false" customHeight="false" outlineLevel="0" collapsed="false">
      <c r="A23" s="13" t="n">
        <v>44967.7502459722</v>
      </c>
      <c r="B23" s="8" t="n">
        <v>18</v>
      </c>
      <c r="C23" s="8" t="s">
        <v>84</v>
      </c>
      <c r="D23" s="8" t="s">
        <v>711</v>
      </c>
      <c r="E23" s="14" t="s">
        <v>66</v>
      </c>
      <c r="F23" s="9" t="n">
        <v>4943</v>
      </c>
      <c r="G23" s="9" t="n">
        <v>3012</v>
      </c>
      <c r="H23" s="9" t="n">
        <v>3010</v>
      </c>
      <c r="I23" s="9" t="n">
        <v>6</v>
      </c>
      <c r="J23" s="9" t="n">
        <v>147</v>
      </c>
      <c r="K23" s="9" t="n">
        <v>2</v>
      </c>
      <c r="L23" s="9" t="n">
        <v>4</v>
      </c>
      <c r="M23" s="10" t="n">
        <f aca="false">IFERROR(G23/F23,"")</f>
        <v>0.609346550677726</v>
      </c>
      <c r="N23" s="10" t="n">
        <f aca="false">IFERROR(H23/G23,"")</f>
        <v>0.99933598937583</v>
      </c>
      <c r="O23" s="11" t="n">
        <f aca="false">IFERROR(I23/H23,"")</f>
        <v>0.00199335548172757</v>
      </c>
      <c r="P23" s="10" t="n">
        <f aca="false">IFERROR(J23/H23,"")</f>
        <v>0.0488372093023256</v>
      </c>
      <c r="Q23" s="10" t="n">
        <f aca="false">IFERROR(K23/H23,"")</f>
        <v>0.000664451827242525</v>
      </c>
      <c r="R23" s="10" t="n">
        <f aca="false">IFERROR(L23/H23,"")</f>
        <v>0.00132890365448505</v>
      </c>
      <c r="S23" s="11" t="str">
        <f aca="false">IFERROR(M23/MEDIAN(INDEX($M$5:$M$665,MATCH($A23-90,$A$5:$A$665,1)):INDEX($M$5:$M$665,MATCH($A23+90,$A$5:$A$665,1))),"")</f>
        <v/>
      </c>
      <c r="T23" s="11" t="str">
        <f aca="false">IFERROR(N23/MEDIAN(INDEX($N$5:$N$665,MATCH($A23-90,$A$5:$A$665,1)):INDEX($N$5:$N$665,MATCH($A23+90,$A$5:$A$665,1))),"")</f>
        <v/>
      </c>
      <c r="U23" s="11" t="str">
        <f aca="false">IFERROR(Q23/MEDIAN(INDEX($Q$5:$Q$665,MATCH($A23-90,$A$5:$A$665,1)):INDEX($Q$5:$Q$665,MATCH($A23+90,$A$5:$A$665,1))),"")</f>
        <v/>
      </c>
    </row>
    <row r="24" customFormat="false" ht="15" hidden="false" customHeight="false" outlineLevel="0" collapsed="false">
      <c r="A24" s="13" t="n">
        <v>44968.5584994907</v>
      </c>
      <c r="B24" s="8" t="n">
        <v>13</v>
      </c>
      <c r="C24" s="8" t="s">
        <v>68</v>
      </c>
      <c r="D24" s="8" t="s">
        <v>712</v>
      </c>
      <c r="E24" s="14" t="s">
        <v>66</v>
      </c>
      <c r="F24" s="9" t="n">
        <v>5733</v>
      </c>
      <c r="G24" s="9" t="n">
        <v>3067</v>
      </c>
      <c r="H24" s="9" t="n">
        <v>3064</v>
      </c>
      <c r="I24" s="9" t="n">
        <v>4</v>
      </c>
      <c r="J24" s="9" t="n">
        <v>134</v>
      </c>
      <c r="K24" s="9" t="n">
        <v>6</v>
      </c>
      <c r="L24" s="9" t="n">
        <v>10</v>
      </c>
      <c r="M24" s="10" t="n">
        <f aca="false">IFERROR(G24/F24,"")</f>
        <v>0.534972963544392</v>
      </c>
      <c r="N24" s="10" t="n">
        <f aca="false">IFERROR(H24/G24,"")</f>
        <v>0.999021845451581</v>
      </c>
      <c r="O24" s="11" t="n">
        <f aca="false">IFERROR(I24/H24,"")</f>
        <v>0.00130548302872063</v>
      </c>
      <c r="P24" s="10" t="n">
        <f aca="false">IFERROR(J24/H24,"")</f>
        <v>0.043733681462141</v>
      </c>
      <c r="Q24" s="10" t="n">
        <f aca="false">IFERROR(K24/H24,"")</f>
        <v>0.00195822454308094</v>
      </c>
      <c r="R24" s="10" t="n">
        <f aca="false">IFERROR(L24/H24,"")</f>
        <v>0.00326370757180157</v>
      </c>
      <c r="S24" s="11" t="str">
        <f aca="false">IFERROR(M24/MEDIAN(INDEX($M$5:$M$665,MATCH($A24-90,$A$5:$A$665,1)):INDEX($M$5:$M$665,MATCH($A24+90,$A$5:$A$665,1))),"")</f>
        <v/>
      </c>
      <c r="T24" s="11" t="str">
        <f aca="false">IFERROR(N24/MEDIAN(INDEX($N$5:$N$665,MATCH($A24-90,$A$5:$A$665,1)):INDEX($N$5:$N$665,MATCH($A24+90,$A$5:$A$665,1))),"")</f>
        <v/>
      </c>
      <c r="U24" s="11" t="str">
        <f aca="false">IFERROR(Q24/MEDIAN(INDEX($Q$5:$Q$665,MATCH($A24-90,$A$5:$A$665,1)):INDEX($Q$5:$Q$665,MATCH($A24+90,$A$5:$A$665,1))),"")</f>
        <v/>
      </c>
    </row>
    <row r="25" customFormat="false" ht="15" hidden="false" customHeight="false" outlineLevel="0" collapsed="false">
      <c r="A25" s="13" t="n">
        <v>44968.6250253472</v>
      </c>
      <c r="B25" s="8" t="n">
        <v>15</v>
      </c>
      <c r="C25" s="8" t="s">
        <v>68</v>
      </c>
      <c r="D25" s="8" t="s">
        <v>713</v>
      </c>
      <c r="E25" s="14" t="s">
        <v>66</v>
      </c>
      <c r="F25" s="9" t="n">
        <v>29791</v>
      </c>
      <c r="G25" s="9" t="n">
        <v>15413</v>
      </c>
      <c r="H25" s="9" t="n">
        <v>15409</v>
      </c>
      <c r="I25" s="9" t="n">
        <v>4</v>
      </c>
      <c r="J25" s="9" t="n">
        <v>125</v>
      </c>
      <c r="K25" s="9" t="n">
        <v>12</v>
      </c>
      <c r="L25" s="9" t="n">
        <v>23</v>
      </c>
      <c r="M25" s="10" t="n">
        <f aca="false">IFERROR(G25/F25,"")</f>
        <v>0.517371018092713</v>
      </c>
      <c r="N25" s="10" t="n">
        <f aca="false">IFERROR(H25/G25,"")</f>
        <v>0.999740478816584</v>
      </c>
      <c r="O25" s="11" t="n">
        <f aca="false">IFERROR(I25/H25,"")</f>
        <v>0.00025958855214485</v>
      </c>
      <c r="P25" s="10" t="n">
        <f aca="false">IFERROR(J25/H25,"")</f>
        <v>0.00811214225452658</v>
      </c>
      <c r="Q25" s="10" t="n">
        <f aca="false">IFERROR(K25/H25,"")</f>
        <v>0.000778765656434551</v>
      </c>
      <c r="R25" s="10" t="n">
        <f aca="false">IFERROR(L25/H25,"")</f>
        <v>0.00149263417483289</v>
      </c>
      <c r="S25" s="11" t="str">
        <f aca="false">IFERROR(M25/MEDIAN(INDEX($M$5:$M$665,MATCH($A25-90,$A$5:$A$665,1)):INDEX($M$5:$M$665,MATCH($A25+90,$A$5:$A$665,1))),"")</f>
        <v/>
      </c>
      <c r="T25" s="11" t="str">
        <f aca="false">IFERROR(N25/MEDIAN(INDEX($N$5:$N$665,MATCH($A25-90,$A$5:$A$665,1)):INDEX($N$5:$N$665,MATCH($A25+90,$A$5:$A$665,1))),"")</f>
        <v/>
      </c>
      <c r="U25" s="11" t="str">
        <f aca="false">IFERROR(Q25/MEDIAN(INDEX($Q$5:$Q$665,MATCH($A25-90,$A$5:$A$665,1)):INDEX($Q$5:$Q$665,MATCH($A25+90,$A$5:$A$665,1))),"")</f>
        <v/>
      </c>
    </row>
    <row r="26" customFormat="false" ht="15" hidden="false" customHeight="false" outlineLevel="0" collapsed="false">
      <c r="A26" s="13" t="n">
        <v>44968.7088546991</v>
      </c>
      <c r="B26" s="8" t="n">
        <v>17</v>
      </c>
      <c r="C26" s="8" t="s">
        <v>68</v>
      </c>
      <c r="D26" s="8" t="s">
        <v>714</v>
      </c>
      <c r="E26" s="14" t="s">
        <v>66</v>
      </c>
      <c r="F26" s="9" t="n">
        <v>30079</v>
      </c>
      <c r="G26" s="9" t="n">
        <v>18861</v>
      </c>
      <c r="H26" s="9" t="n">
        <v>18867</v>
      </c>
      <c r="I26" s="9" t="n">
        <v>75</v>
      </c>
      <c r="J26" s="9" t="n">
        <v>188</v>
      </c>
      <c r="K26" s="9" t="n">
        <v>15</v>
      </c>
      <c r="L26" s="9" t="n">
        <v>25</v>
      </c>
      <c r="M26" s="10" t="n">
        <f aca="false">IFERROR(G26/F26,"")</f>
        <v>0.627048771568204</v>
      </c>
      <c r="N26" s="10" t="n">
        <f aca="false">IFERROR(H26/G26,"")</f>
        <v>1.00031811674885</v>
      </c>
      <c r="O26" s="11" t="n">
        <f aca="false">IFERROR(I26/H26,"")</f>
        <v>0.00397519478454444</v>
      </c>
      <c r="P26" s="10" t="n">
        <f aca="false">IFERROR(J26/H26,"")</f>
        <v>0.00996448825992474</v>
      </c>
      <c r="Q26" s="10" t="n">
        <f aca="false">IFERROR(K26/H26,"")</f>
        <v>0.000795038956908889</v>
      </c>
      <c r="R26" s="10" t="n">
        <f aca="false">IFERROR(L26/H26,"")</f>
        <v>0.00132506492818148</v>
      </c>
      <c r="S26" s="11" t="str">
        <f aca="false">IFERROR(M26/MEDIAN(INDEX($M$5:$M$665,MATCH($A26-90,$A$5:$A$665,1)):INDEX($M$5:$M$665,MATCH($A26+90,$A$5:$A$665,1))),"")</f>
        <v/>
      </c>
      <c r="T26" s="11" t="str">
        <f aca="false">IFERROR(N26/MEDIAN(INDEX($N$5:$N$665,MATCH($A26-90,$A$5:$A$665,1)):INDEX($N$5:$N$665,MATCH($A26+90,$A$5:$A$665,1))),"")</f>
        <v/>
      </c>
      <c r="U26" s="11" t="str">
        <f aca="false">IFERROR(Q26/MEDIAN(INDEX($Q$5:$Q$665,MATCH($A26-90,$A$5:$A$665,1)):INDEX($Q$5:$Q$665,MATCH($A26+90,$A$5:$A$665,1))),"")</f>
        <v/>
      </c>
    </row>
    <row r="27" customFormat="false" ht="15" hidden="false" customHeight="false" outlineLevel="0" collapsed="false">
      <c r="A27" s="13" t="n">
        <v>44968.7918412384</v>
      </c>
      <c r="B27" s="8" t="n">
        <v>19</v>
      </c>
      <c r="C27" s="8" t="s">
        <v>68</v>
      </c>
      <c r="D27" s="8" t="s">
        <v>715</v>
      </c>
      <c r="E27" s="14" t="s">
        <v>66</v>
      </c>
      <c r="F27" s="9" t="n">
        <v>7290</v>
      </c>
      <c r="G27" s="9" t="n">
        <v>4108</v>
      </c>
      <c r="H27" s="9" t="n">
        <v>4107</v>
      </c>
      <c r="I27" s="9" t="n">
        <v>6</v>
      </c>
      <c r="J27" s="9" t="n">
        <v>159</v>
      </c>
      <c r="K27" s="9" t="n">
        <v>9</v>
      </c>
      <c r="L27" s="9" t="n">
        <v>5</v>
      </c>
      <c r="M27" s="10" t="n">
        <f aca="false">IFERROR(G27/F27,"")</f>
        <v>0.563511659807956</v>
      </c>
      <c r="N27" s="10" t="n">
        <f aca="false">IFERROR(H27/G27,"")</f>
        <v>0.999756572541383</v>
      </c>
      <c r="O27" s="11" t="n">
        <f aca="false">IFERROR(I27/H27,"")</f>
        <v>0.0014609203798393</v>
      </c>
      <c r="P27" s="10" t="n">
        <f aca="false">IFERROR(J27/H27,"")</f>
        <v>0.0387143900657414</v>
      </c>
      <c r="Q27" s="10" t="n">
        <f aca="false">IFERROR(K27/H27,"")</f>
        <v>0.00219138056975895</v>
      </c>
      <c r="R27" s="10" t="n">
        <f aca="false">IFERROR(L27/H27,"")</f>
        <v>0.00121743364986608</v>
      </c>
      <c r="S27" s="11" t="str">
        <f aca="false">IFERROR(M27/MEDIAN(INDEX($M$5:$M$665,MATCH($A27-90,$A$5:$A$665,1)):INDEX($M$5:$M$665,MATCH($A27+90,$A$5:$A$665,1))),"")</f>
        <v/>
      </c>
      <c r="T27" s="11" t="str">
        <f aca="false">IFERROR(N27/MEDIAN(INDEX($N$5:$N$665,MATCH($A27-90,$A$5:$A$665,1)):INDEX($N$5:$N$665,MATCH($A27+90,$A$5:$A$665,1))),"")</f>
        <v/>
      </c>
      <c r="U27" s="11" t="str">
        <f aca="false">IFERROR(Q27/MEDIAN(INDEX($Q$5:$Q$665,MATCH($A27-90,$A$5:$A$665,1)):INDEX($Q$5:$Q$665,MATCH($A27+90,$A$5:$A$665,1))),"")</f>
        <v/>
      </c>
    </row>
    <row r="28" customFormat="false" ht="15" hidden="false" customHeight="false" outlineLevel="0" collapsed="false">
      <c r="A28" s="13" t="n">
        <v>44969.5005141782</v>
      </c>
      <c r="B28" s="8" t="n">
        <v>12</v>
      </c>
      <c r="C28" s="8" t="s">
        <v>86</v>
      </c>
      <c r="D28" s="8" t="s">
        <v>716</v>
      </c>
      <c r="E28" s="14" t="s">
        <v>66</v>
      </c>
      <c r="F28" s="9" t="n">
        <v>10594</v>
      </c>
      <c r="G28" s="9" t="n">
        <v>6540</v>
      </c>
      <c r="H28" s="9" t="n">
        <v>6540</v>
      </c>
      <c r="I28" s="9" t="n">
        <v>3</v>
      </c>
      <c r="J28" s="9" t="n">
        <v>231</v>
      </c>
      <c r="K28" s="9" t="n">
        <v>15</v>
      </c>
      <c r="L28" s="9" t="n">
        <v>15</v>
      </c>
      <c r="M28" s="10" t="n">
        <f aca="false">IFERROR(G28/F28,"")</f>
        <v>0.617330564470455</v>
      </c>
      <c r="N28" s="10" t="n">
        <f aca="false">IFERROR(H28/G28,"")</f>
        <v>1</v>
      </c>
      <c r="O28" s="11" t="n">
        <f aca="false">IFERROR(I28/H28,"")</f>
        <v>0.000458715596330275</v>
      </c>
      <c r="P28" s="10" t="n">
        <f aca="false">IFERROR(J28/H28,"")</f>
        <v>0.0353211009174312</v>
      </c>
      <c r="Q28" s="10" t="n">
        <f aca="false">IFERROR(K28/H28,"")</f>
        <v>0.00229357798165138</v>
      </c>
      <c r="R28" s="10" t="n">
        <f aca="false">IFERROR(L28/H28,"")</f>
        <v>0.00229357798165138</v>
      </c>
      <c r="S28" s="11" t="str">
        <f aca="false">IFERROR(M28/MEDIAN(INDEX($M$5:$M$665,MATCH($A28-90,$A$5:$A$665,1)):INDEX($M$5:$M$665,MATCH($A28+90,$A$5:$A$665,1))),"")</f>
        <v/>
      </c>
      <c r="T28" s="11" t="str">
        <f aca="false">IFERROR(N28/MEDIAN(INDEX($N$5:$N$665,MATCH($A28-90,$A$5:$A$665,1)):INDEX($N$5:$N$665,MATCH($A28+90,$A$5:$A$665,1))),"")</f>
        <v/>
      </c>
      <c r="U28" s="11" t="str">
        <f aca="false">IFERROR(Q28/MEDIAN(INDEX($Q$5:$Q$665,MATCH($A28-90,$A$5:$A$665,1)):INDEX($Q$5:$Q$665,MATCH($A28+90,$A$5:$A$665,1))),"")</f>
        <v/>
      </c>
    </row>
    <row r="29" customFormat="false" ht="15" hidden="false" customHeight="false" outlineLevel="0" collapsed="false">
      <c r="A29" s="13" t="n">
        <v>44969.5836273843</v>
      </c>
      <c r="B29" s="8" t="n">
        <v>14</v>
      </c>
      <c r="C29" s="8" t="s">
        <v>86</v>
      </c>
      <c r="D29" s="8" t="s">
        <v>717</v>
      </c>
      <c r="E29" s="14" t="s">
        <v>66</v>
      </c>
      <c r="F29" s="9" t="n">
        <v>21084</v>
      </c>
      <c r="G29" s="9" t="n">
        <v>6905</v>
      </c>
      <c r="H29" s="9" t="n">
        <v>6904</v>
      </c>
      <c r="I29" s="9" t="n">
        <v>2</v>
      </c>
      <c r="J29" s="9" t="n">
        <v>106</v>
      </c>
      <c r="K29" s="9" t="n">
        <v>7</v>
      </c>
      <c r="L29" s="9" t="n">
        <v>9</v>
      </c>
      <c r="M29" s="10" t="n">
        <f aca="false">IFERROR(G29/F29,"")</f>
        <v>0.327499525706697</v>
      </c>
      <c r="N29" s="10" t="n">
        <f aca="false">IFERROR(H29/G29,"")</f>
        <v>0.999855177407676</v>
      </c>
      <c r="O29" s="11" t="n">
        <f aca="false">IFERROR(I29/H29,"")</f>
        <v>0.000289687137891078</v>
      </c>
      <c r="P29" s="10" t="n">
        <f aca="false">IFERROR(J29/H29,"")</f>
        <v>0.0153534183082271</v>
      </c>
      <c r="Q29" s="10" t="n">
        <f aca="false">IFERROR(K29/H29,"")</f>
        <v>0.00101390498261877</v>
      </c>
      <c r="R29" s="10" t="n">
        <f aca="false">IFERROR(L29/H29,"")</f>
        <v>0.00130359212050985</v>
      </c>
      <c r="S29" s="11" t="str">
        <f aca="false">IFERROR(M29/MEDIAN(INDEX($M$5:$M$665,MATCH($A29-90,$A$5:$A$665,1)):INDEX($M$5:$M$665,MATCH($A29+90,$A$5:$A$665,1))),"")</f>
        <v/>
      </c>
      <c r="T29" s="11" t="str">
        <f aca="false">IFERROR(N29/MEDIAN(INDEX($N$5:$N$665,MATCH($A29-90,$A$5:$A$665,1)):INDEX($N$5:$N$665,MATCH($A29+90,$A$5:$A$665,1))),"")</f>
        <v/>
      </c>
      <c r="U29" s="11" t="str">
        <f aca="false">IFERROR(Q29/MEDIAN(INDEX($Q$5:$Q$665,MATCH($A29-90,$A$5:$A$665,1)):INDEX($Q$5:$Q$665,MATCH($A29+90,$A$5:$A$665,1))),"")</f>
        <v/>
      </c>
    </row>
    <row r="30" customFormat="false" ht="15" hidden="false" customHeight="false" outlineLevel="0" collapsed="false">
      <c r="A30" s="13" t="n">
        <v>44969.6670067477</v>
      </c>
      <c r="B30" s="8" t="n">
        <v>16</v>
      </c>
      <c r="C30" s="8" t="s">
        <v>86</v>
      </c>
      <c r="D30" s="8" t="s">
        <v>718</v>
      </c>
      <c r="E30" s="14" t="s">
        <v>66</v>
      </c>
      <c r="F30" s="9" t="n">
        <v>8510</v>
      </c>
      <c r="G30" s="9" t="n">
        <v>4320</v>
      </c>
      <c r="H30" s="9" t="n">
        <v>4321</v>
      </c>
      <c r="I30" s="9" t="n">
        <v>7</v>
      </c>
      <c r="J30" s="9" t="n">
        <v>152</v>
      </c>
      <c r="K30" s="9" t="n">
        <v>3</v>
      </c>
      <c r="L30" s="9" t="n">
        <v>8</v>
      </c>
      <c r="M30" s="10" t="n">
        <f aca="false">IFERROR(G30/F30,"")</f>
        <v>0.507638072855464</v>
      </c>
      <c r="N30" s="10" t="n">
        <f aca="false">IFERROR(H30/G30,"")</f>
        <v>1.00023148148148</v>
      </c>
      <c r="O30" s="11" t="n">
        <f aca="false">IFERROR(I30/H30,"")</f>
        <v>0.0016199953714418</v>
      </c>
      <c r="P30" s="10" t="n">
        <f aca="false">IFERROR(J30/H30,"")</f>
        <v>0.0351770423513076</v>
      </c>
      <c r="Q30" s="10" t="n">
        <f aca="false">IFERROR(K30/H30,"")</f>
        <v>0.000694283730617913</v>
      </c>
      <c r="R30" s="10" t="n">
        <f aca="false">IFERROR(L30/H30,"")</f>
        <v>0.00185142328164777</v>
      </c>
      <c r="S30" s="11" t="str">
        <f aca="false">IFERROR(M30/MEDIAN(INDEX($M$5:$M$665,MATCH($A30-90,$A$5:$A$665,1)):INDEX($M$5:$M$665,MATCH($A30+90,$A$5:$A$665,1))),"")</f>
        <v/>
      </c>
      <c r="T30" s="11" t="str">
        <f aca="false">IFERROR(N30/MEDIAN(INDEX($N$5:$N$665,MATCH($A30-90,$A$5:$A$665,1)):INDEX($N$5:$N$665,MATCH($A30+90,$A$5:$A$665,1))),"")</f>
        <v/>
      </c>
      <c r="U30" s="11" t="str">
        <f aca="false">IFERROR(Q30/MEDIAN(INDEX($Q$5:$Q$665,MATCH($A30-90,$A$5:$A$665,1)):INDEX($Q$5:$Q$665,MATCH($A30+90,$A$5:$A$665,1))),"")</f>
        <v/>
      </c>
    </row>
    <row r="31" customFormat="false" ht="15" hidden="false" customHeight="false" outlineLevel="0" collapsed="false">
      <c r="A31" s="13" t="n">
        <v>44969.7502056134</v>
      </c>
      <c r="B31" s="8" t="n">
        <v>18</v>
      </c>
      <c r="C31" s="8" t="s">
        <v>86</v>
      </c>
      <c r="D31" s="8" t="s">
        <v>719</v>
      </c>
      <c r="E31" s="14" t="s">
        <v>66</v>
      </c>
      <c r="F31" s="9" t="n">
        <v>1480</v>
      </c>
      <c r="G31" s="9" t="n">
        <v>848</v>
      </c>
      <c r="H31" s="9" t="n">
        <v>847</v>
      </c>
      <c r="I31" s="9" t="n">
        <v>5</v>
      </c>
      <c r="J31" s="9" t="n">
        <v>49</v>
      </c>
      <c r="K31" s="9" t="n">
        <v>0</v>
      </c>
      <c r="L31" s="9" t="n">
        <v>0</v>
      </c>
      <c r="M31" s="10" t="n">
        <f aca="false">IFERROR(G31/F31,"")</f>
        <v>0.572972972972973</v>
      </c>
      <c r="N31" s="10" t="n">
        <f aca="false">IFERROR(H31/G31,"")</f>
        <v>0.998820754716981</v>
      </c>
      <c r="O31" s="11" t="n">
        <f aca="false">IFERROR(I31/H31,"")</f>
        <v>0.00590318772136954</v>
      </c>
      <c r="P31" s="10" t="n">
        <f aca="false">IFERROR(J31/H31,"")</f>
        <v>0.0578512396694215</v>
      </c>
      <c r="Q31" s="10" t="n">
        <f aca="false">IFERROR(K31/H31,"")</f>
        <v>0</v>
      </c>
      <c r="R31" s="10" t="n">
        <f aca="false">IFERROR(L31/H31,"")</f>
        <v>0</v>
      </c>
      <c r="S31" s="11" t="str">
        <f aca="false">IFERROR(M31/MEDIAN(INDEX($M$5:$M$665,MATCH($A31-90,$A$5:$A$665,1)):INDEX($M$5:$M$665,MATCH($A31+90,$A$5:$A$665,1))),"")</f>
        <v/>
      </c>
      <c r="T31" s="11" t="str">
        <f aca="false">IFERROR(N31/MEDIAN(INDEX($N$5:$N$665,MATCH($A31-90,$A$5:$A$665,1)):INDEX($N$5:$N$665,MATCH($A31+90,$A$5:$A$665,1))),"")</f>
        <v/>
      </c>
      <c r="U31" s="11" t="str">
        <f aca="false">IFERROR(Q31/MEDIAN(INDEX($Q$5:$Q$665,MATCH($A31-90,$A$5:$A$665,1)):INDEX($Q$5:$Q$665,MATCH($A31+90,$A$5:$A$665,1))),"")</f>
        <v/>
      </c>
    </row>
    <row r="32" customFormat="false" ht="15" hidden="false" customHeight="false" outlineLevel="0" collapsed="false">
      <c r="A32" s="13" t="n">
        <v>44970.5208300463</v>
      </c>
      <c r="B32" s="8" t="n">
        <v>12</v>
      </c>
      <c r="C32" s="8" t="s">
        <v>80</v>
      </c>
      <c r="D32" s="8" t="s">
        <v>720</v>
      </c>
      <c r="E32" s="14" t="s">
        <v>66</v>
      </c>
      <c r="F32" s="9" t="n">
        <v>46499</v>
      </c>
      <c r="G32" s="9" t="n">
        <v>29711</v>
      </c>
      <c r="H32" s="9" t="n">
        <v>29719</v>
      </c>
      <c r="I32" s="9" t="n">
        <v>57</v>
      </c>
      <c r="J32" s="9" t="n">
        <v>300</v>
      </c>
      <c r="K32" s="9" t="n">
        <v>19</v>
      </c>
      <c r="L32" s="9" t="n">
        <v>56</v>
      </c>
      <c r="M32" s="10" t="n">
        <f aca="false">IFERROR(G32/F32,"")</f>
        <v>0.638959977633928</v>
      </c>
      <c r="N32" s="10" t="n">
        <f aca="false">IFERROR(H32/G32,"")</f>
        <v>1.00026926054323</v>
      </c>
      <c r="O32" s="11" t="n">
        <f aca="false">IFERROR(I32/H32,"")</f>
        <v>0.00191796493825499</v>
      </c>
      <c r="P32" s="10" t="n">
        <f aca="false">IFERROR(J32/H32,"")</f>
        <v>0.0100945523066052</v>
      </c>
      <c r="Q32" s="10" t="n">
        <f aca="false">IFERROR(K32/H32,"")</f>
        <v>0.000639321646084996</v>
      </c>
      <c r="R32" s="10" t="n">
        <f aca="false">IFERROR(L32/H32,"")</f>
        <v>0.0018843164305663</v>
      </c>
      <c r="S32" s="11" t="str">
        <f aca="false">IFERROR(M32/MEDIAN(INDEX($M$5:$M$665,MATCH($A32-90,$A$5:$A$665,1)):INDEX($M$5:$M$665,MATCH($A32+90,$A$5:$A$665,1))),"")</f>
        <v/>
      </c>
      <c r="T32" s="11" t="str">
        <f aca="false">IFERROR(N32/MEDIAN(INDEX($N$5:$N$665,MATCH($A32-90,$A$5:$A$665,1)):INDEX($N$5:$N$665,MATCH($A32+90,$A$5:$A$665,1))),"")</f>
        <v/>
      </c>
      <c r="U32" s="11" t="str">
        <f aca="false">IFERROR(Q32/MEDIAN(INDEX($Q$5:$Q$665,MATCH($A32-90,$A$5:$A$665,1)):INDEX($Q$5:$Q$665,MATCH($A32+90,$A$5:$A$665,1))),"")</f>
        <v/>
      </c>
    </row>
    <row r="33" customFormat="false" ht="15" hidden="false" customHeight="false" outlineLevel="0" collapsed="false">
      <c r="A33" s="13" t="n">
        <v>44970.7919043866</v>
      </c>
      <c r="B33" s="8" t="n">
        <v>19</v>
      </c>
      <c r="C33" s="8" t="s">
        <v>80</v>
      </c>
      <c r="D33" s="8" t="s">
        <v>721</v>
      </c>
      <c r="E33" s="14" t="s">
        <v>66</v>
      </c>
      <c r="F33" s="9" t="n">
        <v>4866</v>
      </c>
      <c r="G33" s="9" t="n">
        <v>2451</v>
      </c>
      <c r="H33" s="9" t="n">
        <v>2461</v>
      </c>
      <c r="I33" s="9" t="n">
        <v>70</v>
      </c>
      <c r="J33" s="9" t="n">
        <v>191</v>
      </c>
      <c r="K33" s="9" t="n">
        <v>5</v>
      </c>
      <c r="L33" s="9" t="n">
        <v>5</v>
      </c>
      <c r="M33" s="10" t="n">
        <f aca="false">IFERROR(G33/F33,"")</f>
        <v>0.503699136868064</v>
      </c>
      <c r="N33" s="10" t="n">
        <f aca="false">IFERROR(H33/G33,"")</f>
        <v>1.00407996736026</v>
      </c>
      <c r="O33" s="11" t="n">
        <f aca="false">IFERROR(I33/H33,"")</f>
        <v>0.0284437220642015</v>
      </c>
      <c r="P33" s="10" t="n">
        <f aca="false">IFERROR(J33/H33,"")</f>
        <v>0.0776107273466071</v>
      </c>
      <c r="Q33" s="10" t="n">
        <f aca="false">IFERROR(K33/H33,"")</f>
        <v>0.00203169443315725</v>
      </c>
      <c r="R33" s="10" t="n">
        <f aca="false">IFERROR(L33/H33,"")</f>
        <v>0.00203169443315725</v>
      </c>
      <c r="S33" s="11" t="str">
        <f aca="false">IFERROR(M33/MEDIAN(INDEX($M$5:$M$665,MATCH($A33-90,$A$5:$A$665,1)):INDEX($M$5:$M$665,MATCH($A33+90,$A$5:$A$665,1))),"")</f>
        <v/>
      </c>
      <c r="T33" s="11" t="str">
        <f aca="false">IFERROR(N33/MEDIAN(INDEX($N$5:$N$665,MATCH($A33-90,$A$5:$A$665,1)):INDEX($N$5:$N$665,MATCH($A33+90,$A$5:$A$665,1))),"")</f>
        <v/>
      </c>
      <c r="U33" s="11" t="str">
        <f aca="false">IFERROR(Q33/MEDIAN(INDEX($Q$5:$Q$665,MATCH($A33-90,$A$5:$A$665,1)):INDEX($Q$5:$Q$665,MATCH($A33+90,$A$5:$A$665,1))),"")</f>
        <v/>
      </c>
    </row>
    <row r="34" customFormat="false" ht="15" hidden="false" customHeight="false" outlineLevel="0" collapsed="false">
      <c r="A34" s="13" t="n">
        <v>44971.8163104398</v>
      </c>
      <c r="B34" s="8" t="n">
        <v>19</v>
      </c>
      <c r="C34" s="8" t="s">
        <v>64</v>
      </c>
      <c r="D34" s="8" t="s">
        <v>722</v>
      </c>
      <c r="E34" s="14" t="s">
        <v>66</v>
      </c>
      <c r="F34" s="9" t="n">
        <v>25282</v>
      </c>
      <c r="G34" s="9" t="n">
        <v>14840</v>
      </c>
      <c r="H34" s="9" t="n">
        <v>14844</v>
      </c>
      <c r="I34" s="9" t="n">
        <v>2</v>
      </c>
      <c r="J34" s="9" t="n">
        <v>225</v>
      </c>
      <c r="K34" s="9" t="n">
        <v>33</v>
      </c>
      <c r="L34" s="9" t="n">
        <v>31</v>
      </c>
      <c r="M34" s="10" t="n">
        <f aca="false">IFERROR(G34/F34,"")</f>
        <v>0.586978878253303</v>
      </c>
      <c r="N34" s="10" t="n">
        <f aca="false">IFERROR(H34/G34,"")</f>
        <v>1.00026954177898</v>
      </c>
      <c r="O34" s="11" t="n">
        <f aca="false">IFERROR(I34/H34,"")</f>
        <v>0.000134734572891404</v>
      </c>
      <c r="P34" s="10" t="n">
        <f aca="false">IFERROR(J34/H34,"")</f>
        <v>0.0151576394502829</v>
      </c>
      <c r="Q34" s="10" t="n">
        <f aca="false">IFERROR(K34/H34,"")</f>
        <v>0.00222312045270817</v>
      </c>
      <c r="R34" s="10" t="n">
        <f aca="false">IFERROR(L34/H34,"")</f>
        <v>0.00208838587981676</v>
      </c>
      <c r="S34" s="11" t="str">
        <f aca="false">IFERROR(M34/MEDIAN(INDEX($M$5:$M$665,MATCH($A34-90,$A$5:$A$665,1)):INDEX($M$5:$M$665,MATCH($A34+90,$A$5:$A$665,1))),"")</f>
        <v/>
      </c>
      <c r="T34" s="11" t="str">
        <f aca="false">IFERROR(N34/MEDIAN(INDEX($N$5:$N$665,MATCH($A34-90,$A$5:$A$665,1)):INDEX($N$5:$N$665,MATCH($A34+90,$A$5:$A$665,1))),"")</f>
        <v/>
      </c>
      <c r="U34" s="11" t="str">
        <f aca="false">IFERROR(Q34/MEDIAN(INDEX($Q$5:$Q$665,MATCH($A34-90,$A$5:$A$665,1)):INDEX($Q$5:$Q$665,MATCH($A34+90,$A$5:$A$665,1))),"")</f>
        <v/>
      </c>
    </row>
    <row r="35" customFormat="false" ht="15" hidden="false" customHeight="false" outlineLevel="0" collapsed="false">
      <c r="A35" s="13" t="n">
        <v>44972.5889185532</v>
      </c>
      <c r="B35" s="8" t="n">
        <v>14</v>
      </c>
      <c r="C35" s="8" t="s">
        <v>71</v>
      </c>
      <c r="D35" s="8" t="s">
        <v>723</v>
      </c>
      <c r="E35" s="14" t="s">
        <v>66</v>
      </c>
      <c r="F35" s="9" t="n">
        <v>8915</v>
      </c>
      <c r="G35" s="9" t="n">
        <v>4691</v>
      </c>
      <c r="H35" s="9" t="n">
        <v>4691</v>
      </c>
      <c r="I35" s="9" t="n">
        <v>6</v>
      </c>
      <c r="J35" s="9" t="n">
        <v>149</v>
      </c>
      <c r="K35" s="9" t="n">
        <v>10</v>
      </c>
      <c r="L35" s="9" t="n">
        <v>8</v>
      </c>
      <c r="M35" s="10" t="n">
        <f aca="false">IFERROR(G35/F35,"")</f>
        <v>0.526191811553561</v>
      </c>
      <c r="N35" s="10" t="n">
        <f aca="false">IFERROR(H35/G35,"")</f>
        <v>1</v>
      </c>
      <c r="O35" s="11" t="n">
        <f aca="false">IFERROR(I35/H35,"")</f>
        <v>0.00127904497974845</v>
      </c>
      <c r="P35" s="10" t="n">
        <f aca="false">IFERROR(J35/H35,"")</f>
        <v>0.03176295033042</v>
      </c>
      <c r="Q35" s="10" t="n">
        <f aca="false">IFERROR(K35/H35,"")</f>
        <v>0.00213174163291409</v>
      </c>
      <c r="R35" s="10" t="n">
        <f aca="false">IFERROR(L35/H35,"")</f>
        <v>0.00170539330633127</v>
      </c>
      <c r="S35" s="11" t="str">
        <f aca="false">IFERROR(M35/MEDIAN(INDEX($M$5:$M$665,MATCH($A35-90,$A$5:$A$665,1)):INDEX($M$5:$M$665,MATCH($A35+90,$A$5:$A$665,1))),"")</f>
        <v/>
      </c>
      <c r="T35" s="11" t="str">
        <f aca="false">IFERROR(N35/MEDIAN(INDEX($N$5:$N$665,MATCH($A35-90,$A$5:$A$665,1)):INDEX($N$5:$N$665,MATCH($A35+90,$A$5:$A$665,1))),"")</f>
        <v/>
      </c>
      <c r="U35" s="11" t="str">
        <f aca="false">IFERROR(Q35/MEDIAN(INDEX($Q$5:$Q$665,MATCH($A35-90,$A$5:$A$665,1)):INDEX($Q$5:$Q$665,MATCH($A35+90,$A$5:$A$665,1))),"")</f>
        <v/>
      </c>
    </row>
    <row r="36" customFormat="false" ht="15" hidden="false" customHeight="false" outlineLevel="0" collapsed="false">
      <c r="A36" s="13" t="n">
        <v>44972.7498728357</v>
      </c>
      <c r="B36" s="8" t="n">
        <v>17</v>
      </c>
      <c r="C36" s="8" t="s">
        <v>71</v>
      </c>
      <c r="D36" s="8" t="s">
        <v>724</v>
      </c>
      <c r="E36" s="14" t="s">
        <v>66</v>
      </c>
      <c r="F36" s="9" t="n">
        <v>26815</v>
      </c>
      <c r="G36" s="9" t="n">
        <v>14615</v>
      </c>
      <c r="H36" s="9" t="n">
        <v>14613</v>
      </c>
      <c r="I36" s="9" t="n">
        <v>1</v>
      </c>
      <c r="J36" s="9" t="n">
        <v>252</v>
      </c>
      <c r="K36" s="9" t="n">
        <v>11</v>
      </c>
      <c r="L36" s="9" t="n">
        <v>42</v>
      </c>
      <c r="M36" s="10" t="n">
        <f aca="false">IFERROR(G36/F36,"")</f>
        <v>0.545030766362111</v>
      </c>
      <c r="N36" s="10" t="n">
        <f aca="false">IFERROR(H36/G36,"")</f>
        <v>0.999863154293534</v>
      </c>
      <c r="O36" s="11" t="n">
        <f aca="false">IFERROR(I36/H36,"")</f>
        <v>6.84322178881818E-005</v>
      </c>
      <c r="P36" s="10" t="n">
        <f aca="false">IFERROR(J36/H36,"")</f>
        <v>0.0172449189078218</v>
      </c>
      <c r="Q36" s="10" t="n">
        <f aca="false">IFERROR(K36/H36,"")</f>
        <v>0.000752754396769999</v>
      </c>
      <c r="R36" s="10" t="n">
        <f aca="false">IFERROR(L36/H36,"")</f>
        <v>0.00287415315130363</v>
      </c>
      <c r="S36" s="11" t="str">
        <f aca="false">IFERROR(M36/MEDIAN(INDEX($M$5:$M$665,MATCH($A36-90,$A$5:$A$665,1)):INDEX($M$5:$M$665,MATCH($A36+90,$A$5:$A$665,1))),"")</f>
        <v/>
      </c>
      <c r="T36" s="11" t="str">
        <f aca="false">IFERROR(N36/MEDIAN(INDEX($N$5:$N$665,MATCH($A36-90,$A$5:$A$665,1)):INDEX($N$5:$N$665,MATCH($A36+90,$A$5:$A$665,1))),"")</f>
        <v/>
      </c>
      <c r="U36" s="11" t="str">
        <f aca="false">IFERROR(Q36/MEDIAN(INDEX($Q$5:$Q$665,MATCH($A36-90,$A$5:$A$665,1)):INDEX($Q$5:$Q$665,MATCH($A36+90,$A$5:$A$665,1))),"")</f>
        <v/>
      </c>
    </row>
    <row r="37" customFormat="false" ht="15" hidden="false" customHeight="false" outlineLevel="0" collapsed="false">
      <c r="A37" s="13" t="n">
        <v>44973.5004800579</v>
      </c>
      <c r="B37" s="8" t="n">
        <v>12</v>
      </c>
      <c r="C37" s="8" t="s">
        <v>73</v>
      </c>
      <c r="D37" s="8" t="s">
        <v>725</v>
      </c>
      <c r="E37" s="14" t="s">
        <v>66</v>
      </c>
      <c r="F37" s="9" t="n">
        <v>101612</v>
      </c>
      <c r="G37" s="9" t="n">
        <v>69913</v>
      </c>
      <c r="H37" s="9" t="n">
        <v>69917</v>
      </c>
      <c r="I37" s="9" t="n">
        <v>39</v>
      </c>
      <c r="J37" s="9" t="n">
        <v>462</v>
      </c>
      <c r="K37" s="9" t="n">
        <v>26</v>
      </c>
      <c r="L37" s="9" t="n">
        <v>91</v>
      </c>
      <c r="M37" s="10" t="n">
        <f aca="false">IFERROR(G37/F37,"")</f>
        <v>0.68803881431327</v>
      </c>
      <c r="N37" s="10" t="n">
        <f aca="false">IFERROR(H37/G37,"")</f>
        <v>1.00005721396593</v>
      </c>
      <c r="O37" s="11" t="n">
        <f aca="false">IFERROR(I37/H37,"")</f>
        <v>0.000557804253615001</v>
      </c>
      <c r="P37" s="10" t="n">
        <f aca="false">IFERROR(J37/H37,"")</f>
        <v>0.00660783500436232</v>
      </c>
      <c r="Q37" s="10" t="n">
        <f aca="false">IFERROR(K37/H37,"")</f>
        <v>0.00037186950241</v>
      </c>
      <c r="R37" s="10" t="n">
        <f aca="false">IFERROR(L37/H37,"")</f>
        <v>0.001301543258435</v>
      </c>
      <c r="S37" s="11" t="str">
        <f aca="false">IFERROR(M37/MEDIAN(INDEX($M$5:$M$665,MATCH($A37-90,$A$5:$A$665,1)):INDEX($M$5:$M$665,MATCH($A37+90,$A$5:$A$665,1))),"")</f>
        <v/>
      </c>
      <c r="T37" s="11" t="str">
        <f aca="false">IFERROR(N37/MEDIAN(INDEX($N$5:$N$665,MATCH($A37-90,$A$5:$A$665,1)):INDEX($N$5:$N$665,MATCH($A37+90,$A$5:$A$665,1))),"")</f>
        <v/>
      </c>
      <c r="U37" s="11" t="str">
        <f aca="false">IFERROR(Q37/MEDIAN(INDEX($Q$5:$Q$665,MATCH($A37-90,$A$5:$A$665,1)):INDEX($Q$5:$Q$665,MATCH($A37+90,$A$5:$A$665,1))),"")</f>
        <v/>
      </c>
    </row>
    <row r="38" customFormat="false" ht="15" hidden="false" customHeight="false" outlineLevel="0" collapsed="false">
      <c r="A38" s="13" t="n">
        <v>44973.7503584028</v>
      </c>
      <c r="B38" s="8" t="n">
        <v>18</v>
      </c>
      <c r="C38" s="8" t="s">
        <v>73</v>
      </c>
      <c r="D38" s="8" t="s">
        <v>726</v>
      </c>
      <c r="E38" s="14" t="s">
        <v>66</v>
      </c>
      <c r="F38" s="9" t="n">
        <v>38034</v>
      </c>
      <c r="G38" s="9" t="n">
        <v>21175</v>
      </c>
      <c r="H38" s="9" t="n">
        <v>21174</v>
      </c>
      <c r="I38" s="9" t="n">
        <v>5</v>
      </c>
      <c r="J38" s="9" t="n">
        <v>186</v>
      </c>
      <c r="K38" s="9" t="n">
        <v>18</v>
      </c>
      <c r="L38" s="9" t="n">
        <v>38</v>
      </c>
      <c r="M38" s="10" t="n">
        <f aca="false">IFERROR(G38/F38,"")</f>
        <v>0.556738707472262</v>
      </c>
      <c r="N38" s="10" t="n">
        <f aca="false">IFERROR(H38/G38,"")</f>
        <v>0.999952774498229</v>
      </c>
      <c r="O38" s="11" t="n">
        <f aca="false">IFERROR(I38/H38,"")</f>
        <v>0.000236138660621517</v>
      </c>
      <c r="P38" s="10" t="n">
        <f aca="false">IFERROR(J38/H38,"")</f>
        <v>0.00878435817512043</v>
      </c>
      <c r="Q38" s="10" t="n">
        <f aca="false">IFERROR(K38/H38,"")</f>
        <v>0.000850099178237461</v>
      </c>
      <c r="R38" s="10" t="n">
        <f aca="false">IFERROR(L38/H38,"")</f>
        <v>0.00179465382072353</v>
      </c>
      <c r="S38" s="11" t="str">
        <f aca="false">IFERROR(M38/MEDIAN(INDEX($M$5:$M$665,MATCH($A38-90,$A$5:$A$665,1)):INDEX($M$5:$M$665,MATCH($A38+90,$A$5:$A$665,1))),"")</f>
        <v/>
      </c>
      <c r="T38" s="11" t="str">
        <f aca="false">IFERROR(N38/MEDIAN(INDEX($N$5:$N$665,MATCH($A38-90,$A$5:$A$665,1)):INDEX($N$5:$N$665,MATCH($A38+90,$A$5:$A$665,1))),"")</f>
        <v/>
      </c>
      <c r="U38" s="11" t="str">
        <f aca="false">IFERROR(Q38/MEDIAN(INDEX($Q$5:$Q$665,MATCH($A38-90,$A$5:$A$665,1)):INDEX($Q$5:$Q$665,MATCH($A38+90,$A$5:$A$665,1))),"")</f>
        <v/>
      </c>
    </row>
    <row r="39" customFormat="false" ht="15" hidden="false" customHeight="false" outlineLevel="0" collapsed="false">
      <c r="A39" s="13" t="n">
        <v>44974.7451912037</v>
      </c>
      <c r="B39" s="8" t="n">
        <v>17</v>
      </c>
      <c r="C39" s="8" t="s">
        <v>84</v>
      </c>
      <c r="D39" s="8" t="s">
        <v>727</v>
      </c>
      <c r="E39" s="14" t="s">
        <v>66</v>
      </c>
      <c r="F39" s="9" t="n">
        <v>7664</v>
      </c>
      <c r="G39" s="9" t="n">
        <v>3831</v>
      </c>
      <c r="H39" s="9" t="n">
        <v>3832</v>
      </c>
      <c r="I39" s="9" t="n">
        <v>12</v>
      </c>
      <c r="J39" s="9" t="n">
        <v>134</v>
      </c>
      <c r="K39" s="9" t="n">
        <v>11</v>
      </c>
      <c r="L39" s="9" t="n">
        <v>6</v>
      </c>
      <c r="M39" s="10" t="n">
        <f aca="false">IFERROR(G39/F39,"")</f>
        <v>0.499869519832985</v>
      </c>
      <c r="N39" s="10" t="n">
        <f aca="false">IFERROR(H39/G39,"")</f>
        <v>1.0002610284521</v>
      </c>
      <c r="O39" s="11" t="n">
        <f aca="false">IFERROR(I39/H39,"")</f>
        <v>0.00313152400835073</v>
      </c>
      <c r="P39" s="10" t="n">
        <f aca="false">IFERROR(J39/H39,"")</f>
        <v>0.0349686847599165</v>
      </c>
      <c r="Q39" s="10" t="n">
        <f aca="false">IFERROR(K39/H39,"")</f>
        <v>0.0028705636743215</v>
      </c>
      <c r="R39" s="10" t="n">
        <f aca="false">IFERROR(L39/H39,"")</f>
        <v>0.00156576200417537</v>
      </c>
      <c r="S39" s="11" t="str">
        <f aca="false">IFERROR(M39/MEDIAN(INDEX($M$5:$M$665,MATCH($A39-90,$A$5:$A$665,1)):INDEX($M$5:$M$665,MATCH($A39+90,$A$5:$A$665,1))),"")</f>
        <v/>
      </c>
      <c r="T39" s="11" t="str">
        <f aca="false">IFERROR(N39/MEDIAN(INDEX($N$5:$N$665,MATCH($A39-90,$A$5:$A$665,1)):INDEX($N$5:$N$665,MATCH($A39+90,$A$5:$A$665,1))),"")</f>
        <v/>
      </c>
      <c r="U39" s="11" t="str">
        <f aca="false">IFERROR(Q39/MEDIAN(INDEX($Q$5:$Q$665,MATCH($A39-90,$A$5:$A$665,1)):INDEX($Q$5:$Q$665,MATCH($A39+90,$A$5:$A$665,1))),"")</f>
        <v/>
      </c>
    </row>
    <row r="40" customFormat="false" ht="15" hidden="false" customHeight="false" outlineLevel="0" collapsed="false">
      <c r="A40" s="13" t="n">
        <v>44976.4531297222</v>
      </c>
      <c r="B40" s="8" t="n">
        <v>10</v>
      </c>
      <c r="C40" s="8" t="s">
        <v>86</v>
      </c>
      <c r="D40" s="8" t="s">
        <v>728</v>
      </c>
      <c r="E40" s="14" t="s">
        <v>66</v>
      </c>
      <c r="F40" s="9" t="n">
        <v>23599</v>
      </c>
      <c r="G40" s="9" t="n">
        <v>7544</v>
      </c>
      <c r="H40" s="9" t="n">
        <v>7541</v>
      </c>
      <c r="I40" s="9" t="n">
        <v>9</v>
      </c>
      <c r="J40" s="9" t="n">
        <v>151</v>
      </c>
      <c r="K40" s="9" t="n">
        <v>8</v>
      </c>
      <c r="L40" s="9" t="n">
        <v>11</v>
      </c>
      <c r="M40" s="10" t="n">
        <f aca="false">IFERROR(G40/F40,"")</f>
        <v>0.319674562481461</v>
      </c>
      <c r="N40" s="10" t="n">
        <f aca="false">IFERROR(H40/G40,"")</f>
        <v>0.999602332979852</v>
      </c>
      <c r="O40" s="11" t="n">
        <f aca="false">IFERROR(I40/H40,"")</f>
        <v>0.00119347566635725</v>
      </c>
      <c r="P40" s="10" t="n">
        <f aca="false">IFERROR(J40/H40,"")</f>
        <v>0.0200238695133271</v>
      </c>
      <c r="Q40" s="10" t="n">
        <f aca="false">IFERROR(K40/H40,"")</f>
        <v>0.00106086725898422</v>
      </c>
      <c r="R40" s="10" t="n">
        <f aca="false">IFERROR(L40/H40,"")</f>
        <v>0.0014586924811033</v>
      </c>
      <c r="S40" s="11" t="str">
        <f aca="false">IFERROR(M40/MEDIAN(INDEX($M$5:$M$665,MATCH($A40-90,$A$5:$A$665,1)):INDEX($M$5:$M$665,MATCH($A40+90,$A$5:$A$665,1))),"")</f>
        <v/>
      </c>
      <c r="T40" s="11" t="str">
        <f aca="false">IFERROR(N40/MEDIAN(INDEX($N$5:$N$665,MATCH($A40-90,$A$5:$A$665,1)):INDEX($N$5:$N$665,MATCH($A40+90,$A$5:$A$665,1))),"")</f>
        <v/>
      </c>
      <c r="U40" s="11" t="str">
        <f aca="false">IFERROR(Q40/MEDIAN(INDEX($Q$5:$Q$665,MATCH($A40-90,$A$5:$A$665,1)):INDEX($Q$5:$Q$665,MATCH($A40+90,$A$5:$A$665,1))),"")</f>
        <v/>
      </c>
    </row>
    <row r="41" customFormat="false" ht="15" hidden="false" customHeight="false" outlineLevel="0" collapsed="false">
      <c r="A41" s="13" t="n">
        <v>44976.7500727199</v>
      </c>
      <c r="B41" s="8" t="n">
        <v>18</v>
      </c>
      <c r="C41" s="8" t="s">
        <v>86</v>
      </c>
      <c r="D41" s="8" t="s">
        <v>729</v>
      </c>
      <c r="E41" s="14" t="s">
        <v>66</v>
      </c>
      <c r="F41" s="9" t="n">
        <v>6982</v>
      </c>
      <c r="G41" s="9" t="n">
        <v>3381</v>
      </c>
      <c r="H41" s="9" t="n">
        <v>3378</v>
      </c>
      <c r="I41" s="9" t="n">
        <v>5</v>
      </c>
      <c r="J41" s="9" t="n">
        <v>136</v>
      </c>
      <c r="K41" s="9" t="n">
        <v>4</v>
      </c>
      <c r="L41" s="9" t="n">
        <v>4</v>
      </c>
      <c r="M41" s="10" t="n">
        <f aca="false">IFERROR(G41/F41,"")</f>
        <v>0.484245201947866</v>
      </c>
      <c r="N41" s="10" t="n">
        <f aca="false">IFERROR(H41/G41,"")</f>
        <v>0.999112688553682</v>
      </c>
      <c r="O41" s="11" t="n">
        <f aca="false">IFERROR(I41/H41,"")</f>
        <v>0.0014801657785672</v>
      </c>
      <c r="P41" s="10" t="n">
        <f aca="false">IFERROR(J41/H41,"")</f>
        <v>0.0402605091770278</v>
      </c>
      <c r="Q41" s="10" t="n">
        <f aca="false">IFERROR(K41/H41,"")</f>
        <v>0.00118413262285376</v>
      </c>
      <c r="R41" s="10" t="n">
        <f aca="false">IFERROR(L41/H41,"")</f>
        <v>0.00118413262285376</v>
      </c>
      <c r="S41" s="11" t="str">
        <f aca="false">IFERROR(M41/MEDIAN(INDEX($M$5:$M$665,MATCH($A41-90,$A$5:$A$665,1)):INDEX($M$5:$M$665,MATCH($A41+90,$A$5:$A$665,1))),"")</f>
        <v/>
      </c>
      <c r="T41" s="11" t="str">
        <f aca="false">IFERROR(N41/MEDIAN(INDEX($N$5:$N$665,MATCH($A41-90,$A$5:$A$665,1)):INDEX($N$5:$N$665,MATCH($A41+90,$A$5:$A$665,1))),"")</f>
        <v/>
      </c>
      <c r="U41" s="11" t="str">
        <f aca="false">IFERROR(Q41/MEDIAN(INDEX($Q$5:$Q$665,MATCH($A41-90,$A$5:$A$665,1)):INDEX($Q$5:$Q$665,MATCH($A41+90,$A$5:$A$665,1))),"")</f>
        <v/>
      </c>
    </row>
    <row r="42" customFormat="false" ht="15" hidden="false" customHeight="false" outlineLevel="0" collapsed="false">
      <c r="A42" s="13" t="n">
        <v>44977.5004239931</v>
      </c>
      <c r="B42" s="8" t="n">
        <v>12</v>
      </c>
      <c r="C42" s="8" t="s">
        <v>80</v>
      </c>
      <c r="D42" s="8" t="s">
        <v>730</v>
      </c>
      <c r="E42" s="14" t="s">
        <v>66</v>
      </c>
      <c r="F42" s="9" t="n">
        <v>60640</v>
      </c>
      <c r="G42" s="9" t="n">
        <v>36202</v>
      </c>
      <c r="H42" s="9" t="n">
        <v>36204</v>
      </c>
      <c r="I42" s="9" t="n">
        <v>44</v>
      </c>
      <c r="J42" s="9" t="n">
        <v>260</v>
      </c>
      <c r="K42" s="9" t="n">
        <v>27</v>
      </c>
      <c r="L42" s="9" t="n">
        <v>35</v>
      </c>
      <c r="M42" s="10" t="n">
        <f aca="false">IFERROR(G42/F42,"")</f>
        <v>0.596998680738786</v>
      </c>
      <c r="N42" s="10" t="n">
        <f aca="false">IFERROR(H42/G42,"")</f>
        <v>1.00005524556654</v>
      </c>
      <c r="O42" s="11" t="n">
        <f aca="false">IFERROR(I42/H42,"")</f>
        <v>0.00121533532206386</v>
      </c>
      <c r="P42" s="10" t="n">
        <f aca="false">IFERROR(J42/H42,"")</f>
        <v>0.00718152690310463</v>
      </c>
      <c r="Q42" s="10" t="n">
        <f aca="false">IFERROR(K42/H42,"")</f>
        <v>0.000745773947630096</v>
      </c>
      <c r="R42" s="10" t="n">
        <f aca="false">IFERROR(L42/H42,"")</f>
        <v>0.000966744006187162</v>
      </c>
      <c r="S42" s="11" t="str">
        <f aca="false">IFERROR(M42/MEDIAN(INDEX($M$5:$M$665,MATCH($A42-90,$A$5:$A$665,1)):INDEX($M$5:$M$665,MATCH($A42+90,$A$5:$A$665,1))),"")</f>
        <v/>
      </c>
      <c r="T42" s="11" t="str">
        <f aca="false">IFERROR(N42/MEDIAN(INDEX($N$5:$N$665,MATCH($A42-90,$A$5:$A$665,1)):INDEX($N$5:$N$665,MATCH($A42+90,$A$5:$A$665,1))),"")</f>
        <v/>
      </c>
      <c r="U42" s="11" t="str">
        <f aca="false">IFERROR(Q42/MEDIAN(INDEX($Q$5:$Q$665,MATCH($A42-90,$A$5:$A$665,1)):INDEX($Q$5:$Q$665,MATCH($A42+90,$A$5:$A$665,1))),"")</f>
        <v/>
      </c>
    </row>
    <row r="43" customFormat="false" ht="15" hidden="false" customHeight="false" outlineLevel="0" collapsed="false">
      <c r="A43" s="13" t="n">
        <v>44977.7500271644</v>
      </c>
      <c r="B43" s="8" t="n">
        <v>18</v>
      </c>
      <c r="C43" s="8" t="s">
        <v>80</v>
      </c>
      <c r="D43" s="8" t="s">
        <v>731</v>
      </c>
      <c r="E43" s="14" t="s">
        <v>66</v>
      </c>
      <c r="F43" s="9" t="n">
        <v>108849</v>
      </c>
      <c r="G43" s="9" t="n">
        <v>70753</v>
      </c>
      <c r="H43" s="9" t="n">
        <v>70751</v>
      </c>
      <c r="I43" s="9" t="n">
        <v>4</v>
      </c>
      <c r="J43" s="9" t="n">
        <v>189</v>
      </c>
      <c r="K43" s="9" t="n">
        <v>32</v>
      </c>
      <c r="L43" s="9" t="n">
        <v>44</v>
      </c>
      <c r="M43" s="10" t="n">
        <f aca="false">IFERROR(G43/F43,"")</f>
        <v>0.650010565094764</v>
      </c>
      <c r="N43" s="10" t="n">
        <f aca="false">IFERROR(H43/G43,"")</f>
        <v>0.999971732647379</v>
      </c>
      <c r="O43" s="11" t="n">
        <f aca="false">IFERROR(I43/H43,"")</f>
        <v>5.65363033738039E-005</v>
      </c>
      <c r="P43" s="10" t="n">
        <f aca="false">IFERROR(J43/H43,"")</f>
        <v>0.00267134033441223</v>
      </c>
      <c r="Q43" s="10" t="n">
        <f aca="false">IFERROR(K43/H43,"")</f>
        <v>0.000452290426990431</v>
      </c>
      <c r="R43" s="10" t="n">
        <f aca="false">IFERROR(L43/H43,"")</f>
        <v>0.000621899337111843</v>
      </c>
      <c r="S43" s="11" t="str">
        <f aca="false">IFERROR(M43/MEDIAN(INDEX($M$5:$M$665,MATCH($A43-90,$A$5:$A$665,1)):INDEX($M$5:$M$665,MATCH($A43+90,$A$5:$A$665,1))),"")</f>
        <v/>
      </c>
      <c r="T43" s="11" t="str">
        <f aca="false">IFERROR(N43/MEDIAN(INDEX($N$5:$N$665,MATCH($A43-90,$A$5:$A$665,1)):INDEX($N$5:$N$665,MATCH($A43+90,$A$5:$A$665,1))),"")</f>
        <v/>
      </c>
      <c r="U43" s="11" t="str">
        <f aca="false">IFERROR(Q43/MEDIAN(INDEX($Q$5:$Q$665,MATCH($A43-90,$A$5:$A$665,1)):INDEX($Q$5:$Q$665,MATCH($A43+90,$A$5:$A$665,1))),"")</f>
        <v/>
      </c>
    </row>
    <row r="44" customFormat="false" ht="15" hidden="false" customHeight="false" outlineLevel="0" collapsed="false">
      <c r="A44" s="13" t="n">
        <v>44978.5006428357</v>
      </c>
      <c r="B44" s="8" t="n">
        <v>12</v>
      </c>
      <c r="C44" s="8" t="s">
        <v>64</v>
      </c>
      <c r="D44" s="8" t="s">
        <v>732</v>
      </c>
      <c r="E44" s="14" t="s">
        <v>66</v>
      </c>
      <c r="F44" s="9" t="n">
        <v>45143</v>
      </c>
      <c r="G44" s="9" t="n">
        <v>29085</v>
      </c>
      <c r="H44" s="9" t="n">
        <v>29083</v>
      </c>
      <c r="I44" s="9" t="n">
        <v>3</v>
      </c>
      <c r="J44" s="9" t="n">
        <v>261</v>
      </c>
      <c r="K44" s="9" t="n">
        <v>21</v>
      </c>
      <c r="L44" s="9" t="n">
        <v>60</v>
      </c>
      <c r="M44" s="10" t="n">
        <f aca="false">IFERROR(G44/F44,"")</f>
        <v>0.644285935804001</v>
      </c>
      <c r="N44" s="10" t="n">
        <f aca="false">IFERROR(H44/G44,"")</f>
        <v>0.999931236032319</v>
      </c>
      <c r="O44" s="11" t="n">
        <f aca="false">IFERROR(I44/H44,"")</f>
        <v>0.000103153044734037</v>
      </c>
      <c r="P44" s="10" t="n">
        <f aca="false">IFERROR(J44/H44,"")</f>
        <v>0.00897431489186122</v>
      </c>
      <c r="Q44" s="10" t="n">
        <f aca="false">IFERROR(K44/H44,"")</f>
        <v>0.00072207131313826</v>
      </c>
      <c r="R44" s="10" t="n">
        <f aca="false">IFERROR(L44/H44,"")</f>
        <v>0.00206306089468074</v>
      </c>
      <c r="S44" s="11" t="str">
        <f aca="false">IFERROR(M44/MEDIAN(INDEX($M$5:$M$665,MATCH($A44-90,$A$5:$A$665,1)):INDEX($M$5:$M$665,MATCH($A44+90,$A$5:$A$665,1))),"")</f>
        <v/>
      </c>
      <c r="T44" s="11" t="str">
        <f aca="false">IFERROR(N44/MEDIAN(INDEX($N$5:$N$665,MATCH($A44-90,$A$5:$A$665,1)):INDEX($N$5:$N$665,MATCH($A44+90,$A$5:$A$665,1))),"")</f>
        <v/>
      </c>
      <c r="U44" s="11" t="str">
        <f aca="false">IFERROR(Q44/MEDIAN(INDEX($Q$5:$Q$665,MATCH($A44-90,$A$5:$A$665,1)):INDEX($Q$5:$Q$665,MATCH($A44+90,$A$5:$A$665,1))),"")</f>
        <v/>
      </c>
    </row>
    <row r="45" customFormat="false" ht="15" hidden="false" customHeight="false" outlineLevel="0" collapsed="false">
      <c r="A45" s="13" t="n">
        <v>44978.7498587384</v>
      </c>
      <c r="B45" s="8" t="n">
        <v>17</v>
      </c>
      <c r="C45" s="8" t="s">
        <v>64</v>
      </c>
      <c r="D45" s="8" t="s">
        <v>733</v>
      </c>
      <c r="E45" s="14" t="s">
        <v>66</v>
      </c>
      <c r="F45" s="9" t="n">
        <v>25652</v>
      </c>
      <c r="G45" s="9" t="n">
        <v>13509</v>
      </c>
      <c r="H45" s="9" t="n">
        <v>13505</v>
      </c>
      <c r="I45" s="9" t="n">
        <v>9</v>
      </c>
      <c r="J45" s="9" t="n">
        <v>260</v>
      </c>
      <c r="K45" s="9" t="n">
        <v>35</v>
      </c>
      <c r="L45" s="9" t="n">
        <v>38</v>
      </c>
      <c r="M45" s="10" t="n">
        <f aca="false">IFERROR(G45/F45,"")</f>
        <v>0.526625604241385</v>
      </c>
      <c r="N45" s="10" t="n">
        <f aca="false">IFERROR(H45/G45,"")</f>
        <v>0.999703901102968</v>
      </c>
      <c r="O45" s="11" t="n">
        <f aca="false">IFERROR(I45/H45,"")</f>
        <v>0.000666419844502036</v>
      </c>
      <c r="P45" s="10" t="n">
        <f aca="false">IFERROR(J45/H45,"")</f>
        <v>0.0192521288411699</v>
      </c>
      <c r="Q45" s="10" t="n">
        <f aca="false">IFERROR(K45/H45,"")</f>
        <v>0.00259163272861903</v>
      </c>
      <c r="R45" s="10" t="n">
        <f aca="false">IFERROR(L45/H45,"")</f>
        <v>0.00281377267678638</v>
      </c>
      <c r="S45" s="11" t="str">
        <f aca="false">IFERROR(M45/MEDIAN(INDEX($M$5:$M$665,MATCH($A45-90,$A$5:$A$665,1)):INDEX($M$5:$M$665,MATCH($A45+90,$A$5:$A$665,1))),"")</f>
        <v/>
      </c>
      <c r="T45" s="11" t="str">
        <f aca="false">IFERROR(N45/MEDIAN(INDEX($N$5:$N$665,MATCH($A45-90,$A$5:$A$665,1)):INDEX($N$5:$N$665,MATCH($A45+90,$A$5:$A$665,1))),"")</f>
        <v/>
      </c>
      <c r="U45" s="11" t="str">
        <f aca="false">IFERROR(Q45/MEDIAN(INDEX($Q$5:$Q$665,MATCH($A45-90,$A$5:$A$665,1)):INDEX($Q$5:$Q$665,MATCH($A45+90,$A$5:$A$665,1))),"")</f>
        <v/>
      </c>
    </row>
    <row r="46" customFormat="false" ht="15" hidden="false" customHeight="false" outlineLevel="0" collapsed="false">
      <c r="A46" s="13" t="n">
        <v>44979.5745187616</v>
      </c>
      <c r="B46" s="8" t="n">
        <v>13</v>
      </c>
      <c r="C46" s="8" t="s">
        <v>71</v>
      </c>
      <c r="D46" s="8" t="s">
        <v>734</v>
      </c>
      <c r="E46" s="14" t="s">
        <v>66</v>
      </c>
      <c r="F46" s="9" t="n">
        <v>6486</v>
      </c>
      <c r="G46" s="9" t="n">
        <v>4101</v>
      </c>
      <c r="H46" s="9" t="n">
        <v>4100</v>
      </c>
      <c r="I46" s="9" t="n">
        <v>8</v>
      </c>
      <c r="J46" s="9" t="n">
        <v>168</v>
      </c>
      <c r="K46" s="9" t="n">
        <v>12</v>
      </c>
      <c r="L46" s="9" t="n">
        <v>9</v>
      </c>
      <c r="M46" s="10" t="n">
        <f aca="false">IFERROR(G46/F46,"")</f>
        <v>0.632284921369103</v>
      </c>
      <c r="N46" s="10" t="n">
        <f aca="false">IFERROR(H46/G46,"")</f>
        <v>0.99975615703487</v>
      </c>
      <c r="O46" s="11" t="n">
        <f aca="false">IFERROR(I46/H46,"")</f>
        <v>0.00195121951219512</v>
      </c>
      <c r="P46" s="10" t="n">
        <f aca="false">IFERROR(J46/H46,"")</f>
        <v>0.0409756097560976</v>
      </c>
      <c r="Q46" s="10" t="n">
        <f aca="false">IFERROR(K46/H46,"")</f>
        <v>0.00292682926829268</v>
      </c>
      <c r="R46" s="10" t="n">
        <f aca="false">IFERROR(L46/H46,"")</f>
        <v>0.00219512195121951</v>
      </c>
      <c r="S46" s="11" t="str">
        <f aca="false">IFERROR(M46/MEDIAN(INDEX($M$5:$M$665,MATCH($A46-90,$A$5:$A$665,1)):INDEX($M$5:$M$665,MATCH($A46+90,$A$5:$A$665,1))),"")</f>
        <v/>
      </c>
      <c r="T46" s="11" t="str">
        <f aca="false">IFERROR(N46/MEDIAN(INDEX($N$5:$N$665,MATCH($A46-90,$A$5:$A$665,1)):INDEX($N$5:$N$665,MATCH($A46+90,$A$5:$A$665,1))),"")</f>
        <v/>
      </c>
      <c r="U46" s="11" t="str">
        <f aca="false">IFERROR(Q46/MEDIAN(INDEX($Q$5:$Q$665,MATCH($A46-90,$A$5:$A$665,1)):INDEX($Q$5:$Q$665,MATCH($A46+90,$A$5:$A$665,1))),"")</f>
        <v/>
      </c>
    </row>
    <row r="47" customFormat="false" ht="15" hidden="false" customHeight="false" outlineLevel="0" collapsed="false">
      <c r="A47" s="13" t="n">
        <v>44979.7503599306</v>
      </c>
      <c r="B47" s="8" t="n">
        <v>18</v>
      </c>
      <c r="C47" s="8" t="s">
        <v>71</v>
      </c>
      <c r="D47" s="8" t="s">
        <v>735</v>
      </c>
      <c r="E47" s="14" t="s">
        <v>66</v>
      </c>
      <c r="F47" s="9" t="n">
        <v>27928</v>
      </c>
      <c r="G47" s="9" t="n">
        <v>15772</v>
      </c>
      <c r="H47" s="9" t="n">
        <v>15772</v>
      </c>
      <c r="I47" s="9" t="n">
        <v>8</v>
      </c>
      <c r="J47" s="9" t="n">
        <v>376</v>
      </c>
      <c r="K47" s="9" t="n">
        <v>12</v>
      </c>
      <c r="L47" s="9" t="n">
        <v>57</v>
      </c>
      <c r="M47" s="10" t="n">
        <f aca="false">IFERROR(G47/F47,"")</f>
        <v>0.564737897450587</v>
      </c>
      <c r="N47" s="10" t="n">
        <f aca="false">IFERROR(H47/G47,"")</f>
        <v>1</v>
      </c>
      <c r="O47" s="11" t="n">
        <f aca="false">IFERROR(I47/H47,"")</f>
        <v>0.000507227998985544</v>
      </c>
      <c r="P47" s="10" t="n">
        <f aca="false">IFERROR(J47/H47,"")</f>
        <v>0.0238397159523206</v>
      </c>
      <c r="Q47" s="10" t="n">
        <f aca="false">IFERROR(K47/H47,"")</f>
        <v>0.000760841998478316</v>
      </c>
      <c r="R47" s="10" t="n">
        <f aca="false">IFERROR(L47/H47,"")</f>
        <v>0.003613999492772</v>
      </c>
      <c r="S47" s="11" t="str">
        <f aca="false">IFERROR(M47/MEDIAN(INDEX($M$5:$M$665,MATCH($A47-90,$A$5:$A$665,1)):INDEX($M$5:$M$665,MATCH($A47+90,$A$5:$A$665,1))),"")</f>
        <v/>
      </c>
      <c r="T47" s="11" t="str">
        <f aca="false">IFERROR(N47/MEDIAN(INDEX($N$5:$N$665,MATCH($A47-90,$A$5:$A$665,1)):INDEX($N$5:$N$665,MATCH($A47+90,$A$5:$A$665,1))),"")</f>
        <v/>
      </c>
      <c r="U47" s="11" t="str">
        <f aca="false">IFERROR(Q47/MEDIAN(INDEX($Q$5:$Q$665,MATCH($A47-90,$A$5:$A$665,1)):INDEX($Q$5:$Q$665,MATCH($A47+90,$A$5:$A$665,1))),"")</f>
        <v/>
      </c>
    </row>
    <row r="48" customFormat="false" ht="15" hidden="false" customHeight="false" outlineLevel="0" collapsed="false">
      <c r="A48" s="13" t="n">
        <v>44980.5001778704</v>
      </c>
      <c r="B48" s="8" t="n">
        <v>12</v>
      </c>
      <c r="C48" s="8" t="s">
        <v>73</v>
      </c>
      <c r="D48" s="8" t="s">
        <v>736</v>
      </c>
      <c r="E48" s="14" t="s">
        <v>66</v>
      </c>
      <c r="F48" s="9" t="n">
        <v>37390</v>
      </c>
      <c r="G48" s="9" t="n">
        <v>24323</v>
      </c>
      <c r="H48" s="9" t="n">
        <v>24321</v>
      </c>
      <c r="I48" s="9" t="n">
        <v>2</v>
      </c>
      <c r="J48" s="9" t="n">
        <v>296</v>
      </c>
      <c r="K48" s="9" t="n">
        <v>11</v>
      </c>
      <c r="L48" s="9" t="n">
        <v>45</v>
      </c>
      <c r="M48" s="10" t="n">
        <f aca="false">IFERROR(G48/F48,"")</f>
        <v>0.650521529820808</v>
      </c>
      <c r="N48" s="10" t="n">
        <f aca="false">IFERROR(H48/G48,"")</f>
        <v>0.999917773300991</v>
      </c>
      <c r="O48" s="11" t="n">
        <f aca="false">IFERROR(I48/H48,"")</f>
        <v>8.22334607951976E-005</v>
      </c>
      <c r="P48" s="10" t="n">
        <f aca="false">IFERROR(J48/H48,"")</f>
        <v>0.0121705521976892</v>
      </c>
      <c r="Q48" s="10" t="n">
        <f aca="false">IFERROR(K48/H48,"")</f>
        <v>0.000452284034373587</v>
      </c>
      <c r="R48" s="10" t="n">
        <f aca="false">IFERROR(L48/H48,"")</f>
        <v>0.00185025286789195</v>
      </c>
      <c r="S48" s="11" t="str">
        <f aca="false">IFERROR(M48/MEDIAN(INDEX($M$5:$M$665,MATCH($A48-90,$A$5:$A$665,1)):INDEX($M$5:$M$665,MATCH($A48+90,$A$5:$A$665,1))),"")</f>
        <v/>
      </c>
      <c r="T48" s="11" t="str">
        <f aca="false">IFERROR(N48/MEDIAN(INDEX($N$5:$N$665,MATCH($A48-90,$A$5:$A$665,1)):INDEX($N$5:$N$665,MATCH($A48+90,$A$5:$A$665,1))),"")</f>
        <v/>
      </c>
      <c r="U48" s="11" t="str">
        <f aca="false">IFERROR(Q48/MEDIAN(INDEX($Q$5:$Q$665,MATCH($A48-90,$A$5:$A$665,1)):INDEX($Q$5:$Q$665,MATCH($A48+90,$A$5:$A$665,1))),"")</f>
        <v/>
      </c>
    </row>
    <row r="49" customFormat="false" ht="15" hidden="false" customHeight="false" outlineLevel="0" collapsed="false">
      <c r="A49" s="13" t="n">
        <v>44981.6179668866</v>
      </c>
      <c r="B49" s="8" t="n">
        <v>14</v>
      </c>
      <c r="C49" s="8" t="s">
        <v>84</v>
      </c>
      <c r="D49" s="8" t="s">
        <v>737</v>
      </c>
      <c r="E49" s="14" t="s">
        <v>66</v>
      </c>
      <c r="F49" s="9" t="n">
        <v>63794</v>
      </c>
      <c r="G49" s="9" t="n">
        <v>35340</v>
      </c>
      <c r="H49" s="9" t="n">
        <v>35337</v>
      </c>
      <c r="I49" s="9" t="n">
        <v>52</v>
      </c>
      <c r="J49" s="9" t="n">
        <v>411</v>
      </c>
      <c r="K49" s="9" t="n">
        <v>49</v>
      </c>
      <c r="L49" s="9" t="n">
        <v>116</v>
      </c>
      <c r="M49" s="10" t="n">
        <f aca="false">IFERROR(G49/F49,"")</f>
        <v>0.553970592845722</v>
      </c>
      <c r="N49" s="10" t="n">
        <f aca="false">IFERROR(H49/G49,"")</f>
        <v>0.999915110356537</v>
      </c>
      <c r="O49" s="11" t="n">
        <f aca="false">IFERROR(I49/H49,"")</f>
        <v>0.00147154540566545</v>
      </c>
      <c r="P49" s="10" t="n">
        <f aca="false">IFERROR(J49/H49,"")</f>
        <v>0.0116308684947788</v>
      </c>
      <c r="Q49" s="10" t="n">
        <f aca="false">IFERROR(K49/H49,"")</f>
        <v>0.0013866485553386</v>
      </c>
      <c r="R49" s="10" t="n">
        <f aca="false">IFERROR(L49/H49,"")</f>
        <v>0.00328267821263831</v>
      </c>
      <c r="S49" s="11" t="str">
        <f aca="false">IFERROR(M49/MEDIAN(INDEX($M$5:$M$665,MATCH($A49-90,$A$5:$A$665,1)):INDEX($M$5:$M$665,MATCH($A49+90,$A$5:$A$665,1))),"")</f>
        <v/>
      </c>
      <c r="T49" s="11" t="str">
        <f aca="false">IFERROR(N49/MEDIAN(INDEX($N$5:$N$665,MATCH($A49-90,$A$5:$A$665,1)):INDEX($N$5:$N$665,MATCH($A49+90,$A$5:$A$665,1))),"")</f>
        <v/>
      </c>
      <c r="U49" s="11" t="str">
        <f aca="false">IFERROR(Q49/MEDIAN(INDEX($Q$5:$Q$665,MATCH($A49-90,$A$5:$A$665,1)):INDEX($Q$5:$Q$665,MATCH($A49+90,$A$5:$A$665,1))),"")</f>
        <v/>
      </c>
    </row>
    <row r="50" customFormat="false" ht="15" hidden="false" customHeight="false" outlineLevel="0" collapsed="false">
      <c r="A50" s="13" t="n">
        <v>44982.7872894792</v>
      </c>
      <c r="B50" s="8" t="n">
        <v>18</v>
      </c>
      <c r="C50" s="8" t="s">
        <v>68</v>
      </c>
      <c r="D50" s="8" t="s">
        <v>738</v>
      </c>
      <c r="E50" s="14" t="s">
        <v>66</v>
      </c>
      <c r="F50" s="9" t="n">
        <v>20203</v>
      </c>
      <c r="G50" s="9" t="n">
        <v>12268</v>
      </c>
      <c r="H50" s="9" t="n">
        <v>12264</v>
      </c>
      <c r="I50" s="9" t="n">
        <v>2</v>
      </c>
      <c r="J50" s="9" t="n">
        <v>198</v>
      </c>
      <c r="K50" s="9" t="n">
        <v>15</v>
      </c>
      <c r="L50" s="9" t="n">
        <v>28</v>
      </c>
      <c r="M50" s="10" t="n">
        <f aca="false">IFERROR(G50/F50,"")</f>
        <v>0.607236549027372</v>
      </c>
      <c r="N50" s="10" t="n">
        <f aca="false">IFERROR(H50/G50,"")</f>
        <v>0.999673948483861</v>
      </c>
      <c r="O50" s="11" t="n">
        <f aca="false">IFERROR(I50/H50,"")</f>
        <v>0.000163078930202218</v>
      </c>
      <c r="P50" s="10" t="n">
        <f aca="false">IFERROR(J50/H50,"")</f>
        <v>0.0161448140900196</v>
      </c>
      <c r="Q50" s="10" t="n">
        <f aca="false">IFERROR(K50/H50,"")</f>
        <v>0.00122309197651663</v>
      </c>
      <c r="R50" s="10" t="n">
        <f aca="false">IFERROR(L50/H50,"")</f>
        <v>0.00228310502283105</v>
      </c>
      <c r="S50" s="11" t="str">
        <f aca="false">IFERROR(M50/MEDIAN(INDEX($M$5:$M$665,MATCH($A50-90,$A$5:$A$665,1)):INDEX($M$5:$M$665,MATCH($A50+90,$A$5:$A$665,1))),"")</f>
        <v/>
      </c>
      <c r="T50" s="11" t="str">
        <f aca="false">IFERROR(N50/MEDIAN(INDEX($N$5:$N$665,MATCH($A50-90,$A$5:$A$665,1)):INDEX($N$5:$N$665,MATCH($A50+90,$A$5:$A$665,1))),"")</f>
        <v/>
      </c>
      <c r="U50" s="11" t="str">
        <f aca="false">IFERROR(Q50/MEDIAN(INDEX($Q$5:$Q$665,MATCH($A50-90,$A$5:$A$665,1)):INDEX($Q$5:$Q$665,MATCH($A50+90,$A$5:$A$665,1))),"")</f>
        <v/>
      </c>
    </row>
    <row r="51" customFormat="false" ht="15" hidden="false" customHeight="false" outlineLevel="0" collapsed="false">
      <c r="A51" s="13" t="n">
        <v>44983.6111340972</v>
      </c>
      <c r="B51" s="8" t="n">
        <v>14</v>
      </c>
      <c r="C51" s="8" t="s">
        <v>86</v>
      </c>
      <c r="D51" s="8" t="s">
        <v>739</v>
      </c>
      <c r="E51" s="14" t="s">
        <v>66</v>
      </c>
      <c r="F51" s="9" t="n">
        <v>170352</v>
      </c>
      <c r="G51" s="9" t="n">
        <v>121561</v>
      </c>
      <c r="H51" s="9" t="n">
        <v>121557</v>
      </c>
      <c r="I51" s="9" t="n">
        <v>3</v>
      </c>
      <c r="J51" s="9" t="n">
        <v>422</v>
      </c>
      <c r="K51" s="9" t="n">
        <v>69</v>
      </c>
      <c r="L51" s="9" t="n">
        <v>144</v>
      </c>
      <c r="M51" s="10" t="n">
        <f aca="false">IFERROR(G51/F51,"")</f>
        <v>0.713587160702545</v>
      </c>
      <c r="N51" s="10" t="n">
        <f aca="false">IFERROR(H51/G51,"")</f>
        <v>0.999967094709652</v>
      </c>
      <c r="O51" s="11" t="n">
        <f aca="false">IFERROR(I51/H51,"")</f>
        <v>2.46797798563637E-005</v>
      </c>
      <c r="P51" s="10" t="n">
        <f aca="false">IFERROR(J51/H51,"")</f>
        <v>0.00347162236646182</v>
      </c>
      <c r="Q51" s="10" t="n">
        <f aca="false">IFERROR(K51/H51,"")</f>
        <v>0.000567634936696365</v>
      </c>
      <c r="R51" s="10" t="n">
        <f aca="false">IFERROR(L51/H51,"")</f>
        <v>0.00118462943310546</v>
      </c>
      <c r="S51" s="11" t="str">
        <f aca="false">IFERROR(M51/MEDIAN(INDEX($M$5:$M$665,MATCH($A51-90,$A$5:$A$665,1)):INDEX($M$5:$M$665,MATCH($A51+90,$A$5:$A$665,1))),"")</f>
        <v/>
      </c>
      <c r="T51" s="11" t="str">
        <f aca="false">IFERROR(N51/MEDIAN(INDEX($N$5:$N$665,MATCH($A51-90,$A$5:$A$665,1)):INDEX($N$5:$N$665,MATCH($A51+90,$A$5:$A$665,1))),"")</f>
        <v/>
      </c>
      <c r="U51" s="11" t="str">
        <f aca="false">IFERROR(Q51/MEDIAN(INDEX($Q$5:$Q$665,MATCH($A51-90,$A$5:$A$665,1)):INDEX($Q$5:$Q$665,MATCH($A51+90,$A$5:$A$665,1))),"")</f>
        <v/>
      </c>
    </row>
    <row r="52" customFormat="false" ht="15" hidden="false" customHeight="false" outlineLevel="0" collapsed="false">
      <c r="A52" s="13" t="n">
        <v>44983.7508995949</v>
      </c>
      <c r="B52" s="8" t="n">
        <v>18</v>
      </c>
      <c r="C52" s="8" t="s">
        <v>86</v>
      </c>
      <c r="D52" s="8" t="s">
        <v>740</v>
      </c>
      <c r="E52" s="14" t="s">
        <v>66</v>
      </c>
      <c r="F52" s="9" t="n">
        <v>5995</v>
      </c>
      <c r="G52" s="9" t="n">
        <v>3713</v>
      </c>
      <c r="H52" s="9" t="n">
        <v>3714</v>
      </c>
      <c r="I52" s="9" t="n">
        <v>15</v>
      </c>
      <c r="J52" s="9" t="n">
        <v>257</v>
      </c>
      <c r="K52" s="9" t="n">
        <v>8</v>
      </c>
      <c r="L52" s="9" t="n">
        <v>19</v>
      </c>
      <c r="M52" s="10" t="n">
        <f aca="false">IFERROR(G52/F52,"")</f>
        <v>0.619349457881568</v>
      </c>
      <c r="N52" s="10" t="n">
        <f aca="false">IFERROR(H52/G52,"")</f>
        <v>1.00026932399677</v>
      </c>
      <c r="O52" s="11" t="n">
        <f aca="false">IFERROR(I52/H52,"")</f>
        <v>0.00403877221324717</v>
      </c>
      <c r="P52" s="10" t="n">
        <f aca="false">IFERROR(J52/H52,"")</f>
        <v>0.0691976305869682</v>
      </c>
      <c r="Q52" s="10" t="n">
        <f aca="false">IFERROR(K52/H52,"")</f>
        <v>0.00215401184706516</v>
      </c>
      <c r="R52" s="10" t="n">
        <f aca="false">IFERROR(L52/H52,"")</f>
        <v>0.00511577813677975</v>
      </c>
      <c r="S52" s="11" t="str">
        <f aca="false">IFERROR(M52/MEDIAN(INDEX($M$5:$M$665,MATCH($A52-90,$A$5:$A$665,1)):INDEX($M$5:$M$665,MATCH($A52+90,$A$5:$A$665,1))),"")</f>
        <v/>
      </c>
      <c r="T52" s="11" t="str">
        <f aca="false">IFERROR(N52/MEDIAN(INDEX($N$5:$N$665,MATCH($A52-90,$A$5:$A$665,1)):INDEX($N$5:$N$665,MATCH($A52+90,$A$5:$A$665,1))),"")</f>
        <v/>
      </c>
      <c r="U52" s="11" t="str">
        <f aca="false">IFERROR(Q52/MEDIAN(INDEX($Q$5:$Q$665,MATCH($A52-90,$A$5:$A$665,1)):INDEX($Q$5:$Q$665,MATCH($A52+90,$A$5:$A$665,1))),"")</f>
        <v/>
      </c>
    </row>
    <row r="53" customFormat="false" ht="15" hidden="false" customHeight="false" outlineLevel="0" collapsed="false">
      <c r="A53" s="13" t="n">
        <v>44984.7892589815</v>
      </c>
      <c r="B53" s="8" t="n">
        <v>18</v>
      </c>
      <c r="C53" s="8" t="s">
        <v>80</v>
      </c>
      <c r="D53" s="8" t="s">
        <v>741</v>
      </c>
      <c r="E53" s="14" t="s">
        <v>66</v>
      </c>
      <c r="F53" s="9" t="n">
        <v>43681</v>
      </c>
      <c r="G53" s="9" t="n">
        <v>26716</v>
      </c>
      <c r="H53" s="9" t="n">
        <v>26713</v>
      </c>
      <c r="I53" s="9" t="n">
        <v>2</v>
      </c>
      <c r="J53" s="9" t="n">
        <v>218</v>
      </c>
      <c r="K53" s="9" t="n">
        <v>32</v>
      </c>
      <c r="L53" s="9" t="n">
        <v>39</v>
      </c>
      <c r="M53" s="10" t="n">
        <f aca="false">IFERROR(G53/F53,"")</f>
        <v>0.611616034431446</v>
      </c>
      <c r="N53" s="10" t="n">
        <f aca="false">IFERROR(H53/G53,"")</f>
        <v>0.99988770774068</v>
      </c>
      <c r="O53" s="11" t="n">
        <f aca="false">IFERROR(I53/H53,"")</f>
        <v>7.48699135252499E-005</v>
      </c>
      <c r="P53" s="10" t="n">
        <f aca="false">IFERROR(J53/H53,"")</f>
        <v>0.00816082057425224</v>
      </c>
      <c r="Q53" s="10" t="n">
        <f aca="false">IFERROR(K53/H53,"")</f>
        <v>0.001197918616404</v>
      </c>
      <c r="R53" s="10" t="n">
        <f aca="false">IFERROR(L53/H53,"")</f>
        <v>0.00145996331374237</v>
      </c>
      <c r="S53" s="11" t="str">
        <f aca="false">IFERROR(M53/MEDIAN(INDEX($M$5:$M$665,MATCH($A53-90,$A$5:$A$665,1)):INDEX($M$5:$M$665,MATCH($A53+90,$A$5:$A$665,1))),"")</f>
        <v/>
      </c>
      <c r="T53" s="11" t="str">
        <f aca="false">IFERROR(N53/MEDIAN(INDEX($N$5:$N$665,MATCH($A53-90,$A$5:$A$665,1)):INDEX($N$5:$N$665,MATCH($A53+90,$A$5:$A$665,1))),"")</f>
        <v/>
      </c>
      <c r="U53" s="11" t="str">
        <f aca="false">IFERROR(Q53/MEDIAN(INDEX($Q$5:$Q$665,MATCH($A53-90,$A$5:$A$665,1)):INDEX($Q$5:$Q$665,MATCH($A53+90,$A$5:$A$665,1))),"")</f>
        <v/>
      </c>
    </row>
    <row r="54" customFormat="false" ht="15" hidden="false" customHeight="false" outlineLevel="0" collapsed="false">
      <c r="A54" s="13" t="n">
        <v>44985.7899486806</v>
      </c>
      <c r="B54" s="8" t="n">
        <v>18</v>
      </c>
      <c r="C54" s="8" t="s">
        <v>64</v>
      </c>
      <c r="D54" s="8" t="s">
        <v>742</v>
      </c>
      <c r="E54" s="14" t="s">
        <v>66</v>
      </c>
      <c r="F54" s="9" t="n">
        <v>13137</v>
      </c>
      <c r="G54" s="9" t="n">
        <v>6405</v>
      </c>
      <c r="H54" s="9" t="n">
        <v>6401</v>
      </c>
      <c r="I54" s="9" t="n">
        <v>2</v>
      </c>
      <c r="J54" s="9" t="n">
        <v>249</v>
      </c>
      <c r="K54" s="9" t="n">
        <v>16</v>
      </c>
      <c r="L54" s="9" t="n">
        <v>15</v>
      </c>
      <c r="M54" s="10" t="n">
        <f aca="false">IFERROR(G54/F54,"")</f>
        <v>0.48755423612697</v>
      </c>
      <c r="N54" s="10" t="n">
        <f aca="false">IFERROR(H54/G54,"")</f>
        <v>0.999375487900078</v>
      </c>
      <c r="O54" s="11" t="n">
        <f aca="false">IFERROR(I54/H54,"")</f>
        <v>0.000312451179503203</v>
      </c>
      <c r="P54" s="10" t="n">
        <f aca="false">IFERROR(J54/H54,"")</f>
        <v>0.0389001718481487</v>
      </c>
      <c r="Q54" s="10" t="n">
        <f aca="false">IFERROR(K54/H54,"")</f>
        <v>0.00249960943602562</v>
      </c>
      <c r="R54" s="10" t="n">
        <f aca="false">IFERROR(L54/H54,"")</f>
        <v>0.00234338384627402</v>
      </c>
      <c r="S54" s="11" t="str">
        <f aca="false">IFERROR(M54/MEDIAN(INDEX($M$5:$M$665,MATCH($A54-90,$A$5:$A$665,1)):INDEX($M$5:$M$665,MATCH($A54+90,$A$5:$A$665,1))),"")</f>
        <v/>
      </c>
      <c r="T54" s="11" t="str">
        <f aca="false">IFERROR(N54/MEDIAN(INDEX($N$5:$N$665,MATCH($A54-90,$A$5:$A$665,1)):INDEX($N$5:$N$665,MATCH($A54+90,$A$5:$A$665,1))),"")</f>
        <v/>
      </c>
      <c r="U54" s="11" t="str">
        <f aca="false">IFERROR(Q54/MEDIAN(INDEX($Q$5:$Q$665,MATCH($A54-90,$A$5:$A$665,1)):INDEX($Q$5:$Q$665,MATCH($A54+90,$A$5:$A$665,1))),"")</f>
        <v/>
      </c>
    </row>
    <row r="55" customFormat="false" ht="15" hidden="false" customHeight="false" outlineLevel="0" collapsed="false">
      <c r="A55" s="13" t="n">
        <v>44986.5923881829</v>
      </c>
      <c r="B55" s="8" t="n">
        <v>14</v>
      </c>
      <c r="C55" s="8" t="s">
        <v>71</v>
      </c>
      <c r="D55" s="8" t="s">
        <v>743</v>
      </c>
      <c r="E55" s="14" t="s">
        <v>66</v>
      </c>
      <c r="F55" s="9" t="n">
        <v>83970</v>
      </c>
      <c r="G55" s="9" t="n">
        <v>58969</v>
      </c>
      <c r="H55" s="9" t="n">
        <v>58965</v>
      </c>
      <c r="I55" s="9" t="n">
        <v>2</v>
      </c>
      <c r="J55" s="9" t="n">
        <v>242</v>
      </c>
      <c r="K55" s="9" t="n">
        <v>51</v>
      </c>
      <c r="L55" s="9" t="n">
        <v>43</v>
      </c>
      <c r="M55" s="10" t="n">
        <f aca="false">IFERROR(G55/F55,"")</f>
        <v>0.702262712873645</v>
      </c>
      <c r="N55" s="10" t="n">
        <f aca="false">IFERROR(H55/G55,"")</f>
        <v>0.999932167749156</v>
      </c>
      <c r="O55" s="11" t="n">
        <f aca="false">IFERROR(I55/H55,"")</f>
        <v>3.3918426185025E-005</v>
      </c>
      <c r="P55" s="10" t="n">
        <f aca="false">IFERROR(J55/H55,"")</f>
        <v>0.00410412956838803</v>
      </c>
      <c r="Q55" s="10" t="n">
        <f aca="false">IFERROR(K55/H55,"")</f>
        <v>0.000864919867718138</v>
      </c>
      <c r="R55" s="10" t="n">
        <f aca="false">IFERROR(L55/H55,"")</f>
        <v>0.000729246162978038</v>
      </c>
      <c r="S55" s="11" t="str">
        <f aca="false">IFERROR(M55/MEDIAN(INDEX($M$5:$M$665,MATCH($A55-90,$A$5:$A$665,1)):INDEX($M$5:$M$665,MATCH($A55+90,$A$5:$A$665,1))),"")</f>
        <v/>
      </c>
      <c r="T55" s="11" t="str">
        <f aca="false">IFERROR(N55/MEDIAN(INDEX($N$5:$N$665,MATCH($A55-90,$A$5:$A$665,1)):INDEX($N$5:$N$665,MATCH($A55+90,$A$5:$A$665,1))),"")</f>
        <v/>
      </c>
      <c r="U55" s="11" t="str">
        <f aca="false">IFERROR(Q55/MEDIAN(INDEX($Q$5:$Q$665,MATCH($A55-90,$A$5:$A$665,1)):INDEX($Q$5:$Q$665,MATCH($A55+90,$A$5:$A$665,1))),"")</f>
        <v/>
      </c>
    </row>
    <row r="56" customFormat="false" ht="15" hidden="false" customHeight="false" outlineLevel="0" collapsed="false">
      <c r="A56" s="13" t="n">
        <v>44987.6095471412</v>
      </c>
      <c r="B56" s="8" t="n">
        <v>14</v>
      </c>
      <c r="C56" s="8" t="s">
        <v>73</v>
      </c>
      <c r="D56" s="8" t="s">
        <v>744</v>
      </c>
      <c r="E56" s="14" t="s">
        <v>66</v>
      </c>
      <c r="F56" s="9" t="n">
        <v>253</v>
      </c>
      <c r="G56" s="9" t="n">
        <v>99</v>
      </c>
      <c r="H56" s="9" t="n">
        <v>99</v>
      </c>
      <c r="I56" s="9" t="n">
        <v>0</v>
      </c>
      <c r="J56" s="9" t="n">
        <v>6</v>
      </c>
      <c r="K56" s="9" t="n">
        <v>0</v>
      </c>
      <c r="L56" s="9" t="n">
        <v>4</v>
      </c>
      <c r="M56" s="10" t="n">
        <f aca="false">IFERROR(G56/F56,"")</f>
        <v>0.391304347826087</v>
      </c>
      <c r="N56" s="10" t="n">
        <f aca="false">IFERROR(H56/G56,"")</f>
        <v>1</v>
      </c>
      <c r="O56" s="11" t="n">
        <f aca="false">IFERROR(I56/H56,"")</f>
        <v>0</v>
      </c>
      <c r="P56" s="10" t="n">
        <f aca="false">IFERROR(J56/H56,"")</f>
        <v>0.0606060606060606</v>
      </c>
      <c r="Q56" s="10" t="n">
        <f aca="false">IFERROR(K56/H56,"")</f>
        <v>0</v>
      </c>
      <c r="R56" s="10" t="n">
        <f aca="false">IFERROR(L56/H56,"")</f>
        <v>0.0404040404040404</v>
      </c>
      <c r="S56" s="11" t="str">
        <f aca="false">IFERROR(M56/MEDIAN(INDEX($M$5:$M$665,MATCH($A56-90,$A$5:$A$665,1)):INDEX($M$5:$M$665,MATCH($A56+90,$A$5:$A$665,1))),"")</f>
        <v/>
      </c>
      <c r="T56" s="11" t="str">
        <f aca="false">IFERROR(N56/MEDIAN(INDEX($N$5:$N$665,MATCH($A56-90,$A$5:$A$665,1)):INDEX($N$5:$N$665,MATCH($A56+90,$A$5:$A$665,1))),"")</f>
        <v/>
      </c>
      <c r="U56" s="11" t="str">
        <f aca="false">IFERROR(Q56/MEDIAN(INDEX($Q$5:$Q$665,MATCH($A56-90,$A$5:$A$665,1)):INDEX($Q$5:$Q$665,MATCH($A56+90,$A$5:$A$665,1))),"")</f>
        <v/>
      </c>
    </row>
    <row r="57" customFormat="false" ht="15" hidden="false" customHeight="false" outlineLevel="0" collapsed="false">
      <c r="A57" s="13" t="n">
        <v>44989.5171665625</v>
      </c>
      <c r="B57" s="8" t="n">
        <v>12</v>
      </c>
      <c r="C57" s="8" t="s">
        <v>68</v>
      </c>
      <c r="D57" s="8" t="s">
        <v>745</v>
      </c>
      <c r="E57" s="14" t="s">
        <v>66</v>
      </c>
      <c r="F57" s="9" t="n">
        <v>39965</v>
      </c>
      <c r="G57" s="9" t="n">
        <v>24471</v>
      </c>
      <c r="H57" s="9" t="n">
        <v>24471</v>
      </c>
      <c r="I57" s="9" t="n">
        <v>44</v>
      </c>
      <c r="J57" s="9" t="n">
        <v>321</v>
      </c>
      <c r="K57" s="9" t="n">
        <v>17</v>
      </c>
      <c r="L57" s="9" t="n">
        <v>53</v>
      </c>
      <c r="M57" s="10" t="n">
        <f aca="false">IFERROR(G57/F57,"")</f>
        <v>0.612310771925435</v>
      </c>
      <c r="N57" s="10" t="n">
        <f aca="false">IFERROR(H57/G57,"")</f>
        <v>1</v>
      </c>
      <c r="O57" s="11" t="n">
        <f aca="false">IFERROR(I57/H57,"")</f>
        <v>0.00179804666748396</v>
      </c>
      <c r="P57" s="10" t="n">
        <f aca="false">IFERROR(J57/H57,"")</f>
        <v>0.0131175677332353</v>
      </c>
      <c r="Q57" s="10" t="n">
        <f aca="false">IFERROR(K57/H57,"")</f>
        <v>0.000694699848800621</v>
      </c>
      <c r="R57" s="10" t="n">
        <f aca="false">IFERROR(L57/H57,"")</f>
        <v>0.00216582894037841</v>
      </c>
      <c r="S57" s="11" t="str">
        <f aca="false">IFERROR(M57/MEDIAN(INDEX($M$5:$M$665,MATCH($A57-90,$A$5:$A$665,1)):INDEX($M$5:$M$665,MATCH($A57+90,$A$5:$A$665,1))),"")</f>
        <v/>
      </c>
      <c r="T57" s="11" t="str">
        <f aca="false">IFERROR(N57/MEDIAN(INDEX($N$5:$N$665,MATCH($A57-90,$A$5:$A$665,1)):INDEX($N$5:$N$665,MATCH($A57+90,$A$5:$A$665,1))),"")</f>
        <v/>
      </c>
      <c r="U57" s="11" t="str">
        <f aca="false">IFERROR(Q57/MEDIAN(INDEX($Q$5:$Q$665,MATCH($A57-90,$A$5:$A$665,1)):INDEX($Q$5:$Q$665,MATCH($A57+90,$A$5:$A$665,1))),"")</f>
        <v/>
      </c>
    </row>
    <row r="58" customFormat="false" ht="15" hidden="false" customHeight="false" outlineLevel="0" collapsed="false">
      <c r="A58" s="13" t="n">
        <v>44990.7483821181</v>
      </c>
      <c r="B58" s="8" t="n">
        <v>17</v>
      </c>
      <c r="C58" s="8" t="s">
        <v>86</v>
      </c>
      <c r="D58" s="8" t="s">
        <v>746</v>
      </c>
      <c r="E58" s="14" t="s">
        <v>66</v>
      </c>
      <c r="F58" s="9" t="n">
        <v>27645</v>
      </c>
      <c r="G58" s="9" t="n">
        <v>13334</v>
      </c>
      <c r="H58" s="9" t="n">
        <v>13331</v>
      </c>
      <c r="I58" s="9" t="n">
        <v>1</v>
      </c>
      <c r="J58" s="9" t="n">
        <v>209</v>
      </c>
      <c r="K58" s="9" t="n">
        <v>16</v>
      </c>
      <c r="L58" s="9" t="n">
        <v>28</v>
      </c>
      <c r="M58" s="10" t="n">
        <f aca="false">IFERROR(G58/F58,"")</f>
        <v>0.482329535178152</v>
      </c>
      <c r="N58" s="10" t="n">
        <f aca="false">IFERROR(H58/G58,"")</f>
        <v>0.999775011249438</v>
      </c>
      <c r="O58" s="11" t="n">
        <f aca="false">IFERROR(I58/H58,"")</f>
        <v>7.5013127297277E-005</v>
      </c>
      <c r="P58" s="10" t="n">
        <f aca="false">IFERROR(J58/H58,"")</f>
        <v>0.0156777436051309</v>
      </c>
      <c r="Q58" s="10" t="n">
        <f aca="false">IFERROR(K58/H58,"")</f>
        <v>0.00120021003675643</v>
      </c>
      <c r="R58" s="10" t="n">
        <f aca="false">IFERROR(L58/H58,"")</f>
        <v>0.00210036756432376</v>
      </c>
      <c r="S58" s="11" t="str">
        <f aca="false">IFERROR(M58/MEDIAN(INDEX($M$5:$M$665,MATCH($A58-90,$A$5:$A$665,1)):INDEX($M$5:$M$665,MATCH($A58+90,$A$5:$A$665,1))),"")</f>
        <v/>
      </c>
      <c r="T58" s="11" t="str">
        <f aca="false">IFERROR(N58/MEDIAN(INDEX($N$5:$N$665,MATCH($A58-90,$A$5:$A$665,1)):INDEX($N$5:$N$665,MATCH($A58+90,$A$5:$A$665,1))),"")</f>
        <v/>
      </c>
      <c r="U58" s="11" t="str">
        <f aca="false">IFERROR(Q58/MEDIAN(INDEX($Q$5:$Q$665,MATCH($A58-90,$A$5:$A$665,1)):INDEX($Q$5:$Q$665,MATCH($A58+90,$A$5:$A$665,1))),"")</f>
        <v/>
      </c>
    </row>
    <row r="59" customFormat="false" ht="15" hidden="false" customHeight="false" outlineLevel="0" collapsed="false">
      <c r="A59" s="13" t="n">
        <v>44992.4871458565</v>
      </c>
      <c r="B59" s="8" t="n">
        <v>11</v>
      </c>
      <c r="C59" s="8" t="s">
        <v>64</v>
      </c>
      <c r="D59" s="8" t="s">
        <v>747</v>
      </c>
      <c r="E59" s="14" t="s">
        <v>66</v>
      </c>
      <c r="F59" s="9" t="n">
        <v>91104</v>
      </c>
      <c r="G59" s="9" t="n">
        <v>35029</v>
      </c>
      <c r="H59" s="9" t="n">
        <v>35026</v>
      </c>
      <c r="I59" s="9" t="n">
        <v>2</v>
      </c>
      <c r="J59" s="9" t="n">
        <v>295</v>
      </c>
      <c r="K59" s="9" t="n">
        <v>33</v>
      </c>
      <c r="L59" s="9" t="n">
        <v>53</v>
      </c>
      <c r="M59" s="10" t="n">
        <f aca="false">IFERROR(G59/F59,"")</f>
        <v>0.38449464348437</v>
      </c>
      <c r="N59" s="10" t="n">
        <f aca="false">IFERROR(H59/G59,"")</f>
        <v>0.999914356675897</v>
      </c>
      <c r="O59" s="11" t="n">
        <f aca="false">IFERROR(I59/H59,"")</f>
        <v>5.71004396733855E-005</v>
      </c>
      <c r="P59" s="10" t="n">
        <f aca="false">IFERROR(J59/H59,"")</f>
        <v>0.00842231485182436</v>
      </c>
      <c r="Q59" s="10" t="n">
        <f aca="false">IFERROR(K59/H59,"")</f>
        <v>0.000942157254610861</v>
      </c>
      <c r="R59" s="10" t="n">
        <f aca="false">IFERROR(L59/H59,"")</f>
        <v>0.00151316165134472</v>
      </c>
      <c r="S59" s="11" t="str">
        <f aca="false">IFERROR(M59/MEDIAN(INDEX($M$5:$M$665,MATCH($A59-90,$A$5:$A$665,1)):INDEX($M$5:$M$665,MATCH($A59+90,$A$5:$A$665,1))),"")</f>
        <v/>
      </c>
      <c r="T59" s="11" t="str">
        <f aca="false">IFERROR(N59/MEDIAN(INDEX($N$5:$N$665,MATCH($A59-90,$A$5:$A$665,1)):INDEX($N$5:$N$665,MATCH($A59+90,$A$5:$A$665,1))),"")</f>
        <v/>
      </c>
      <c r="U59" s="11" t="str">
        <f aca="false">IFERROR(Q59/MEDIAN(INDEX($Q$5:$Q$665,MATCH($A59-90,$A$5:$A$665,1)):INDEX($Q$5:$Q$665,MATCH($A59+90,$A$5:$A$665,1))),"")</f>
        <v/>
      </c>
    </row>
    <row r="60" customFormat="false" ht="15" hidden="false" customHeight="false" outlineLevel="0" collapsed="false">
      <c r="A60" s="13" t="n">
        <v>44994.5992374769</v>
      </c>
      <c r="B60" s="8" t="n">
        <v>14</v>
      </c>
      <c r="C60" s="8" t="s">
        <v>73</v>
      </c>
      <c r="D60" s="8" t="s">
        <v>748</v>
      </c>
      <c r="E60" s="14" t="s">
        <v>66</v>
      </c>
      <c r="F60" s="9" t="n">
        <v>188874</v>
      </c>
      <c r="G60" s="9" t="n">
        <v>43786</v>
      </c>
      <c r="H60" s="9" t="n">
        <v>43784</v>
      </c>
      <c r="I60" s="9" t="n">
        <v>4</v>
      </c>
      <c r="J60" s="9" t="n">
        <v>257</v>
      </c>
      <c r="K60" s="9" t="n">
        <v>33</v>
      </c>
      <c r="L60" s="9" t="n">
        <v>81</v>
      </c>
      <c r="M60" s="10" t="n">
        <f aca="false">IFERROR(G60/F60,"")</f>
        <v>0.231826508677743</v>
      </c>
      <c r="N60" s="10" t="n">
        <f aca="false">IFERROR(H60/G60,"")</f>
        <v>0.999954323299685</v>
      </c>
      <c r="O60" s="11" t="n">
        <f aca="false">IFERROR(I60/H60,"")</f>
        <v>9.13575735428467E-005</v>
      </c>
      <c r="P60" s="10" t="n">
        <f aca="false">IFERROR(J60/H60,"")</f>
        <v>0.0058697241001279</v>
      </c>
      <c r="Q60" s="10" t="n">
        <f aca="false">IFERROR(K60/H60,"")</f>
        <v>0.000753699981728485</v>
      </c>
      <c r="R60" s="10" t="n">
        <f aca="false">IFERROR(L60/H60,"")</f>
        <v>0.00184999086424265</v>
      </c>
      <c r="S60" s="11" t="str">
        <f aca="false">IFERROR(M60/MEDIAN(INDEX($M$5:$M$665,MATCH($A60-90,$A$5:$A$665,1)):INDEX($M$5:$M$665,MATCH($A60+90,$A$5:$A$665,1))),"")</f>
        <v/>
      </c>
      <c r="T60" s="11" t="str">
        <f aca="false">IFERROR(N60/MEDIAN(INDEX($N$5:$N$665,MATCH($A60-90,$A$5:$A$665,1)):INDEX($N$5:$N$665,MATCH($A60+90,$A$5:$A$665,1))),"")</f>
        <v/>
      </c>
      <c r="U60" s="11" t="str">
        <f aca="false">IFERROR(Q60/MEDIAN(INDEX($Q$5:$Q$665,MATCH($A60-90,$A$5:$A$665,1)):INDEX($Q$5:$Q$665,MATCH($A60+90,$A$5:$A$665,1))),"")</f>
        <v/>
      </c>
    </row>
    <row r="61" customFormat="false" ht="15" hidden="false" customHeight="false" outlineLevel="0" collapsed="false">
      <c r="A61" s="13" t="n">
        <v>44995.4079023611</v>
      </c>
      <c r="B61" s="8" t="n">
        <v>9</v>
      </c>
      <c r="C61" s="8" t="s">
        <v>84</v>
      </c>
      <c r="D61" s="8" t="s">
        <v>749</v>
      </c>
      <c r="E61" s="14" t="s">
        <v>66</v>
      </c>
      <c r="F61" s="9" t="n">
        <v>46686</v>
      </c>
      <c r="G61" s="9" t="n">
        <v>14471</v>
      </c>
      <c r="H61" s="9" t="n">
        <v>14467</v>
      </c>
      <c r="I61" s="9" t="n">
        <v>2</v>
      </c>
      <c r="J61" s="9" t="n">
        <v>222</v>
      </c>
      <c r="K61" s="9" t="n">
        <v>7</v>
      </c>
      <c r="L61" s="9" t="n">
        <v>13</v>
      </c>
      <c r="M61" s="10" t="n">
        <f aca="false">IFERROR(G61/F61,"")</f>
        <v>0.309964443302061</v>
      </c>
      <c r="N61" s="10" t="n">
        <f aca="false">IFERROR(H61/G61,"")</f>
        <v>0.999723585101237</v>
      </c>
      <c r="O61" s="11" t="n">
        <f aca="false">IFERROR(I61/H61,"")</f>
        <v>0.000138245662542338</v>
      </c>
      <c r="P61" s="10" t="n">
        <f aca="false">IFERROR(J61/H61,"")</f>
        <v>0.0153452685421995</v>
      </c>
      <c r="Q61" s="10" t="n">
        <f aca="false">IFERROR(K61/H61,"")</f>
        <v>0.000483859818898182</v>
      </c>
      <c r="R61" s="10" t="n">
        <f aca="false">IFERROR(L61/H61,"")</f>
        <v>0.000898596806525195</v>
      </c>
      <c r="S61" s="11" t="str">
        <f aca="false">IFERROR(M61/MEDIAN(INDEX($M$5:$M$665,MATCH($A61-90,$A$5:$A$665,1)):INDEX($M$5:$M$665,MATCH($A61+90,$A$5:$A$665,1))),"")</f>
        <v/>
      </c>
      <c r="T61" s="11" t="str">
        <f aca="false">IFERROR(N61/MEDIAN(INDEX($N$5:$N$665,MATCH($A61-90,$A$5:$A$665,1)):INDEX($N$5:$N$665,MATCH($A61+90,$A$5:$A$665,1))),"")</f>
        <v/>
      </c>
      <c r="U61" s="11" t="str">
        <f aca="false">IFERROR(Q61/MEDIAN(INDEX($Q$5:$Q$665,MATCH($A61-90,$A$5:$A$665,1)):INDEX($Q$5:$Q$665,MATCH($A61+90,$A$5:$A$665,1))),"")</f>
        <v/>
      </c>
    </row>
    <row r="62" customFormat="false" ht="15" hidden="false" customHeight="false" outlineLevel="0" collapsed="false">
      <c r="A62" s="13" t="n">
        <v>44996.5071434607</v>
      </c>
      <c r="B62" s="8" t="n">
        <v>12</v>
      </c>
      <c r="C62" s="8" t="s">
        <v>68</v>
      </c>
      <c r="D62" s="8" t="s">
        <v>750</v>
      </c>
      <c r="E62" s="14" t="s">
        <v>66</v>
      </c>
      <c r="F62" s="9" t="n">
        <v>99338</v>
      </c>
      <c r="G62" s="9" t="n">
        <v>30099</v>
      </c>
      <c r="H62" s="9" t="n">
        <v>30095</v>
      </c>
      <c r="I62" s="9" t="n">
        <v>8</v>
      </c>
      <c r="J62" s="9" t="n">
        <v>379</v>
      </c>
      <c r="K62" s="9" t="n">
        <v>49</v>
      </c>
      <c r="L62" s="9" t="n">
        <v>60</v>
      </c>
      <c r="M62" s="10" t="n">
        <f aca="false">IFERROR(G62/F62,"")</f>
        <v>0.302995832410558</v>
      </c>
      <c r="N62" s="10" t="n">
        <f aca="false">IFERROR(H62/G62,"")</f>
        <v>0.999867105219443</v>
      </c>
      <c r="O62" s="11" t="n">
        <f aca="false">IFERROR(I62/H62,"")</f>
        <v>0.000265824887855125</v>
      </c>
      <c r="P62" s="10" t="n">
        <f aca="false">IFERROR(J62/H62,"")</f>
        <v>0.0125934540621366</v>
      </c>
      <c r="Q62" s="10" t="n">
        <f aca="false">IFERROR(K62/H62,"")</f>
        <v>0.00162817743811264</v>
      </c>
      <c r="R62" s="10" t="n">
        <f aca="false">IFERROR(L62/H62,"")</f>
        <v>0.00199368665891344</v>
      </c>
      <c r="S62" s="11" t="str">
        <f aca="false">IFERROR(M62/MEDIAN(INDEX($M$5:$M$665,MATCH($A62-90,$A$5:$A$665,1)):INDEX($M$5:$M$665,MATCH($A62+90,$A$5:$A$665,1))),"")</f>
        <v/>
      </c>
      <c r="T62" s="11" t="str">
        <f aca="false">IFERROR(N62/MEDIAN(INDEX($N$5:$N$665,MATCH($A62-90,$A$5:$A$665,1)):INDEX($N$5:$N$665,MATCH($A62+90,$A$5:$A$665,1))),"")</f>
        <v/>
      </c>
      <c r="U62" s="11" t="str">
        <f aca="false">IFERROR(Q62/MEDIAN(INDEX($Q$5:$Q$665,MATCH($A62-90,$A$5:$A$665,1)):INDEX($Q$5:$Q$665,MATCH($A62+90,$A$5:$A$665,1))),"")</f>
        <v/>
      </c>
    </row>
    <row r="63" customFormat="false" ht="15" hidden="false" customHeight="false" outlineLevel="0" collapsed="false">
      <c r="A63" s="13" t="n">
        <v>44996.750146713</v>
      </c>
      <c r="B63" s="8" t="n">
        <v>18</v>
      </c>
      <c r="C63" s="8" t="s">
        <v>68</v>
      </c>
      <c r="D63" s="8" t="s">
        <v>751</v>
      </c>
      <c r="E63" s="14" t="s">
        <v>66</v>
      </c>
      <c r="F63" s="9" t="n">
        <v>3062</v>
      </c>
      <c r="G63" s="9" t="n">
        <v>1459</v>
      </c>
      <c r="H63" s="9" t="n">
        <v>1454</v>
      </c>
      <c r="I63" s="9" t="n">
        <v>11</v>
      </c>
      <c r="J63" s="9" t="n">
        <v>82</v>
      </c>
      <c r="K63" s="9" t="n">
        <v>8</v>
      </c>
      <c r="L63" s="9" t="n">
        <v>5</v>
      </c>
      <c r="M63" s="10" t="n">
        <f aca="false">IFERROR(G63/F63,"")</f>
        <v>0.476485956890921</v>
      </c>
      <c r="N63" s="10" t="n">
        <f aca="false">IFERROR(H63/G63,"")</f>
        <v>0.996572995202193</v>
      </c>
      <c r="O63" s="11" t="n">
        <f aca="false">IFERROR(I63/H63,"")</f>
        <v>0.00756533700137552</v>
      </c>
      <c r="P63" s="10" t="n">
        <f aca="false">IFERROR(J63/H63,"")</f>
        <v>0.0563961485557084</v>
      </c>
      <c r="Q63" s="10" t="n">
        <f aca="false">IFERROR(K63/H63,"")</f>
        <v>0.00550206327372765</v>
      </c>
      <c r="R63" s="10" t="n">
        <f aca="false">IFERROR(L63/H63,"")</f>
        <v>0.00343878954607978</v>
      </c>
      <c r="S63" s="11" t="str">
        <f aca="false">IFERROR(M63/MEDIAN(INDEX($M$5:$M$665,MATCH($A63-90,$A$5:$A$665,1)):INDEX($M$5:$M$665,MATCH($A63+90,$A$5:$A$665,1))),"")</f>
        <v/>
      </c>
      <c r="T63" s="11" t="str">
        <f aca="false">IFERROR(N63/MEDIAN(INDEX($N$5:$N$665,MATCH($A63-90,$A$5:$A$665,1)):INDEX($N$5:$N$665,MATCH($A63+90,$A$5:$A$665,1))),"")</f>
        <v/>
      </c>
      <c r="U63" s="11" t="str">
        <f aca="false">IFERROR(Q63/MEDIAN(INDEX($Q$5:$Q$665,MATCH($A63-90,$A$5:$A$665,1)):INDEX($Q$5:$Q$665,MATCH($A63+90,$A$5:$A$665,1))),"")</f>
        <v/>
      </c>
    </row>
    <row r="64" customFormat="false" ht="15" hidden="false" customHeight="false" outlineLevel="0" collapsed="false">
      <c r="A64" s="13" t="n">
        <v>44997.49980375</v>
      </c>
      <c r="B64" s="8" t="n">
        <v>11</v>
      </c>
      <c r="C64" s="8" t="s">
        <v>86</v>
      </c>
      <c r="D64" s="8" t="s">
        <v>752</v>
      </c>
      <c r="E64" s="14" t="s">
        <v>66</v>
      </c>
      <c r="F64" s="9" t="n">
        <v>109602</v>
      </c>
      <c r="G64" s="9" t="n">
        <v>37498</v>
      </c>
      <c r="H64" s="9" t="n">
        <v>37495</v>
      </c>
      <c r="I64" s="9" t="n">
        <v>2</v>
      </c>
      <c r="J64" s="9" t="n">
        <v>317</v>
      </c>
      <c r="K64" s="9" t="n">
        <v>24</v>
      </c>
      <c r="L64" s="9" t="n">
        <v>43</v>
      </c>
      <c r="M64" s="10" t="n">
        <f aca="false">IFERROR(G64/F64,"")</f>
        <v>0.342128793270196</v>
      </c>
      <c r="N64" s="10" t="n">
        <f aca="false">IFERROR(H64/G64,"")</f>
        <v>0.999919995733106</v>
      </c>
      <c r="O64" s="11" t="n">
        <f aca="false">IFERROR(I64/H64,"")</f>
        <v>5.3340445392719E-005</v>
      </c>
      <c r="P64" s="10" t="n">
        <f aca="false">IFERROR(J64/H64,"")</f>
        <v>0.00845446059474597</v>
      </c>
      <c r="Q64" s="10" t="n">
        <f aca="false">IFERROR(K64/H64,"")</f>
        <v>0.000640085344712628</v>
      </c>
      <c r="R64" s="10" t="n">
        <f aca="false">IFERROR(L64/H64,"")</f>
        <v>0.00114681957594346</v>
      </c>
      <c r="S64" s="11" t="str">
        <f aca="false">IFERROR(M64/MEDIAN(INDEX($M$5:$M$665,MATCH($A64-90,$A$5:$A$665,1)):INDEX($M$5:$M$665,MATCH($A64+90,$A$5:$A$665,1))),"")</f>
        <v/>
      </c>
      <c r="T64" s="11" t="str">
        <f aca="false">IFERROR(N64/MEDIAN(INDEX($N$5:$N$665,MATCH($A64-90,$A$5:$A$665,1)):INDEX($N$5:$N$665,MATCH($A64+90,$A$5:$A$665,1))),"")</f>
        <v/>
      </c>
      <c r="U64" s="11" t="str">
        <f aca="false">IFERROR(Q64/MEDIAN(INDEX($Q$5:$Q$665,MATCH($A64-90,$A$5:$A$665,1)):INDEX($Q$5:$Q$665,MATCH($A64+90,$A$5:$A$665,1))),"")</f>
        <v/>
      </c>
    </row>
    <row r="65" customFormat="false" ht="15" hidden="false" customHeight="false" outlineLevel="0" collapsed="false">
      <c r="A65" s="13" t="n">
        <v>44997.7499032986</v>
      </c>
      <c r="B65" s="8" t="n">
        <v>17</v>
      </c>
      <c r="C65" s="8" t="s">
        <v>86</v>
      </c>
      <c r="D65" s="8" t="s">
        <v>753</v>
      </c>
      <c r="E65" s="14" t="s">
        <v>66</v>
      </c>
      <c r="F65" s="9" t="n">
        <v>9457</v>
      </c>
      <c r="G65" s="9" t="n">
        <v>4993</v>
      </c>
      <c r="H65" s="9" t="n">
        <v>4987</v>
      </c>
      <c r="I65" s="9" t="n">
        <v>12</v>
      </c>
      <c r="J65" s="9" t="n">
        <v>127</v>
      </c>
      <c r="K65" s="9" t="n">
        <v>6</v>
      </c>
      <c r="L65" s="9" t="n">
        <v>8</v>
      </c>
      <c r="M65" s="10" t="n">
        <f aca="false">IFERROR(G65/F65,"")</f>
        <v>0.527968700433541</v>
      </c>
      <c r="N65" s="10" t="n">
        <f aca="false">IFERROR(H65/G65,"")</f>
        <v>0.998798317644703</v>
      </c>
      <c r="O65" s="11" t="n">
        <f aca="false">IFERROR(I65/H65,"")</f>
        <v>0.00240625626629236</v>
      </c>
      <c r="P65" s="10" t="n">
        <f aca="false">IFERROR(J65/H65,"")</f>
        <v>0.0254662121515941</v>
      </c>
      <c r="Q65" s="10" t="n">
        <f aca="false">IFERROR(K65/H65,"")</f>
        <v>0.00120312813314618</v>
      </c>
      <c r="R65" s="10" t="n">
        <f aca="false">IFERROR(L65/H65,"")</f>
        <v>0.00160417084419491</v>
      </c>
      <c r="S65" s="11" t="str">
        <f aca="false">IFERROR(M65/MEDIAN(INDEX($M$5:$M$665,MATCH($A65-90,$A$5:$A$665,1)):INDEX($M$5:$M$665,MATCH($A65+90,$A$5:$A$665,1))),"")</f>
        <v/>
      </c>
      <c r="T65" s="11" t="str">
        <f aca="false">IFERROR(N65/MEDIAN(INDEX($N$5:$N$665,MATCH($A65-90,$A$5:$A$665,1)):INDEX($N$5:$N$665,MATCH($A65+90,$A$5:$A$665,1))),"")</f>
        <v/>
      </c>
      <c r="U65" s="11" t="str">
        <f aca="false">IFERROR(Q65/MEDIAN(INDEX($Q$5:$Q$665,MATCH($A65-90,$A$5:$A$665,1)):INDEX($Q$5:$Q$665,MATCH($A65+90,$A$5:$A$665,1))),"")</f>
        <v/>
      </c>
    </row>
    <row r="66" customFormat="false" ht="15" hidden="false" customHeight="false" outlineLevel="0" collapsed="false">
      <c r="A66" s="13" t="n">
        <v>44998.500553588</v>
      </c>
      <c r="B66" s="8" t="n">
        <v>12</v>
      </c>
      <c r="C66" s="8" t="s">
        <v>80</v>
      </c>
      <c r="D66" s="8" t="s">
        <v>754</v>
      </c>
      <c r="E66" s="14" t="s">
        <v>66</v>
      </c>
      <c r="F66" s="9" t="n">
        <v>64086</v>
      </c>
      <c r="G66" s="9" t="n">
        <v>16508</v>
      </c>
      <c r="H66" s="9" t="n">
        <v>16508</v>
      </c>
      <c r="I66" s="9" t="n">
        <v>16</v>
      </c>
      <c r="J66" s="9" t="n">
        <v>282</v>
      </c>
      <c r="K66" s="9" t="n">
        <v>21</v>
      </c>
      <c r="L66" s="9" t="n">
        <v>40</v>
      </c>
      <c r="M66" s="10" t="n">
        <f aca="false">IFERROR(G66/F66,"")</f>
        <v>0.257591361607839</v>
      </c>
      <c r="N66" s="10" t="n">
        <f aca="false">IFERROR(H66/G66,"")</f>
        <v>1</v>
      </c>
      <c r="O66" s="11" t="n">
        <f aca="false">IFERROR(I66/H66,"")</f>
        <v>0.000969227041434456</v>
      </c>
      <c r="P66" s="10" t="n">
        <f aca="false">IFERROR(J66/H66,"")</f>
        <v>0.0170826266052823</v>
      </c>
      <c r="Q66" s="10" t="n">
        <f aca="false">IFERROR(K66/H66,"")</f>
        <v>0.00127211049188272</v>
      </c>
      <c r="R66" s="10" t="n">
        <f aca="false">IFERROR(L66/H66,"")</f>
        <v>0.00242306760358614</v>
      </c>
      <c r="S66" s="11" t="str">
        <f aca="false">IFERROR(M66/MEDIAN(INDEX($M$5:$M$665,MATCH($A66-90,$A$5:$A$665,1)):INDEX($M$5:$M$665,MATCH($A66+90,$A$5:$A$665,1))),"")</f>
        <v/>
      </c>
      <c r="T66" s="11" t="str">
        <f aca="false">IFERROR(N66/MEDIAN(INDEX($N$5:$N$665,MATCH($A66-90,$A$5:$A$665,1)):INDEX($N$5:$N$665,MATCH($A66+90,$A$5:$A$665,1))),"")</f>
        <v/>
      </c>
      <c r="U66" s="11" t="str">
        <f aca="false">IFERROR(Q66/MEDIAN(INDEX($Q$5:$Q$665,MATCH($A66-90,$A$5:$A$665,1)):INDEX($Q$5:$Q$665,MATCH($A66+90,$A$5:$A$665,1))),"")</f>
        <v/>
      </c>
    </row>
    <row r="67" customFormat="false" ht="15" hidden="false" customHeight="false" outlineLevel="0" collapsed="false">
      <c r="A67" s="13" t="n">
        <v>44998.750293206</v>
      </c>
      <c r="B67" s="8" t="n">
        <v>18</v>
      </c>
      <c r="C67" s="8" t="s">
        <v>80</v>
      </c>
      <c r="D67" s="8" t="s">
        <v>755</v>
      </c>
      <c r="E67" s="14" t="s">
        <v>66</v>
      </c>
      <c r="F67" s="9" t="n">
        <v>9756</v>
      </c>
      <c r="G67" s="9" t="n">
        <v>4771</v>
      </c>
      <c r="H67" s="9" t="n">
        <v>4768</v>
      </c>
      <c r="I67" s="9" t="n">
        <v>1</v>
      </c>
      <c r="J67" s="9" t="n">
        <v>179</v>
      </c>
      <c r="K67" s="9" t="n">
        <v>15</v>
      </c>
      <c r="L67" s="9" t="n">
        <v>6</v>
      </c>
      <c r="M67" s="10" t="n">
        <f aca="false">IFERROR(G67/F67,"")</f>
        <v>0.489032390323903</v>
      </c>
      <c r="N67" s="10" t="n">
        <f aca="false">IFERROR(H67/G67,"")</f>
        <v>0.999371201006078</v>
      </c>
      <c r="O67" s="11" t="n">
        <f aca="false">IFERROR(I67/H67,"")</f>
        <v>0.000209731543624161</v>
      </c>
      <c r="P67" s="10" t="n">
        <f aca="false">IFERROR(J67/H67,"")</f>
        <v>0.0375419463087248</v>
      </c>
      <c r="Q67" s="10" t="n">
        <f aca="false">IFERROR(K67/H67,"")</f>
        <v>0.00314597315436242</v>
      </c>
      <c r="R67" s="10" t="n">
        <f aca="false">IFERROR(L67/H67,"")</f>
        <v>0.00125838926174497</v>
      </c>
      <c r="S67" s="11" t="str">
        <f aca="false">IFERROR(M67/MEDIAN(INDEX($M$5:$M$665,MATCH($A67-90,$A$5:$A$665,1)):INDEX($M$5:$M$665,MATCH($A67+90,$A$5:$A$665,1))),"")</f>
        <v/>
      </c>
      <c r="T67" s="11" t="str">
        <f aca="false">IFERROR(N67/MEDIAN(INDEX($N$5:$N$665,MATCH($A67-90,$A$5:$A$665,1)):INDEX($N$5:$N$665,MATCH($A67+90,$A$5:$A$665,1))),"")</f>
        <v/>
      </c>
      <c r="U67" s="11" t="str">
        <f aca="false">IFERROR(Q67/MEDIAN(INDEX($Q$5:$Q$665,MATCH($A67-90,$A$5:$A$665,1)):INDEX($Q$5:$Q$665,MATCH($A67+90,$A$5:$A$665,1))),"")</f>
        <v/>
      </c>
    </row>
    <row r="68" customFormat="false" ht="15" hidden="false" customHeight="false" outlineLevel="0" collapsed="false">
      <c r="A68" s="13" t="n">
        <v>44999.5004257523</v>
      </c>
      <c r="B68" s="8" t="n">
        <v>12</v>
      </c>
      <c r="C68" s="8" t="s">
        <v>64</v>
      </c>
      <c r="D68" s="8" t="s">
        <v>756</v>
      </c>
      <c r="E68" s="14" t="s">
        <v>66</v>
      </c>
      <c r="F68" s="9" t="n">
        <v>64536</v>
      </c>
      <c r="G68" s="9" t="n">
        <v>15384</v>
      </c>
      <c r="H68" s="9" t="n">
        <v>15381</v>
      </c>
      <c r="I68" s="9" t="n">
        <v>1</v>
      </c>
      <c r="J68" s="9" t="n">
        <v>190</v>
      </c>
      <c r="K68" s="9" t="n">
        <v>31</v>
      </c>
      <c r="L68" s="9" t="n">
        <v>9</v>
      </c>
      <c r="M68" s="10" t="n">
        <f aca="false">IFERROR(G68/F68,"")</f>
        <v>0.238378579397546</v>
      </c>
      <c r="N68" s="10" t="n">
        <f aca="false">IFERROR(H68/G68,"")</f>
        <v>0.999804992199688</v>
      </c>
      <c r="O68" s="11" t="n">
        <f aca="false">IFERROR(I68/H68,"")</f>
        <v>6.50152785904688E-005</v>
      </c>
      <c r="P68" s="10" t="n">
        <f aca="false">IFERROR(J68/H68,"")</f>
        <v>0.0123529029321891</v>
      </c>
      <c r="Q68" s="10" t="n">
        <f aca="false">IFERROR(K68/H68,"")</f>
        <v>0.00201547363630453</v>
      </c>
      <c r="R68" s="10" t="n">
        <f aca="false">IFERROR(L68/H68,"")</f>
        <v>0.000585137507314219</v>
      </c>
      <c r="S68" s="11" t="str">
        <f aca="false">IFERROR(M68/MEDIAN(INDEX($M$5:$M$665,MATCH($A68-90,$A$5:$A$665,1)):INDEX($M$5:$M$665,MATCH($A68+90,$A$5:$A$665,1))),"")</f>
        <v/>
      </c>
      <c r="T68" s="11" t="str">
        <f aca="false">IFERROR(N68/MEDIAN(INDEX($N$5:$N$665,MATCH($A68-90,$A$5:$A$665,1)):INDEX($N$5:$N$665,MATCH($A68+90,$A$5:$A$665,1))),"")</f>
        <v/>
      </c>
      <c r="U68" s="11" t="str">
        <f aca="false">IFERROR(Q68/MEDIAN(INDEX($Q$5:$Q$665,MATCH($A68-90,$A$5:$A$665,1)):INDEX($Q$5:$Q$665,MATCH($A68+90,$A$5:$A$665,1))),"")</f>
        <v/>
      </c>
    </row>
    <row r="69" customFormat="false" ht="15" hidden="false" customHeight="false" outlineLevel="0" collapsed="false">
      <c r="A69" s="13" t="n">
        <v>44999.7500480556</v>
      </c>
      <c r="B69" s="8" t="n">
        <v>18</v>
      </c>
      <c r="C69" s="8" t="s">
        <v>64</v>
      </c>
      <c r="D69" s="8" t="s">
        <v>757</v>
      </c>
      <c r="E69" s="14" t="s">
        <v>66</v>
      </c>
      <c r="F69" s="9" t="n">
        <v>2625</v>
      </c>
      <c r="G69" s="9" t="n">
        <v>1256</v>
      </c>
      <c r="H69" s="9" t="n">
        <v>1255</v>
      </c>
      <c r="I69" s="9" t="n">
        <v>1</v>
      </c>
      <c r="J69" s="9" t="n">
        <v>76</v>
      </c>
      <c r="K69" s="9" t="n">
        <v>1</v>
      </c>
      <c r="L69" s="9" t="n">
        <v>3</v>
      </c>
      <c r="M69" s="10" t="n">
        <f aca="false">IFERROR(G69/F69,"")</f>
        <v>0.478476190476191</v>
      </c>
      <c r="N69" s="10" t="n">
        <f aca="false">IFERROR(H69/G69,"")</f>
        <v>0.999203821656051</v>
      </c>
      <c r="O69" s="11" t="n">
        <f aca="false">IFERROR(I69/H69,"")</f>
        <v>0.000796812749003984</v>
      </c>
      <c r="P69" s="10" t="n">
        <f aca="false">IFERROR(J69/H69,"")</f>
        <v>0.0605577689243028</v>
      </c>
      <c r="Q69" s="10" t="n">
        <f aca="false">IFERROR(K69/H69,"")</f>
        <v>0.000796812749003984</v>
      </c>
      <c r="R69" s="10" t="n">
        <f aca="false">IFERROR(L69/H69,"")</f>
        <v>0.00239043824701195</v>
      </c>
      <c r="S69" s="11" t="str">
        <f aca="false">IFERROR(M69/MEDIAN(INDEX($M$5:$M$665,MATCH($A69-90,$A$5:$A$665,1)):INDEX($M$5:$M$665,MATCH($A69+90,$A$5:$A$665,1))),"")</f>
        <v/>
      </c>
      <c r="T69" s="11" t="str">
        <f aca="false">IFERROR(N69/MEDIAN(INDEX($N$5:$N$665,MATCH($A69-90,$A$5:$A$665,1)):INDEX($N$5:$N$665,MATCH($A69+90,$A$5:$A$665,1))),"")</f>
        <v/>
      </c>
      <c r="U69" s="11" t="str">
        <f aca="false">IFERROR(Q69/MEDIAN(INDEX($Q$5:$Q$665,MATCH($A69-90,$A$5:$A$665,1)):INDEX($Q$5:$Q$665,MATCH($A69+90,$A$5:$A$665,1))),"")</f>
        <v/>
      </c>
    </row>
    <row r="70" customFormat="false" ht="15" hidden="false" customHeight="false" outlineLevel="0" collapsed="false">
      <c r="A70" s="13" t="n">
        <v>45000.5005107755</v>
      </c>
      <c r="B70" s="8" t="n">
        <v>12</v>
      </c>
      <c r="C70" s="8" t="s">
        <v>71</v>
      </c>
      <c r="D70" s="8" t="s">
        <v>758</v>
      </c>
      <c r="E70" s="14" t="s">
        <v>66</v>
      </c>
      <c r="F70" s="9" t="n">
        <v>58823</v>
      </c>
      <c r="G70" s="9" t="n">
        <v>12453</v>
      </c>
      <c r="H70" s="9" t="n">
        <v>12451</v>
      </c>
      <c r="I70" s="9" t="n">
        <v>1</v>
      </c>
      <c r="J70" s="9" t="n">
        <v>197</v>
      </c>
      <c r="K70" s="9" t="n">
        <v>13</v>
      </c>
      <c r="L70" s="9" t="n">
        <v>16</v>
      </c>
      <c r="M70" s="10" t="n">
        <f aca="false">IFERROR(G70/F70,"")</f>
        <v>0.211702905326148</v>
      </c>
      <c r="N70" s="10" t="n">
        <f aca="false">IFERROR(H70/G70,"")</f>
        <v>0.999839396129447</v>
      </c>
      <c r="O70" s="11" t="n">
        <f aca="false">IFERROR(I70/H70,"")</f>
        <v>8.03148341498675E-005</v>
      </c>
      <c r="P70" s="10" t="n">
        <f aca="false">IFERROR(J70/H70,"")</f>
        <v>0.0158220223275239</v>
      </c>
      <c r="Q70" s="10" t="n">
        <f aca="false">IFERROR(K70/H70,"")</f>
        <v>0.00104409284394828</v>
      </c>
      <c r="R70" s="10" t="n">
        <f aca="false">IFERROR(L70/H70,"")</f>
        <v>0.00128503734639788</v>
      </c>
      <c r="S70" s="11" t="str">
        <f aca="false">IFERROR(M70/MEDIAN(INDEX($M$5:$M$665,MATCH($A70-90,$A$5:$A$665,1)):INDEX($M$5:$M$665,MATCH($A70+90,$A$5:$A$665,1))),"")</f>
        <v/>
      </c>
      <c r="T70" s="11" t="str">
        <f aca="false">IFERROR(N70/MEDIAN(INDEX($N$5:$N$665,MATCH($A70-90,$A$5:$A$665,1)):INDEX($N$5:$N$665,MATCH($A70+90,$A$5:$A$665,1))),"")</f>
        <v/>
      </c>
      <c r="U70" s="11" t="str">
        <f aca="false">IFERROR(Q70/MEDIAN(INDEX($Q$5:$Q$665,MATCH($A70-90,$A$5:$A$665,1)):INDEX($Q$5:$Q$665,MATCH($A70+90,$A$5:$A$665,1))),"")</f>
        <v/>
      </c>
    </row>
    <row r="71" customFormat="false" ht="15" hidden="false" customHeight="false" outlineLevel="0" collapsed="false">
      <c r="A71" s="13" t="n">
        <v>45000.7500791782</v>
      </c>
      <c r="B71" s="8" t="n">
        <v>18</v>
      </c>
      <c r="C71" s="8" t="s">
        <v>71</v>
      </c>
      <c r="D71" s="8" t="s">
        <v>759</v>
      </c>
      <c r="E71" s="14" t="s">
        <v>66</v>
      </c>
      <c r="F71" s="9" t="n">
        <v>94091</v>
      </c>
      <c r="G71" s="9" t="n">
        <v>21555</v>
      </c>
      <c r="H71" s="9" t="n">
        <v>21553</v>
      </c>
      <c r="I71" s="9" t="n">
        <v>2</v>
      </c>
      <c r="J71" s="9" t="n">
        <v>128</v>
      </c>
      <c r="K71" s="9" t="n">
        <v>13</v>
      </c>
      <c r="L71" s="9" t="n">
        <v>23</v>
      </c>
      <c r="M71" s="10" t="n">
        <f aca="false">IFERROR(G71/F71,"")</f>
        <v>0.229086735181898</v>
      </c>
      <c r="N71" s="10" t="n">
        <f aca="false">IFERROR(H71/G71,"")</f>
        <v>0.999907214103456</v>
      </c>
      <c r="O71" s="11" t="n">
        <f aca="false">IFERROR(I71/H71,"")</f>
        <v>9.27945065652113E-005</v>
      </c>
      <c r="P71" s="10" t="n">
        <f aca="false">IFERROR(J71/H71,"")</f>
        <v>0.00593884842017353</v>
      </c>
      <c r="Q71" s="10" t="n">
        <f aca="false">IFERROR(K71/H71,"")</f>
        <v>0.000603164292673874</v>
      </c>
      <c r="R71" s="10" t="n">
        <f aca="false">IFERROR(L71/H71,"")</f>
        <v>0.00106713682549993</v>
      </c>
      <c r="S71" s="11" t="str">
        <f aca="false">IFERROR(M71/MEDIAN(INDEX($M$5:$M$665,MATCH($A71-90,$A$5:$A$665,1)):INDEX($M$5:$M$665,MATCH($A71+90,$A$5:$A$665,1))),"")</f>
        <v/>
      </c>
      <c r="T71" s="11" t="str">
        <f aca="false">IFERROR(N71/MEDIAN(INDEX($N$5:$N$665,MATCH($A71-90,$A$5:$A$665,1)):INDEX($N$5:$N$665,MATCH($A71+90,$A$5:$A$665,1))),"")</f>
        <v/>
      </c>
      <c r="U71" s="11" t="str">
        <f aca="false">IFERROR(Q71/MEDIAN(INDEX($Q$5:$Q$665,MATCH($A71-90,$A$5:$A$665,1)):INDEX($Q$5:$Q$665,MATCH($A71+90,$A$5:$A$665,1))),"")</f>
        <v/>
      </c>
    </row>
    <row r="72" customFormat="false" ht="15" hidden="false" customHeight="false" outlineLevel="0" collapsed="false">
      <c r="A72" s="13" t="n">
        <v>45001.5001126157</v>
      </c>
      <c r="B72" s="8" t="n">
        <v>12</v>
      </c>
      <c r="C72" s="8" t="s">
        <v>73</v>
      </c>
      <c r="D72" s="8" t="s">
        <v>760</v>
      </c>
      <c r="E72" s="14" t="s">
        <v>66</v>
      </c>
      <c r="F72" s="9" t="n">
        <v>7901</v>
      </c>
      <c r="G72" s="9" t="n">
        <v>3942</v>
      </c>
      <c r="H72" s="9" t="n">
        <v>3941</v>
      </c>
      <c r="I72" s="9" t="n">
        <v>14</v>
      </c>
      <c r="J72" s="9" t="n">
        <v>183</v>
      </c>
      <c r="K72" s="9" t="n">
        <v>7</v>
      </c>
      <c r="L72" s="9" t="n">
        <v>5</v>
      </c>
      <c r="M72" s="10" t="n">
        <f aca="false">IFERROR(G72/F72,"")</f>
        <v>0.498924186811796</v>
      </c>
      <c r="N72" s="10" t="n">
        <f aca="false">IFERROR(H72/G72,"")</f>
        <v>0.99974632166413</v>
      </c>
      <c r="O72" s="11" t="n">
        <f aca="false">IFERROR(I72/H72,"")</f>
        <v>0.00355239786856128</v>
      </c>
      <c r="P72" s="10" t="n">
        <f aca="false">IFERROR(J72/H72,"")</f>
        <v>0.0464349149961939</v>
      </c>
      <c r="Q72" s="10" t="n">
        <f aca="false">IFERROR(K72/H72,"")</f>
        <v>0.00177619893428064</v>
      </c>
      <c r="R72" s="10" t="n">
        <f aca="false">IFERROR(L72/H72,"")</f>
        <v>0.00126871352448617</v>
      </c>
      <c r="S72" s="11" t="str">
        <f aca="false">IFERROR(M72/MEDIAN(INDEX($M$5:$M$665,MATCH($A72-90,$A$5:$A$665,1)):INDEX($M$5:$M$665,MATCH($A72+90,$A$5:$A$665,1))),"")</f>
        <v/>
      </c>
      <c r="T72" s="11" t="str">
        <f aca="false">IFERROR(N72/MEDIAN(INDEX($N$5:$N$665,MATCH($A72-90,$A$5:$A$665,1)):INDEX($N$5:$N$665,MATCH($A72+90,$A$5:$A$665,1))),"")</f>
        <v/>
      </c>
      <c r="U72" s="11" t="str">
        <f aca="false">IFERROR(Q72/MEDIAN(INDEX($Q$5:$Q$665,MATCH($A72-90,$A$5:$A$665,1)):INDEX($Q$5:$Q$665,MATCH($A72+90,$A$5:$A$665,1))),"")</f>
        <v/>
      </c>
    </row>
    <row r="73" customFormat="false" ht="15" hidden="false" customHeight="false" outlineLevel="0" collapsed="false">
      <c r="A73" s="13" t="n">
        <v>45001.7502001273</v>
      </c>
      <c r="B73" s="8" t="n">
        <v>18</v>
      </c>
      <c r="C73" s="8" t="s">
        <v>73</v>
      </c>
      <c r="D73" s="8" t="s">
        <v>761</v>
      </c>
      <c r="E73" s="14" t="s">
        <v>66</v>
      </c>
      <c r="F73" s="9" t="n">
        <v>6242</v>
      </c>
      <c r="G73" s="9" t="n">
        <v>3237</v>
      </c>
      <c r="H73" s="9" t="n">
        <v>3240</v>
      </c>
      <c r="I73" s="9" t="n">
        <v>9</v>
      </c>
      <c r="J73" s="9" t="n">
        <v>173</v>
      </c>
      <c r="K73" s="9" t="n">
        <v>9</v>
      </c>
      <c r="L73" s="9" t="n">
        <v>11</v>
      </c>
      <c r="M73" s="10" t="n">
        <f aca="false">IFERROR(G73/F73,"")</f>
        <v>0.518583787247677</v>
      </c>
      <c r="N73" s="10" t="n">
        <f aca="false">IFERROR(H73/G73,"")</f>
        <v>1.00092678405931</v>
      </c>
      <c r="O73" s="11" t="n">
        <f aca="false">IFERROR(I73/H73,"")</f>
        <v>0.00277777777777778</v>
      </c>
      <c r="P73" s="10" t="n">
        <f aca="false">IFERROR(J73/H73,"")</f>
        <v>0.0533950617283951</v>
      </c>
      <c r="Q73" s="10" t="n">
        <f aca="false">IFERROR(K73/H73,"")</f>
        <v>0.00277777777777778</v>
      </c>
      <c r="R73" s="10" t="n">
        <f aca="false">IFERROR(L73/H73,"")</f>
        <v>0.00339506172839506</v>
      </c>
      <c r="S73" s="11" t="str">
        <f aca="false">IFERROR(M73/MEDIAN(INDEX($M$5:$M$665,MATCH($A73-90,$A$5:$A$665,1)):INDEX($M$5:$M$665,MATCH($A73+90,$A$5:$A$665,1))),"")</f>
        <v/>
      </c>
      <c r="T73" s="11" t="str">
        <f aca="false">IFERROR(N73/MEDIAN(INDEX($N$5:$N$665,MATCH($A73-90,$A$5:$A$665,1)):INDEX($N$5:$N$665,MATCH($A73+90,$A$5:$A$665,1))),"")</f>
        <v/>
      </c>
      <c r="U73" s="11" t="str">
        <f aca="false">IFERROR(Q73/MEDIAN(INDEX($Q$5:$Q$665,MATCH($A73-90,$A$5:$A$665,1)):INDEX($Q$5:$Q$665,MATCH($A73+90,$A$5:$A$665,1))),"")</f>
        <v/>
      </c>
    </row>
    <row r="74" customFormat="false" ht="15" hidden="false" customHeight="false" outlineLevel="0" collapsed="false">
      <c r="A74" s="13" t="n">
        <v>45002.4843428819</v>
      </c>
      <c r="B74" s="8" t="n">
        <v>11</v>
      </c>
      <c r="C74" s="8" t="s">
        <v>84</v>
      </c>
      <c r="D74" s="8" t="s">
        <v>762</v>
      </c>
      <c r="E74" s="14" t="s">
        <v>66</v>
      </c>
      <c r="F74" s="9" t="n">
        <v>3632</v>
      </c>
      <c r="G74" s="9" t="n">
        <v>1581</v>
      </c>
      <c r="H74" s="9" t="n">
        <v>1588</v>
      </c>
      <c r="I74" s="9" t="n">
        <v>44</v>
      </c>
      <c r="J74" s="9" t="n">
        <v>129</v>
      </c>
      <c r="K74" s="9" t="n">
        <v>6</v>
      </c>
      <c r="L74" s="9" t="n">
        <v>5</v>
      </c>
      <c r="M74" s="10" t="n">
        <f aca="false">IFERROR(G74/F74,"")</f>
        <v>0.435297356828194</v>
      </c>
      <c r="N74" s="10" t="n">
        <f aca="false">IFERROR(H74/G74,"")</f>
        <v>1.00442757748261</v>
      </c>
      <c r="O74" s="11" t="n">
        <f aca="false">IFERROR(I74/H74,"")</f>
        <v>0.0277078085642317</v>
      </c>
      <c r="P74" s="10" t="n">
        <f aca="false">IFERROR(J74/H74,"")</f>
        <v>0.0812342569269521</v>
      </c>
      <c r="Q74" s="10" t="n">
        <f aca="false">IFERROR(K74/H74,"")</f>
        <v>0.00377833753148615</v>
      </c>
      <c r="R74" s="10" t="n">
        <f aca="false">IFERROR(L74/H74,"")</f>
        <v>0.00314861460957179</v>
      </c>
      <c r="S74" s="11" t="str">
        <f aca="false">IFERROR(M74/MEDIAN(INDEX($M$5:$M$665,MATCH($A74-90,$A$5:$A$665,1)):INDEX($M$5:$M$665,MATCH($A74+90,$A$5:$A$665,1))),"")</f>
        <v/>
      </c>
      <c r="T74" s="11" t="str">
        <f aca="false">IFERROR(N74/MEDIAN(INDEX($N$5:$N$665,MATCH($A74-90,$A$5:$A$665,1)):INDEX($N$5:$N$665,MATCH($A74+90,$A$5:$A$665,1))),"")</f>
        <v/>
      </c>
      <c r="U74" s="11" t="str">
        <f aca="false">IFERROR(Q74/MEDIAN(INDEX($Q$5:$Q$665,MATCH($A74-90,$A$5:$A$665,1)):INDEX($Q$5:$Q$665,MATCH($A74+90,$A$5:$A$665,1))),"")</f>
        <v/>
      </c>
    </row>
    <row r="75" customFormat="false" ht="15" hidden="false" customHeight="false" outlineLevel="0" collapsed="false">
      <c r="A75" s="13" t="n">
        <v>45002.7501459954</v>
      </c>
      <c r="B75" s="8" t="n">
        <v>18</v>
      </c>
      <c r="C75" s="8" t="s">
        <v>84</v>
      </c>
      <c r="D75" s="8" t="s">
        <v>763</v>
      </c>
      <c r="E75" s="14" t="s">
        <v>66</v>
      </c>
      <c r="F75" s="9" t="n">
        <v>74553</v>
      </c>
      <c r="G75" s="9" t="n">
        <v>16870</v>
      </c>
      <c r="H75" s="9" t="n">
        <v>16868</v>
      </c>
      <c r="I75" s="9" t="n">
        <v>1</v>
      </c>
      <c r="J75" s="9" t="n">
        <v>288</v>
      </c>
      <c r="K75" s="9" t="n">
        <v>17</v>
      </c>
      <c r="L75" s="9" t="n">
        <v>26</v>
      </c>
      <c r="M75" s="10" t="n">
        <f aca="false">IFERROR(G75/F75,"")</f>
        <v>0.226281973897764</v>
      </c>
      <c r="N75" s="10" t="n">
        <f aca="false">IFERROR(H75/G75,"")</f>
        <v>0.999881446354475</v>
      </c>
      <c r="O75" s="11" t="n">
        <f aca="false">IFERROR(I75/H75,"")</f>
        <v>5.92838510789661E-005</v>
      </c>
      <c r="P75" s="10" t="n">
        <f aca="false">IFERROR(J75/H75,"")</f>
        <v>0.0170737491107422</v>
      </c>
      <c r="Q75" s="10" t="n">
        <f aca="false">IFERROR(K75/H75,"")</f>
        <v>0.00100782546834242</v>
      </c>
      <c r="R75" s="10" t="n">
        <f aca="false">IFERROR(L75/H75,"")</f>
        <v>0.00154138012805312</v>
      </c>
      <c r="S75" s="11" t="str">
        <f aca="false">IFERROR(M75/MEDIAN(INDEX($M$5:$M$665,MATCH($A75-90,$A$5:$A$665,1)):INDEX($M$5:$M$665,MATCH($A75+90,$A$5:$A$665,1))),"")</f>
        <v/>
      </c>
      <c r="T75" s="11" t="str">
        <f aca="false">IFERROR(N75/MEDIAN(INDEX($N$5:$N$665,MATCH($A75-90,$A$5:$A$665,1)):INDEX($N$5:$N$665,MATCH($A75+90,$A$5:$A$665,1))),"")</f>
        <v/>
      </c>
      <c r="U75" s="11" t="str">
        <f aca="false">IFERROR(Q75/MEDIAN(INDEX($Q$5:$Q$665,MATCH($A75-90,$A$5:$A$665,1)):INDEX($Q$5:$Q$665,MATCH($A75+90,$A$5:$A$665,1))),"")</f>
        <v/>
      </c>
    </row>
    <row r="76" customFormat="false" ht="15" hidden="false" customHeight="false" outlineLevel="0" collapsed="false">
      <c r="A76" s="13" t="n">
        <v>45003.5001986574</v>
      </c>
      <c r="B76" s="8" t="n">
        <v>12</v>
      </c>
      <c r="C76" s="8" t="s">
        <v>68</v>
      </c>
      <c r="D76" s="8" t="s">
        <v>764</v>
      </c>
      <c r="E76" s="14" t="s">
        <v>66</v>
      </c>
      <c r="F76" s="9" t="n">
        <v>54885</v>
      </c>
      <c r="G76" s="9" t="n">
        <v>13853</v>
      </c>
      <c r="H76" s="9" t="n">
        <v>13850</v>
      </c>
      <c r="I76" s="9" t="n">
        <v>1</v>
      </c>
      <c r="J76" s="9" t="n">
        <v>260</v>
      </c>
      <c r="K76" s="9" t="n">
        <v>19</v>
      </c>
      <c r="L76" s="9" t="n">
        <v>26</v>
      </c>
      <c r="M76" s="10" t="n">
        <f aca="false">IFERROR(G76/F76,"")</f>
        <v>0.252400473717774</v>
      </c>
      <c r="N76" s="10" t="n">
        <f aca="false">IFERROR(H76/G76,"")</f>
        <v>0.99978344041002</v>
      </c>
      <c r="O76" s="11" t="n">
        <f aca="false">IFERROR(I76/H76,"")</f>
        <v>7.2202166064982E-005</v>
      </c>
      <c r="P76" s="10" t="n">
        <f aca="false">IFERROR(J76/H76,"")</f>
        <v>0.0187725631768953</v>
      </c>
      <c r="Q76" s="10" t="n">
        <f aca="false">IFERROR(K76/H76,"")</f>
        <v>0.00137184115523466</v>
      </c>
      <c r="R76" s="10" t="n">
        <f aca="false">IFERROR(L76/H76,"")</f>
        <v>0.00187725631768953</v>
      </c>
      <c r="S76" s="11" t="str">
        <f aca="false">IFERROR(M76/MEDIAN(INDEX($M$5:$M$665,MATCH($A76-90,$A$5:$A$665,1)):INDEX($M$5:$M$665,MATCH($A76+90,$A$5:$A$665,1))),"")</f>
        <v/>
      </c>
      <c r="T76" s="11" t="str">
        <f aca="false">IFERROR(N76/MEDIAN(INDEX($N$5:$N$665,MATCH($A76-90,$A$5:$A$665,1)):INDEX($N$5:$N$665,MATCH($A76+90,$A$5:$A$665,1))),"")</f>
        <v/>
      </c>
      <c r="U76" s="11" t="str">
        <f aca="false">IFERROR(Q76/MEDIAN(INDEX($Q$5:$Q$665,MATCH($A76-90,$A$5:$A$665,1)):INDEX($Q$5:$Q$665,MATCH($A76+90,$A$5:$A$665,1))),"")</f>
        <v/>
      </c>
    </row>
    <row r="77" customFormat="false" ht="15" hidden="false" customHeight="false" outlineLevel="0" collapsed="false">
      <c r="A77" s="13" t="n">
        <v>45003.7499607176</v>
      </c>
      <c r="B77" s="8" t="n">
        <v>17</v>
      </c>
      <c r="C77" s="8" t="s">
        <v>68</v>
      </c>
      <c r="D77" s="8" t="s">
        <v>765</v>
      </c>
      <c r="E77" s="14" t="s">
        <v>66</v>
      </c>
      <c r="F77" s="9" t="n">
        <v>51406</v>
      </c>
      <c r="G77" s="9" t="n">
        <v>10469</v>
      </c>
      <c r="H77" s="9" t="n">
        <v>10467</v>
      </c>
      <c r="I77" s="9" t="n">
        <v>2</v>
      </c>
      <c r="J77" s="9" t="n">
        <v>215</v>
      </c>
      <c r="K77" s="9" t="n">
        <v>23</v>
      </c>
      <c r="L77" s="9" t="n">
        <v>21</v>
      </c>
      <c r="M77" s="10" t="n">
        <f aca="false">IFERROR(G77/F77,"")</f>
        <v>0.203653270046298</v>
      </c>
      <c r="N77" s="10" t="n">
        <f aca="false">IFERROR(H77/G77,"")</f>
        <v>0.999808959786035</v>
      </c>
      <c r="O77" s="11" t="n">
        <f aca="false">IFERROR(I77/H77,"")</f>
        <v>0.000191076717301997</v>
      </c>
      <c r="P77" s="10" t="n">
        <f aca="false">IFERROR(J77/H77,"")</f>
        <v>0.0205407471099647</v>
      </c>
      <c r="Q77" s="10" t="n">
        <f aca="false">IFERROR(K77/H77,"")</f>
        <v>0.00219738224897296</v>
      </c>
      <c r="R77" s="10" t="n">
        <f aca="false">IFERROR(L77/H77,"")</f>
        <v>0.00200630553167097</v>
      </c>
      <c r="S77" s="11" t="str">
        <f aca="false">IFERROR(M77/MEDIAN(INDEX($M$5:$M$665,MATCH($A77-90,$A$5:$A$665,1)):INDEX($M$5:$M$665,MATCH($A77+90,$A$5:$A$665,1))),"")</f>
        <v/>
      </c>
      <c r="T77" s="11" t="str">
        <f aca="false">IFERROR(N77/MEDIAN(INDEX($N$5:$N$665,MATCH($A77-90,$A$5:$A$665,1)):INDEX($N$5:$N$665,MATCH($A77+90,$A$5:$A$665,1))),"")</f>
        <v/>
      </c>
      <c r="U77" s="11" t="str">
        <f aca="false">IFERROR(Q77/MEDIAN(INDEX($Q$5:$Q$665,MATCH($A77-90,$A$5:$A$665,1)):INDEX($Q$5:$Q$665,MATCH($A77+90,$A$5:$A$665,1))),"")</f>
        <v/>
      </c>
    </row>
    <row r="78" customFormat="false" ht="15" hidden="false" customHeight="false" outlineLevel="0" collapsed="false">
      <c r="A78" s="13" t="n">
        <v>45004.5765083681</v>
      </c>
      <c r="B78" s="8" t="n">
        <v>13</v>
      </c>
      <c r="C78" s="8" t="s">
        <v>86</v>
      </c>
      <c r="D78" s="8" t="s">
        <v>766</v>
      </c>
      <c r="E78" s="14" t="s">
        <v>66</v>
      </c>
      <c r="F78" s="9" t="n">
        <v>21246</v>
      </c>
      <c r="G78" s="9" t="n">
        <v>10143</v>
      </c>
      <c r="H78" s="9" t="n">
        <v>10140</v>
      </c>
      <c r="I78" s="9" t="n">
        <v>3</v>
      </c>
      <c r="J78" s="9" t="n">
        <v>237</v>
      </c>
      <c r="K78" s="9" t="n">
        <v>24</v>
      </c>
      <c r="L78" s="9" t="n">
        <v>21</v>
      </c>
      <c r="M78" s="10" t="n">
        <f aca="false">IFERROR(G78/F78,"")</f>
        <v>0.477407512002259</v>
      </c>
      <c r="N78" s="10" t="n">
        <f aca="false">IFERROR(H78/G78,"")</f>
        <v>0.999704229517894</v>
      </c>
      <c r="O78" s="11" t="n">
        <f aca="false">IFERROR(I78/H78,"")</f>
        <v>0.000295857988165681</v>
      </c>
      <c r="P78" s="10" t="n">
        <f aca="false">IFERROR(J78/H78,"")</f>
        <v>0.0233727810650888</v>
      </c>
      <c r="Q78" s="10" t="n">
        <f aca="false">IFERROR(K78/H78,"")</f>
        <v>0.00236686390532544</v>
      </c>
      <c r="R78" s="10" t="n">
        <f aca="false">IFERROR(L78/H78,"")</f>
        <v>0.00207100591715976</v>
      </c>
      <c r="S78" s="11" t="str">
        <f aca="false">IFERROR(M78/MEDIAN(INDEX($M$5:$M$665,MATCH($A78-90,$A$5:$A$665,1)):INDEX($M$5:$M$665,MATCH($A78+90,$A$5:$A$665,1))),"")</f>
        <v/>
      </c>
      <c r="T78" s="11" t="str">
        <f aca="false">IFERROR(N78/MEDIAN(INDEX($N$5:$N$665,MATCH($A78-90,$A$5:$A$665,1)):INDEX($N$5:$N$665,MATCH($A78+90,$A$5:$A$665,1))),"")</f>
        <v/>
      </c>
      <c r="U78" s="11" t="str">
        <f aca="false">IFERROR(Q78/MEDIAN(INDEX($Q$5:$Q$665,MATCH($A78-90,$A$5:$A$665,1)):INDEX($Q$5:$Q$665,MATCH($A78+90,$A$5:$A$665,1))),"")</f>
        <v/>
      </c>
    </row>
    <row r="79" customFormat="false" ht="15" hidden="false" customHeight="false" outlineLevel="0" collapsed="false">
      <c r="A79" s="13" t="n">
        <v>45005.8856201852</v>
      </c>
      <c r="B79" s="8" t="n">
        <v>21</v>
      </c>
      <c r="C79" s="8" t="s">
        <v>80</v>
      </c>
      <c r="D79" s="8" t="s">
        <v>767</v>
      </c>
      <c r="E79" s="14" t="s">
        <v>66</v>
      </c>
      <c r="F79" s="9" t="n">
        <v>5774</v>
      </c>
      <c r="G79" s="9" t="n">
        <v>2313</v>
      </c>
      <c r="H79" s="9" t="n">
        <v>2314</v>
      </c>
      <c r="I79" s="9" t="n">
        <v>10</v>
      </c>
      <c r="J79" s="9" t="n">
        <v>140</v>
      </c>
      <c r="K79" s="9" t="n">
        <v>13</v>
      </c>
      <c r="L79" s="9" t="n">
        <v>16</v>
      </c>
      <c r="M79" s="10" t="n">
        <f aca="false">IFERROR(G79/F79,"")</f>
        <v>0.400588846553516</v>
      </c>
      <c r="N79" s="10" t="n">
        <f aca="false">IFERROR(H79/G79,"")</f>
        <v>1.00043233895374</v>
      </c>
      <c r="O79" s="11" t="n">
        <f aca="false">IFERROR(I79/H79,"")</f>
        <v>0.00432152117545376</v>
      </c>
      <c r="P79" s="10" t="n">
        <f aca="false">IFERROR(J79/H79,"")</f>
        <v>0.0605012964563526</v>
      </c>
      <c r="Q79" s="10" t="n">
        <f aca="false">IFERROR(K79/H79,"")</f>
        <v>0.00561797752808989</v>
      </c>
      <c r="R79" s="10" t="n">
        <f aca="false">IFERROR(L79/H79,"")</f>
        <v>0.00691443388072602</v>
      </c>
      <c r="S79" s="11" t="str">
        <f aca="false">IFERROR(M79/MEDIAN(INDEX($M$5:$M$665,MATCH($A79-90,$A$5:$A$665,1)):INDEX($M$5:$M$665,MATCH($A79+90,$A$5:$A$665,1))),"")</f>
        <v/>
      </c>
      <c r="T79" s="11" t="str">
        <f aca="false">IFERROR(N79/MEDIAN(INDEX($N$5:$N$665,MATCH($A79-90,$A$5:$A$665,1)):INDEX($N$5:$N$665,MATCH($A79+90,$A$5:$A$665,1))),"")</f>
        <v/>
      </c>
      <c r="U79" s="11" t="str">
        <f aca="false">IFERROR(Q79/MEDIAN(INDEX($Q$5:$Q$665,MATCH($A79-90,$A$5:$A$665,1)):INDEX($Q$5:$Q$665,MATCH($A79+90,$A$5:$A$665,1))),"")</f>
        <v/>
      </c>
    </row>
    <row r="80" customFormat="false" ht="15" hidden="false" customHeight="false" outlineLevel="0" collapsed="false">
      <c r="A80" s="13" t="n">
        <v>45006.7710328472</v>
      </c>
      <c r="B80" s="8" t="n">
        <v>18</v>
      </c>
      <c r="C80" s="8" t="s">
        <v>64</v>
      </c>
      <c r="D80" s="8" t="s">
        <v>768</v>
      </c>
      <c r="E80" s="14" t="s">
        <v>66</v>
      </c>
      <c r="F80" s="9" t="n">
        <v>142212</v>
      </c>
      <c r="G80" s="9" t="n">
        <v>26755</v>
      </c>
      <c r="H80" s="9" t="n">
        <v>26753</v>
      </c>
      <c r="I80" s="9" t="n">
        <v>1</v>
      </c>
      <c r="J80" s="9" t="n">
        <v>267</v>
      </c>
      <c r="K80" s="9" t="n">
        <v>30</v>
      </c>
      <c r="L80" s="9" t="n">
        <v>28</v>
      </c>
      <c r="M80" s="10" t="n">
        <f aca="false">IFERROR(G80/F80,"")</f>
        <v>0.18813461592552</v>
      </c>
      <c r="N80" s="10" t="n">
        <f aca="false">IFERROR(H80/G80,"")</f>
        <v>0.999925247617268</v>
      </c>
      <c r="O80" s="11" t="n">
        <f aca="false">IFERROR(I80/H80,"")</f>
        <v>3.73789855343326E-005</v>
      </c>
      <c r="P80" s="10" t="n">
        <f aca="false">IFERROR(J80/H80,"")</f>
        <v>0.0099801891376668</v>
      </c>
      <c r="Q80" s="10" t="n">
        <f aca="false">IFERROR(K80/H80,"")</f>
        <v>0.00112136956602998</v>
      </c>
      <c r="R80" s="10" t="n">
        <f aca="false">IFERROR(L80/H80,"")</f>
        <v>0.00104661159496131</v>
      </c>
      <c r="S80" s="11" t="str">
        <f aca="false">IFERROR(M80/MEDIAN(INDEX($M$5:$M$665,MATCH($A80-90,$A$5:$A$665,1)):INDEX($M$5:$M$665,MATCH($A80+90,$A$5:$A$665,1))),"")</f>
        <v/>
      </c>
      <c r="T80" s="11" t="str">
        <f aca="false">IFERROR(N80/MEDIAN(INDEX($N$5:$N$665,MATCH($A80-90,$A$5:$A$665,1)):INDEX($N$5:$N$665,MATCH($A80+90,$A$5:$A$665,1))),"")</f>
        <v/>
      </c>
      <c r="U80" s="11" t="str">
        <f aca="false">IFERROR(Q80/MEDIAN(INDEX($Q$5:$Q$665,MATCH($A80-90,$A$5:$A$665,1)):INDEX($Q$5:$Q$665,MATCH($A80+90,$A$5:$A$665,1))),"")</f>
        <v/>
      </c>
    </row>
    <row r="81" customFormat="false" ht="15" hidden="false" customHeight="false" outlineLevel="0" collapsed="false">
      <c r="A81" s="13" t="n">
        <v>45007.6175036921</v>
      </c>
      <c r="B81" s="8" t="n">
        <v>14</v>
      </c>
      <c r="C81" s="8" t="s">
        <v>71</v>
      </c>
      <c r="D81" s="8" t="s">
        <v>769</v>
      </c>
      <c r="E81" s="14" t="s">
        <v>66</v>
      </c>
      <c r="F81" s="9" t="n">
        <v>95566</v>
      </c>
      <c r="G81" s="9" t="n">
        <v>18217</v>
      </c>
      <c r="H81" s="9" t="n">
        <v>18216</v>
      </c>
      <c r="I81" s="9" t="n">
        <v>52</v>
      </c>
      <c r="J81" s="9" t="n">
        <v>388</v>
      </c>
      <c r="K81" s="9" t="n">
        <v>30</v>
      </c>
      <c r="L81" s="9" t="n">
        <v>48</v>
      </c>
      <c r="M81" s="10" t="n">
        <f aca="false">IFERROR(G81/F81,"")</f>
        <v>0.190622187807379</v>
      </c>
      <c r="N81" s="10" t="n">
        <f aca="false">IFERROR(H81/G81,"")</f>
        <v>0.999945106219465</v>
      </c>
      <c r="O81" s="11" t="n">
        <f aca="false">IFERROR(I81/H81,"")</f>
        <v>0.0028546332894159</v>
      </c>
      <c r="P81" s="10" t="n">
        <f aca="false">IFERROR(J81/H81,"")</f>
        <v>0.0212999560825648</v>
      </c>
      <c r="Q81" s="10" t="n">
        <f aca="false">IFERROR(K81/H81,"")</f>
        <v>0.00164690382081686</v>
      </c>
      <c r="R81" s="10" t="n">
        <f aca="false">IFERROR(L81/H81,"")</f>
        <v>0.00263504611330698</v>
      </c>
      <c r="S81" s="11" t="str">
        <f aca="false">IFERROR(M81/MEDIAN(INDEX($M$5:$M$665,MATCH($A81-90,$A$5:$A$665,1)):INDEX($M$5:$M$665,MATCH($A81+90,$A$5:$A$665,1))),"")</f>
        <v/>
      </c>
      <c r="T81" s="11" t="str">
        <f aca="false">IFERROR(N81/MEDIAN(INDEX($N$5:$N$665,MATCH($A81-90,$A$5:$A$665,1)):INDEX($N$5:$N$665,MATCH($A81+90,$A$5:$A$665,1))),"")</f>
        <v/>
      </c>
      <c r="U81" s="11" t="str">
        <f aca="false">IFERROR(Q81/MEDIAN(INDEX($Q$5:$Q$665,MATCH($A81-90,$A$5:$A$665,1)):INDEX($Q$5:$Q$665,MATCH($A81+90,$A$5:$A$665,1))),"")</f>
        <v/>
      </c>
    </row>
    <row r="82" customFormat="false" ht="15" hidden="false" customHeight="false" outlineLevel="0" collapsed="false">
      <c r="A82" s="13" t="n">
        <v>45008.7772654167</v>
      </c>
      <c r="B82" s="8" t="n">
        <v>18</v>
      </c>
      <c r="C82" s="8" t="s">
        <v>73</v>
      </c>
      <c r="D82" s="8" t="s">
        <v>770</v>
      </c>
      <c r="E82" s="14" t="s">
        <v>66</v>
      </c>
      <c r="F82" s="9" t="n">
        <v>137286</v>
      </c>
      <c r="G82" s="9" t="n">
        <v>22002</v>
      </c>
      <c r="H82" s="9" t="n">
        <v>22001</v>
      </c>
      <c r="I82" s="9" t="n">
        <v>3</v>
      </c>
      <c r="J82" s="9" t="n">
        <v>257</v>
      </c>
      <c r="K82" s="9" t="n">
        <v>34</v>
      </c>
      <c r="L82" s="9" t="n">
        <v>19</v>
      </c>
      <c r="M82" s="10" t="n">
        <f aca="false">IFERROR(G82/F82,"")</f>
        <v>0.16026397447664</v>
      </c>
      <c r="N82" s="10" t="n">
        <f aca="false">IFERROR(H82/G82,"")</f>
        <v>0.999954549586401</v>
      </c>
      <c r="O82" s="11" t="n">
        <f aca="false">IFERROR(I82/H82,"")</f>
        <v>0.000136357438298259</v>
      </c>
      <c r="P82" s="10" t="n">
        <f aca="false">IFERROR(J82/H82,"")</f>
        <v>0.0116812872142175</v>
      </c>
      <c r="Q82" s="10" t="n">
        <f aca="false">IFERROR(K82/H82,"")</f>
        <v>0.0015453843007136</v>
      </c>
      <c r="R82" s="10" t="n">
        <f aca="false">IFERROR(L82/H82,"")</f>
        <v>0.000863597109222308</v>
      </c>
      <c r="S82" s="11" t="str">
        <f aca="false">IFERROR(M82/MEDIAN(INDEX($M$5:$M$665,MATCH($A82-90,$A$5:$A$665,1)):INDEX($M$5:$M$665,MATCH($A82+90,$A$5:$A$665,1))),"")</f>
        <v/>
      </c>
      <c r="T82" s="11" t="str">
        <f aca="false">IFERROR(N82/MEDIAN(INDEX($N$5:$N$665,MATCH($A82-90,$A$5:$A$665,1)):INDEX($N$5:$N$665,MATCH($A82+90,$A$5:$A$665,1))),"")</f>
        <v/>
      </c>
      <c r="U82" s="11" t="str">
        <f aca="false">IFERROR(Q82/MEDIAN(INDEX($Q$5:$Q$665,MATCH($A82-90,$A$5:$A$665,1)):INDEX($Q$5:$Q$665,MATCH($A82+90,$A$5:$A$665,1))),"")</f>
        <v/>
      </c>
    </row>
    <row r="83" customFormat="false" ht="15" hidden="false" customHeight="false" outlineLevel="0" collapsed="false">
      <c r="A83" s="13" t="n">
        <v>45009.5919542014</v>
      </c>
      <c r="B83" s="8" t="n">
        <v>14</v>
      </c>
      <c r="C83" s="8" t="s">
        <v>84</v>
      </c>
      <c r="D83" s="8" t="s">
        <v>771</v>
      </c>
      <c r="E83" s="14" t="s">
        <v>66</v>
      </c>
      <c r="F83" s="9" t="n">
        <v>71225</v>
      </c>
      <c r="G83" s="9" t="n">
        <v>13393</v>
      </c>
      <c r="H83" s="9" t="n">
        <v>13397</v>
      </c>
      <c r="I83" s="9" t="n">
        <v>34</v>
      </c>
      <c r="J83" s="9" t="n">
        <v>280</v>
      </c>
      <c r="K83" s="9" t="n">
        <v>22</v>
      </c>
      <c r="L83" s="9" t="n">
        <v>25</v>
      </c>
      <c r="M83" s="10" t="n">
        <f aca="false">IFERROR(G83/F83,"")</f>
        <v>0.188037908037908</v>
      </c>
      <c r="N83" s="10" t="n">
        <f aca="false">IFERROR(H83/G83,"")</f>
        <v>1.00029866348092</v>
      </c>
      <c r="O83" s="11" t="n">
        <f aca="false">IFERROR(I83/H83,"")</f>
        <v>0.002537881615287</v>
      </c>
      <c r="P83" s="10" t="n">
        <f aca="false">IFERROR(J83/H83,"")</f>
        <v>0.0209002015376577</v>
      </c>
      <c r="Q83" s="10" t="n">
        <f aca="false">IFERROR(K83/H83,"")</f>
        <v>0.00164215869224453</v>
      </c>
      <c r="R83" s="10" t="n">
        <f aca="false">IFERROR(L83/H83,"")</f>
        <v>0.00186608942300515</v>
      </c>
      <c r="S83" s="11" t="str">
        <f aca="false">IFERROR(M83/MEDIAN(INDEX($M$5:$M$665,MATCH($A83-90,$A$5:$A$665,1)):INDEX($M$5:$M$665,MATCH($A83+90,$A$5:$A$665,1))),"")</f>
        <v/>
      </c>
      <c r="T83" s="11" t="str">
        <f aca="false">IFERROR(N83/MEDIAN(INDEX($N$5:$N$665,MATCH($A83-90,$A$5:$A$665,1)):INDEX($N$5:$N$665,MATCH($A83+90,$A$5:$A$665,1))),"")</f>
        <v/>
      </c>
      <c r="U83" s="11" t="str">
        <f aca="false">IFERROR(Q83/MEDIAN(INDEX($Q$5:$Q$665,MATCH($A83-90,$A$5:$A$665,1)):INDEX($Q$5:$Q$665,MATCH($A83+90,$A$5:$A$665,1))),"")</f>
        <v/>
      </c>
    </row>
    <row r="84" customFormat="false" ht="15" hidden="false" customHeight="false" outlineLevel="0" collapsed="false">
      <c r="A84" s="13" t="n">
        <v>45010.5006563542</v>
      </c>
      <c r="B84" s="8" t="n">
        <v>12</v>
      </c>
      <c r="C84" s="8" t="s">
        <v>68</v>
      </c>
      <c r="D84" s="8" t="s">
        <v>772</v>
      </c>
      <c r="E84" s="14" t="s">
        <v>66</v>
      </c>
      <c r="F84" s="9" t="n">
        <v>107000</v>
      </c>
      <c r="G84" s="9" t="n">
        <v>26765</v>
      </c>
      <c r="H84" s="9" t="n">
        <v>26763</v>
      </c>
      <c r="I84" s="9" t="n">
        <v>1</v>
      </c>
      <c r="J84" s="9" t="n">
        <v>278</v>
      </c>
      <c r="K84" s="9" t="n">
        <v>49</v>
      </c>
      <c r="L84" s="9" t="n">
        <v>47</v>
      </c>
      <c r="M84" s="10" t="n">
        <f aca="false">IFERROR(G84/F84,"")</f>
        <v>0.250140186915888</v>
      </c>
      <c r="N84" s="10" t="n">
        <f aca="false">IFERROR(H84/G84,"")</f>
        <v>0.999925275546423</v>
      </c>
      <c r="O84" s="11" t="n">
        <f aca="false">IFERROR(I84/H84,"")</f>
        <v>3.73650188693345E-005</v>
      </c>
      <c r="P84" s="10" t="n">
        <f aca="false">IFERROR(J84/H84,"")</f>
        <v>0.010387475245675</v>
      </c>
      <c r="Q84" s="10" t="n">
        <f aca="false">IFERROR(K84/H84,"")</f>
        <v>0.00183088592459739</v>
      </c>
      <c r="R84" s="10" t="n">
        <f aca="false">IFERROR(L84/H84,"")</f>
        <v>0.00175615588685872</v>
      </c>
      <c r="S84" s="11" t="str">
        <f aca="false">IFERROR(M84/MEDIAN(INDEX($M$5:$M$665,MATCH($A84-90,$A$5:$A$665,1)):INDEX($M$5:$M$665,MATCH($A84+90,$A$5:$A$665,1))),"")</f>
        <v/>
      </c>
      <c r="T84" s="11" t="str">
        <f aca="false">IFERROR(N84/MEDIAN(INDEX($N$5:$N$665,MATCH($A84-90,$A$5:$A$665,1)):INDEX($N$5:$N$665,MATCH($A84+90,$A$5:$A$665,1))),"")</f>
        <v/>
      </c>
      <c r="U84" s="11" t="str">
        <f aca="false">IFERROR(Q84/MEDIAN(INDEX($Q$5:$Q$665,MATCH($A84-90,$A$5:$A$665,1)):INDEX($Q$5:$Q$665,MATCH($A84+90,$A$5:$A$665,1))),"")</f>
        <v/>
      </c>
    </row>
    <row r="85" customFormat="false" ht="15" hidden="false" customHeight="false" outlineLevel="0" collapsed="false">
      <c r="A85" s="13" t="n">
        <v>45011.7453989815</v>
      </c>
      <c r="B85" s="8" t="n">
        <v>17</v>
      </c>
      <c r="C85" s="8" t="s">
        <v>86</v>
      </c>
      <c r="D85" s="8" t="s">
        <v>773</v>
      </c>
      <c r="E85" s="14" t="s">
        <v>66</v>
      </c>
      <c r="F85" s="9" t="n">
        <v>196830</v>
      </c>
      <c r="G85" s="9" t="n">
        <v>41673</v>
      </c>
      <c r="H85" s="9" t="n">
        <v>41671</v>
      </c>
      <c r="I85" s="9" t="n">
        <v>1</v>
      </c>
      <c r="J85" s="9" t="n">
        <v>383</v>
      </c>
      <c r="K85" s="9" t="n">
        <v>76</v>
      </c>
      <c r="L85" s="9" t="n">
        <v>65</v>
      </c>
      <c r="M85" s="10" t="n">
        <f aca="false">IFERROR(G85/F85,"")</f>
        <v>0.211720774272215</v>
      </c>
      <c r="N85" s="10" t="n">
        <f aca="false">IFERROR(H85/G85,"")</f>
        <v>0.999952007294891</v>
      </c>
      <c r="O85" s="11" t="n">
        <f aca="false">IFERROR(I85/H85,"")</f>
        <v>2.3997504259557E-005</v>
      </c>
      <c r="P85" s="10" t="n">
        <f aca="false">IFERROR(J85/H85,"")</f>
        <v>0.00919104413141033</v>
      </c>
      <c r="Q85" s="10" t="n">
        <f aca="false">IFERROR(K85/H85,"")</f>
        <v>0.00182381032372633</v>
      </c>
      <c r="R85" s="10" t="n">
        <f aca="false">IFERROR(L85/H85,"")</f>
        <v>0.00155983777687121</v>
      </c>
      <c r="S85" s="11" t="str">
        <f aca="false">IFERROR(M85/MEDIAN(INDEX($M$5:$M$665,MATCH($A85-90,$A$5:$A$665,1)):INDEX($M$5:$M$665,MATCH($A85+90,$A$5:$A$665,1))),"")</f>
        <v/>
      </c>
      <c r="T85" s="11" t="str">
        <f aca="false">IFERROR(N85/MEDIAN(INDEX($N$5:$N$665,MATCH($A85-90,$A$5:$A$665,1)):INDEX($N$5:$N$665,MATCH($A85+90,$A$5:$A$665,1))),"")</f>
        <v/>
      </c>
      <c r="U85" s="11" t="str">
        <f aca="false">IFERROR(Q85/MEDIAN(INDEX($Q$5:$Q$665,MATCH($A85-90,$A$5:$A$665,1)):INDEX($Q$5:$Q$665,MATCH($A85+90,$A$5:$A$665,1))),"")</f>
        <v/>
      </c>
    </row>
    <row r="86" customFormat="false" ht="15" hidden="false" customHeight="false" outlineLevel="0" collapsed="false">
      <c r="A86" s="13" t="n">
        <v>45012.5817034954</v>
      </c>
      <c r="B86" s="8" t="n">
        <v>13</v>
      </c>
      <c r="C86" s="8" t="s">
        <v>80</v>
      </c>
      <c r="D86" s="8" t="s">
        <v>774</v>
      </c>
      <c r="E86" s="14" t="s">
        <v>66</v>
      </c>
      <c r="F86" s="9" t="n">
        <v>126698</v>
      </c>
      <c r="G86" s="9" t="n">
        <v>18451</v>
      </c>
      <c r="H86" s="9" t="n">
        <v>18458</v>
      </c>
      <c r="I86" s="9" t="n">
        <v>14</v>
      </c>
      <c r="J86" s="9" t="n">
        <v>268</v>
      </c>
      <c r="K86" s="9" t="n">
        <v>33</v>
      </c>
      <c r="L86" s="9" t="n">
        <v>29</v>
      </c>
      <c r="M86" s="10" t="n">
        <f aca="false">IFERROR(G86/F86,"")</f>
        <v>0.145629765268591</v>
      </c>
      <c r="N86" s="10" t="n">
        <f aca="false">IFERROR(H86/G86,"")</f>
        <v>1.00037938323126</v>
      </c>
      <c r="O86" s="11" t="n">
        <f aca="false">IFERROR(I86/H86,"")</f>
        <v>0.000758478708419114</v>
      </c>
      <c r="P86" s="10" t="n">
        <f aca="false">IFERROR(J86/H86,"")</f>
        <v>0.0145194495611659</v>
      </c>
      <c r="Q86" s="10" t="n">
        <f aca="false">IFERROR(K86/H86,"")</f>
        <v>0.00178784266984505</v>
      </c>
      <c r="R86" s="10" t="n">
        <f aca="false">IFERROR(L86/H86,"")</f>
        <v>0.00157113446743959</v>
      </c>
      <c r="S86" s="11" t="str">
        <f aca="false">IFERROR(M86/MEDIAN(INDEX($M$5:$M$665,MATCH($A86-90,$A$5:$A$665,1)):INDEX($M$5:$M$665,MATCH($A86+90,$A$5:$A$665,1))),"")</f>
        <v/>
      </c>
      <c r="T86" s="11" t="str">
        <f aca="false">IFERROR(N86/MEDIAN(INDEX($N$5:$N$665,MATCH($A86-90,$A$5:$A$665,1)):INDEX($N$5:$N$665,MATCH($A86+90,$A$5:$A$665,1))),"")</f>
        <v/>
      </c>
      <c r="U86" s="11" t="str">
        <f aca="false">IFERROR(Q86/MEDIAN(INDEX($Q$5:$Q$665,MATCH($A86-90,$A$5:$A$665,1)):INDEX($Q$5:$Q$665,MATCH($A86+90,$A$5:$A$665,1))),"")</f>
        <v/>
      </c>
    </row>
    <row r="87" customFormat="false" ht="15" hidden="false" customHeight="false" outlineLevel="0" collapsed="false">
      <c r="A87" s="13" t="n">
        <v>45013.9279271412</v>
      </c>
      <c r="B87" s="8" t="n">
        <v>22</v>
      </c>
      <c r="C87" s="8" t="s">
        <v>64</v>
      </c>
      <c r="D87" s="8" t="s">
        <v>775</v>
      </c>
      <c r="E87" s="14" t="s">
        <v>66</v>
      </c>
      <c r="F87" s="9" t="n">
        <v>46296</v>
      </c>
      <c r="G87" s="9" t="n">
        <v>14680</v>
      </c>
      <c r="H87" s="9" t="n">
        <v>14677</v>
      </c>
      <c r="I87" s="9" t="n">
        <v>2</v>
      </c>
      <c r="J87" s="9" t="n">
        <v>227</v>
      </c>
      <c r="K87" s="9" t="n">
        <v>16</v>
      </c>
      <c r="L87" s="9" t="n">
        <v>11</v>
      </c>
      <c r="M87" s="10" t="n">
        <f aca="false">IFERROR(G87/F87,"")</f>
        <v>0.317090029376188</v>
      </c>
      <c r="N87" s="10" t="n">
        <f aca="false">IFERROR(H87/G87,"")</f>
        <v>0.999795640326975</v>
      </c>
      <c r="O87" s="11" t="n">
        <f aca="false">IFERROR(I87/H87,"")</f>
        <v>0.000136267629624583</v>
      </c>
      <c r="P87" s="10" t="n">
        <f aca="false">IFERROR(J87/H87,"")</f>
        <v>0.0154663759623901</v>
      </c>
      <c r="Q87" s="10" t="n">
        <f aca="false">IFERROR(K87/H87,"")</f>
        <v>0.00109014103699666</v>
      </c>
      <c r="R87" s="10" t="n">
        <f aca="false">IFERROR(L87/H87,"")</f>
        <v>0.000749471962935205</v>
      </c>
      <c r="S87" s="11" t="str">
        <f aca="false">IFERROR(M87/MEDIAN(INDEX($M$5:$M$665,MATCH($A87-90,$A$5:$A$665,1)):INDEX($M$5:$M$665,MATCH($A87+90,$A$5:$A$665,1))),"")</f>
        <v/>
      </c>
      <c r="T87" s="11" t="str">
        <f aca="false">IFERROR(N87/MEDIAN(INDEX($N$5:$N$665,MATCH($A87-90,$A$5:$A$665,1)):INDEX($N$5:$N$665,MATCH($A87+90,$A$5:$A$665,1))),"")</f>
        <v/>
      </c>
      <c r="U87" s="11" t="str">
        <f aca="false">IFERROR(Q87/MEDIAN(INDEX($Q$5:$Q$665,MATCH($A87-90,$A$5:$A$665,1)):INDEX($Q$5:$Q$665,MATCH($A87+90,$A$5:$A$665,1))),"")</f>
        <v/>
      </c>
    </row>
    <row r="88" customFormat="false" ht="15" hidden="false" customHeight="false" outlineLevel="0" collapsed="false">
      <c r="A88" s="13" t="n">
        <v>45014.4956403704</v>
      </c>
      <c r="B88" s="8" t="n">
        <v>11</v>
      </c>
      <c r="C88" s="8" t="s">
        <v>71</v>
      </c>
      <c r="D88" s="8" t="s">
        <v>776</v>
      </c>
      <c r="E88" s="14" t="s">
        <v>66</v>
      </c>
      <c r="F88" s="9" t="n">
        <v>90532</v>
      </c>
      <c r="G88" s="9" t="n">
        <v>13859</v>
      </c>
      <c r="H88" s="9" t="n">
        <v>13860</v>
      </c>
      <c r="I88" s="9" t="n">
        <v>8</v>
      </c>
      <c r="J88" s="9" t="n">
        <v>215</v>
      </c>
      <c r="K88" s="9" t="n">
        <v>17</v>
      </c>
      <c r="L88" s="9" t="n">
        <v>7</v>
      </c>
      <c r="M88" s="10" t="n">
        <f aca="false">IFERROR(G88/F88,"")</f>
        <v>0.153083992400477</v>
      </c>
      <c r="N88" s="10" t="n">
        <f aca="false">IFERROR(H88/G88,"")</f>
        <v>1.00007215527816</v>
      </c>
      <c r="O88" s="11" t="n">
        <f aca="false">IFERROR(I88/H88,"")</f>
        <v>0.000577200577200577</v>
      </c>
      <c r="P88" s="10" t="n">
        <f aca="false">IFERROR(J88/H88,"")</f>
        <v>0.0155122655122655</v>
      </c>
      <c r="Q88" s="10" t="n">
        <f aca="false">IFERROR(K88/H88,"")</f>
        <v>0.00122655122655123</v>
      </c>
      <c r="R88" s="10" t="n">
        <f aca="false">IFERROR(L88/H88,"")</f>
        <v>0.000505050505050505</v>
      </c>
      <c r="S88" s="11" t="str">
        <f aca="false">IFERROR(M88/MEDIAN(INDEX($M$5:$M$665,MATCH($A88-90,$A$5:$A$665,1)):INDEX($M$5:$M$665,MATCH($A88+90,$A$5:$A$665,1))),"")</f>
        <v/>
      </c>
      <c r="T88" s="11" t="str">
        <f aca="false">IFERROR(N88/MEDIAN(INDEX($N$5:$N$665,MATCH($A88-90,$A$5:$A$665,1)):INDEX($N$5:$N$665,MATCH($A88+90,$A$5:$A$665,1))),"")</f>
        <v/>
      </c>
      <c r="U88" s="11" t="str">
        <f aca="false">IFERROR(Q88/MEDIAN(INDEX($Q$5:$Q$665,MATCH($A88-90,$A$5:$A$665,1)):INDEX($Q$5:$Q$665,MATCH($A88+90,$A$5:$A$665,1))),"")</f>
        <v/>
      </c>
    </row>
    <row r="89" customFormat="false" ht="15" hidden="false" customHeight="false" outlineLevel="0" collapsed="false">
      <c r="A89" s="13" t="n">
        <v>45015.5186461227</v>
      </c>
      <c r="B89" s="8" t="n">
        <v>12</v>
      </c>
      <c r="C89" s="8" t="s">
        <v>73</v>
      </c>
      <c r="D89" s="8" t="s">
        <v>777</v>
      </c>
      <c r="E89" s="14" t="s">
        <v>66</v>
      </c>
      <c r="F89" s="9" t="n">
        <v>138572</v>
      </c>
      <c r="G89" s="9" t="n">
        <v>28346</v>
      </c>
      <c r="H89" s="9" t="n">
        <v>28346</v>
      </c>
      <c r="I89" s="9" t="n">
        <v>0</v>
      </c>
      <c r="J89" s="9" t="n">
        <v>339</v>
      </c>
      <c r="K89" s="9" t="n">
        <v>21</v>
      </c>
      <c r="L89" s="9" t="n">
        <v>38</v>
      </c>
      <c r="M89" s="10" t="n">
        <f aca="false">IFERROR(G89/F89,"")</f>
        <v>0.204557919348786</v>
      </c>
      <c r="N89" s="10" t="n">
        <f aca="false">IFERROR(H89/G89,"")</f>
        <v>1</v>
      </c>
      <c r="O89" s="11" t="n">
        <f aca="false">IFERROR(I89/H89,"")</f>
        <v>0</v>
      </c>
      <c r="P89" s="10" t="n">
        <f aca="false">IFERROR(J89/H89,"")</f>
        <v>0.0119593593452339</v>
      </c>
      <c r="Q89" s="10" t="n">
        <f aca="false">IFERROR(K89/H89,"")</f>
        <v>0.000740845269173781</v>
      </c>
      <c r="R89" s="10" t="n">
        <f aca="false">IFERROR(L89/H89,"")</f>
        <v>0.00134057715374303</v>
      </c>
      <c r="S89" s="11" t="str">
        <f aca="false">IFERROR(M89/MEDIAN(INDEX($M$5:$M$665,MATCH($A89-90,$A$5:$A$665,1)):INDEX($M$5:$M$665,MATCH($A89+90,$A$5:$A$665,1))),"")</f>
        <v/>
      </c>
      <c r="T89" s="11" t="str">
        <f aca="false">IFERROR(N89/MEDIAN(INDEX($N$5:$N$665,MATCH($A89-90,$A$5:$A$665,1)):INDEX($N$5:$N$665,MATCH($A89+90,$A$5:$A$665,1))),"")</f>
        <v/>
      </c>
      <c r="U89" s="11" t="str">
        <f aca="false">IFERROR(Q89/MEDIAN(INDEX($Q$5:$Q$665,MATCH($A89-90,$A$5:$A$665,1)):INDEX($Q$5:$Q$665,MATCH($A89+90,$A$5:$A$665,1))),"")</f>
        <v/>
      </c>
    </row>
    <row r="90" customFormat="false" ht="15" hidden="false" customHeight="false" outlineLevel="0" collapsed="false">
      <c r="A90" s="13" t="n">
        <v>45016.5779257407</v>
      </c>
      <c r="B90" s="8" t="n">
        <v>13</v>
      </c>
      <c r="C90" s="8" t="s">
        <v>84</v>
      </c>
      <c r="D90" s="8" t="s">
        <v>778</v>
      </c>
      <c r="E90" s="14" t="s">
        <v>66</v>
      </c>
      <c r="F90" s="9" t="n">
        <v>82896</v>
      </c>
      <c r="G90" s="9" t="n">
        <v>15260</v>
      </c>
      <c r="H90" s="9" t="n">
        <v>15257</v>
      </c>
      <c r="I90" s="9" t="n">
        <v>2</v>
      </c>
      <c r="J90" s="9" t="n">
        <v>250</v>
      </c>
      <c r="K90" s="9" t="n">
        <v>22</v>
      </c>
      <c r="L90" s="9" t="n">
        <v>14</v>
      </c>
      <c r="M90" s="10" t="n">
        <f aca="false">IFERROR(G90/F90,"")</f>
        <v>0.184086083767612</v>
      </c>
      <c r="N90" s="10" t="n">
        <f aca="false">IFERROR(H90/G90,"")</f>
        <v>0.999803407601573</v>
      </c>
      <c r="O90" s="11" t="n">
        <f aca="false">IFERROR(I90/H90,"")</f>
        <v>0.000131087369731926</v>
      </c>
      <c r="P90" s="10" t="n">
        <f aca="false">IFERROR(J90/H90,"")</f>
        <v>0.0163859212164908</v>
      </c>
      <c r="Q90" s="10" t="n">
        <f aca="false">IFERROR(K90/H90,"")</f>
        <v>0.00144196106705119</v>
      </c>
      <c r="R90" s="10" t="n">
        <f aca="false">IFERROR(L90/H90,"")</f>
        <v>0.000917611588123484</v>
      </c>
      <c r="S90" s="11" t="str">
        <f aca="false">IFERROR(M90/MEDIAN(INDEX($M$5:$M$665,MATCH($A90-90,$A$5:$A$665,1)):INDEX($M$5:$M$665,MATCH($A90+90,$A$5:$A$665,1))),"")</f>
        <v/>
      </c>
      <c r="T90" s="11" t="str">
        <f aca="false">IFERROR(N90/MEDIAN(INDEX($N$5:$N$665,MATCH($A90-90,$A$5:$A$665,1)):INDEX($N$5:$N$665,MATCH($A90+90,$A$5:$A$665,1))),"")</f>
        <v/>
      </c>
      <c r="U90" s="11" t="str">
        <f aca="false">IFERROR(Q90/MEDIAN(INDEX($Q$5:$Q$665,MATCH($A90-90,$A$5:$A$665,1)):INDEX($Q$5:$Q$665,MATCH($A90+90,$A$5:$A$665,1))),"")</f>
        <v/>
      </c>
    </row>
    <row r="91" customFormat="false" ht="15" hidden="false" customHeight="false" outlineLevel="0" collapsed="false">
      <c r="A91" s="13" t="n">
        <v>45017.5290871875</v>
      </c>
      <c r="B91" s="8" t="n">
        <v>12</v>
      </c>
      <c r="C91" s="8" t="s">
        <v>68</v>
      </c>
      <c r="D91" s="8" t="s">
        <v>779</v>
      </c>
      <c r="E91" s="14" t="s">
        <v>66</v>
      </c>
      <c r="F91" s="9" t="n">
        <v>88673</v>
      </c>
      <c r="G91" s="9" t="n">
        <v>16600</v>
      </c>
      <c r="H91" s="9" t="n">
        <v>16597</v>
      </c>
      <c r="I91" s="9" t="n">
        <v>52</v>
      </c>
      <c r="J91" s="9" t="n">
        <v>262</v>
      </c>
      <c r="K91" s="9" t="n">
        <v>15</v>
      </c>
      <c r="L91" s="9" t="n">
        <v>20</v>
      </c>
      <c r="M91" s="10" t="n">
        <f aca="false">IFERROR(G91/F91,"")</f>
        <v>0.1872046733504</v>
      </c>
      <c r="N91" s="10" t="n">
        <f aca="false">IFERROR(H91/G91,"")</f>
        <v>0.999819277108434</v>
      </c>
      <c r="O91" s="11" t="n">
        <f aca="false">IFERROR(I91/H91,"")</f>
        <v>0.00313309634271254</v>
      </c>
      <c r="P91" s="10" t="n">
        <f aca="false">IFERROR(J91/H91,"")</f>
        <v>0.0157859854190516</v>
      </c>
      <c r="Q91" s="10" t="n">
        <f aca="false">IFERROR(K91/H91,"")</f>
        <v>0.000903777791167078</v>
      </c>
      <c r="R91" s="10" t="n">
        <f aca="false">IFERROR(L91/H91,"")</f>
        <v>0.00120503705488944</v>
      </c>
      <c r="S91" s="11" t="str">
        <f aca="false">IFERROR(M91/MEDIAN(INDEX($M$5:$M$665,MATCH($A91-90,$A$5:$A$665,1)):INDEX($M$5:$M$665,MATCH($A91+90,$A$5:$A$665,1))),"")</f>
        <v/>
      </c>
      <c r="T91" s="11" t="str">
        <f aca="false">IFERROR(N91/MEDIAN(INDEX($N$5:$N$665,MATCH($A91-90,$A$5:$A$665,1)):INDEX($N$5:$N$665,MATCH($A91+90,$A$5:$A$665,1))),"")</f>
        <v/>
      </c>
      <c r="U91" s="11" t="str">
        <f aca="false">IFERROR(Q91/MEDIAN(INDEX($Q$5:$Q$665,MATCH($A91-90,$A$5:$A$665,1)):INDEX($Q$5:$Q$665,MATCH($A91+90,$A$5:$A$665,1))),"")</f>
        <v/>
      </c>
    </row>
    <row r="92" customFormat="false" ht="15" hidden="false" customHeight="false" outlineLevel="0" collapsed="false">
      <c r="A92" s="13" t="n">
        <v>45018.4901103357</v>
      </c>
      <c r="B92" s="8" t="n">
        <v>11</v>
      </c>
      <c r="C92" s="8" t="s">
        <v>86</v>
      </c>
      <c r="D92" s="8" t="s">
        <v>780</v>
      </c>
      <c r="E92" s="14" t="s">
        <v>66</v>
      </c>
      <c r="F92" s="9" t="n">
        <v>43588</v>
      </c>
      <c r="G92" s="9" t="n">
        <v>9596</v>
      </c>
      <c r="H92" s="9" t="n">
        <v>9592</v>
      </c>
      <c r="I92" s="9" t="n">
        <v>0</v>
      </c>
      <c r="J92" s="9" t="n">
        <v>217</v>
      </c>
      <c r="K92" s="9" t="n">
        <v>18</v>
      </c>
      <c r="L92" s="9" t="n">
        <v>16</v>
      </c>
      <c r="M92" s="10" t="n">
        <f aca="false">IFERROR(G92/F92,"")</f>
        <v>0.220152335505185</v>
      </c>
      <c r="N92" s="10" t="n">
        <f aca="false">IFERROR(H92/G92,"")</f>
        <v>0.999583159649854</v>
      </c>
      <c r="O92" s="11" t="n">
        <f aca="false">IFERROR(I92/H92,"")</f>
        <v>0</v>
      </c>
      <c r="P92" s="10" t="n">
        <f aca="false">IFERROR(J92/H92,"")</f>
        <v>0.0226230191826522</v>
      </c>
      <c r="Q92" s="10" t="n">
        <f aca="false">IFERROR(K92/H92,"")</f>
        <v>0.00187656380316931</v>
      </c>
      <c r="R92" s="10" t="n">
        <f aca="false">IFERROR(L92/H92,"")</f>
        <v>0.00166805671392827</v>
      </c>
      <c r="S92" s="11" t="str">
        <f aca="false">IFERROR(M92/MEDIAN(INDEX($M$5:$M$665,MATCH($A92-90,$A$5:$A$665,1)):INDEX($M$5:$M$665,MATCH($A92+90,$A$5:$A$665,1))),"")</f>
        <v/>
      </c>
      <c r="T92" s="11" t="str">
        <f aca="false">IFERROR(N92/MEDIAN(INDEX($N$5:$N$665,MATCH($A92-90,$A$5:$A$665,1)):INDEX($N$5:$N$665,MATCH($A92+90,$A$5:$A$665,1))),"")</f>
        <v/>
      </c>
      <c r="U92" s="11" t="str">
        <f aca="false">IFERROR(Q92/MEDIAN(INDEX($Q$5:$Q$665,MATCH($A92-90,$A$5:$A$665,1)):INDEX($Q$5:$Q$665,MATCH($A92+90,$A$5:$A$665,1))),"")</f>
        <v/>
      </c>
    </row>
    <row r="93" customFormat="false" ht="15" hidden="false" customHeight="false" outlineLevel="0" collapsed="false">
      <c r="A93" s="13" t="n">
        <v>45019.6300724306</v>
      </c>
      <c r="B93" s="8" t="n">
        <v>15</v>
      </c>
      <c r="C93" s="8" t="s">
        <v>80</v>
      </c>
      <c r="D93" s="8" t="s">
        <v>781</v>
      </c>
      <c r="E93" s="14" t="s">
        <v>66</v>
      </c>
      <c r="F93" s="9" t="n">
        <v>130047</v>
      </c>
      <c r="G93" s="9" t="n">
        <v>21104</v>
      </c>
      <c r="H93" s="9" t="n">
        <v>21106</v>
      </c>
      <c r="I93" s="9" t="n">
        <v>10</v>
      </c>
      <c r="J93" s="9" t="n">
        <v>220</v>
      </c>
      <c r="K93" s="9" t="n">
        <v>15</v>
      </c>
      <c r="L93" s="9" t="n">
        <v>21</v>
      </c>
      <c r="M93" s="10" t="n">
        <f aca="false">IFERROR(G93/F93,"")</f>
        <v>0.16227979115243</v>
      </c>
      <c r="N93" s="10" t="n">
        <f aca="false">IFERROR(H93/G93,"")</f>
        <v>1.00009476876422</v>
      </c>
      <c r="O93" s="11" t="n">
        <f aca="false">IFERROR(I93/H93,"")</f>
        <v>0.000473798919738463</v>
      </c>
      <c r="P93" s="10" t="n">
        <f aca="false">IFERROR(J93/H93,"")</f>
        <v>0.0104235762342462</v>
      </c>
      <c r="Q93" s="10" t="n">
        <f aca="false">IFERROR(K93/H93,"")</f>
        <v>0.000710698379607695</v>
      </c>
      <c r="R93" s="10" t="n">
        <f aca="false">IFERROR(L93/H93,"")</f>
        <v>0.000994977731450772</v>
      </c>
      <c r="S93" s="11" t="str">
        <f aca="false">IFERROR(M93/MEDIAN(INDEX($M$5:$M$665,MATCH($A93-90,$A$5:$A$665,1)):INDEX($M$5:$M$665,MATCH($A93+90,$A$5:$A$665,1))),"")</f>
        <v/>
      </c>
      <c r="T93" s="11" t="str">
        <f aca="false">IFERROR(N93/MEDIAN(INDEX($N$5:$N$665,MATCH($A93-90,$A$5:$A$665,1)):INDEX($N$5:$N$665,MATCH($A93+90,$A$5:$A$665,1))),"")</f>
        <v/>
      </c>
      <c r="U93" s="11" t="str">
        <f aca="false">IFERROR(Q93/MEDIAN(INDEX($Q$5:$Q$665,MATCH($A93-90,$A$5:$A$665,1)):INDEX($Q$5:$Q$665,MATCH($A93+90,$A$5:$A$665,1))),"")</f>
        <v/>
      </c>
    </row>
    <row r="94" customFormat="false" ht="15" hidden="false" customHeight="false" outlineLevel="0" collapsed="false">
      <c r="A94" s="13" t="n">
        <v>45020.5466653241</v>
      </c>
      <c r="B94" s="8" t="n">
        <v>13</v>
      </c>
      <c r="C94" s="8" t="s">
        <v>64</v>
      </c>
      <c r="D94" s="8" t="s">
        <v>782</v>
      </c>
      <c r="E94" s="14" t="s">
        <v>66</v>
      </c>
      <c r="F94" s="9" t="n">
        <v>5060</v>
      </c>
      <c r="G94" s="9" t="n">
        <v>2615</v>
      </c>
      <c r="H94" s="9" t="n">
        <v>2621</v>
      </c>
      <c r="I94" s="9" t="n">
        <v>19</v>
      </c>
      <c r="J94" s="9" t="n">
        <v>190</v>
      </c>
      <c r="K94" s="9" t="n">
        <v>10</v>
      </c>
      <c r="L94" s="9" t="n">
        <v>6</v>
      </c>
      <c r="M94" s="10" t="n">
        <f aca="false">IFERROR(G94/F94,"")</f>
        <v>0.516798418972332</v>
      </c>
      <c r="N94" s="10" t="n">
        <f aca="false">IFERROR(H94/G94,"")</f>
        <v>1.00229445506692</v>
      </c>
      <c r="O94" s="11" t="n">
        <f aca="false">IFERROR(I94/H94,"")</f>
        <v>0.00724914154902709</v>
      </c>
      <c r="P94" s="10" t="n">
        <f aca="false">IFERROR(J94/H94,"")</f>
        <v>0.0724914154902709</v>
      </c>
      <c r="Q94" s="10" t="n">
        <f aca="false">IFERROR(K94/H94,"")</f>
        <v>0.00381533765738268</v>
      </c>
      <c r="R94" s="10" t="n">
        <f aca="false">IFERROR(L94/H94,"")</f>
        <v>0.00228920259442961</v>
      </c>
      <c r="S94" s="11" t="str">
        <f aca="false">IFERROR(M94/MEDIAN(INDEX($M$5:$M$665,MATCH($A94-90,$A$5:$A$665,1)):INDEX($M$5:$M$665,MATCH($A94+90,$A$5:$A$665,1))),"")</f>
        <v/>
      </c>
      <c r="T94" s="11" t="str">
        <f aca="false">IFERROR(N94/MEDIAN(INDEX($N$5:$N$665,MATCH($A94-90,$A$5:$A$665,1)):INDEX($N$5:$N$665,MATCH($A94+90,$A$5:$A$665,1))),"")</f>
        <v/>
      </c>
      <c r="U94" s="11" t="str">
        <f aca="false">IFERROR(Q94/MEDIAN(INDEX($Q$5:$Q$665,MATCH($A94-90,$A$5:$A$665,1)):INDEX($Q$5:$Q$665,MATCH($A94+90,$A$5:$A$665,1))),"")</f>
        <v/>
      </c>
    </row>
    <row r="95" customFormat="false" ht="15" hidden="false" customHeight="false" outlineLevel="0" collapsed="false">
      <c r="A95" s="13" t="n">
        <v>45021.6796144792</v>
      </c>
      <c r="B95" s="8" t="n">
        <v>16</v>
      </c>
      <c r="C95" s="8" t="s">
        <v>71</v>
      </c>
      <c r="D95" s="8" t="s">
        <v>783</v>
      </c>
      <c r="E95" s="14" t="s">
        <v>66</v>
      </c>
      <c r="F95" s="9" t="n">
        <v>68535</v>
      </c>
      <c r="G95" s="9" t="n">
        <v>13031</v>
      </c>
      <c r="H95" s="9" t="n">
        <v>13029</v>
      </c>
      <c r="I95" s="9" t="n">
        <v>0</v>
      </c>
      <c r="J95" s="9" t="n">
        <v>269</v>
      </c>
      <c r="K95" s="9" t="n">
        <v>18</v>
      </c>
      <c r="L95" s="9" t="n">
        <v>18</v>
      </c>
      <c r="M95" s="10" t="n">
        <f aca="false">IFERROR(G95/F95,"")</f>
        <v>0.190136426643321</v>
      </c>
      <c r="N95" s="10" t="n">
        <f aca="false">IFERROR(H95/G95,"")</f>
        <v>0.999846519837311</v>
      </c>
      <c r="O95" s="11" t="n">
        <f aca="false">IFERROR(I95/H95,"")</f>
        <v>0</v>
      </c>
      <c r="P95" s="10" t="n">
        <f aca="false">IFERROR(J95/H95,"")</f>
        <v>0.0206462506715788</v>
      </c>
      <c r="Q95" s="10" t="n">
        <f aca="false">IFERROR(K95/H95,"")</f>
        <v>0.00138153350218743</v>
      </c>
      <c r="R95" s="10" t="n">
        <f aca="false">IFERROR(L95/H95,"")</f>
        <v>0.00138153350218743</v>
      </c>
      <c r="S95" s="11" t="str">
        <f aca="false">IFERROR(M95/MEDIAN(INDEX($M$5:$M$665,MATCH($A95-90,$A$5:$A$665,1)):INDEX($M$5:$M$665,MATCH($A95+90,$A$5:$A$665,1))),"")</f>
        <v/>
      </c>
      <c r="T95" s="11" t="str">
        <f aca="false">IFERROR(N95/MEDIAN(INDEX($N$5:$N$665,MATCH($A95-90,$A$5:$A$665,1)):INDEX($N$5:$N$665,MATCH($A95+90,$A$5:$A$665,1))),"")</f>
        <v/>
      </c>
      <c r="U95" s="11" t="str">
        <f aca="false">IFERROR(Q95/MEDIAN(INDEX($Q$5:$Q$665,MATCH($A95-90,$A$5:$A$665,1)):INDEX($Q$5:$Q$665,MATCH($A95+90,$A$5:$A$665,1))),"")</f>
        <v/>
      </c>
    </row>
    <row r="96" customFormat="false" ht="15" hidden="false" customHeight="false" outlineLevel="0" collapsed="false">
      <c r="A96" s="13" t="n">
        <v>45022.5879475579</v>
      </c>
      <c r="B96" s="8" t="n">
        <v>14</v>
      </c>
      <c r="C96" s="8" t="s">
        <v>73</v>
      </c>
      <c r="D96" s="8" t="s">
        <v>784</v>
      </c>
      <c r="E96" s="14" t="s">
        <v>66</v>
      </c>
      <c r="F96" s="9" t="n">
        <v>140086</v>
      </c>
      <c r="G96" s="9" t="n">
        <v>31134</v>
      </c>
      <c r="H96" s="9" t="n">
        <v>31131</v>
      </c>
      <c r="I96" s="9" t="n">
        <v>0</v>
      </c>
      <c r="J96" s="9" t="n">
        <v>382</v>
      </c>
      <c r="K96" s="9" t="n">
        <v>36</v>
      </c>
      <c r="L96" s="9" t="n">
        <v>33</v>
      </c>
      <c r="M96" s="10" t="n">
        <f aca="false">IFERROR(G96/F96,"")</f>
        <v>0.222249189783419</v>
      </c>
      <c r="N96" s="10" t="n">
        <f aca="false">IFERROR(H96/G96,"")</f>
        <v>0.999903642320293</v>
      </c>
      <c r="O96" s="11" t="n">
        <f aca="false">IFERROR(I96/H96,"")</f>
        <v>0</v>
      </c>
      <c r="P96" s="10" t="n">
        <f aca="false">IFERROR(J96/H96,"")</f>
        <v>0.0122707269281424</v>
      </c>
      <c r="Q96" s="10" t="n">
        <f aca="false">IFERROR(K96/H96,"")</f>
        <v>0.00115640358485111</v>
      </c>
      <c r="R96" s="10" t="n">
        <f aca="false">IFERROR(L96/H96,"")</f>
        <v>0.00106003661944685</v>
      </c>
      <c r="S96" s="11" t="str">
        <f aca="false">IFERROR(M96/MEDIAN(INDEX($M$5:$M$665,MATCH($A96-90,$A$5:$A$665,1)):INDEX($M$5:$M$665,MATCH($A96+90,$A$5:$A$665,1))),"")</f>
        <v/>
      </c>
      <c r="T96" s="11" t="str">
        <f aca="false">IFERROR(N96/MEDIAN(INDEX($N$5:$N$665,MATCH($A96-90,$A$5:$A$665,1)):INDEX($N$5:$N$665,MATCH($A96+90,$A$5:$A$665,1))),"")</f>
        <v/>
      </c>
      <c r="U96" s="11" t="str">
        <f aca="false">IFERROR(Q96/MEDIAN(INDEX($Q$5:$Q$665,MATCH($A96-90,$A$5:$A$665,1)):INDEX($Q$5:$Q$665,MATCH($A96+90,$A$5:$A$665,1))),"")</f>
        <v/>
      </c>
    </row>
    <row r="97" customFormat="false" ht="15" hidden="false" customHeight="false" outlineLevel="0" collapsed="false">
      <c r="A97" s="13" t="n">
        <v>45023.6296054167</v>
      </c>
      <c r="B97" s="8" t="n">
        <v>15</v>
      </c>
      <c r="C97" s="8" t="s">
        <v>84</v>
      </c>
      <c r="D97" s="8" t="s">
        <v>785</v>
      </c>
      <c r="E97" s="14" t="s">
        <v>66</v>
      </c>
      <c r="F97" s="9" t="n">
        <v>58452</v>
      </c>
      <c r="G97" s="9" t="n">
        <v>13104</v>
      </c>
      <c r="H97" s="9" t="n">
        <v>13103</v>
      </c>
      <c r="I97" s="9" t="n">
        <v>0</v>
      </c>
      <c r="J97" s="9" t="n">
        <v>260</v>
      </c>
      <c r="K97" s="9" t="n">
        <v>10</v>
      </c>
      <c r="L97" s="9" t="n">
        <v>11</v>
      </c>
      <c r="M97" s="10" t="n">
        <f aca="false">IFERROR(G97/F97,"")</f>
        <v>0.224183945801683</v>
      </c>
      <c r="N97" s="10" t="n">
        <f aca="false">IFERROR(H97/G97,"")</f>
        <v>0.999923687423687</v>
      </c>
      <c r="O97" s="11" t="n">
        <f aca="false">IFERROR(I97/H97,"")</f>
        <v>0</v>
      </c>
      <c r="P97" s="10" t="n">
        <f aca="false">IFERROR(J97/H97,"")</f>
        <v>0.0198427840952454</v>
      </c>
      <c r="Q97" s="10" t="n">
        <f aca="false">IFERROR(K97/H97,"")</f>
        <v>0.000763184003663283</v>
      </c>
      <c r="R97" s="10" t="n">
        <f aca="false">IFERROR(L97/H97,"")</f>
        <v>0.000839502404029612</v>
      </c>
      <c r="S97" s="11" t="str">
        <f aca="false">IFERROR(M97/MEDIAN(INDEX($M$5:$M$665,MATCH($A97-90,$A$5:$A$665,1)):INDEX($M$5:$M$665,MATCH($A97+90,$A$5:$A$665,1))),"")</f>
        <v/>
      </c>
      <c r="T97" s="11" t="str">
        <f aca="false">IFERROR(N97/MEDIAN(INDEX($N$5:$N$665,MATCH($A97-90,$A$5:$A$665,1)):INDEX($N$5:$N$665,MATCH($A97+90,$A$5:$A$665,1))),"")</f>
        <v/>
      </c>
      <c r="U97" s="11" t="str">
        <f aca="false">IFERROR(Q97/MEDIAN(INDEX($Q$5:$Q$665,MATCH($A97-90,$A$5:$A$665,1)):INDEX($Q$5:$Q$665,MATCH($A97+90,$A$5:$A$665,1))),"")</f>
        <v/>
      </c>
    </row>
    <row r="98" customFormat="false" ht="15" hidden="false" customHeight="false" outlineLevel="0" collapsed="false">
      <c r="A98" s="13" t="n">
        <v>45024.8240757407</v>
      </c>
      <c r="B98" s="8" t="n">
        <v>19</v>
      </c>
      <c r="C98" s="8" t="s">
        <v>68</v>
      </c>
      <c r="D98" s="8" t="s">
        <v>786</v>
      </c>
      <c r="E98" s="14" t="s">
        <v>66</v>
      </c>
      <c r="F98" s="9" t="n">
        <v>51926</v>
      </c>
      <c r="G98" s="9" t="n">
        <v>15347</v>
      </c>
      <c r="H98" s="9" t="n">
        <v>15345</v>
      </c>
      <c r="I98" s="9" t="n">
        <v>1</v>
      </c>
      <c r="J98" s="9" t="n">
        <v>285</v>
      </c>
      <c r="K98" s="9" t="n">
        <v>10</v>
      </c>
      <c r="L98" s="9" t="n">
        <v>22</v>
      </c>
      <c r="M98" s="10" t="n">
        <f aca="false">IFERROR(G98/F98,"")</f>
        <v>0.295555213187998</v>
      </c>
      <c r="N98" s="10" t="n">
        <f aca="false">IFERROR(H98/G98,"")</f>
        <v>0.999869681370952</v>
      </c>
      <c r="O98" s="11" t="n">
        <f aca="false">IFERROR(I98/H98,"")</f>
        <v>6.5167807103291E-005</v>
      </c>
      <c r="P98" s="10" t="n">
        <f aca="false">IFERROR(J98/H98,"")</f>
        <v>0.0185728250244379</v>
      </c>
      <c r="Q98" s="10" t="n">
        <f aca="false">IFERROR(K98/H98,"")</f>
        <v>0.00065167807103291</v>
      </c>
      <c r="R98" s="10" t="n">
        <f aca="false">IFERROR(L98/H98,"")</f>
        <v>0.0014336917562724</v>
      </c>
      <c r="S98" s="11" t="str">
        <f aca="false">IFERROR(M98/MEDIAN(INDEX($M$5:$M$665,MATCH($A98-90,$A$5:$A$665,1)):INDEX($M$5:$M$665,MATCH($A98+90,$A$5:$A$665,1))),"")</f>
        <v/>
      </c>
      <c r="T98" s="11" t="str">
        <f aca="false">IFERROR(N98/MEDIAN(INDEX($N$5:$N$665,MATCH($A98-90,$A$5:$A$665,1)):INDEX($N$5:$N$665,MATCH($A98+90,$A$5:$A$665,1))),"")</f>
        <v/>
      </c>
      <c r="U98" s="11" t="str">
        <f aca="false">IFERROR(Q98/MEDIAN(INDEX($Q$5:$Q$665,MATCH($A98-90,$A$5:$A$665,1)):INDEX($Q$5:$Q$665,MATCH($A98+90,$A$5:$A$665,1))),"")</f>
        <v/>
      </c>
    </row>
    <row r="99" customFormat="false" ht="15" hidden="false" customHeight="false" outlineLevel="0" collapsed="false">
      <c r="A99" s="13" t="n">
        <v>45025.5661296875</v>
      </c>
      <c r="B99" s="8" t="n">
        <v>13</v>
      </c>
      <c r="C99" s="8" t="s">
        <v>86</v>
      </c>
      <c r="D99" s="8" t="s">
        <v>787</v>
      </c>
      <c r="E99" s="14" t="s">
        <v>66</v>
      </c>
      <c r="F99" s="9" t="n">
        <v>85699</v>
      </c>
      <c r="G99" s="9" t="n">
        <v>18449</v>
      </c>
      <c r="H99" s="9" t="n">
        <v>18446</v>
      </c>
      <c r="I99" s="9" t="n">
        <v>1</v>
      </c>
      <c r="J99" s="9" t="n">
        <v>233</v>
      </c>
      <c r="K99" s="9" t="n">
        <v>18</v>
      </c>
      <c r="L99" s="9" t="n">
        <v>18</v>
      </c>
      <c r="M99" s="10" t="n">
        <f aca="false">IFERROR(G99/F99,"")</f>
        <v>0.215276724349176</v>
      </c>
      <c r="N99" s="10" t="n">
        <f aca="false">IFERROR(H99/G99,"")</f>
        <v>0.99983738956041</v>
      </c>
      <c r="O99" s="11" t="n">
        <f aca="false">IFERROR(I99/H99,"")</f>
        <v>5.42122953485851E-005</v>
      </c>
      <c r="P99" s="10" t="n">
        <f aca="false">IFERROR(J99/H99,"")</f>
        <v>0.0126314648162203</v>
      </c>
      <c r="Q99" s="10" t="n">
        <f aca="false">IFERROR(K99/H99,"")</f>
        <v>0.000975821316274531</v>
      </c>
      <c r="R99" s="10" t="n">
        <f aca="false">IFERROR(L99/H99,"")</f>
        <v>0.000975821316274531</v>
      </c>
      <c r="S99" s="11" t="str">
        <f aca="false">IFERROR(M99/MEDIAN(INDEX($M$5:$M$665,MATCH($A99-90,$A$5:$A$665,1)):INDEX($M$5:$M$665,MATCH($A99+90,$A$5:$A$665,1))),"")</f>
        <v/>
      </c>
      <c r="T99" s="11" t="str">
        <f aca="false">IFERROR(N99/MEDIAN(INDEX($N$5:$N$665,MATCH($A99-90,$A$5:$A$665,1)):INDEX($N$5:$N$665,MATCH($A99+90,$A$5:$A$665,1))),"")</f>
        <v/>
      </c>
      <c r="U99" s="11" t="str">
        <f aca="false">IFERROR(Q99/MEDIAN(INDEX($Q$5:$Q$665,MATCH($A99-90,$A$5:$A$665,1)):INDEX($Q$5:$Q$665,MATCH($A99+90,$A$5:$A$665,1))),"")</f>
        <v/>
      </c>
    </row>
    <row r="100" customFormat="false" ht="15" hidden="false" customHeight="false" outlineLevel="0" collapsed="false">
      <c r="A100" s="13" t="n">
        <v>45026.5001825463</v>
      </c>
      <c r="B100" s="8" t="n">
        <v>12</v>
      </c>
      <c r="C100" s="8" t="s">
        <v>80</v>
      </c>
      <c r="D100" s="8" t="s">
        <v>788</v>
      </c>
      <c r="E100" s="14" t="s">
        <v>66</v>
      </c>
      <c r="F100" s="9" t="n">
        <v>44292</v>
      </c>
      <c r="G100" s="9" t="n">
        <v>14603</v>
      </c>
      <c r="H100" s="9" t="n">
        <v>14609</v>
      </c>
      <c r="I100" s="9" t="n">
        <v>12</v>
      </c>
      <c r="J100" s="9" t="n">
        <v>298</v>
      </c>
      <c r="K100" s="9" t="n">
        <v>37</v>
      </c>
      <c r="L100" s="9" t="n">
        <v>14</v>
      </c>
      <c r="M100" s="10" t="n">
        <f aca="false">IFERROR(G100/F100,"")</f>
        <v>0.329698365393299</v>
      </c>
      <c r="N100" s="10" t="n">
        <f aca="false">IFERROR(H100/G100,"")</f>
        <v>1.00041087447785</v>
      </c>
      <c r="O100" s="11" t="n">
        <f aca="false">IFERROR(I100/H100,"")</f>
        <v>0.000821411458689849</v>
      </c>
      <c r="P100" s="10" t="n">
        <f aca="false">IFERROR(J100/H100,"")</f>
        <v>0.0203983845574646</v>
      </c>
      <c r="Q100" s="10" t="n">
        <f aca="false">IFERROR(K100/H100,"")</f>
        <v>0.00253268533096037</v>
      </c>
      <c r="R100" s="10" t="n">
        <f aca="false">IFERROR(L100/H100,"")</f>
        <v>0.00095831336847149</v>
      </c>
      <c r="S100" s="11" t="str">
        <f aca="false">IFERROR(M100/MEDIAN(INDEX($M$5:$M$665,MATCH($A100-90,$A$5:$A$665,1)):INDEX($M$5:$M$665,MATCH($A100+90,$A$5:$A$665,1))),"")</f>
        <v/>
      </c>
      <c r="T100" s="11" t="str">
        <f aca="false">IFERROR(N100/MEDIAN(INDEX($N$5:$N$665,MATCH($A100-90,$A$5:$A$665,1)):INDEX($N$5:$N$665,MATCH($A100+90,$A$5:$A$665,1))),"")</f>
        <v/>
      </c>
      <c r="U100" s="11" t="str">
        <f aca="false">IFERROR(Q100/MEDIAN(INDEX($Q$5:$Q$665,MATCH($A100-90,$A$5:$A$665,1)):INDEX($Q$5:$Q$665,MATCH($A100+90,$A$5:$A$665,1))),"")</f>
        <v/>
      </c>
    </row>
    <row r="101" customFormat="false" ht="15" hidden="false" customHeight="false" outlineLevel="0" collapsed="false">
      <c r="A101" s="13" t="n">
        <v>45027.5905011227</v>
      </c>
      <c r="B101" s="8" t="n">
        <v>14</v>
      </c>
      <c r="C101" s="8" t="s">
        <v>64</v>
      </c>
      <c r="D101" s="8" t="s">
        <v>789</v>
      </c>
      <c r="E101" s="14" t="s">
        <v>66</v>
      </c>
      <c r="F101" s="9" t="n">
        <v>136373</v>
      </c>
      <c r="G101" s="9" t="n">
        <v>21673</v>
      </c>
      <c r="H101" s="9" t="n">
        <v>21679</v>
      </c>
      <c r="I101" s="9" t="n">
        <v>33</v>
      </c>
      <c r="J101" s="9" t="n">
        <v>315</v>
      </c>
      <c r="K101" s="9" t="n">
        <v>11</v>
      </c>
      <c r="L101" s="9" t="n">
        <v>32</v>
      </c>
      <c r="M101" s="10" t="n">
        <f aca="false">IFERROR(G101/F101,"")</f>
        <v>0.158924420523124</v>
      </c>
      <c r="N101" s="10" t="n">
        <f aca="false">IFERROR(H101/G101,"")</f>
        <v>1.00027684215383</v>
      </c>
      <c r="O101" s="11" t="n">
        <f aca="false">IFERROR(I101/H101,"")</f>
        <v>0.00152221043406061</v>
      </c>
      <c r="P101" s="10" t="n">
        <f aca="false">IFERROR(J101/H101,"")</f>
        <v>0.0145301905069422</v>
      </c>
      <c r="Q101" s="10" t="n">
        <f aca="false">IFERROR(K101/H101,"")</f>
        <v>0.000507403478020204</v>
      </c>
      <c r="R101" s="10" t="n">
        <f aca="false">IFERROR(L101/H101,"")</f>
        <v>0.00147608284514968</v>
      </c>
      <c r="S101" s="11" t="str">
        <f aca="false">IFERROR(M101/MEDIAN(INDEX($M$5:$M$665,MATCH($A101-90,$A$5:$A$665,1)):INDEX($M$5:$M$665,MATCH($A101+90,$A$5:$A$665,1))),"")</f>
        <v/>
      </c>
      <c r="T101" s="11" t="str">
        <f aca="false">IFERROR(N101/MEDIAN(INDEX($N$5:$N$665,MATCH($A101-90,$A$5:$A$665,1)):INDEX($N$5:$N$665,MATCH($A101+90,$A$5:$A$665,1))),"")</f>
        <v/>
      </c>
      <c r="U101" s="11" t="str">
        <f aca="false">IFERROR(Q101/MEDIAN(INDEX($Q$5:$Q$665,MATCH($A101-90,$A$5:$A$665,1)):INDEX($Q$5:$Q$665,MATCH($A101+90,$A$5:$A$665,1))),"")</f>
        <v/>
      </c>
    </row>
    <row r="102" customFormat="false" ht="15" hidden="false" customHeight="false" outlineLevel="0" collapsed="false">
      <c r="A102" s="13" t="n">
        <v>45028.5306683681</v>
      </c>
      <c r="B102" s="8" t="n">
        <v>12</v>
      </c>
      <c r="C102" s="8" t="s">
        <v>71</v>
      </c>
      <c r="D102" s="8" t="s">
        <v>790</v>
      </c>
      <c r="E102" s="14" t="s">
        <v>66</v>
      </c>
      <c r="F102" s="9" t="n">
        <v>18010</v>
      </c>
      <c r="G102" s="9" t="n">
        <v>6838</v>
      </c>
      <c r="H102" s="9" t="n">
        <v>6835</v>
      </c>
      <c r="I102" s="9" t="n">
        <v>1</v>
      </c>
      <c r="J102" s="9" t="n">
        <v>134</v>
      </c>
      <c r="K102" s="9" t="n">
        <v>30</v>
      </c>
      <c r="L102" s="9" t="n">
        <v>11</v>
      </c>
      <c r="M102" s="10" t="n">
        <f aca="false">IFERROR(G102/F102,"")</f>
        <v>0.379677956690727</v>
      </c>
      <c r="N102" s="10" t="n">
        <f aca="false">IFERROR(H102/G102,"")</f>
        <v>0.999561275226675</v>
      </c>
      <c r="O102" s="11" t="n">
        <f aca="false">IFERROR(I102/H102,"")</f>
        <v>0.000146305779078274</v>
      </c>
      <c r="P102" s="10" t="n">
        <f aca="false">IFERROR(J102/H102,"")</f>
        <v>0.0196049743964887</v>
      </c>
      <c r="Q102" s="10" t="n">
        <f aca="false">IFERROR(K102/H102,"")</f>
        <v>0.00438917337234821</v>
      </c>
      <c r="R102" s="10" t="n">
        <f aca="false">IFERROR(L102/H102,"")</f>
        <v>0.00160936356986101</v>
      </c>
      <c r="S102" s="11" t="str">
        <f aca="false">IFERROR(M102/MEDIAN(INDEX($M$5:$M$665,MATCH($A102-90,$A$5:$A$665,1)):INDEX($M$5:$M$665,MATCH($A102+90,$A$5:$A$665,1))),"")</f>
        <v/>
      </c>
      <c r="T102" s="11" t="str">
        <f aca="false">IFERROR(N102/MEDIAN(INDEX($N$5:$N$665,MATCH($A102-90,$A$5:$A$665,1)):INDEX($N$5:$N$665,MATCH($A102+90,$A$5:$A$665,1))),"")</f>
        <v/>
      </c>
      <c r="U102" s="11" t="str">
        <f aca="false">IFERROR(Q102/MEDIAN(INDEX($Q$5:$Q$665,MATCH($A102-90,$A$5:$A$665,1)):INDEX($Q$5:$Q$665,MATCH($A102+90,$A$5:$A$665,1))),"")</f>
        <v/>
      </c>
    </row>
    <row r="103" customFormat="false" ht="15" hidden="false" customHeight="false" outlineLevel="0" collapsed="false">
      <c r="A103" s="13" t="n">
        <v>45029.583377419</v>
      </c>
      <c r="B103" s="8" t="n">
        <v>14</v>
      </c>
      <c r="C103" s="8" t="s">
        <v>73</v>
      </c>
      <c r="D103" s="8" t="s">
        <v>791</v>
      </c>
      <c r="E103" s="14" t="s">
        <v>66</v>
      </c>
      <c r="F103" s="9" t="n">
        <v>95064</v>
      </c>
      <c r="G103" s="9" t="n">
        <v>27992</v>
      </c>
      <c r="H103" s="9" t="n">
        <v>27997</v>
      </c>
      <c r="I103" s="9" t="n">
        <v>48</v>
      </c>
      <c r="J103" s="9" t="n">
        <v>356</v>
      </c>
      <c r="K103" s="9" t="n">
        <v>26</v>
      </c>
      <c r="L103" s="9" t="n">
        <v>39</v>
      </c>
      <c r="M103" s="10" t="n">
        <f aca="false">IFERROR(G103/F103,"")</f>
        <v>0.294454262391652</v>
      </c>
      <c r="N103" s="10" t="n">
        <f aca="false">IFERROR(H103/G103,"")</f>
        <v>1.00017862246356</v>
      </c>
      <c r="O103" s="11" t="n">
        <f aca="false">IFERROR(I103/H103,"")</f>
        <v>0.00171446940743651</v>
      </c>
      <c r="P103" s="10" t="n">
        <f aca="false">IFERROR(J103/H103,"")</f>
        <v>0.0127156481051541</v>
      </c>
      <c r="Q103" s="10" t="n">
        <f aca="false">IFERROR(K103/H103,"")</f>
        <v>0.00092867092902811</v>
      </c>
      <c r="R103" s="10" t="n">
        <f aca="false">IFERROR(L103/H103,"")</f>
        <v>0.00139300639354217</v>
      </c>
      <c r="S103" s="11" t="str">
        <f aca="false">IFERROR(M103/MEDIAN(INDEX($M$5:$M$665,MATCH($A103-90,$A$5:$A$665,1)):INDEX($M$5:$M$665,MATCH($A103+90,$A$5:$A$665,1))),"")</f>
        <v/>
      </c>
      <c r="T103" s="11" t="str">
        <f aca="false">IFERROR(N103/MEDIAN(INDEX($N$5:$N$665,MATCH($A103-90,$A$5:$A$665,1)):INDEX($N$5:$N$665,MATCH($A103+90,$A$5:$A$665,1))),"")</f>
        <v/>
      </c>
      <c r="U103" s="11" t="str">
        <f aca="false">IFERROR(Q103/MEDIAN(INDEX($Q$5:$Q$665,MATCH($A103-90,$A$5:$A$665,1)):INDEX($Q$5:$Q$665,MATCH($A103+90,$A$5:$A$665,1))),"")</f>
        <v/>
      </c>
    </row>
    <row r="104" customFormat="false" ht="15" hidden="false" customHeight="false" outlineLevel="0" collapsed="false">
      <c r="A104" s="13" t="n">
        <v>45030.5001306597</v>
      </c>
      <c r="B104" s="8" t="n">
        <v>12</v>
      </c>
      <c r="C104" s="8" t="s">
        <v>84</v>
      </c>
      <c r="D104" s="8" t="s">
        <v>792</v>
      </c>
      <c r="E104" s="14" t="s">
        <v>66</v>
      </c>
      <c r="F104" s="9" t="n">
        <v>127889</v>
      </c>
      <c r="G104" s="9" t="n">
        <v>20115</v>
      </c>
      <c r="H104" s="9" t="n">
        <v>20121</v>
      </c>
      <c r="I104" s="9" t="n">
        <v>35</v>
      </c>
      <c r="J104" s="9" t="n">
        <v>291</v>
      </c>
      <c r="K104" s="9" t="n">
        <v>14</v>
      </c>
      <c r="L104" s="9" t="n">
        <v>22</v>
      </c>
      <c r="M104" s="10" t="n">
        <f aca="false">IFERROR(G104/F104,"")</f>
        <v>0.157284832941066</v>
      </c>
      <c r="N104" s="10" t="n">
        <f aca="false">IFERROR(H104/G104,"")</f>
        <v>1.00029828486204</v>
      </c>
      <c r="O104" s="11" t="n">
        <f aca="false">IFERROR(I104/H104,"")</f>
        <v>0.00173947616917648</v>
      </c>
      <c r="P104" s="10" t="n">
        <f aca="false">IFERROR(J104/H104,"")</f>
        <v>0.0144625018637245</v>
      </c>
      <c r="Q104" s="10" t="n">
        <f aca="false">IFERROR(K104/H104,"")</f>
        <v>0.000695790467670593</v>
      </c>
      <c r="R104" s="10" t="n">
        <f aca="false">IFERROR(L104/H104,"")</f>
        <v>0.00109338502062522</v>
      </c>
      <c r="S104" s="11" t="str">
        <f aca="false">IFERROR(M104/MEDIAN(INDEX($M$5:$M$665,MATCH($A104-90,$A$5:$A$665,1)):INDEX($M$5:$M$665,MATCH($A104+90,$A$5:$A$665,1))),"")</f>
        <v/>
      </c>
      <c r="T104" s="11" t="str">
        <f aca="false">IFERROR(N104/MEDIAN(INDEX($N$5:$N$665,MATCH($A104-90,$A$5:$A$665,1)):INDEX($N$5:$N$665,MATCH($A104+90,$A$5:$A$665,1))),"")</f>
        <v/>
      </c>
      <c r="U104" s="11" t="str">
        <f aca="false">IFERROR(Q104/MEDIAN(INDEX($Q$5:$Q$665,MATCH($A104-90,$A$5:$A$665,1)):INDEX($Q$5:$Q$665,MATCH($A104+90,$A$5:$A$665,1))),"")</f>
        <v/>
      </c>
    </row>
    <row r="105" customFormat="false" ht="15" hidden="false" customHeight="false" outlineLevel="0" collapsed="false">
      <c r="A105" s="13" t="n">
        <v>45031.5148675694</v>
      </c>
      <c r="B105" s="8" t="n">
        <v>12</v>
      </c>
      <c r="C105" s="8" t="s">
        <v>68</v>
      </c>
      <c r="D105" s="8" t="s">
        <v>793</v>
      </c>
      <c r="E105" s="14" t="s">
        <v>66</v>
      </c>
      <c r="F105" s="9" t="n">
        <v>147109</v>
      </c>
      <c r="G105" s="9" t="n">
        <v>22743</v>
      </c>
      <c r="H105" s="9" t="n">
        <v>22740</v>
      </c>
      <c r="I105" s="9" t="n">
        <v>1</v>
      </c>
      <c r="J105" s="9" t="n">
        <v>302</v>
      </c>
      <c r="K105" s="9" t="n">
        <v>26</v>
      </c>
      <c r="L105" s="9" t="n">
        <v>12</v>
      </c>
      <c r="M105" s="10" t="n">
        <f aca="false">IFERROR(G105/F105,"")</f>
        <v>0.154599650599216</v>
      </c>
      <c r="N105" s="10" t="n">
        <f aca="false">IFERROR(H105/G105,"")</f>
        <v>0.999868091280834</v>
      </c>
      <c r="O105" s="11" t="n">
        <f aca="false">IFERROR(I105/H105,"")</f>
        <v>4.39753737906772E-005</v>
      </c>
      <c r="P105" s="10" t="n">
        <f aca="false">IFERROR(J105/H105,"")</f>
        <v>0.0132805628847845</v>
      </c>
      <c r="Q105" s="10" t="n">
        <f aca="false">IFERROR(K105/H105,"")</f>
        <v>0.00114335971855761</v>
      </c>
      <c r="R105" s="10" t="n">
        <f aca="false">IFERROR(L105/H105,"")</f>
        <v>0.000527704485488127</v>
      </c>
      <c r="S105" s="11" t="str">
        <f aca="false">IFERROR(M105/MEDIAN(INDEX($M$5:$M$665,MATCH($A105-90,$A$5:$A$665,1)):INDEX($M$5:$M$665,MATCH($A105+90,$A$5:$A$665,1))),"")</f>
        <v/>
      </c>
      <c r="T105" s="11" t="str">
        <f aca="false">IFERROR(N105/MEDIAN(INDEX($N$5:$N$665,MATCH($A105-90,$A$5:$A$665,1)):INDEX($N$5:$N$665,MATCH($A105+90,$A$5:$A$665,1))),"")</f>
        <v/>
      </c>
      <c r="U105" s="11" t="str">
        <f aca="false">IFERROR(Q105/MEDIAN(INDEX($Q$5:$Q$665,MATCH($A105-90,$A$5:$A$665,1)):INDEX($Q$5:$Q$665,MATCH($A105+90,$A$5:$A$665,1))),"")</f>
        <v/>
      </c>
    </row>
    <row r="106" customFormat="false" ht="15" hidden="false" customHeight="false" outlineLevel="0" collapsed="false">
      <c r="A106" s="13" t="n">
        <v>45032.5001385069</v>
      </c>
      <c r="B106" s="8" t="n">
        <v>12</v>
      </c>
      <c r="C106" s="8" t="s">
        <v>86</v>
      </c>
      <c r="D106" s="8" t="s">
        <v>794</v>
      </c>
      <c r="E106" s="14" t="s">
        <v>66</v>
      </c>
      <c r="F106" s="9" t="n">
        <v>9012</v>
      </c>
      <c r="G106" s="9" t="n">
        <v>4815</v>
      </c>
      <c r="H106" s="9" t="n">
        <v>4810</v>
      </c>
      <c r="I106" s="9" t="n">
        <v>7</v>
      </c>
      <c r="J106" s="9" t="n">
        <v>254</v>
      </c>
      <c r="K106" s="9" t="n">
        <v>36</v>
      </c>
      <c r="L106" s="9" t="n">
        <v>3</v>
      </c>
      <c r="M106" s="10" t="n">
        <f aca="false">IFERROR(G106/F106,"")</f>
        <v>0.534287616511318</v>
      </c>
      <c r="N106" s="10" t="n">
        <f aca="false">IFERROR(H106/G106,"")</f>
        <v>0.998961578400831</v>
      </c>
      <c r="O106" s="11" t="n">
        <f aca="false">IFERROR(I106/H106,"")</f>
        <v>0.00145530145530146</v>
      </c>
      <c r="P106" s="10" t="n">
        <f aca="false">IFERROR(J106/H106,"")</f>
        <v>0.0528066528066528</v>
      </c>
      <c r="Q106" s="10" t="n">
        <f aca="false">IFERROR(K106/H106,"")</f>
        <v>0.00748440748440749</v>
      </c>
      <c r="R106" s="10" t="n">
        <f aca="false">IFERROR(L106/H106,"")</f>
        <v>0.000623700623700624</v>
      </c>
      <c r="S106" s="11" t="str">
        <f aca="false">IFERROR(M106/MEDIAN(INDEX($M$5:$M$665,MATCH($A106-90,$A$5:$A$665,1)):INDEX($M$5:$M$665,MATCH($A106+90,$A$5:$A$665,1))),"")</f>
        <v/>
      </c>
      <c r="T106" s="11" t="str">
        <f aca="false">IFERROR(N106/MEDIAN(INDEX($N$5:$N$665,MATCH($A106-90,$A$5:$A$665,1)):INDEX($N$5:$N$665,MATCH($A106+90,$A$5:$A$665,1))),"")</f>
        <v/>
      </c>
      <c r="U106" s="11" t="str">
        <f aca="false">IFERROR(Q106/MEDIAN(INDEX($Q$5:$Q$665,MATCH($A106-90,$A$5:$A$665,1)):INDEX($Q$5:$Q$665,MATCH($A106+90,$A$5:$A$665,1))),"")</f>
        <v/>
      </c>
    </row>
    <row r="107" customFormat="false" ht="15" hidden="false" customHeight="false" outlineLevel="0" collapsed="false">
      <c r="A107" s="13" t="n">
        <v>45033.5000140972</v>
      </c>
      <c r="B107" s="8" t="n">
        <v>12</v>
      </c>
      <c r="C107" s="8" t="s">
        <v>80</v>
      </c>
      <c r="D107" s="8" t="s">
        <v>795</v>
      </c>
      <c r="E107" s="14" t="s">
        <v>66</v>
      </c>
      <c r="F107" s="9" t="n">
        <v>120195</v>
      </c>
      <c r="G107" s="9" t="n">
        <v>31953</v>
      </c>
      <c r="H107" s="9" t="n">
        <v>31950</v>
      </c>
      <c r="I107" s="9" t="n">
        <v>2</v>
      </c>
      <c r="J107" s="9" t="n">
        <v>294</v>
      </c>
      <c r="K107" s="9" t="n">
        <v>12</v>
      </c>
      <c r="L107" s="9" t="n">
        <v>22</v>
      </c>
      <c r="M107" s="10" t="n">
        <f aca="false">IFERROR(G107/F107,"")</f>
        <v>0.265843005116685</v>
      </c>
      <c r="N107" s="10" t="n">
        <f aca="false">IFERROR(H107/G107,"")</f>
        <v>0.99990611210215</v>
      </c>
      <c r="O107" s="11" t="n">
        <f aca="false">IFERROR(I107/H107,"")</f>
        <v>6.25978090766823E-005</v>
      </c>
      <c r="P107" s="10" t="n">
        <f aca="false">IFERROR(J107/H107,"")</f>
        <v>0.0092018779342723</v>
      </c>
      <c r="Q107" s="10" t="n">
        <f aca="false">IFERROR(K107/H107,"")</f>
        <v>0.000375586854460094</v>
      </c>
      <c r="R107" s="10" t="n">
        <f aca="false">IFERROR(L107/H107,"")</f>
        <v>0.000688575899843506</v>
      </c>
      <c r="S107" s="11" t="str">
        <f aca="false">IFERROR(M107/MEDIAN(INDEX($M$5:$M$665,MATCH($A107-90,$A$5:$A$665,1)):INDEX($M$5:$M$665,MATCH($A107+90,$A$5:$A$665,1))),"")</f>
        <v/>
      </c>
      <c r="T107" s="11" t="str">
        <f aca="false">IFERROR(N107/MEDIAN(INDEX($N$5:$N$665,MATCH($A107-90,$A$5:$A$665,1)):INDEX($N$5:$N$665,MATCH($A107+90,$A$5:$A$665,1))),"")</f>
        <v/>
      </c>
      <c r="U107" s="11" t="str">
        <f aca="false">IFERROR(Q107/MEDIAN(INDEX($Q$5:$Q$665,MATCH($A107-90,$A$5:$A$665,1)):INDEX($Q$5:$Q$665,MATCH($A107+90,$A$5:$A$665,1))),"")</f>
        <v/>
      </c>
    </row>
    <row r="108" customFormat="false" ht="15" hidden="false" customHeight="false" outlineLevel="0" collapsed="false">
      <c r="A108" s="13" t="n">
        <v>45034.4862203357</v>
      </c>
      <c r="B108" s="8" t="n">
        <v>11</v>
      </c>
      <c r="C108" s="8" t="s">
        <v>64</v>
      </c>
      <c r="D108" s="8" t="s">
        <v>796</v>
      </c>
      <c r="E108" s="14" t="s">
        <v>66</v>
      </c>
      <c r="F108" s="9" t="n">
        <v>127763</v>
      </c>
      <c r="G108" s="9" t="n">
        <v>20349</v>
      </c>
      <c r="H108" s="9" t="n">
        <v>20349</v>
      </c>
      <c r="I108" s="9" t="n">
        <v>27</v>
      </c>
      <c r="J108" s="9" t="n">
        <v>270</v>
      </c>
      <c r="K108" s="9" t="n">
        <v>7</v>
      </c>
      <c r="L108" s="9" t="n">
        <v>21</v>
      </c>
      <c r="M108" s="10" t="n">
        <f aca="false">IFERROR(G108/F108,"")</f>
        <v>0.159271463569265</v>
      </c>
      <c r="N108" s="10" t="n">
        <f aca="false">IFERROR(H108/G108,"")</f>
        <v>1</v>
      </c>
      <c r="O108" s="11" t="n">
        <f aca="false">IFERROR(I108/H108,"")</f>
        <v>0.00132684652808492</v>
      </c>
      <c r="P108" s="10" t="n">
        <f aca="false">IFERROR(J108/H108,"")</f>
        <v>0.0132684652808492</v>
      </c>
      <c r="Q108" s="10" t="n">
        <f aca="false">IFERROR(K108/H108,"")</f>
        <v>0.000343997248022016</v>
      </c>
      <c r="R108" s="10" t="n">
        <f aca="false">IFERROR(L108/H108,"")</f>
        <v>0.00103199174406605</v>
      </c>
      <c r="S108" s="11" t="str">
        <f aca="false">IFERROR(M108/MEDIAN(INDEX($M$5:$M$665,MATCH($A108-90,$A$5:$A$665,1)):INDEX($M$5:$M$665,MATCH($A108+90,$A$5:$A$665,1))),"")</f>
        <v/>
      </c>
      <c r="T108" s="11" t="str">
        <f aca="false">IFERROR(N108/MEDIAN(INDEX($N$5:$N$665,MATCH($A108-90,$A$5:$A$665,1)):INDEX($N$5:$N$665,MATCH($A108+90,$A$5:$A$665,1))),"")</f>
        <v/>
      </c>
      <c r="U108" s="11" t="str">
        <f aca="false">IFERROR(Q108/MEDIAN(INDEX($Q$5:$Q$665,MATCH($A108-90,$A$5:$A$665,1)):INDEX($Q$5:$Q$665,MATCH($A108+90,$A$5:$A$665,1))),"")</f>
        <v/>
      </c>
    </row>
    <row r="109" customFormat="false" ht="15" hidden="false" customHeight="false" outlineLevel="0" collapsed="false">
      <c r="A109" s="13" t="n">
        <v>45035.5832823611</v>
      </c>
      <c r="B109" s="8" t="n">
        <v>13</v>
      </c>
      <c r="C109" s="8" t="s">
        <v>71</v>
      </c>
      <c r="D109" s="8" t="s">
        <v>797</v>
      </c>
      <c r="E109" s="14" t="s">
        <v>66</v>
      </c>
      <c r="F109" s="9" t="n">
        <v>117386</v>
      </c>
      <c r="G109" s="9" t="n">
        <v>22425</v>
      </c>
      <c r="H109" s="9" t="n">
        <v>22420</v>
      </c>
      <c r="I109" s="9" t="n">
        <v>5</v>
      </c>
      <c r="J109" s="9" t="n">
        <v>305</v>
      </c>
      <c r="K109" s="9" t="n">
        <v>29</v>
      </c>
      <c r="L109" s="9" t="n">
        <v>21</v>
      </c>
      <c r="M109" s="10" t="n">
        <f aca="false">IFERROR(G109/F109,"")</f>
        <v>0.191036409793331</v>
      </c>
      <c r="N109" s="10" t="n">
        <f aca="false">IFERROR(H109/G109,"")</f>
        <v>0.999777034559643</v>
      </c>
      <c r="O109" s="11" t="n">
        <f aca="false">IFERROR(I109/H109,"")</f>
        <v>0.000223015165031222</v>
      </c>
      <c r="P109" s="10" t="n">
        <f aca="false">IFERROR(J109/H109,"")</f>
        <v>0.0136039250669045</v>
      </c>
      <c r="Q109" s="10" t="n">
        <f aca="false">IFERROR(K109/H109,"")</f>
        <v>0.00129348795718109</v>
      </c>
      <c r="R109" s="10" t="n">
        <f aca="false">IFERROR(L109/H109,"")</f>
        <v>0.000936663693131133</v>
      </c>
      <c r="S109" s="11" t="str">
        <f aca="false">IFERROR(M109/MEDIAN(INDEX($M$5:$M$665,MATCH($A109-90,$A$5:$A$665,1)):INDEX($M$5:$M$665,MATCH($A109+90,$A$5:$A$665,1))),"")</f>
        <v/>
      </c>
      <c r="T109" s="11" t="str">
        <f aca="false">IFERROR(N109/MEDIAN(INDEX($N$5:$N$665,MATCH($A109-90,$A$5:$A$665,1)):INDEX($N$5:$N$665,MATCH($A109+90,$A$5:$A$665,1))),"")</f>
        <v/>
      </c>
      <c r="U109" s="11" t="str">
        <f aca="false">IFERROR(Q109/MEDIAN(INDEX($Q$5:$Q$665,MATCH($A109-90,$A$5:$A$665,1)):INDEX($Q$5:$Q$665,MATCH($A109+90,$A$5:$A$665,1))),"")</f>
        <v/>
      </c>
    </row>
    <row r="110" customFormat="false" ht="15" hidden="false" customHeight="false" outlineLevel="0" collapsed="false">
      <c r="A110" s="13" t="n">
        <v>45036.2632396065</v>
      </c>
      <c r="B110" s="8" t="n">
        <v>6</v>
      </c>
      <c r="C110" s="8" t="s">
        <v>73</v>
      </c>
      <c r="D110" s="8"/>
      <c r="E110" s="14" t="s">
        <v>66</v>
      </c>
      <c r="F110" s="9" t="n">
        <v>78383</v>
      </c>
      <c r="G110" s="9" t="n">
        <v>15586</v>
      </c>
      <c r="H110" s="9" t="n">
        <v>15582</v>
      </c>
      <c r="I110" s="9" t="n">
        <v>3</v>
      </c>
      <c r="J110" s="9" t="n">
        <v>204</v>
      </c>
      <c r="K110" s="9" t="n">
        <v>24</v>
      </c>
      <c r="L110" s="9" t="n">
        <v>18</v>
      </c>
      <c r="M110" s="10" t="n">
        <f aca="false">IFERROR(G110/F110,"")</f>
        <v>0.19884413712157</v>
      </c>
      <c r="N110" s="10" t="n">
        <f aca="false">IFERROR(H110/G110,"")</f>
        <v>0.999743359425125</v>
      </c>
      <c r="O110" s="11" t="n">
        <f aca="false">IFERROR(I110/H110,"")</f>
        <v>0.000192529842125529</v>
      </c>
      <c r="P110" s="10" t="n">
        <f aca="false">IFERROR(J110/H110,"")</f>
        <v>0.013092029264536</v>
      </c>
      <c r="Q110" s="10" t="n">
        <f aca="false">IFERROR(K110/H110,"")</f>
        <v>0.00154023873700424</v>
      </c>
      <c r="R110" s="10" t="n">
        <f aca="false">IFERROR(L110/H110,"")</f>
        <v>0.00115517905275318</v>
      </c>
      <c r="S110" s="11" t="str">
        <f aca="false">IFERROR(M110/MEDIAN(INDEX($M$5:$M$665,MATCH($A110-90,$A$5:$A$665,1)):INDEX($M$5:$M$665,MATCH($A110+90,$A$5:$A$665,1))),"")</f>
        <v/>
      </c>
      <c r="T110" s="11" t="str">
        <f aca="false">IFERROR(N110/MEDIAN(INDEX($N$5:$N$665,MATCH($A110-90,$A$5:$A$665,1)):INDEX($N$5:$N$665,MATCH($A110+90,$A$5:$A$665,1))),"")</f>
        <v/>
      </c>
      <c r="U110" s="11" t="str">
        <f aca="false">IFERROR(Q110/MEDIAN(INDEX($Q$5:$Q$665,MATCH($A110-90,$A$5:$A$665,1)):INDEX($Q$5:$Q$665,MATCH($A110+90,$A$5:$A$665,1))),"")</f>
        <v/>
      </c>
    </row>
    <row r="111" customFormat="false" ht="15" hidden="false" customHeight="false" outlineLevel="0" collapsed="false">
      <c r="A111" s="13" t="n">
        <v>45037.4315748727</v>
      </c>
      <c r="B111" s="8" t="n">
        <v>10</v>
      </c>
      <c r="C111" s="8" t="s">
        <v>84</v>
      </c>
      <c r="D111" s="8"/>
      <c r="E111" s="14" t="s">
        <v>66</v>
      </c>
      <c r="F111" s="9" t="n">
        <v>23834</v>
      </c>
      <c r="G111" s="9" t="n">
        <v>8221</v>
      </c>
      <c r="H111" s="9" t="n">
        <v>8218</v>
      </c>
      <c r="I111" s="9" t="n">
        <v>2</v>
      </c>
      <c r="J111" s="9" t="n">
        <v>304</v>
      </c>
      <c r="K111" s="9" t="n">
        <v>17</v>
      </c>
      <c r="L111" s="9" t="n">
        <v>11</v>
      </c>
      <c r="M111" s="10" t="n">
        <f aca="false">IFERROR(G111/F111,"")</f>
        <v>0.344927414617773</v>
      </c>
      <c r="N111" s="10" t="n">
        <f aca="false">IFERROR(H111/G111,"")</f>
        <v>0.999635080890403</v>
      </c>
      <c r="O111" s="11" t="n">
        <f aca="false">IFERROR(I111/H111,"")</f>
        <v>0.000243368216110976</v>
      </c>
      <c r="P111" s="10" t="n">
        <f aca="false">IFERROR(J111/H111,"")</f>
        <v>0.0369919688488683</v>
      </c>
      <c r="Q111" s="10" t="n">
        <f aca="false">IFERROR(K111/H111,"")</f>
        <v>0.0020686298369433</v>
      </c>
      <c r="R111" s="10" t="n">
        <f aca="false">IFERROR(L111/H111,"")</f>
        <v>0.00133852518861037</v>
      </c>
      <c r="S111" s="11" t="str">
        <f aca="false">IFERROR(M111/MEDIAN(INDEX($M$5:$M$665,MATCH($A111-90,$A$5:$A$665,1)):INDEX($M$5:$M$665,MATCH($A111+90,$A$5:$A$665,1))),"")</f>
        <v/>
      </c>
      <c r="T111" s="11" t="str">
        <f aca="false">IFERROR(N111/MEDIAN(INDEX($N$5:$N$665,MATCH($A111-90,$A$5:$A$665,1)):INDEX($N$5:$N$665,MATCH($A111+90,$A$5:$A$665,1))),"")</f>
        <v/>
      </c>
      <c r="U111" s="11" t="str">
        <f aca="false">IFERROR(Q111/MEDIAN(INDEX($Q$5:$Q$665,MATCH($A111-90,$A$5:$A$665,1)):INDEX($Q$5:$Q$665,MATCH($A111+90,$A$5:$A$665,1))),"")</f>
        <v/>
      </c>
    </row>
    <row r="112" customFormat="false" ht="15" hidden="false" customHeight="false" outlineLevel="0" collapsed="false">
      <c r="A112" s="13" t="n">
        <v>45038.7135756366</v>
      </c>
      <c r="B112" s="8" t="n">
        <v>17</v>
      </c>
      <c r="C112" s="8" t="s">
        <v>68</v>
      </c>
      <c r="D112" s="8" t="s">
        <v>798</v>
      </c>
      <c r="E112" s="14" t="s">
        <v>66</v>
      </c>
      <c r="F112" s="9" t="n">
        <v>89025</v>
      </c>
      <c r="G112" s="9" t="n">
        <v>15087</v>
      </c>
      <c r="H112" s="9" t="n">
        <v>15082</v>
      </c>
      <c r="I112" s="9" t="n">
        <v>3</v>
      </c>
      <c r="J112" s="9" t="n">
        <v>211</v>
      </c>
      <c r="K112" s="9" t="n">
        <v>10</v>
      </c>
      <c r="L112" s="9" t="n">
        <v>11</v>
      </c>
      <c r="M112" s="10" t="n">
        <f aca="false">IFERROR(G112/F112,"")</f>
        <v>0.169469250210615</v>
      </c>
      <c r="N112" s="10" t="n">
        <f aca="false">IFERROR(H112/G112,"")</f>
        <v>0.999668588851329</v>
      </c>
      <c r="O112" s="11" t="n">
        <f aca="false">IFERROR(I112/H112,"")</f>
        <v>0.000198912611059541</v>
      </c>
      <c r="P112" s="10" t="n">
        <f aca="false">IFERROR(J112/H112,"")</f>
        <v>0.0139901869778544</v>
      </c>
      <c r="Q112" s="10" t="n">
        <f aca="false">IFERROR(K112/H112,"")</f>
        <v>0.000663042036865137</v>
      </c>
      <c r="R112" s="10" t="n">
        <f aca="false">IFERROR(L112/H112,"")</f>
        <v>0.000729346240551651</v>
      </c>
      <c r="S112" s="11" t="str">
        <f aca="false">IFERROR(M112/MEDIAN(INDEX($M$5:$M$665,MATCH($A112-90,$A$5:$A$665,1)):INDEX($M$5:$M$665,MATCH($A112+90,$A$5:$A$665,1))),"")</f>
        <v/>
      </c>
      <c r="T112" s="11" t="str">
        <f aca="false">IFERROR(N112/MEDIAN(INDEX($N$5:$N$665,MATCH($A112-90,$A$5:$A$665,1)):INDEX($N$5:$N$665,MATCH($A112+90,$A$5:$A$665,1))),"")</f>
        <v/>
      </c>
      <c r="U112" s="11" t="str">
        <f aca="false">IFERROR(Q112/MEDIAN(INDEX($Q$5:$Q$665,MATCH($A112-90,$A$5:$A$665,1)):INDEX($Q$5:$Q$665,MATCH($A112+90,$A$5:$A$665,1))),"")</f>
        <v/>
      </c>
    </row>
    <row r="113" customFormat="false" ht="15" hidden="false" customHeight="false" outlineLevel="0" collapsed="false">
      <c r="A113" s="13" t="n">
        <v>45039.5209434144</v>
      </c>
      <c r="B113" s="8" t="n">
        <v>12</v>
      </c>
      <c r="C113" s="8" t="s">
        <v>86</v>
      </c>
      <c r="D113" s="8" t="s">
        <v>799</v>
      </c>
      <c r="E113" s="14" t="s">
        <v>66</v>
      </c>
      <c r="F113" s="9" t="n">
        <v>210821</v>
      </c>
      <c r="G113" s="9" t="n">
        <v>35177</v>
      </c>
      <c r="H113" s="9" t="n">
        <v>35171</v>
      </c>
      <c r="I113" s="9" t="n">
        <v>6</v>
      </c>
      <c r="J113" s="9" t="n">
        <v>296</v>
      </c>
      <c r="K113" s="9" t="n">
        <v>20</v>
      </c>
      <c r="L113" s="9" t="n">
        <v>24</v>
      </c>
      <c r="M113" s="10" t="n">
        <f aca="false">IFERROR(G113/F113,"")</f>
        <v>0.166857191645994</v>
      </c>
      <c r="N113" s="10" t="n">
        <f aca="false">IFERROR(H113/G113,"")</f>
        <v>0.999829434005174</v>
      </c>
      <c r="O113" s="11" t="n">
        <f aca="false">IFERROR(I113/H113,"")</f>
        <v>0.000170595092547838</v>
      </c>
      <c r="P113" s="10" t="n">
        <f aca="false">IFERROR(J113/H113,"")</f>
        <v>0.00841602456569333</v>
      </c>
      <c r="Q113" s="10" t="n">
        <f aca="false">IFERROR(K113/H113,"")</f>
        <v>0.000568650308492792</v>
      </c>
      <c r="R113" s="10" t="n">
        <f aca="false">IFERROR(L113/H113,"")</f>
        <v>0.000682380370191351</v>
      </c>
      <c r="S113" s="11" t="str">
        <f aca="false">IFERROR(M113/MEDIAN(INDEX($M$5:$M$665,MATCH($A113-90,$A$5:$A$665,1)):INDEX($M$5:$M$665,MATCH($A113+90,$A$5:$A$665,1))),"")</f>
        <v/>
      </c>
      <c r="T113" s="11" t="str">
        <f aca="false">IFERROR(N113/MEDIAN(INDEX($N$5:$N$665,MATCH($A113-90,$A$5:$A$665,1)):INDEX($N$5:$N$665,MATCH($A113+90,$A$5:$A$665,1))),"")</f>
        <v/>
      </c>
      <c r="U113" s="11" t="str">
        <f aca="false">IFERROR(Q113/MEDIAN(INDEX($Q$5:$Q$665,MATCH($A113-90,$A$5:$A$665,1)):INDEX($Q$5:$Q$665,MATCH($A113+90,$A$5:$A$665,1))),"")</f>
        <v/>
      </c>
    </row>
    <row r="114" customFormat="false" ht="15" hidden="false" customHeight="false" outlineLevel="0" collapsed="false">
      <c r="A114" s="13" t="n">
        <v>45040.5833158565</v>
      </c>
      <c r="B114" s="8" t="n">
        <v>13</v>
      </c>
      <c r="C114" s="8" t="s">
        <v>80</v>
      </c>
      <c r="D114" s="8" t="s">
        <v>800</v>
      </c>
      <c r="E114" s="14" t="s">
        <v>66</v>
      </c>
      <c r="F114" s="9" t="n">
        <v>199781</v>
      </c>
      <c r="G114" s="9" t="n">
        <v>40291</v>
      </c>
      <c r="H114" s="9" t="n">
        <v>40292</v>
      </c>
      <c r="I114" s="9" t="n">
        <v>31</v>
      </c>
      <c r="J114" s="9" t="n">
        <v>298</v>
      </c>
      <c r="K114" s="9" t="n">
        <v>13</v>
      </c>
      <c r="L114" s="9" t="n">
        <v>15</v>
      </c>
      <c r="M114" s="10" t="n">
        <f aca="false">IFERROR(G114/F114,"")</f>
        <v>0.201675835039368</v>
      </c>
      <c r="N114" s="10" t="n">
        <f aca="false">IFERROR(H114/G114,"")</f>
        <v>1.00002481943858</v>
      </c>
      <c r="O114" s="11" t="n">
        <f aca="false">IFERROR(I114/H114,"")</f>
        <v>0.000769383500446739</v>
      </c>
      <c r="P114" s="10" t="n">
        <f aca="false">IFERROR(J114/H114,"")</f>
        <v>0.00739600913332672</v>
      </c>
      <c r="Q114" s="10" t="n">
        <f aca="false">IFERROR(K114/H114,"")</f>
        <v>0.000322644693735729</v>
      </c>
      <c r="R114" s="10" t="n">
        <f aca="false">IFERROR(L114/H114,"")</f>
        <v>0.000372282338925841</v>
      </c>
      <c r="S114" s="11" t="str">
        <f aca="false">IFERROR(M114/MEDIAN(INDEX($M$5:$M$665,MATCH($A114-90,$A$5:$A$665,1)):INDEX($M$5:$M$665,MATCH($A114+90,$A$5:$A$665,1))),"")</f>
        <v/>
      </c>
      <c r="T114" s="11" t="str">
        <f aca="false">IFERROR(N114/MEDIAN(INDEX($N$5:$N$665,MATCH($A114-90,$A$5:$A$665,1)):INDEX($N$5:$N$665,MATCH($A114+90,$A$5:$A$665,1))),"")</f>
        <v/>
      </c>
      <c r="U114" s="11" t="str">
        <f aca="false">IFERROR(Q114/MEDIAN(INDEX($Q$5:$Q$665,MATCH($A114-90,$A$5:$A$665,1)):INDEX($Q$5:$Q$665,MATCH($A114+90,$A$5:$A$665,1))),"")</f>
        <v/>
      </c>
    </row>
    <row r="115" customFormat="false" ht="15" hidden="false" customHeight="false" outlineLevel="0" collapsed="false">
      <c r="A115" s="13" t="n">
        <v>45041.5001139468</v>
      </c>
      <c r="B115" s="8" t="n">
        <v>12</v>
      </c>
      <c r="C115" s="8" t="s">
        <v>64</v>
      </c>
      <c r="D115" s="8" t="s">
        <v>801</v>
      </c>
      <c r="E115" s="14" t="s">
        <v>66</v>
      </c>
      <c r="F115" s="9" t="n">
        <v>143201</v>
      </c>
      <c r="G115" s="9" t="n">
        <v>37279</v>
      </c>
      <c r="H115" s="9" t="n">
        <v>37276</v>
      </c>
      <c r="I115" s="9" t="n">
        <v>15</v>
      </c>
      <c r="J115" s="9" t="n">
        <v>368</v>
      </c>
      <c r="K115" s="9" t="n">
        <v>14</v>
      </c>
      <c r="L115" s="9" t="n">
        <v>43</v>
      </c>
      <c r="M115" s="10" t="n">
        <f aca="false">IFERROR(G115/F115,"")</f>
        <v>0.260326394368754</v>
      </c>
      <c r="N115" s="10" t="n">
        <f aca="false">IFERROR(H115/G115,"")</f>
        <v>0.999919525738351</v>
      </c>
      <c r="O115" s="11" t="n">
        <f aca="false">IFERROR(I115/H115,"")</f>
        <v>0.000402403691383196</v>
      </c>
      <c r="P115" s="10" t="n">
        <f aca="false">IFERROR(J115/H115,"")</f>
        <v>0.00987230389526773</v>
      </c>
      <c r="Q115" s="10" t="n">
        <f aca="false">IFERROR(K115/H115,"")</f>
        <v>0.000375576778624316</v>
      </c>
      <c r="R115" s="10" t="n">
        <f aca="false">IFERROR(L115/H115,"")</f>
        <v>0.00115355724863183</v>
      </c>
      <c r="S115" s="11" t="str">
        <f aca="false">IFERROR(M115/MEDIAN(INDEX($M$5:$M$665,MATCH($A115-90,$A$5:$A$665,1)):INDEX($M$5:$M$665,MATCH($A115+90,$A$5:$A$665,1))),"")</f>
        <v/>
      </c>
      <c r="T115" s="11" t="str">
        <f aca="false">IFERROR(N115/MEDIAN(INDEX($N$5:$N$665,MATCH($A115-90,$A$5:$A$665,1)):INDEX($N$5:$N$665,MATCH($A115+90,$A$5:$A$665,1))),"")</f>
        <v/>
      </c>
      <c r="U115" s="11" t="str">
        <f aca="false">IFERROR(Q115/MEDIAN(INDEX($Q$5:$Q$665,MATCH($A115-90,$A$5:$A$665,1)):INDEX($Q$5:$Q$665,MATCH($A115+90,$A$5:$A$665,1))),"")</f>
        <v/>
      </c>
    </row>
    <row r="116" customFormat="false" ht="15" hidden="false" customHeight="false" outlineLevel="0" collapsed="false">
      <c r="A116" s="13" t="n">
        <v>45042.5002242361</v>
      </c>
      <c r="B116" s="8" t="n">
        <v>12</v>
      </c>
      <c r="C116" s="8" t="s">
        <v>71</v>
      </c>
      <c r="D116" s="8" t="s">
        <v>802</v>
      </c>
      <c r="E116" s="14" t="s">
        <v>66</v>
      </c>
      <c r="F116" s="9" t="n">
        <v>156049</v>
      </c>
      <c r="G116" s="9" t="n">
        <v>24401</v>
      </c>
      <c r="H116" s="9" t="n">
        <v>24396</v>
      </c>
      <c r="I116" s="9" t="n">
        <v>2</v>
      </c>
      <c r="J116" s="9" t="n">
        <v>260</v>
      </c>
      <c r="K116" s="9" t="n">
        <v>35</v>
      </c>
      <c r="L116" s="9" t="n">
        <v>15</v>
      </c>
      <c r="M116" s="10" t="n">
        <f aca="false">IFERROR(G116/F116,"")</f>
        <v>0.156367551217887</v>
      </c>
      <c r="N116" s="10" t="n">
        <f aca="false">IFERROR(H116/G116,"")</f>
        <v>0.999795090365149</v>
      </c>
      <c r="O116" s="11" t="n">
        <f aca="false">IFERROR(I116/H116,"")</f>
        <v>8.19806525659944E-005</v>
      </c>
      <c r="P116" s="10" t="n">
        <f aca="false">IFERROR(J116/H116,"")</f>
        <v>0.0106574848335793</v>
      </c>
      <c r="Q116" s="10" t="n">
        <f aca="false">IFERROR(K116/H116,"")</f>
        <v>0.0014346614199049</v>
      </c>
      <c r="R116" s="10" t="n">
        <f aca="false">IFERROR(L116/H116,"")</f>
        <v>0.000614854894244958</v>
      </c>
      <c r="S116" s="11" t="str">
        <f aca="false">IFERROR(M116/MEDIAN(INDEX($M$5:$M$665,MATCH($A116-90,$A$5:$A$665,1)):INDEX($M$5:$M$665,MATCH($A116+90,$A$5:$A$665,1))),"")</f>
        <v/>
      </c>
      <c r="T116" s="11" t="str">
        <f aca="false">IFERROR(N116/MEDIAN(INDEX($N$5:$N$665,MATCH($A116-90,$A$5:$A$665,1)):INDEX($N$5:$N$665,MATCH($A116+90,$A$5:$A$665,1))),"")</f>
        <v/>
      </c>
      <c r="U116" s="11" t="str">
        <f aca="false">IFERROR(Q116/MEDIAN(INDEX($Q$5:$Q$665,MATCH($A116-90,$A$5:$A$665,1)):INDEX($Q$5:$Q$665,MATCH($A116+90,$A$5:$A$665,1))),"")</f>
        <v/>
      </c>
    </row>
    <row r="117" customFormat="false" ht="15" hidden="false" customHeight="false" outlineLevel="0" collapsed="false">
      <c r="A117" s="13" t="n">
        <v>45043.4791396528</v>
      </c>
      <c r="B117" s="8" t="n">
        <v>11</v>
      </c>
      <c r="C117" s="8" t="s">
        <v>73</v>
      </c>
      <c r="D117" s="8" t="s">
        <v>803</v>
      </c>
      <c r="E117" s="14" t="s">
        <v>66</v>
      </c>
      <c r="F117" s="9" t="n">
        <v>6309</v>
      </c>
      <c r="G117" s="9" t="n">
        <v>3059</v>
      </c>
      <c r="H117" s="9" t="n">
        <v>3067</v>
      </c>
      <c r="I117" s="9" t="n">
        <v>25</v>
      </c>
      <c r="J117" s="9" t="n">
        <v>214</v>
      </c>
      <c r="K117" s="9" t="n">
        <v>20</v>
      </c>
      <c r="L117" s="9" t="n">
        <v>11</v>
      </c>
      <c r="M117" s="10" t="n">
        <f aca="false">IFERROR(G117/F117,"")</f>
        <v>0.484862894278016</v>
      </c>
      <c r="N117" s="10" t="n">
        <f aca="false">IFERROR(H117/G117,"")</f>
        <v>1.00261523373652</v>
      </c>
      <c r="O117" s="11" t="n">
        <f aca="false">IFERROR(I117/H117,"")</f>
        <v>0.00815128790348875</v>
      </c>
      <c r="P117" s="10" t="n">
        <f aca="false">IFERROR(J117/H117,"")</f>
        <v>0.0697750244538637</v>
      </c>
      <c r="Q117" s="10" t="n">
        <f aca="false">IFERROR(K117/H117,"")</f>
        <v>0.006521030322791</v>
      </c>
      <c r="R117" s="10" t="n">
        <f aca="false">IFERROR(L117/H117,"")</f>
        <v>0.00358656667753505</v>
      </c>
      <c r="S117" s="11" t="str">
        <f aca="false">IFERROR(M117/MEDIAN(INDEX($M$5:$M$665,MATCH($A117-90,$A$5:$A$665,1)):INDEX($M$5:$M$665,MATCH($A117+90,$A$5:$A$665,1))),"")</f>
        <v/>
      </c>
      <c r="T117" s="11" t="str">
        <f aca="false">IFERROR(N117/MEDIAN(INDEX($N$5:$N$665,MATCH($A117-90,$A$5:$A$665,1)):INDEX($N$5:$N$665,MATCH($A117+90,$A$5:$A$665,1))),"")</f>
        <v/>
      </c>
      <c r="U117" s="11" t="str">
        <f aca="false">IFERROR(Q117/MEDIAN(INDEX($Q$5:$Q$665,MATCH($A117-90,$A$5:$A$665,1)):INDEX($Q$5:$Q$665,MATCH($A117+90,$A$5:$A$665,1))),"")</f>
        <v/>
      </c>
    </row>
    <row r="118" customFormat="false" ht="15" hidden="false" customHeight="false" outlineLevel="0" collapsed="false">
      <c r="A118" s="13" t="n">
        <v>45044.5124231944</v>
      </c>
      <c r="B118" s="8" t="n">
        <v>12</v>
      </c>
      <c r="C118" s="8" t="s">
        <v>84</v>
      </c>
      <c r="D118" s="8" t="s">
        <v>804</v>
      </c>
      <c r="E118" s="14" t="s">
        <v>66</v>
      </c>
      <c r="F118" s="9" t="n">
        <v>306072</v>
      </c>
      <c r="G118" s="9" t="n">
        <v>37373</v>
      </c>
      <c r="H118" s="9" t="n">
        <v>37381</v>
      </c>
      <c r="I118" s="9" t="n">
        <v>32</v>
      </c>
      <c r="J118" s="9" t="n">
        <v>343</v>
      </c>
      <c r="K118" s="9" t="n">
        <v>19</v>
      </c>
      <c r="L118" s="9" t="n">
        <v>24</v>
      </c>
      <c r="M118" s="10" t="n">
        <f aca="false">IFERROR(G118/F118,"")</f>
        <v>0.122105256279568</v>
      </c>
      <c r="N118" s="10" t="n">
        <f aca="false">IFERROR(H118/G118,"")</f>
        <v>1.00021405827737</v>
      </c>
      <c r="O118" s="11" t="n">
        <f aca="false">IFERROR(I118/H118,"")</f>
        <v>0.000856049864904631</v>
      </c>
      <c r="P118" s="10" t="n">
        <f aca="false">IFERROR(J118/H118,"")</f>
        <v>0.00917578448944651</v>
      </c>
      <c r="Q118" s="10" t="n">
        <f aca="false">IFERROR(K118/H118,"")</f>
        <v>0.000508279607287125</v>
      </c>
      <c r="R118" s="10" t="n">
        <f aca="false">IFERROR(L118/H118,"")</f>
        <v>0.000642037398678473</v>
      </c>
      <c r="S118" s="11" t="str">
        <f aca="false">IFERROR(M118/MEDIAN(INDEX($M$5:$M$665,MATCH($A118-90,$A$5:$A$665,1)):INDEX($M$5:$M$665,MATCH($A118+90,$A$5:$A$665,1))),"")</f>
        <v/>
      </c>
      <c r="T118" s="11" t="str">
        <f aca="false">IFERROR(N118/MEDIAN(INDEX($N$5:$N$665,MATCH($A118-90,$A$5:$A$665,1)):INDEX($N$5:$N$665,MATCH($A118+90,$A$5:$A$665,1))),"")</f>
        <v/>
      </c>
      <c r="U118" s="11" t="str">
        <f aca="false">IFERROR(Q118/MEDIAN(INDEX($Q$5:$Q$665,MATCH($A118-90,$A$5:$A$665,1)):INDEX($Q$5:$Q$665,MATCH($A118+90,$A$5:$A$665,1))),"")</f>
        <v/>
      </c>
    </row>
    <row r="119" customFormat="false" ht="15" hidden="false" customHeight="false" outlineLevel="0" collapsed="false">
      <c r="A119" s="13" t="n">
        <v>45045.517648588</v>
      </c>
      <c r="B119" s="8" t="n">
        <v>12</v>
      </c>
      <c r="C119" s="8" t="s">
        <v>68</v>
      </c>
      <c r="D119" s="8" t="s">
        <v>805</v>
      </c>
      <c r="E119" s="14" t="s">
        <v>66</v>
      </c>
      <c r="F119" s="9" t="n">
        <v>34297</v>
      </c>
      <c r="G119" s="9" t="n">
        <v>11225</v>
      </c>
      <c r="H119" s="9" t="n">
        <v>11223</v>
      </c>
      <c r="I119" s="9" t="n">
        <v>2</v>
      </c>
      <c r="J119" s="9" t="n">
        <v>317</v>
      </c>
      <c r="K119" s="9" t="n">
        <v>40</v>
      </c>
      <c r="L119" s="9" t="n">
        <v>7</v>
      </c>
      <c r="M119" s="10" t="n">
        <f aca="false">IFERROR(G119/F119,"")</f>
        <v>0.327288101000088</v>
      </c>
      <c r="N119" s="10" t="n">
        <f aca="false">IFERROR(H119/G119,"")</f>
        <v>0.999821826280624</v>
      </c>
      <c r="O119" s="11" t="n">
        <f aca="false">IFERROR(I119/H119,"")</f>
        <v>0.000178205470907957</v>
      </c>
      <c r="P119" s="10" t="n">
        <f aca="false">IFERROR(J119/H119,"")</f>
        <v>0.0282455671389112</v>
      </c>
      <c r="Q119" s="10" t="n">
        <f aca="false">IFERROR(K119/H119,"")</f>
        <v>0.00356410941815914</v>
      </c>
      <c r="R119" s="10" t="n">
        <f aca="false">IFERROR(L119/H119,"")</f>
        <v>0.000623719148177849</v>
      </c>
      <c r="S119" s="11" t="str">
        <f aca="false">IFERROR(M119/MEDIAN(INDEX($M$5:$M$665,MATCH($A119-90,$A$5:$A$665,1)):INDEX($M$5:$M$665,MATCH($A119+90,$A$5:$A$665,1))),"")</f>
        <v/>
      </c>
      <c r="T119" s="11" t="str">
        <f aca="false">IFERROR(N119/MEDIAN(INDEX($N$5:$N$665,MATCH($A119-90,$A$5:$A$665,1)):INDEX($N$5:$N$665,MATCH($A119+90,$A$5:$A$665,1))),"")</f>
        <v/>
      </c>
      <c r="U119" s="11" t="str">
        <f aca="false">IFERROR(Q119/MEDIAN(INDEX($Q$5:$Q$665,MATCH($A119-90,$A$5:$A$665,1)):INDEX($Q$5:$Q$665,MATCH($A119+90,$A$5:$A$665,1))),"")</f>
        <v/>
      </c>
    </row>
    <row r="120" customFormat="false" ht="15" hidden="false" customHeight="false" outlineLevel="0" collapsed="false">
      <c r="A120" s="13" t="n">
        <v>45046.5857752894</v>
      </c>
      <c r="B120" s="8" t="n">
        <v>14</v>
      </c>
      <c r="C120" s="8" t="s">
        <v>86</v>
      </c>
      <c r="D120" s="8" t="s">
        <v>806</v>
      </c>
      <c r="E120" s="14" t="s">
        <v>66</v>
      </c>
      <c r="F120" s="9" t="n">
        <v>446231</v>
      </c>
      <c r="G120" s="9" t="n">
        <v>55146</v>
      </c>
      <c r="H120" s="9" t="n">
        <v>55140</v>
      </c>
      <c r="I120" s="9" t="n">
        <v>3</v>
      </c>
      <c r="J120" s="9" t="n">
        <v>286</v>
      </c>
      <c r="K120" s="9" t="n">
        <v>22</v>
      </c>
      <c r="L120" s="9" t="n">
        <v>14</v>
      </c>
      <c r="M120" s="10" t="n">
        <f aca="false">IFERROR(G120/F120,"")</f>
        <v>0.123581732331461</v>
      </c>
      <c r="N120" s="10" t="n">
        <f aca="false">IFERROR(H120/G120,"")</f>
        <v>0.999891197911</v>
      </c>
      <c r="O120" s="11" t="n">
        <f aca="false">IFERROR(I120/H120,"")</f>
        <v>5.44069640914037E-005</v>
      </c>
      <c r="P120" s="10" t="n">
        <f aca="false">IFERROR(J120/H120,"")</f>
        <v>0.00518679724338049</v>
      </c>
      <c r="Q120" s="10" t="n">
        <f aca="false">IFERROR(K120/H120,"")</f>
        <v>0.00039898440333696</v>
      </c>
      <c r="R120" s="10" t="n">
        <f aca="false">IFERROR(L120/H120,"")</f>
        <v>0.000253899165759884</v>
      </c>
      <c r="S120" s="11" t="str">
        <f aca="false">IFERROR(M120/MEDIAN(INDEX($M$5:$M$665,MATCH($A120-90,$A$5:$A$665,1)):INDEX($M$5:$M$665,MATCH($A120+90,$A$5:$A$665,1))),"")</f>
        <v/>
      </c>
      <c r="T120" s="11" t="str">
        <f aca="false">IFERROR(N120/MEDIAN(INDEX($N$5:$N$665,MATCH($A120-90,$A$5:$A$665,1)):INDEX($N$5:$N$665,MATCH($A120+90,$A$5:$A$665,1))),"")</f>
        <v/>
      </c>
      <c r="U120" s="11" t="str">
        <f aca="false">IFERROR(Q120/MEDIAN(INDEX($Q$5:$Q$665,MATCH($A120-90,$A$5:$A$665,1)):INDEX($Q$5:$Q$665,MATCH($A120+90,$A$5:$A$665,1))),"")</f>
        <v/>
      </c>
    </row>
    <row r="121" customFormat="false" ht="15" hidden="false" customHeight="false" outlineLevel="0" collapsed="false">
      <c r="A121" s="13" t="n">
        <v>45047.8834711574</v>
      </c>
      <c r="B121" s="8" t="n">
        <v>21</v>
      </c>
      <c r="C121" s="8" t="s">
        <v>80</v>
      </c>
      <c r="D121" s="8"/>
      <c r="E121" s="14" t="s">
        <v>66</v>
      </c>
      <c r="F121" s="9" t="n">
        <v>16921</v>
      </c>
      <c r="G121" s="9" t="n">
        <v>7134</v>
      </c>
      <c r="H121" s="9" t="n">
        <v>7130</v>
      </c>
      <c r="I121" s="9" t="n">
        <v>0</v>
      </c>
      <c r="J121" s="9" t="n">
        <v>221</v>
      </c>
      <c r="K121" s="9" t="n">
        <v>8</v>
      </c>
      <c r="L121" s="9" t="n">
        <v>3</v>
      </c>
      <c r="M121" s="10" t="n">
        <f aca="false">IFERROR(G121/F121,"")</f>
        <v>0.421606288044442</v>
      </c>
      <c r="N121" s="10" t="n">
        <f aca="false">IFERROR(H121/G121,"")</f>
        <v>0.999439304737875</v>
      </c>
      <c r="O121" s="11" t="n">
        <f aca="false">IFERROR(I121/H121,"")</f>
        <v>0</v>
      </c>
      <c r="P121" s="10" t="n">
        <f aca="false">IFERROR(J121/H121,"")</f>
        <v>0.0309957924263675</v>
      </c>
      <c r="Q121" s="10" t="n">
        <f aca="false">IFERROR(K121/H121,"")</f>
        <v>0.00112201963534362</v>
      </c>
      <c r="R121" s="10" t="n">
        <f aca="false">IFERROR(L121/H121,"")</f>
        <v>0.000420757363253857</v>
      </c>
      <c r="S121" s="11" t="str">
        <f aca="false">IFERROR(M121/MEDIAN(INDEX($M$5:$M$665,MATCH($A121-90,$A$5:$A$665,1)):INDEX($M$5:$M$665,MATCH($A121+90,$A$5:$A$665,1))),"")</f>
        <v/>
      </c>
      <c r="T121" s="11" t="str">
        <f aca="false">IFERROR(N121/MEDIAN(INDEX($N$5:$N$665,MATCH($A121-90,$A$5:$A$665,1)):INDEX($N$5:$N$665,MATCH($A121+90,$A$5:$A$665,1))),"")</f>
        <v/>
      </c>
      <c r="U121" s="11" t="str">
        <f aca="false">IFERROR(Q121/MEDIAN(INDEX($Q$5:$Q$665,MATCH($A121-90,$A$5:$A$665,1)):INDEX($Q$5:$Q$665,MATCH($A121+90,$A$5:$A$665,1))),"")</f>
        <v/>
      </c>
    </row>
    <row r="122" customFormat="false" ht="15" hidden="false" customHeight="false" outlineLevel="0" collapsed="false">
      <c r="A122" s="13" t="n">
        <v>45048.606492419</v>
      </c>
      <c r="B122" s="8" t="n">
        <v>14</v>
      </c>
      <c r="C122" s="8" t="s">
        <v>64</v>
      </c>
      <c r="D122" s="8"/>
      <c r="E122" s="14" t="s">
        <v>66</v>
      </c>
      <c r="F122" s="9" t="n">
        <v>163355</v>
      </c>
      <c r="G122" s="9" t="n">
        <v>23922</v>
      </c>
      <c r="H122" s="9" t="n">
        <v>23919</v>
      </c>
      <c r="I122" s="9" t="n">
        <v>1</v>
      </c>
      <c r="J122" s="9" t="n">
        <v>278</v>
      </c>
      <c r="K122" s="9" t="n">
        <v>25</v>
      </c>
      <c r="L122" s="9" t="n">
        <v>11</v>
      </c>
      <c r="M122" s="10" t="n">
        <f aca="false">IFERROR(G122/F122,"")</f>
        <v>0.146441798536929</v>
      </c>
      <c r="N122" s="10" t="n">
        <f aca="false">IFERROR(H122/G122,"")</f>
        <v>0.999874592425383</v>
      </c>
      <c r="O122" s="11" t="n">
        <f aca="false">IFERROR(I122/H122,"")</f>
        <v>4.18077678832727E-005</v>
      </c>
      <c r="P122" s="10" t="n">
        <f aca="false">IFERROR(J122/H122,"")</f>
        <v>0.0116225594715498</v>
      </c>
      <c r="Q122" s="10" t="n">
        <f aca="false">IFERROR(K122/H122,"")</f>
        <v>0.00104519419708182</v>
      </c>
      <c r="R122" s="10" t="n">
        <f aca="false">IFERROR(L122/H122,"")</f>
        <v>0.000459885446716</v>
      </c>
      <c r="S122" s="11" t="str">
        <f aca="false">IFERROR(M122/MEDIAN(INDEX($M$5:$M$665,MATCH($A122-90,$A$5:$A$665,1)):INDEX($M$5:$M$665,MATCH($A122+90,$A$5:$A$665,1))),"")</f>
        <v/>
      </c>
      <c r="T122" s="11" t="str">
        <f aca="false">IFERROR(N122/MEDIAN(INDEX($N$5:$N$665,MATCH($A122-90,$A$5:$A$665,1)):INDEX($N$5:$N$665,MATCH($A122+90,$A$5:$A$665,1))),"")</f>
        <v/>
      </c>
      <c r="U122" s="11" t="str">
        <f aca="false">IFERROR(Q122/MEDIAN(INDEX($Q$5:$Q$665,MATCH($A122-90,$A$5:$A$665,1)):INDEX($Q$5:$Q$665,MATCH($A122+90,$A$5:$A$665,1))),"")</f>
        <v/>
      </c>
    </row>
    <row r="123" customFormat="false" ht="15" hidden="false" customHeight="false" outlineLevel="0" collapsed="false">
      <c r="A123" s="13" t="n">
        <v>45049.8181963194</v>
      </c>
      <c r="B123" s="8" t="n">
        <v>19</v>
      </c>
      <c r="C123" s="8" t="s">
        <v>71</v>
      </c>
      <c r="D123" s="8"/>
      <c r="E123" s="14" t="s">
        <v>66</v>
      </c>
      <c r="F123" s="9" t="n">
        <v>100142</v>
      </c>
      <c r="G123" s="9" t="n">
        <v>27128</v>
      </c>
      <c r="H123" s="9" t="n">
        <v>27129</v>
      </c>
      <c r="I123" s="9" t="n">
        <v>3</v>
      </c>
      <c r="J123" s="9" t="n">
        <v>382</v>
      </c>
      <c r="K123" s="9" t="n">
        <v>13</v>
      </c>
      <c r="L123" s="9" t="n">
        <v>28</v>
      </c>
      <c r="M123" s="10" t="n">
        <f aca="false">IFERROR(G123/F123,"")</f>
        <v>0.270895328633341</v>
      </c>
      <c r="N123" s="10" t="n">
        <f aca="false">IFERROR(H123/G123,"")</f>
        <v>1.00003686228251</v>
      </c>
      <c r="O123" s="11" t="n">
        <f aca="false">IFERROR(I123/H123,"")</f>
        <v>0.000110582771204246</v>
      </c>
      <c r="P123" s="10" t="n">
        <f aca="false">IFERROR(J123/H123,"")</f>
        <v>0.014080872866674</v>
      </c>
      <c r="Q123" s="10" t="n">
        <f aca="false">IFERROR(K123/H123,"")</f>
        <v>0.000479192008551734</v>
      </c>
      <c r="R123" s="10" t="n">
        <f aca="false">IFERROR(L123/H123,"")</f>
        <v>0.00103210586457297</v>
      </c>
      <c r="S123" s="11" t="str">
        <f aca="false">IFERROR(M123/MEDIAN(INDEX($M$5:$M$665,MATCH($A123-90,$A$5:$A$665,1)):INDEX($M$5:$M$665,MATCH($A123+90,$A$5:$A$665,1))),"")</f>
        <v/>
      </c>
      <c r="T123" s="11" t="str">
        <f aca="false">IFERROR(N123/MEDIAN(INDEX($N$5:$N$665,MATCH($A123-90,$A$5:$A$665,1)):INDEX($N$5:$N$665,MATCH($A123+90,$A$5:$A$665,1))),"")</f>
        <v/>
      </c>
      <c r="U123" s="11" t="str">
        <f aca="false">IFERROR(Q123/MEDIAN(INDEX($Q$5:$Q$665,MATCH($A123-90,$A$5:$A$665,1)):INDEX($Q$5:$Q$665,MATCH($A123+90,$A$5:$A$665,1))),"")</f>
        <v/>
      </c>
    </row>
    <row r="124" customFormat="false" ht="15" hidden="false" customHeight="false" outlineLevel="0" collapsed="false">
      <c r="A124" s="13" t="n">
        <v>45050.8907077431</v>
      </c>
      <c r="B124" s="8" t="n">
        <v>21</v>
      </c>
      <c r="C124" s="8" t="s">
        <v>73</v>
      </c>
      <c r="D124" s="8" t="s">
        <v>807</v>
      </c>
      <c r="E124" s="14" t="s">
        <v>66</v>
      </c>
      <c r="F124" s="9" t="n">
        <v>5249</v>
      </c>
      <c r="G124" s="9" t="n">
        <v>2061</v>
      </c>
      <c r="H124" s="9" t="n">
        <v>2068</v>
      </c>
      <c r="I124" s="9" t="n">
        <v>25</v>
      </c>
      <c r="J124" s="9" t="n">
        <v>142</v>
      </c>
      <c r="K124" s="9" t="n">
        <v>14</v>
      </c>
      <c r="L124" s="9" t="n">
        <v>5</v>
      </c>
      <c r="M124" s="10" t="n">
        <f aca="false">IFERROR(G124/F124,"")</f>
        <v>0.3926462183273</v>
      </c>
      <c r="N124" s="10" t="n">
        <f aca="false">IFERROR(H124/G124,"")</f>
        <v>1.00339640950995</v>
      </c>
      <c r="O124" s="11" t="n">
        <f aca="false">IFERROR(I124/H124,"")</f>
        <v>0.0120889748549323</v>
      </c>
      <c r="P124" s="10" t="n">
        <f aca="false">IFERROR(J124/H124,"")</f>
        <v>0.0686653771760155</v>
      </c>
      <c r="Q124" s="10" t="n">
        <f aca="false">IFERROR(K124/H124,"")</f>
        <v>0.00676982591876209</v>
      </c>
      <c r="R124" s="10" t="n">
        <f aca="false">IFERROR(L124/H124,"")</f>
        <v>0.00241779497098646</v>
      </c>
      <c r="S124" s="11" t="n">
        <f aca="false">IFERROR(M124/MEDIAN(INDEX($M$5:$M$665,MATCH($A124-90,$A$5:$A$665,1)):INDEX($M$5:$M$665,MATCH($A124+90,$A$5:$A$665,1))),"")</f>
        <v>0.983686464271853</v>
      </c>
      <c r="T124" s="11" t="n">
        <f aca="false">IFERROR(N124/MEDIAN(INDEX($N$5:$N$665,MATCH($A124-90,$A$5:$A$665,1)):INDEX($N$5:$N$665,MATCH($A124+90,$A$5:$A$665,1))),"")</f>
        <v>1.00355033031019</v>
      </c>
      <c r="U124" s="11" t="n">
        <f aca="false">IFERROR(Q124/MEDIAN(INDEX($Q$5:$Q$665,MATCH($A124-90,$A$5:$A$665,1)):INDEX($Q$5:$Q$665,MATCH($A124+90,$A$5:$A$665,1))),"")</f>
        <v>5.55087316618235</v>
      </c>
    </row>
    <row r="125" customFormat="false" ht="15" hidden="false" customHeight="false" outlineLevel="0" collapsed="false">
      <c r="A125" s="13" t="n">
        <v>45051.5836703357</v>
      </c>
      <c r="B125" s="8" t="n">
        <v>14</v>
      </c>
      <c r="C125" s="8" t="s">
        <v>84</v>
      </c>
      <c r="D125" s="8" t="s">
        <v>808</v>
      </c>
      <c r="E125" s="14" t="s">
        <v>66</v>
      </c>
      <c r="F125" s="9" t="n">
        <v>362102</v>
      </c>
      <c r="G125" s="9" t="n">
        <v>58072</v>
      </c>
      <c r="H125" s="9" t="n">
        <v>58068</v>
      </c>
      <c r="I125" s="9" t="n">
        <v>2</v>
      </c>
      <c r="J125" s="9" t="n">
        <v>333</v>
      </c>
      <c r="K125" s="9" t="n">
        <v>27</v>
      </c>
      <c r="L125" s="9" t="n">
        <v>34</v>
      </c>
      <c r="M125" s="10" t="n">
        <f aca="false">IFERROR(G125/F125,"")</f>
        <v>0.160374701051085</v>
      </c>
      <c r="N125" s="10" t="n">
        <f aca="false">IFERROR(H125/G125,"")</f>
        <v>0.999931119988979</v>
      </c>
      <c r="O125" s="11" t="n">
        <f aca="false">IFERROR(I125/H125,"")</f>
        <v>3.44423779017703E-005</v>
      </c>
      <c r="P125" s="10" t="n">
        <f aca="false">IFERROR(J125/H125,"")</f>
        <v>0.00573465592064476</v>
      </c>
      <c r="Q125" s="10" t="n">
        <f aca="false">IFERROR(K125/H125,"")</f>
        <v>0.0004649721016739</v>
      </c>
      <c r="R125" s="10" t="n">
        <f aca="false">IFERROR(L125/H125,"")</f>
        <v>0.000585520424330096</v>
      </c>
      <c r="S125" s="11" t="n">
        <f aca="false">IFERROR(M125/MEDIAN(INDEX($M$5:$M$665,MATCH($A125-90,$A$5:$A$665,1)):INDEX($M$5:$M$665,MATCH($A125+90,$A$5:$A$665,1))),"")</f>
        <v>0.403228153809081</v>
      </c>
      <c r="T125" s="11" t="n">
        <f aca="false">IFERROR(N125/MEDIAN(INDEX($N$5:$N$665,MATCH($A125-90,$A$5:$A$665,1)):INDEX($N$5:$N$665,MATCH($A125+90,$A$5:$A$665,1))),"")</f>
        <v>1.00008461313811</v>
      </c>
      <c r="U125" s="11" t="n">
        <f aca="false">IFERROR(Q125/MEDIAN(INDEX($Q$5:$Q$665,MATCH($A125-90,$A$5:$A$665,1)):INDEX($Q$5:$Q$665,MATCH($A125+90,$A$5:$A$665,1))),"")</f>
        <v>0.38016119032858</v>
      </c>
    </row>
    <row r="126" customFormat="false" ht="15" hidden="false" customHeight="false" outlineLevel="0" collapsed="false">
      <c r="A126" s="13" t="n">
        <v>45052.9122711458</v>
      </c>
      <c r="B126" s="8" t="n">
        <v>21</v>
      </c>
      <c r="C126" s="8" t="s">
        <v>68</v>
      </c>
      <c r="D126" s="8" t="s">
        <v>809</v>
      </c>
      <c r="E126" s="14" t="s">
        <v>66</v>
      </c>
      <c r="F126" s="9" t="n">
        <v>27768</v>
      </c>
      <c r="G126" s="9" t="n">
        <v>14833</v>
      </c>
      <c r="H126" s="9" t="n">
        <v>14833</v>
      </c>
      <c r="I126" s="9" t="n">
        <v>43</v>
      </c>
      <c r="J126" s="9" t="n">
        <v>347</v>
      </c>
      <c r="K126" s="9" t="n">
        <v>16</v>
      </c>
      <c r="L126" s="9" t="n">
        <v>17</v>
      </c>
      <c r="M126" s="10" t="n">
        <f aca="false">IFERROR(G126/F126,"")</f>
        <v>0.534176029962547</v>
      </c>
      <c r="N126" s="10" t="n">
        <f aca="false">IFERROR(H126/G126,"")</f>
        <v>1</v>
      </c>
      <c r="O126" s="11" t="n">
        <f aca="false">IFERROR(I126/H126,"")</f>
        <v>0.0028989415492483</v>
      </c>
      <c r="P126" s="10" t="n">
        <f aca="false">IFERROR(J126/H126,"")</f>
        <v>0.0233937841299804</v>
      </c>
      <c r="Q126" s="10" t="n">
        <f aca="false">IFERROR(K126/H126,"")</f>
        <v>0.00107867592530169</v>
      </c>
      <c r="R126" s="10" t="n">
        <f aca="false">IFERROR(L126/H126,"")</f>
        <v>0.00114609317063305</v>
      </c>
      <c r="S126" s="11" t="n">
        <f aca="false">IFERROR(M126/MEDIAN(INDEX($M$5:$M$665,MATCH($A126-90,$A$5:$A$665,1)):INDEX($M$5:$M$665,MATCH($A126+90,$A$5:$A$665,1))),"")</f>
        <v>1.36277988185809</v>
      </c>
      <c r="T126" s="11" t="n">
        <f aca="false">IFERROR(N126/MEDIAN(INDEX($N$5:$N$665,MATCH($A126-90,$A$5:$A$665,1)):INDEX($N$5:$N$665,MATCH($A126+90,$A$5:$A$665,1))),"")</f>
        <v>1.00016006601016</v>
      </c>
      <c r="U126" s="11" t="n">
        <f aca="false">IFERROR(Q126/MEDIAN(INDEX($Q$5:$Q$665,MATCH($A126-90,$A$5:$A$665,1)):INDEX($Q$5:$Q$665,MATCH($A126+90,$A$5:$A$665,1))),"")</f>
        <v>0.897648062024831</v>
      </c>
    </row>
    <row r="127" customFormat="false" ht="15" hidden="false" customHeight="false" outlineLevel="0" collapsed="false">
      <c r="A127" s="13" t="n">
        <v>45053.5002077894</v>
      </c>
      <c r="B127" s="8" t="n">
        <v>12</v>
      </c>
      <c r="C127" s="8" t="s">
        <v>86</v>
      </c>
      <c r="D127" s="8" t="s">
        <v>810</v>
      </c>
      <c r="E127" s="14" t="s">
        <v>66</v>
      </c>
      <c r="F127" s="9" t="n">
        <v>135385</v>
      </c>
      <c r="G127" s="9" t="n">
        <v>19573</v>
      </c>
      <c r="H127" s="9" t="n">
        <v>19570</v>
      </c>
      <c r="I127" s="9" t="n">
        <v>1</v>
      </c>
      <c r="J127" s="9" t="n">
        <v>185</v>
      </c>
      <c r="K127" s="9" t="n">
        <v>12</v>
      </c>
      <c r="L127" s="9" t="n">
        <v>13</v>
      </c>
      <c r="M127" s="10" t="n">
        <f aca="false">IFERROR(G127/F127,"")</f>
        <v>0.144572884736123</v>
      </c>
      <c r="N127" s="10" t="n">
        <f aca="false">IFERROR(H127/G127,"")</f>
        <v>0.999846727635007</v>
      </c>
      <c r="O127" s="11" t="n">
        <f aca="false">IFERROR(I127/H127,"")</f>
        <v>5.10986203372509E-005</v>
      </c>
      <c r="P127" s="10" t="n">
        <f aca="false">IFERROR(J127/H127,"")</f>
        <v>0.00945324476239142</v>
      </c>
      <c r="Q127" s="10" t="n">
        <f aca="false">IFERROR(K127/H127,"")</f>
        <v>0.000613183444047011</v>
      </c>
      <c r="R127" s="10" t="n">
        <f aca="false">IFERROR(L127/H127,"")</f>
        <v>0.000664282064384262</v>
      </c>
      <c r="S127" s="11" t="n">
        <f aca="false">IFERROR(M127/MEDIAN(INDEX($M$5:$M$665,MATCH($A127-90,$A$5:$A$665,1)):INDEX($M$5:$M$665,MATCH($A127+90,$A$5:$A$665,1))),"")</f>
        <v>0.368201393488554</v>
      </c>
      <c r="T127" s="11" t="n">
        <f aca="false">IFERROR(N127/MEDIAN(INDEX($N$5:$N$665,MATCH($A127-90,$A$5:$A$665,1)):INDEX($N$5:$N$665,MATCH($A127+90,$A$5:$A$665,1))),"")</f>
        <v>1.00000620554036</v>
      </c>
      <c r="U127" s="11" t="n">
        <f aca="false">IFERROR(Q127/MEDIAN(INDEX($Q$5:$Q$665,MATCH($A127-90,$A$5:$A$665,1)):INDEX($Q$5:$Q$665,MATCH($A127+90,$A$5:$A$665,1))),"")</f>
        <v>0.509657639243741</v>
      </c>
    </row>
    <row r="128" customFormat="false" ht="15" hidden="false" customHeight="false" outlineLevel="0" collapsed="false">
      <c r="A128" s="13" t="n">
        <v>45054.5251654514</v>
      </c>
      <c r="B128" s="8" t="n">
        <v>12</v>
      </c>
      <c r="C128" s="8" t="s">
        <v>80</v>
      </c>
      <c r="D128" s="8" t="s">
        <v>811</v>
      </c>
      <c r="E128" s="14" t="s">
        <v>66</v>
      </c>
      <c r="F128" s="9" t="n">
        <v>83080</v>
      </c>
      <c r="G128" s="9" t="n">
        <v>21041</v>
      </c>
      <c r="H128" s="9" t="n">
        <v>21042</v>
      </c>
      <c r="I128" s="9" t="n">
        <v>16</v>
      </c>
      <c r="J128" s="9" t="n">
        <v>328</v>
      </c>
      <c r="K128" s="9" t="n">
        <v>49</v>
      </c>
      <c r="L128" s="9" t="n">
        <v>21</v>
      </c>
      <c r="M128" s="10" t="n">
        <f aca="false">IFERROR(G128/F128,"")</f>
        <v>0.253261916225325</v>
      </c>
      <c r="N128" s="10" t="n">
        <f aca="false">IFERROR(H128/G128,"")</f>
        <v>1.00004752625826</v>
      </c>
      <c r="O128" s="11" t="n">
        <f aca="false">IFERROR(I128/H128,"")</f>
        <v>0.000760383993916928</v>
      </c>
      <c r="P128" s="10" t="n">
        <f aca="false">IFERROR(J128/H128,"")</f>
        <v>0.015587871875297</v>
      </c>
      <c r="Q128" s="10" t="n">
        <f aca="false">IFERROR(K128/H128,"")</f>
        <v>0.00232867598137059</v>
      </c>
      <c r="R128" s="10" t="n">
        <f aca="false">IFERROR(L128/H128,"")</f>
        <v>0.000998003992015968</v>
      </c>
      <c r="S128" s="11" t="n">
        <f aca="false">IFERROR(M128/MEDIAN(INDEX($M$5:$M$665,MATCH($A128-90,$A$5:$A$665,1)):INDEX($M$5:$M$665,MATCH($A128+90,$A$5:$A$665,1))),"")</f>
        <v>0.640866690656655</v>
      </c>
      <c r="T128" s="11" t="n">
        <f aca="false">IFERROR(N128/MEDIAN(INDEX($N$5:$N$665,MATCH($A128-90,$A$5:$A$665,1)):INDEX($N$5:$N$665,MATCH($A128+90,$A$5:$A$665,1))),"")</f>
        <v>1.00020759987576</v>
      </c>
      <c r="U128" s="11" t="n">
        <f aca="false">IFERROR(Q128/MEDIAN(INDEX($Q$5:$Q$665,MATCH($A128-90,$A$5:$A$665,1)):INDEX($Q$5:$Q$665,MATCH($A128+90,$A$5:$A$665,1))),"")</f>
        <v>1.92513869527295</v>
      </c>
    </row>
    <row r="129" customFormat="false" ht="15" hidden="false" customHeight="false" outlineLevel="0" collapsed="false">
      <c r="A129" s="13" t="n">
        <v>45056.5801459954</v>
      </c>
      <c r="B129" s="8" t="n">
        <v>13</v>
      </c>
      <c r="C129" s="8" t="s">
        <v>71</v>
      </c>
      <c r="D129" s="8" t="s">
        <v>812</v>
      </c>
      <c r="E129" s="14" t="s">
        <v>66</v>
      </c>
      <c r="F129" s="9" t="n">
        <v>70812</v>
      </c>
      <c r="G129" s="9" t="n">
        <v>11527</v>
      </c>
      <c r="H129" s="9" t="n">
        <v>11522</v>
      </c>
      <c r="I129" s="9" t="n">
        <v>1</v>
      </c>
      <c r="J129" s="9" t="n">
        <v>225</v>
      </c>
      <c r="K129" s="9" t="n">
        <v>19</v>
      </c>
      <c r="L129" s="9" t="n">
        <v>14</v>
      </c>
      <c r="M129" s="10" t="n">
        <f aca="false">IFERROR(G129/F129,"")</f>
        <v>0.16278314409987</v>
      </c>
      <c r="N129" s="10" t="n">
        <f aca="false">IFERROR(H129/G129,"")</f>
        <v>0.999566235794222</v>
      </c>
      <c r="O129" s="11" t="n">
        <f aca="false">IFERROR(I129/H129,"")</f>
        <v>8.67904877625412E-005</v>
      </c>
      <c r="P129" s="10" t="n">
        <f aca="false">IFERROR(J129/H129,"")</f>
        <v>0.0195278597465718</v>
      </c>
      <c r="Q129" s="10" t="n">
        <f aca="false">IFERROR(K129/H129,"")</f>
        <v>0.00164901926748828</v>
      </c>
      <c r="R129" s="10" t="n">
        <f aca="false">IFERROR(L129/H129,"")</f>
        <v>0.00121506682867558</v>
      </c>
      <c r="S129" s="11" t="n">
        <f aca="false">IFERROR(M129/MEDIAN(INDEX($M$5:$M$665,MATCH($A129-90,$A$5:$A$665,1)):INDEX($M$5:$M$665,MATCH($A129+90,$A$5:$A$665,1))),"")</f>
        <v>0.417663867088677</v>
      </c>
      <c r="T129" s="11" t="n">
        <f aca="false">IFERROR(N129/MEDIAN(INDEX($N$5:$N$665,MATCH($A129-90,$A$5:$A$665,1)):INDEX($N$5:$N$665,MATCH($A129+90,$A$5:$A$665,1))),"")</f>
        <v>0.999726232373479</v>
      </c>
      <c r="U129" s="11" t="n">
        <f aca="false">IFERROR(Q129/MEDIAN(INDEX($Q$5:$Q$665,MATCH($A129-90,$A$5:$A$665,1)):INDEX($Q$5:$Q$665,MATCH($A129+90,$A$5:$A$665,1))),"")</f>
        <v>1.3752550475681</v>
      </c>
    </row>
    <row r="130" customFormat="false" ht="15" hidden="false" customHeight="false" outlineLevel="0" collapsed="false">
      <c r="A130" s="13" t="n">
        <v>45057.5852489352</v>
      </c>
      <c r="B130" s="8" t="n">
        <v>14</v>
      </c>
      <c r="C130" s="8" t="s">
        <v>73</v>
      </c>
      <c r="D130" s="8" t="s">
        <v>813</v>
      </c>
      <c r="E130" s="14" t="s">
        <v>66</v>
      </c>
      <c r="F130" s="9" t="n">
        <v>46658</v>
      </c>
      <c r="G130" s="9" t="n">
        <v>12314</v>
      </c>
      <c r="H130" s="9" t="n">
        <v>12310</v>
      </c>
      <c r="I130" s="9" t="n">
        <v>56</v>
      </c>
      <c r="J130" s="9" t="n">
        <v>242</v>
      </c>
      <c r="K130" s="9" t="n">
        <v>21</v>
      </c>
      <c r="L130" s="9" t="n">
        <v>9</v>
      </c>
      <c r="M130" s="10" t="n">
        <f aca="false">IFERROR(G130/F130,"")</f>
        <v>0.263920442367868</v>
      </c>
      <c r="N130" s="10" t="n">
        <f aca="false">IFERROR(H130/G130,"")</f>
        <v>0.999675166477181</v>
      </c>
      <c r="O130" s="11" t="n">
        <f aca="false">IFERROR(I130/H130,"")</f>
        <v>0.00454914703493095</v>
      </c>
      <c r="P130" s="10" t="n">
        <f aca="false">IFERROR(J130/H130,"")</f>
        <v>0.0196588139723802</v>
      </c>
      <c r="Q130" s="10" t="n">
        <f aca="false">IFERROR(K130/H130,"")</f>
        <v>0.00170593013809911</v>
      </c>
      <c r="R130" s="10" t="n">
        <f aca="false">IFERROR(L130/H130,"")</f>
        <v>0.000731112916328189</v>
      </c>
      <c r="S130" s="11" t="n">
        <f aca="false">IFERROR(M130/MEDIAN(INDEX($M$5:$M$665,MATCH($A130-90,$A$5:$A$665,1)):INDEX($M$5:$M$665,MATCH($A130+90,$A$5:$A$665,1))),"")</f>
        <v>0.683126600102431</v>
      </c>
      <c r="T130" s="11" t="n">
        <f aca="false">IFERROR(N130/MEDIAN(INDEX($N$5:$N$665,MATCH($A130-90,$A$5:$A$665,1)):INDEX($N$5:$N$665,MATCH($A130+90,$A$5:$A$665,1))),"")</f>
        <v>0.999836030001167</v>
      </c>
      <c r="U130" s="11" t="n">
        <f aca="false">IFERROR(Q130/MEDIAN(INDEX($Q$5:$Q$665,MATCH($A130-90,$A$5:$A$665,1)):INDEX($Q$5:$Q$665,MATCH($A130+90,$A$5:$A$665,1))),"")</f>
        <v>1.42271778109227</v>
      </c>
    </row>
    <row r="131" customFormat="false" ht="15" hidden="false" customHeight="false" outlineLevel="0" collapsed="false">
      <c r="A131" s="13" t="n">
        <v>45058.5731830324</v>
      </c>
      <c r="B131" s="8" t="n">
        <v>13</v>
      </c>
      <c r="C131" s="8" t="s">
        <v>84</v>
      </c>
      <c r="D131" s="8" t="s">
        <v>814</v>
      </c>
      <c r="E131" s="14" t="s">
        <v>66</v>
      </c>
      <c r="F131" s="9" t="n">
        <v>6284</v>
      </c>
      <c r="G131" s="9" t="n">
        <v>2595</v>
      </c>
      <c r="H131" s="9" t="n">
        <v>2601</v>
      </c>
      <c r="I131" s="9" t="n">
        <v>32</v>
      </c>
      <c r="J131" s="9" t="n">
        <v>182</v>
      </c>
      <c r="K131" s="9" t="n">
        <v>12</v>
      </c>
      <c r="L131" s="9" t="n">
        <v>2</v>
      </c>
      <c r="M131" s="10" t="n">
        <f aca="false">IFERROR(G131/F131,"")</f>
        <v>0.412953532781668</v>
      </c>
      <c r="N131" s="10" t="n">
        <f aca="false">IFERROR(H131/G131,"")</f>
        <v>1.00231213872832</v>
      </c>
      <c r="O131" s="11" t="n">
        <f aca="false">IFERROR(I131/H131,"")</f>
        <v>0.0123029603998462</v>
      </c>
      <c r="P131" s="10" t="n">
        <f aca="false">IFERROR(J131/H131,"")</f>
        <v>0.0699730872741253</v>
      </c>
      <c r="Q131" s="10" t="n">
        <f aca="false">IFERROR(K131/H131,"")</f>
        <v>0.00461361014994233</v>
      </c>
      <c r="R131" s="10" t="n">
        <f aca="false">IFERROR(L131/H131,"")</f>
        <v>0.000768935024990388</v>
      </c>
      <c r="S131" s="11" t="n">
        <f aca="false">IFERROR(M131/MEDIAN(INDEX($M$5:$M$665,MATCH($A131-90,$A$5:$A$665,1)):INDEX($M$5:$M$665,MATCH($A131+90,$A$5:$A$665,1))),"")</f>
        <v>1.06888098670364</v>
      </c>
      <c r="T131" s="11" t="n">
        <f aca="false">IFERROR(N131/MEDIAN(INDEX($N$5:$N$665,MATCH($A131-90,$A$5:$A$665,1)):INDEX($N$5:$N$665,MATCH($A131+90,$A$5:$A$665,1))),"")</f>
        <v>1.00247257483331</v>
      </c>
      <c r="U131" s="11" t="n">
        <f aca="false">IFERROR(Q131/MEDIAN(INDEX($Q$5:$Q$665,MATCH($A131-90,$A$5:$A$665,1)):INDEX($Q$5:$Q$665,MATCH($A131+90,$A$5:$A$665,1))),"")</f>
        <v>3.80312580179175</v>
      </c>
    </row>
    <row r="132" customFormat="false" ht="15" hidden="false" customHeight="false" outlineLevel="0" collapsed="false">
      <c r="A132" s="13" t="n">
        <v>45059.551688206</v>
      </c>
      <c r="B132" s="8" t="n">
        <v>13</v>
      </c>
      <c r="C132" s="8" t="s">
        <v>68</v>
      </c>
      <c r="D132" s="8" t="s">
        <v>815</v>
      </c>
      <c r="E132" s="14" t="s">
        <v>66</v>
      </c>
      <c r="F132" s="9" t="n">
        <v>126220</v>
      </c>
      <c r="G132" s="9" t="n">
        <v>26221</v>
      </c>
      <c r="H132" s="9" t="n">
        <v>26216</v>
      </c>
      <c r="I132" s="9" t="n">
        <v>7</v>
      </c>
      <c r="J132" s="9" t="n">
        <v>323</v>
      </c>
      <c r="K132" s="9" t="n">
        <v>18</v>
      </c>
      <c r="L132" s="9" t="n">
        <v>36</v>
      </c>
      <c r="M132" s="10" t="n">
        <f aca="false">IFERROR(G132/F132,"")</f>
        <v>0.207740453176993</v>
      </c>
      <c r="N132" s="10" t="n">
        <f aca="false">IFERROR(H132/G132,"")</f>
        <v>0.999809313145952</v>
      </c>
      <c r="O132" s="11" t="n">
        <f aca="false">IFERROR(I132/H132,"")</f>
        <v>0.000267012511443393</v>
      </c>
      <c r="P132" s="10" t="n">
        <f aca="false">IFERROR(J132/H132,"")</f>
        <v>0.012320720170888</v>
      </c>
      <c r="Q132" s="10" t="n">
        <f aca="false">IFERROR(K132/H132,"")</f>
        <v>0.00068660360085444</v>
      </c>
      <c r="R132" s="10" t="n">
        <f aca="false">IFERROR(L132/H132,"")</f>
        <v>0.00137320720170888</v>
      </c>
      <c r="S132" s="11" t="n">
        <f aca="false">IFERROR(M132/MEDIAN(INDEX($M$5:$M$665,MATCH($A132-90,$A$5:$A$665,1)):INDEX($M$5:$M$665,MATCH($A132+90,$A$5:$A$665,1))),"")</f>
        <v>0.540873539047628</v>
      </c>
      <c r="T132" s="11" t="n">
        <f aca="false">IFERROR(N132/MEDIAN(INDEX($N$5:$N$665,MATCH($A132-90,$A$5:$A$665,1)):INDEX($N$5:$N$665,MATCH($A132+90,$A$5:$A$665,1))),"")</f>
        <v>0.999962787597275</v>
      </c>
      <c r="U132" s="11" t="n">
        <f aca="false">IFERROR(Q132/MEDIAN(INDEX($Q$5:$Q$665,MATCH($A132-90,$A$5:$A$665,1)):INDEX($Q$5:$Q$665,MATCH($A132+90,$A$5:$A$665,1))),"")</f>
        <v>0.56136710405859</v>
      </c>
    </row>
    <row r="133" customFormat="false" ht="15" hidden="false" customHeight="false" outlineLevel="0" collapsed="false">
      <c r="A133" s="13" t="n">
        <v>45060.5007067824</v>
      </c>
      <c r="B133" s="8" t="n">
        <v>12</v>
      </c>
      <c r="C133" s="8" t="s">
        <v>86</v>
      </c>
      <c r="D133" s="8" t="s">
        <v>816</v>
      </c>
      <c r="E133" s="14" t="s">
        <v>66</v>
      </c>
      <c r="F133" s="9" t="n">
        <v>14707</v>
      </c>
      <c r="G133" s="9" t="n">
        <v>6310</v>
      </c>
      <c r="H133" s="9" t="n">
        <v>6303</v>
      </c>
      <c r="I133" s="9" t="n">
        <v>12</v>
      </c>
      <c r="J133" s="9" t="n">
        <v>264</v>
      </c>
      <c r="K133" s="9" t="n">
        <v>11</v>
      </c>
      <c r="L133" s="9" t="n">
        <v>4</v>
      </c>
      <c r="M133" s="10" t="n">
        <f aca="false">IFERROR(G133/F133,"")</f>
        <v>0.429047392398178</v>
      </c>
      <c r="N133" s="10" t="n">
        <f aca="false">IFERROR(H133/G133,"")</f>
        <v>0.998890649762282</v>
      </c>
      <c r="O133" s="11" t="n">
        <f aca="false">IFERROR(I133/H133,"")</f>
        <v>0.00190385530699667</v>
      </c>
      <c r="P133" s="10" t="n">
        <f aca="false">IFERROR(J133/H133,"")</f>
        <v>0.0418848167539267</v>
      </c>
      <c r="Q133" s="10" t="n">
        <f aca="false">IFERROR(K133/H133,"")</f>
        <v>0.00174520069808028</v>
      </c>
      <c r="R133" s="10" t="n">
        <f aca="false">IFERROR(L133/H133,"")</f>
        <v>0.000634618435665556</v>
      </c>
      <c r="S133" s="11" t="n">
        <f aca="false">IFERROR(M133/MEDIAN(INDEX($M$5:$M$665,MATCH($A133-90,$A$5:$A$665,1)):INDEX($M$5:$M$665,MATCH($A133+90,$A$5:$A$665,1))),"")</f>
        <v>1.12861823659495</v>
      </c>
      <c r="T133" s="11" t="n">
        <f aca="false">IFERROR(N133/MEDIAN(INDEX($N$5:$N$665,MATCH($A133-90,$A$5:$A$665,1)):INDEX($N$5:$N$665,MATCH($A133+90,$A$5:$A$665,1))),"")</f>
        <v>0.999049975170969</v>
      </c>
      <c r="U133" s="11" t="n">
        <f aca="false">IFERROR(Q133/MEDIAN(INDEX($Q$5:$Q$665,MATCH($A133-90,$A$5:$A$665,1)):INDEX($Q$5:$Q$665,MATCH($A133+90,$A$5:$A$665,1))),"")</f>
        <v>1.42687609075044</v>
      </c>
    </row>
    <row r="134" customFormat="false" ht="15" hidden="false" customHeight="false" outlineLevel="0" collapsed="false">
      <c r="A134" s="13" t="n">
        <v>45061.5002018171</v>
      </c>
      <c r="B134" s="8" t="n">
        <v>12</v>
      </c>
      <c r="C134" s="8" t="s">
        <v>80</v>
      </c>
      <c r="D134" s="8" t="s">
        <v>817</v>
      </c>
      <c r="E134" s="14" t="s">
        <v>66</v>
      </c>
      <c r="F134" s="9" t="n">
        <v>48095</v>
      </c>
      <c r="G134" s="9" t="n">
        <v>14153</v>
      </c>
      <c r="H134" s="9" t="n">
        <v>14149</v>
      </c>
      <c r="I134" s="9" t="n">
        <v>1</v>
      </c>
      <c r="J134" s="9" t="n">
        <v>243</v>
      </c>
      <c r="K134" s="9" t="n">
        <v>20</v>
      </c>
      <c r="L134" s="9" t="n">
        <v>12</v>
      </c>
      <c r="M134" s="10" t="n">
        <f aca="false">IFERROR(G134/F134,"")</f>
        <v>0.294271753820564</v>
      </c>
      <c r="N134" s="10" t="n">
        <f aca="false">IFERROR(H134/G134,"")</f>
        <v>0.999717374408253</v>
      </c>
      <c r="O134" s="11" t="n">
        <f aca="false">IFERROR(I134/H134,"")</f>
        <v>7.06763728885434E-005</v>
      </c>
      <c r="P134" s="10" t="n">
        <f aca="false">IFERROR(J134/H134,"")</f>
        <v>0.017174358611916</v>
      </c>
      <c r="Q134" s="10" t="n">
        <f aca="false">IFERROR(K134/H134,"")</f>
        <v>0.00141352745777087</v>
      </c>
      <c r="R134" s="10" t="n">
        <f aca="false">IFERROR(L134/H134,"")</f>
        <v>0.00084811647466252</v>
      </c>
      <c r="S134" s="11" t="n">
        <f aca="false">IFERROR(M134/MEDIAN(INDEX($M$5:$M$665,MATCH($A134-90,$A$5:$A$665,1)):INDEX($M$5:$M$665,MATCH($A134+90,$A$5:$A$665,1))),"")</f>
        <v>0.774571831756818</v>
      </c>
      <c r="T134" s="11" t="n">
        <f aca="false">IFERROR(N134/MEDIAN(INDEX($N$5:$N$665,MATCH($A134-90,$A$5:$A$665,1)):INDEX($N$5:$N$665,MATCH($A134+90,$A$5:$A$665,1))),"")</f>
        <v>0.999877395179664</v>
      </c>
      <c r="U134" s="11" t="n">
        <f aca="false">IFERROR(Q134/MEDIAN(INDEX($Q$5:$Q$665,MATCH($A134-90,$A$5:$A$665,1)):INDEX($Q$5:$Q$665,MATCH($A134+90,$A$5:$A$665,1))),"")</f>
        <v>1.15310651991744</v>
      </c>
    </row>
    <row r="135" customFormat="false" ht="15" hidden="false" customHeight="false" outlineLevel="0" collapsed="false">
      <c r="A135" s="13" t="n">
        <v>45062.4975294676</v>
      </c>
      <c r="B135" s="8" t="n">
        <v>11</v>
      </c>
      <c r="C135" s="8" t="s">
        <v>64</v>
      </c>
      <c r="D135" s="8" t="s">
        <v>818</v>
      </c>
      <c r="E135" s="14" t="s">
        <v>66</v>
      </c>
      <c r="F135" s="9" t="n">
        <v>58171</v>
      </c>
      <c r="G135" s="9" t="n">
        <v>11846</v>
      </c>
      <c r="H135" s="9" t="n">
        <v>11842</v>
      </c>
      <c r="I135" s="9" t="n">
        <v>1</v>
      </c>
      <c r="J135" s="9" t="n">
        <v>354</v>
      </c>
      <c r="K135" s="9" t="n">
        <v>19</v>
      </c>
      <c r="L135" s="9" t="n">
        <v>20</v>
      </c>
      <c r="M135" s="10" t="n">
        <f aca="false">IFERROR(G135/F135,"")</f>
        <v>0.203640989496485</v>
      </c>
      <c r="N135" s="10" t="n">
        <f aca="false">IFERROR(H135/G135,"")</f>
        <v>0.999662333277056</v>
      </c>
      <c r="O135" s="11" t="n">
        <f aca="false">IFERROR(I135/H135,"")</f>
        <v>8.44451950684006E-005</v>
      </c>
      <c r="P135" s="10" t="n">
        <f aca="false">IFERROR(J135/H135,"")</f>
        <v>0.0298935990542138</v>
      </c>
      <c r="Q135" s="10" t="n">
        <f aca="false">IFERROR(K135/H135,"")</f>
        <v>0.00160445870629961</v>
      </c>
      <c r="R135" s="10" t="n">
        <f aca="false">IFERROR(L135/H135,"")</f>
        <v>0.00168890390136801</v>
      </c>
      <c r="S135" s="11" t="n">
        <f aca="false">IFERROR(M135/MEDIAN(INDEX($M$5:$M$665,MATCH($A135-90,$A$5:$A$665,1)):INDEX($M$5:$M$665,MATCH($A135+90,$A$5:$A$665,1))),"")</f>
        <v>0.54053310240078</v>
      </c>
      <c r="T135" s="11" t="n">
        <f aca="false">IFERROR(N135/MEDIAN(INDEX($N$5:$N$665,MATCH($A135-90,$A$5:$A$665,1)):INDEX($N$5:$N$665,MATCH($A135+90,$A$5:$A$665,1))),"")</f>
        <v>0.999822345238253</v>
      </c>
      <c r="U135" s="11" t="n">
        <f aca="false">IFERROR(Q135/MEDIAN(INDEX($Q$5:$Q$665,MATCH($A135-90,$A$5:$A$665,1)):INDEX($Q$5:$Q$665,MATCH($A135+90,$A$5:$A$665,1))),"")</f>
        <v>1.31071096060091</v>
      </c>
    </row>
    <row r="136" customFormat="false" ht="15" hidden="false" customHeight="false" outlineLevel="0" collapsed="false">
      <c r="A136" s="13" t="n">
        <v>45063.5831928935</v>
      </c>
      <c r="B136" s="8" t="n">
        <v>13</v>
      </c>
      <c r="C136" s="8" t="s">
        <v>71</v>
      </c>
      <c r="D136" s="8" t="s">
        <v>819</v>
      </c>
      <c r="E136" s="14" t="s">
        <v>66</v>
      </c>
      <c r="F136" s="9" t="n">
        <v>126412</v>
      </c>
      <c r="G136" s="9" t="n">
        <v>57758</v>
      </c>
      <c r="H136" s="9" t="n">
        <v>57753</v>
      </c>
      <c r="I136" s="9" t="n">
        <v>5</v>
      </c>
      <c r="J136" s="9" t="n">
        <v>375</v>
      </c>
      <c r="K136" s="9" t="n">
        <v>24</v>
      </c>
      <c r="L136" s="9" t="n">
        <v>72</v>
      </c>
      <c r="M136" s="10" t="n">
        <f aca="false">IFERROR(G136/F136,"")</f>
        <v>0.456902825681106</v>
      </c>
      <c r="N136" s="10" t="n">
        <f aca="false">IFERROR(H136/G136,"")</f>
        <v>0.999913431905537</v>
      </c>
      <c r="O136" s="11" t="n">
        <f aca="false">IFERROR(I136/H136,"")</f>
        <v>8.65755891468841E-005</v>
      </c>
      <c r="P136" s="10" t="n">
        <f aca="false">IFERROR(J136/H136,"")</f>
        <v>0.00649316918601631</v>
      </c>
      <c r="Q136" s="10" t="n">
        <f aca="false">IFERROR(K136/H136,"")</f>
        <v>0.000415562827905044</v>
      </c>
      <c r="R136" s="10" t="n">
        <f aca="false">IFERROR(L136/H136,"")</f>
        <v>0.00124668848371513</v>
      </c>
      <c r="S136" s="11" t="n">
        <f aca="false">IFERROR(M136/MEDIAN(INDEX($M$5:$M$665,MATCH($A136-90,$A$5:$A$665,1)):INDEX($M$5:$M$665,MATCH($A136+90,$A$5:$A$665,1))),"")</f>
        <v>1.22514514277763</v>
      </c>
      <c r="T136" s="11" t="n">
        <f aca="false">IFERROR(N136/MEDIAN(INDEX($N$5:$N$665,MATCH($A136-90,$A$5:$A$665,1)):INDEX($N$5:$N$665,MATCH($A136+90,$A$5:$A$665,1))),"")</f>
        <v>1.00007475521482</v>
      </c>
      <c r="U136" s="11" t="n">
        <f aca="false">IFERROR(Q136/MEDIAN(INDEX($Q$5:$Q$665,MATCH($A136-90,$A$5:$A$665,1)):INDEX($Q$5:$Q$665,MATCH($A136+90,$A$5:$A$665,1))),"")</f>
        <v>0.342559874308186</v>
      </c>
    </row>
    <row r="137" customFormat="false" ht="15" hidden="false" customHeight="false" outlineLevel="0" collapsed="false">
      <c r="A137" s="13" t="n">
        <v>45064.4999654514</v>
      </c>
      <c r="B137" s="8" t="n">
        <v>11</v>
      </c>
      <c r="C137" s="8" t="s">
        <v>73</v>
      </c>
      <c r="D137" s="8" t="s">
        <v>820</v>
      </c>
      <c r="E137" s="14" t="s">
        <v>66</v>
      </c>
      <c r="F137" s="9" t="n">
        <v>6702</v>
      </c>
      <c r="G137" s="9" t="n">
        <v>3450</v>
      </c>
      <c r="H137" s="9" t="n">
        <v>3461</v>
      </c>
      <c r="I137" s="9" t="n">
        <v>54</v>
      </c>
      <c r="J137" s="9" t="n">
        <v>231</v>
      </c>
      <c r="K137" s="9" t="n">
        <v>5</v>
      </c>
      <c r="L137" s="9" t="n">
        <v>5</v>
      </c>
      <c r="M137" s="10" t="n">
        <f aca="false">IFERROR(G137/F137,"")</f>
        <v>0.514771709937332</v>
      </c>
      <c r="N137" s="10" t="n">
        <f aca="false">IFERROR(H137/G137,"")</f>
        <v>1.0031884057971</v>
      </c>
      <c r="O137" s="11" t="n">
        <f aca="false">IFERROR(I137/H137,"")</f>
        <v>0.0156024270442069</v>
      </c>
      <c r="P137" s="10" t="n">
        <f aca="false">IFERROR(J137/H137,"")</f>
        <v>0.0667437156891072</v>
      </c>
      <c r="Q137" s="10" t="n">
        <f aca="false">IFERROR(K137/H137,"")</f>
        <v>0.0014446691707599</v>
      </c>
      <c r="R137" s="10" t="n">
        <f aca="false">IFERROR(L137/H137,"")</f>
        <v>0.0014446691707599</v>
      </c>
      <c r="S137" s="11" t="n">
        <f aca="false">IFERROR(M137/MEDIAN(INDEX($M$5:$M$665,MATCH($A137-90,$A$5:$A$665,1)):INDEX($M$5:$M$665,MATCH($A137+90,$A$5:$A$665,1))),"")</f>
        <v>1.38793118309755</v>
      </c>
      <c r="T137" s="11" t="n">
        <f aca="false">IFERROR(N137/MEDIAN(INDEX($N$5:$N$665,MATCH($A137-90,$A$5:$A$665,1)):INDEX($N$5:$N$665,MATCH($A137+90,$A$5:$A$665,1))),"")</f>
        <v>1.00335097725131</v>
      </c>
      <c r="U137" s="11" t="n">
        <f aca="false">IFERROR(Q137/MEDIAN(INDEX($Q$5:$Q$665,MATCH($A137-90,$A$5:$A$665,1)):INDEX($Q$5:$Q$665,MATCH($A137+90,$A$5:$A$665,1))),"")</f>
        <v>1.19088055119671</v>
      </c>
    </row>
    <row r="138" customFormat="false" ht="15" hidden="false" customHeight="false" outlineLevel="0" collapsed="false">
      <c r="A138" s="13" t="n">
        <v>45065.5007434144</v>
      </c>
      <c r="B138" s="8" t="n">
        <v>12</v>
      </c>
      <c r="C138" s="8" t="s">
        <v>84</v>
      </c>
      <c r="D138" s="8" t="s">
        <v>821</v>
      </c>
      <c r="E138" s="14" t="s">
        <v>66</v>
      </c>
      <c r="F138" s="9" t="n">
        <v>104950</v>
      </c>
      <c r="G138" s="9" t="n">
        <v>32835</v>
      </c>
      <c r="H138" s="9" t="n">
        <v>32826</v>
      </c>
      <c r="I138" s="9" t="n">
        <v>4</v>
      </c>
      <c r="J138" s="9" t="n">
        <v>282</v>
      </c>
      <c r="K138" s="9" t="n">
        <v>12</v>
      </c>
      <c r="L138" s="9" t="n">
        <v>19</v>
      </c>
      <c r="M138" s="10" t="n">
        <f aca="false">IFERROR(G138/F138,"")</f>
        <v>0.312863268222963</v>
      </c>
      <c r="N138" s="10" t="n">
        <f aca="false">IFERROR(H138/G138,"")</f>
        <v>0.999725902238465</v>
      </c>
      <c r="O138" s="11" t="n">
        <f aca="false">IFERROR(I138/H138,"")</f>
        <v>0.000121854627429477</v>
      </c>
      <c r="P138" s="10" t="n">
        <f aca="false">IFERROR(J138/H138,"")</f>
        <v>0.0085907512337781</v>
      </c>
      <c r="Q138" s="10" t="n">
        <f aca="false">IFERROR(K138/H138,"")</f>
        <v>0.00036556388228843</v>
      </c>
      <c r="R138" s="10" t="n">
        <f aca="false">IFERROR(L138/H138,"")</f>
        <v>0.000578809480290014</v>
      </c>
      <c r="S138" s="11" t="n">
        <f aca="false">IFERROR(M138/MEDIAN(INDEX($M$5:$M$665,MATCH($A138-90,$A$5:$A$665,1)):INDEX($M$5:$M$665,MATCH($A138+90,$A$5:$A$665,1))),"")</f>
        <v>0.843544191784213</v>
      </c>
      <c r="T138" s="11" t="n">
        <f aca="false">IFERROR(N138/MEDIAN(INDEX($N$5:$N$665,MATCH($A138-90,$A$5:$A$665,1)):INDEX($N$5:$N$665,MATCH($A138+90,$A$5:$A$665,1))),"")</f>
        <v>0.999892472542866</v>
      </c>
      <c r="U138" s="11" t="n">
        <f aca="false">IFERROR(Q138/MEDIAN(INDEX($Q$5:$Q$665,MATCH($A138-90,$A$5:$A$665,1)):INDEX($Q$5:$Q$665,MATCH($A138+90,$A$5:$A$665,1))),"")</f>
        <v>0.301344367588507</v>
      </c>
    </row>
    <row r="139" customFormat="false" ht="15" hidden="false" customHeight="false" outlineLevel="0" collapsed="false">
      <c r="A139" s="13" t="n">
        <v>45066.5001049653</v>
      </c>
      <c r="B139" s="8" t="n">
        <v>12</v>
      </c>
      <c r="C139" s="8" t="s">
        <v>68</v>
      </c>
      <c r="D139" s="8" t="s">
        <v>822</v>
      </c>
      <c r="E139" s="14" t="s">
        <v>66</v>
      </c>
      <c r="F139" s="9" t="n">
        <v>38787</v>
      </c>
      <c r="G139" s="9" t="n">
        <v>9562</v>
      </c>
      <c r="H139" s="9" t="n">
        <v>9580</v>
      </c>
      <c r="I139" s="9" t="n">
        <v>39</v>
      </c>
      <c r="J139" s="9" t="n">
        <v>313</v>
      </c>
      <c r="K139" s="9" t="n">
        <v>14</v>
      </c>
      <c r="L139" s="9" t="n">
        <v>13</v>
      </c>
      <c r="M139" s="10" t="n">
        <f aca="false">IFERROR(G139/F139,"")</f>
        <v>0.246525897852373</v>
      </c>
      <c r="N139" s="10" t="n">
        <f aca="false">IFERROR(H139/G139,"")</f>
        <v>1.00188245137001</v>
      </c>
      <c r="O139" s="11" t="n">
        <f aca="false">IFERROR(I139/H139,"")</f>
        <v>0.00407098121085595</v>
      </c>
      <c r="P139" s="10" t="n">
        <f aca="false">IFERROR(J139/H139,"")</f>
        <v>0.0326722338204593</v>
      </c>
      <c r="Q139" s="10" t="n">
        <f aca="false">IFERROR(K139/H139,"")</f>
        <v>0.00146137787056367</v>
      </c>
      <c r="R139" s="10" t="n">
        <f aca="false">IFERROR(L139/H139,"")</f>
        <v>0.00135699373695198</v>
      </c>
      <c r="S139" s="11" t="n">
        <f aca="false">IFERROR(M139/MEDIAN(INDEX($M$5:$M$665,MATCH($A139-90,$A$5:$A$665,1)):INDEX($M$5:$M$665,MATCH($A139+90,$A$5:$A$665,1))),"")</f>
        <v>0.675003659089129</v>
      </c>
      <c r="T139" s="11" t="n">
        <f aca="false">IFERROR(N139/MEDIAN(INDEX($N$5:$N$665,MATCH($A139-90,$A$5:$A$665,1)):INDEX($N$5:$N$665,MATCH($A139+90,$A$5:$A$665,1))),"")</f>
        <v>1.00204938098994</v>
      </c>
      <c r="U139" s="11" t="n">
        <f aca="false">IFERROR(Q139/MEDIAN(INDEX($Q$5:$Q$665,MATCH($A139-90,$A$5:$A$665,1)):INDEX($Q$5:$Q$665,MATCH($A139+90,$A$5:$A$665,1))),"")</f>
        <v>1.21612338110778</v>
      </c>
    </row>
    <row r="140" customFormat="false" ht="15" hidden="false" customHeight="false" outlineLevel="0" collapsed="false">
      <c r="A140" s="13" t="n">
        <v>45067.5665088079</v>
      </c>
      <c r="B140" s="8" t="n">
        <v>13</v>
      </c>
      <c r="C140" s="8" t="s">
        <v>86</v>
      </c>
      <c r="D140" s="8" t="s">
        <v>823</v>
      </c>
      <c r="E140" s="14" t="s">
        <v>66</v>
      </c>
      <c r="F140" s="9" t="n">
        <v>78137</v>
      </c>
      <c r="G140" s="9" t="n">
        <v>29704</v>
      </c>
      <c r="H140" s="9" t="n">
        <v>29700</v>
      </c>
      <c r="I140" s="9" t="n">
        <v>3</v>
      </c>
      <c r="J140" s="9" t="n">
        <v>309</v>
      </c>
      <c r="K140" s="9" t="n">
        <v>20</v>
      </c>
      <c r="L140" s="9" t="n">
        <v>36</v>
      </c>
      <c r="M140" s="10" t="n">
        <f aca="false">IFERROR(G140/F140,"")</f>
        <v>0.38015280852861</v>
      </c>
      <c r="N140" s="10" t="n">
        <f aca="false">IFERROR(H140/G140,"")</f>
        <v>0.999865338001616</v>
      </c>
      <c r="O140" s="11" t="n">
        <f aca="false">IFERROR(I140/H140,"")</f>
        <v>0.000101010101010101</v>
      </c>
      <c r="P140" s="10" t="n">
        <f aca="false">IFERROR(J140/H140,"")</f>
        <v>0.0104040404040404</v>
      </c>
      <c r="Q140" s="10" t="n">
        <f aca="false">IFERROR(K140/H140,"")</f>
        <v>0.000673400673400673</v>
      </c>
      <c r="R140" s="10" t="n">
        <f aca="false">IFERROR(L140/H140,"")</f>
        <v>0.00121212121212121</v>
      </c>
      <c r="S140" s="11" t="n">
        <f aca="false">IFERROR(M140/MEDIAN(INDEX($M$5:$M$665,MATCH($A140-90,$A$5:$A$665,1)):INDEX($M$5:$M$665,MATCH($A140+90,$A$5:$A$665,1))),"")</f>
        <v>1.02824203174001</v>
      </c>
      <c r="T140" s="11" t="n">
        <f aca="false">IFERROR(N140/MEDIAN(INDEX($N$5:$N$665,MATCH($A140-90,$A$5:$A$665,1)):INDEX($N$5:$N$665,MATCH($A140+90,$A$5:$A$665,1))),"")</f>
        <v>1.00002795298665</v>
      </c>
      <c r="U140" s="11" t="n">
        <f aca="false">IFERROR(Q140/MEDIAN(INDEX($Q$5:$Q$665,MATCH($A140-90,$A$5:$A$665,1)):INDEX($Q$5:$Q$665,MATCH($A140+90,$A$5:$A$665,1))),"")</f>
        <v>0.559708193041526</v>
      </c>
    </row>
    <row r="141" customFormat="false" ht="15" hidden="false" customHeight="false" outlineLevel="0" collapsed="false">
      <c r="A141" s="13" t="n">
        <v>45068.5000259491</v>
      </c>
      <c r="B141" s="8" t="n">
        <v>12</v>
      </c>
      <c r="C141" s="8" t="s">
        <v>80</v>
      </c>
      <c r="D141" s="8" t="s">
        <v>824</v>
      </c>
      <c r="E141" s="14" t="s">
        <v>66</v>
      </c>
      <c r="F141" s="9" t="n">
        <v>47089</v>
      </c>
      <c r="G141" s="9" t="n">
        <v>26206</v>
      </c>
      <c r="H141" s="9" t="n">
        <v>26199</v>
      </c>
      <c r="I141" s="9" t="n">
        <v>2</v>
      </c>
      <c r="J141" s="9" t="n">
        <v>364</v>
      </c>
      <c r="K141" s="9" t="n">
        <v>29</v>
      </c>
      <c r="L141" s="9" t="n">
        <v>12</v>
      </c>
      <c r="M141" s="10" t="n">
        <f aca="false">IFERROR(G141/F141,"")</f>
        <v>0.556520631145278</v>
      </c>
      <c r="N141" s="10" t="n">
        <f aca="false">IFERROR(H141/G141,"")</f>
        <v>0.999732885598718</v>
      </c>
      <c r="O141" s="11" t="n">
        <f aca="false">IFERROR(I141/H141,"")</f>
        <v>7.63387915569297E-005</v>
      </c>
      <c r="P141" s="10" t="n">
        <f aca="false">IFERROR(J141/H141,"")</f>
        <v>0.0138936600633612</v>
      </c>
      <c r="Q141" s="10" t="n">
        <f aca="false">IFERROR(K141/H141,"")</f>
        <v>0.00110691247757548</v>
      </c>
      <c r="R141" s="10" t="n">
        <f aca="false">IFERROR(L141/H141,"")</f>
        <v>0.000458032749341578</v>
      </c>
      <c r="S141" s="11" t="n">
        <f aca="false">IFERROR(M141/MEDIAN(INDEX($M$5:$M$665,MATCH($A141-90,$A$5:$A$665,1)):INDEX($M$5:$M$665,MATCH($A141+90,$A$5:$A$665,1))),"")</f>
        <v>1.50528390593487</v>
      </c>
      <c r="T141" s="11" t="n">
        <f aca="false">IFERROR(N141/MEDIAN(INDEX($N$5:$N$665,MATCH($A141-90,$A$5:$A$665,1)):INDEX($N$5:$N$665,MATCH($A141+90,$A$5:$A$665,1))),"")</f>
        <v>0.999895479042109</v>
      </c>
      <c r="U141" s="11" t="n">
        <f aca="false">IFERROR(Q141/MEDIAN(INDEX($Q$5:$Q$665,MATCH($A141-90,$A$5:$A$665,1)):INDEX($Q$5:$Q$665,MATCH($A141+90,$A$5:$A$665,1))),"")</f>
        <v>0.920028754278153</v>
      </c>
    </row>
    <row r="142" customFormat="false" ht="15" hidden="false" customHeight="false" outlineLevel="0" collapsed="false">
      <c r="A142" s="13" t="n">
        <v>45068.5000260185</v>
      </c>
      <c r="B142" s="8" t="n">
        <v>12</v>
      </c>
      <c r="C142" s="8" t="s">
        <v>80</v>
      </c>
      <c r="D142" s="8" t="s">
        <v>825</v>
      </c>
      <c r="E142" s="14" t="s">
        <v>66</v>
      </c>
      <c r="F142" s="9" t="n">
        <v>7981</v>
      </c>
      <c r="G142" s="9" t="n">
        <v>2879</v>
      </c>
      <c r="H142" s="9" t="n">
        <v>2893</v>
      </c>
      <c r="I142" s="9" t="n">
        <v>67</v>
      </c>
      <c r="J142" s="9" t="n">
        <v>173</v>
      </c>
      <c r="K142" s="9" t="n">
        <v>5</v>
      </c>
      <c r="L142" s="9" t="n">
        <v>9</v>
      </c>
      <c r="M142" s="10" t="n">
        <f aca="false">IFERROR(G142/F142,"")</f>
        <v>0.360731737877459</v>
      </c>
      <c r="N142" s="10" t="n">
        <f aca="false">IFERROR(H142/G142,"")</f>
        <v>1.00486279958319</v>
      </c>
      <c r="O142" s="11" t="n">
        <f aca="false">IFERROR(I142/H142,"")</f>
        <v>0.0231593501555479</v>
      </c>
      <c r="P142" s="10" t="n">
        <f aca="false">IFERROR(J142/H142,"")</f>
        <v>0.0597995160732803</v>
      </c>
      <c r="Q142" s="10" t="n">
        <f aca="false">IFERROR(K142/H142,"")</f>
        <v>0.00172830971310059</v>
      </c>
      <c r="R142" s="10" t="n">
        <f aca="false">IFERROR(L142/H142,"")</f>
        <v>0.00311095748358106</v>
      </c>
      <c r="S142" s="11" t="n">
        <f aca="false">IFERROR(M142/MEDIAN(INDEX($M$5:$M$665,MATCH($A142-90,$A$5:$A$665,1)):INDEX($M$5:$M$665,MATCH($A142+90,$A$5:$A$665,1))),"")</f>
        <v>0.9757116789532</v>
      </c>
      <c r="T142" s="11" t="n">
        <f aca="false">IFERROR(N142/MEDIAN(INDEX($N$5:$N$665,MATCH($A142-90,$A$5:$A$665,1)):INDEX($N$5:$N$665,MATCH($A142+90,$A$5:$A$665,1))),"")</f>
        <v>1.00502622733982</v>
      </c>
      <c r="U142" s="11" t="n">
        <f aca="false">IFERROR(Q142/MEDIAN(INDEX($Q$5:$Q$665,MATCH($A142-90,$A$5:$A$665,1)):INDEX($Q$5:$Q$665,MATCH($A142+90,$A$5:$A$665,1))),"")</f>
        <v>1.43651342320544</v>
      </c>
    </row>
    <row r="143" customFormat="false" ht="15" hidden="false" customHeight="false" outlineLevel="0" collapsed="false">
      <c r="A143" s="13" t="n">
        <v>45070.5001609954</v>
      </c>
      <c r="B143" s="8" t="n">
        <v>12</v>
      </c>
      <c r="C143" s="8" t="s">
        <v>71</v>
      </c>
      <c r="D143" s="8" t="s">
        <v>826</v>
      </c>
      <c r="E143" s="14" t="s">
        <v>66</v>
      </c>
      <c r="F143" s="9" t="n">
        <v>155440</v>
      </c>
      <c r="G143" s="9" t="n">
        <v>22194</v>
      </c>
      <c r="H143" s="9" t="n">
        <v>22214</v>
      </c>
      <c r="I143" s="9" t="n">
        <v>130</v>
      </c>
      <c r="J143" s="9" t="n">
        <v>303</v>
      </c>
      <c r="K143" s="9" t="n">
        <v>8</v>
      </c>
      <c r="L143" s="9" t="n">
        <v>28</v>
      </c>
      <c r="M143" s="10" t="n">
        <f aca="false">IFERROR(G143/F143,"")</f>
        <v>0.142781780751415</v>
      </c>
      <c r="N143" s="10" t="n">
        <f aca="false">IFERROR(H143/G143,"")</f>
        <v>1.00090114445346</v>
      </c>
      <c r="O143" s="11" t="n">
        <f aca="false">IFERROR(I143/H143,"")</f>
        <v>0.00585216530116143</v>
      </c>
      <c r="P143" s="10" t="n">
        <f aca="false">IFERROR(J143/H143,"")</f>
        <v>0.0136400468173224</v>
      </c>
      <c r="Q143" s="10" t="n">
        <f aca="false">IFERROR(K143/H143,"")</f>
        <v>0.000360133249302242</v>
      </c>
      <c r="R143" s="10" t="n">
        <f aca="false">IFERROR(L143/H143,"")</f>
        <v>0.00126046637255785</v>
      </c>
      <c r="S143" s="11" t="n">
        <f aca="false">IFERROR(M143/MEDIAN(INDEX($M$5:$M$665,MATCH($A143-90,$A$5:$A$665,1)):INDEX($M$5:$M$665,MATCH($A143+90,$A$5:$A$665,1))),"")</f>
        <v>0.395811529064622</v>
      </c>
      <c r="T143" s="11" t="n">
        <f aca="false">IFERROR(N143/MEDIAN(INDEX($N$5:$N$665,MATCH($A143-90,$A$5:$A$665,1)):INDEX($N$5:$N$665,MATCH($A143+90,$A$5:$A$665,1))),"")</f>
        <v>1.00107189327683</v>
      </c>
      <c r="U143" s="11" t="n">
        <f aca="false">IFERROR(Q143/MEDIAN(INDEX($Q$5:$Q$665,MATCH($A143-90,$A$5:$A$665,1)):INDEX($Q$5:$Q$665,MATCH($A143+90,$A$5:$A$665,1))),"")</f>
        <v>0.29933075237838</v>
      </c>
    </row>
    <row r="144" customFormat="false" ht="15" hidden="false" customHeight="false" outlineLevel="0" collapsed="false">
      <c r="A144" s="13" t="n">
        <v>45071.500117581</v>
      </c>
      <c r="B144" s="8" t="n">
        <v>12</v>
      </c>
      <c r="C144" s="8" t="s">
        <v>73</v>
      </c>
      <c r="D144" s="8" t="s">
        <v>827</v>
      </c>
      <c r="E144" s="14" t="s">
        <v>66</v>
      </c>
      <c r="F144" s="9" t="n">
        <v>14712</v>
      </c>
      <c r="G144" s="9" t="n">
        <v>7058</v>
      </c>
      <c r="H144" s="9" t="n">
        <v>7050</v>
      </c>
      <c r="I144" s="9" t="n">
        <v>3</v>
      </c>
      <c r="J144" s="9" t="n">
        <v>229</v>
      </c>
      <c r="K144" s="9" t="n">
        <v>15</v>
      </c>
      <c r="L144" s="9" t="n">
        <v>9</v>
      </c>
      <c r="M144" s="10" t="n">
        <f aca="false">IFERROR(G144/F144,"")</f>
        <v>0.479744426318651</v>
      </c>
      <c r="N144" s="10" t="n">
        <f aca="false">IFERROR(H144/G144,"")</f>
        <v>0.998866534429017</v>
      </c>
      <c r="O144" s="11" t="n">
        <f aca="false">IFERROR(I144/H144,"")</f>
        <v>0.000425531914893617</v>
      </c>
      <c r="P144" s="10" t="n">
        <f aca="false">IFERROR(J144/H144,"")</f>
        <v>0.0324822695035461</v>
      </c>
      <c r="Q144" s="10" t="n">
        <f aca="false">IFERROR(K144/H144,"")</f>
        <v>0.00212765957446809</v>
      </c>
      <c r="R144" s="10" t="n">
        <f aca="false">IFERROR(L144/H144,"")</f>
        <v>0.00127659574468085</v>
      </c>
      <c r="S144" s="11" t="n">
        <f aca="false">IFERROR(M144/MEDIAN(INDEX($M$5:$M$665,MATCH($A144-90,$A$5:$A$665,1)):INDEX($M$5:$M$665,MATCH($A144+90,$A$5:$A$665,1))),"")</f>
        <v>1.32992020369891</v>
      </c>
      <c r="T144" s="11" t="n">
        <f aca="false">IFERROR(N144/MEDIAN(INDEX($N$5:$N$665,MATCH($A144-90,$A$5:$A$665,1)):INDEX($N$5:$N$665,MATCH($A144+90,$A$5:$A$665,1))),"")</f>
        <v>0.999044537910159</v>
      </c>
      <c r="U144" s="11" t="n">
        <f aca="false">IFERROR(Q144/MEDIAN(INDEX($Q$5:$Q$665,MATCH($A144-90,$A$5:$A$665,1)):INDEX($Q$5:$Q$665,MATCH($A144+90,$A$5:$A$665,1))),"")</f>
        <v>1.73957446808511</v>
      </c>
    </row>
    <row r="145" customFormat="false" ht="15" hidden="false" customHeight="false" outlineLevel="0" collapsed="false">
      <c r="A145" s="13" t="n">
        <v>45072.4999397454</v>
      </c>
      <c r="B145" s="8" t="n">
        <v>11</v>
      </c>
      <c r="C145" s="8" t="s">
        <v>84</v>
      </c>
      <c r="D145" s="8" t="s">
        <v>828</v>
      </c>
      <c r="E145" s="14" t="s">
        <v>66</v>
      </c>
      <c r="F145" s="9" t="n">
        <v>38450</v>
      </c>
      <c r="G145" s="9" t="n">
        <v>14768</v>
      </c>
      <c r="H145" s="9" t="n">
        <v>14760</v>
      </c>
      <c r="I145" s="9" t="n">
        <v>3</v>
      </c>
      <c r="J145" s="9" t="n">
        <v>276</v>
      </c>
      <c r="K145" s="9" t="n">
        <v>12</v>
      </c>
      <c r="L145" s="9" t="n">
        <v>13</v>
      </c>
      <c r="M145" s="10" t="n">
        <f aca="false">IFERROR(G145/F145,"")</f>
        <v>0.38408322496749</v>
      </c>
      <c r="N145" s="10" t="n">
        <f aca="false">IFERROR(H145/G145,"")</f>
        <v>0.999458288190683</v>
      </c>
      <c r="O145" s="11" t="n">
        <f aca="false">IFERROR(I145/H145,"")</f>
        <v>0.000203252032520325</v>
      </c>
      <c r="P145" s="10" t="n">
        <f aca="false">IFERROR(J145/H145,"")</f>
        <v>0.0186991869918699</v>
      </c>
      <c r="Q145" s="10" t="n">
        <f aca="false">IFERROR(K145/H145,"")</f>
        <v>0.000813008130081301</v>
      </c>
      <c r="R145" s="10" t="n">
        <f aca="false">IFERROR(L145/H145,"")</f>
        <v>0.000880758807588076</v>
      </c>
      <c r="S145" s="11" t="n">
        <f aca="false">IFERROR(M145/MEDIAN(INDEX($M$5:$M$665,MATCH($A145-90,$A$5:$A$665,1)):INDEX($M$5:$M$665,MATCH($A145+90,$A$5:$A$665,1))),"")</f>
        <v>1.06473366393385</v>
      </c>
      <c r="T145" s="11" t="n">
        <f aca="false">IFERROR(N145/MEDIAN(INDEX($N$5:$N$665,MATCH($A145-90,$A$5:$A$665,1)):INDEX($N$5:$N$665,MATCH($A145+90,$A$5:$A$665,1))),"")</f>
        <v>0.999638945831496</v>
      </c>
      <c r="U145" s="11" t="n">
        <f aca="false">IFERROR(Q145/MEDIAN(INDEX($Q$5:$Q$665,MATCH($A145-90,$A$5:$A$665,1)):INDEX($Q$5:$Q$665,MATCH($A145+90,$A$5:$A$665,1))),"")</f>
        <v>0.663607188703466</v>
      </c>
    </row>
    <row r="146" customFormat="false" ht="15" hidden="false" customHeight="false" outlineLevel="0" collapsed="false">
      <c r="A146" s="13" t="n">
        <v>45073.4999907407</v>
      </c>
      <c r="B146" s="8" t="n">
        <v>11</v>
      </c>
      <c r="C146" s="8" t="s">
        <v>68</v>
      </c>
      <c r="D146" s="8" t="s">
        <v>829</v>
      </c>
      <c r="E146" s="14" t="s">
        <v>66</v>
      </c>
      <c r="F146" s="9" t="n">
        <v>45779</v>
      </c>
      <c r="G146" s="9" t="n">
        <v>21674</v>
      </c>
      <c r="H146" s="9" t="n">
        <v>21665</v>
      </c>
      <c r="I146" s="9" t="n">
        <v>1</v>
      </c>
      <c r="J146" s="9" t="n">
        <v>324</v>
      </c>
      <c r="K146" s="9" t="n">
        <v>23</v>
      </c>
      <c r="L146" s="9" t="n">
        <v>19</v>
      </c>
      <c r="M146" s="10" t="n">
        <f aca="false">IFERROR(G146/F146,"")</f>
        <v>0.4734485244326</v>
      </c>
      <c r="N146" s="10" t="n">
        <f aca="false">IFERROR(H146/G146,"")</f>
        <v>0.999584755928763</v>
      </c>
      <c r="O146" s="11" t="n">
        <f aca="false">IFERROR(I146/H146,"")</f>
        <v>4.61573967228248E-005</v>
      </c>
      <c r="P146" s="10" t="n">
        <f aca="false">IFERROR(J146/H146,"")</f>
        <v>0.0149549965381952</v>
      </c>
      <c r="Q146" s="10" t="n">
        <f aca="false">IFERROR(K146/H146,"")</f>
        <v>0.00106162012462497</v>
      </c>
      <c r="R146" s="10" t="n">
        <f aca="false">IFERROR(L146/H146,"")</f>
        <v>0.000876990537733672</v>
      </c>
      <c r="S146" s="11" t="n">
        <f aca="false">IFERROR(M146/MEDIAN(INDEX($M$5:$M$665,MATCH($A146-90,$A$5:$A$665,1)):INDEX($M$5:$M$665,MATCH($A146+90,$A$5:$A$665,1))),"")</f>
        <v>1.31246706269419</v>
      </c>
      <c r="T146" s="11" t="n">
        <f aca="false">IFERROR(N146/MEDIAN(INDEX($N$5:$N$665,MATCH($A146-90,$A$5:$A$665,1)):INDEX($N$5:$N$665,MATCH($A146+90,$A$5:$A$665,1))),"")</f>
        <v>0.999775399954535</v>
      </c>
      <c r="U146" s="11" t="n">
        <f aca="false">IFERROR(Q146/MEDIAN(INDEX($Q$5:$Q$665,MATCH($A146-90,$A$5:$A$665,1)):INDEX($Q$5:$Q$665,MATCH($A146+90,$A$5:$A$665,1))),"")</f>
        <v>0.866533458039283</v>
      </c>
    </row>
    <row r="147" customFormat="false" ht="15" hidden="false" customHeight="false" outlineLevel="0" collapsed="false">
      <c r="A147" s="13" t="n">
        <v>45074.5067505787</v>
      </c>
      <c r="B147" s="8" t="n">
        <v>12</v>
      </c>
      <c r="C147" s="8" t="s">
        <v>86</v>
      </c>
      <c r="D147" s="8" t="s">
        <v>830</v>
      </c>
      <c r="E147" s="14" t="s">
        <v>66</v>
      </c>
      <c r="F147" s="9" t="n">
        <v>5789</v>
      </c>
      <c r="G147" s="9" t="n">
        <v>2615</v>
      </c>
      <c r="H147" s="9" t="n">
        <v>2613</v>
      </c>
      <c r="I147" s="9" t="n">
        <v>3</v>
      </c>
      <c r="J147" s="9" t="n">
        <v>203</v>
      </c>
      <c r="K147" s="9" t="n">
        <v>6</v>
      </c>
      <c r="L147" s="9" t="n">
        <v>7</v>
      </c>
      <c r="M147" s="10" t="n">
        <f aca="false">IFERROR(G147/F147,"")</f>
        <v>0.451718776990845</v>
      </c>
      <c r="N147" s="10" t="n">
        <f aca="false">IFERROR(H147/G147,"")</f>
        <v>0.999235181644359</v>
      </c>
      <c r="O147" s="11" t="n">
        <f aca="false">IFERROR(I147/H147,"")</f>
        <v>0.00114810562571757</v>
      </c>
      <c r="P147" s="10" t="n">
        <f aca="false">IFERROR(J147/H147,"")</f>
        <v>0.0776884806735553</v>
      </c>
      <c r="Q147" s="10" t="n">
        <f aca="false">IFERROR(K147/H147,"")</f>
        <v>0.00229621125143513</v>
      </c>
      <c r="R147" s="10" t="n">
        <f aca="false">IFERROR(L147/H147,"")</f>
        <v>0.00267891312667432</v>
      </c>
      <c r="S147" s="11" t="n">
        <f aca="false">IFERROR(M147/MEDIAN(INDEX($M$5:$M$665,MATCH($A147-90,$A$5:$A$665,1)):INDEX($M$5:$M$665,MATCH($A147+90,$A$5:$A$665,1))),"")</f>
        <v>1.2802746918071</v>
      </c>
      <c r="T147" s="11" t="n">
        <f aca="false">IFERROR(N147/MEDIAN(INDEX($N$5:$N$665,MATCH($A147-90,$A$5:$A$665,1)):INDEX($N$5:$N$665,MATCH($A147+90,$A$5:$A$665,1))),"")</f>
        <v>0.999420778952996</v>
      </c>
      <c r="U147" s="11" t="n">
        <f aca="false">IFERROR(Q147/MEDIAN(INDEX($Q$5:$Q$665,MATCH($A147-90,$A$5:$A$665,1)):INDEX($Q$5:$Q$665,MATCH($A147+90,$A$5:$A$665,1))),"")</f>
        <v>1.87316924802662</v>
      </c>
    </row>
    <row r="148" customFormat="false" ht="15" hidden="false" customHeight="false" outlineLevel="0" collapsed="false">
      <c r="A148" s="13" t="n">
        <v>45075.4999775579</v>
      </c>
      <c r="B148" s="8" t="n">
        <v>11</v>
      </c>
      <c r="C148" s="8" t="s">
        <v>80</v>
      </c>
      <c r="D148" s="8" t="s">
        <v>831</v>
      </c>
      <c r="E148" s="14" t="s">
        <v>66</v>
      </c>
      <c r="F148" s="9" t="n">
        <v>82990</v>
      </c>
      <c r="G148" s="9" t="n">
        <v>31022</v>
      </c>
      <c r="H148" s="9" t="n">
        <v>31017</v>
      </c>
      <c r="I148" s="9" t="n">
        <v>8</v>
      </c>
      <c r="J148" s="9" t="n">
        <v>333</v>
      </c>
      <c r="K148" s="9" t="n">
        <v>38</v>
      </c>
      <c r="L148" s="9" t="n">
        <v>25</v>
      </c>
      <c r="M148" s="10" t="n">
        <f aca="false">IFERROR(G148/F148,"")</f>
        <v>0.373804072779853</v>
      </c>
      <c r="N148" s="10" t="n">
        <f aca="false">IFERROR(H148/G148,"")</f>
        <v>0.999838824060344</v>
      </c>
      <c r="O148" s="11" t="n">
        <f aca="false">IFERROR(I148/H148,"")</f>
        <v>0.000257923074443047</v>
      </c>
      <c r="P148" s="10" t="n">
        <f aca="false">IFERROR(J148/H148,"")</f>
        <v>0.0107360479736918</v>
      </c>
      <c r="Q148" s="10" t="n">
        <f aca="false">IFERROR(K148/H148,"")</f>
        <v>0.00122513460360448</v>
      </c>
      <c r="R148" s="10" t="n">
        <f aca="false">IFERROR(L148/H148,"")</f>
        <v>0.000806009607634523</v>
      </c>
      <c r="S148" s="11" t="n">
        <f aca="false">IFERROR(M148/MEDIAN(INDEX($M$5:$M$665,MATCH($A148-90,$A$5:$A$665,1)):INDEX($M$5:$M$665,MATCH($A148+90,$A$5:$A$665,1))),"")</f>
        <v>1.05944653720729</v>
      </c>
      <c r="T148" s="11" t="n">
        <f aca="false">IFERROR(N148/MEDIAN(INDEX($N$5:$N$665,MATCH($A148-90,$A$5:$A$665,1)):INDEX($N$5:$N$665,MATCH($A148+90,$A$5:$A$665,1))),"")</f>
        <v>1.00002969326171</v>
      </c>
      <c r="U148" s="11" t="n">
        <f aca="false">IFERROR(Q148/MEDIAN(INDEX($Q$5:$Q$665,MATCH($A148-90,$A$5:$A$665,1)):INDEX($Q$5:$Q$665,MATCH($A148+90,$A$5:$A$665,1))),"")</f>
        <v>1.00906263977338</v>
      </c>
    </row>
    <row r="149" customFormat="false" ht="15" hidden="false" customHeight="false" outlineLevel="0" collapsed="false">
      <c r="A149" s="13" t="n">
        <v>45076.4999453588</v>
      </c>
      <c r="B149" s="8" t="n">
        <v>11</v>
      </c>
      <c r="C149" s="8" t="s">
        <v>64</v>
      </c>
      <c r="D149" s="8" t="s">
        <v>832</v>
      </c>
      <c r="E149" s="14" t="s">
        <v>66</v>
      </c>
      <c r="F149" s="9" t="n">
        <v>44465</v>
      </c>
      <c r="G149" s="9" t="n">
        <v>11024</v>
      </c>
      <c r="H149" s="9" t="n">
        <v>11016</v>
      </c>
      <c r="I149" s="9" t="n">
        <v>9</v>
      </c>
      <c r="J149" s="9" t="n">
        <v>358</v>
      </c>
      <c r="K149" s="9" t="n">
        <v>22</v>
      </c>
      <c r="L149" s="9" t="n">
        <v>15</v>
      </c>
      <c r="M149" s="10" t="n">
        <f aca="false">IFERROR(G149/F149,"")</f>
        <v>0.247925334532779</v>
      </c>
      <c r="N149" s="10" t="n">
        <f aca="false">IFERROR(H149/G149,"")</f>
        <v>0.999274310595065</v>
      </c>
      <c r="O149" s="11" t="n">
        <f aca="false">IFERROR(I149/H149,"")</f>
        <v>0.000816993464052288</v>
      </c>
      <c r="P149" s="10" t="n">
        <f aca="false">IFERROR(J149/H149,"")</f>
        <v>0.0324981844589688</v>
      </c>
      <c r="Q149" s="10" t="n">
        <f aca="false">IFERROR(K149/H149,"")</f>
        <v>0.00199709513435004</v>
      </c>
      <c r="R149" s="10" t="n">
        <f aca="false">IFERROR(L149/H149,"")</f>
        <v>0.00136165577342048</v>
      </c>
      <c r="S149" s="11" t="n">
        <f aca="false">IFERROR(M149/MEDIAN(INDEX($M$5:$M$665,MATCH($A149-90,$A$5:$A$665,1)):INDEX($M$5:$M$665,MATCH($A149+90,$A$5:$A$665,1))),"")</f>
        <v>0.721703207645583</v>
      </c>
      <c r="T149" s="11" t="n">
        <f aca="false">IFERROR(N149/MEDIAN(INDEX($N$5:$N$665,MATCH($A149-90,$A$5:$A$665,1)):INDEX($N$5:$N$665,MATCH($A149+90,$A$5:$A$665,1))),"")</f>
        <v>0.999467231765144</v>
      </c>
      <c r="U149" s="11" t="n">
        <f aca="false">IFERROR(Q149/MEDIAN(INDEX($Q$5:$Q$665,MATCH($A149-90,$A$5:$A$665,1)):INDEX($Q$5:$Q$665,MATCH($A149+90,$A$5:$A$665,1))),"")</f>
        <v>1.64487565873734</v>
      </c>
    </row>
    <row r="150" customFormat="false" ht="15" hidden="false" customHeight="false" outlineLevel="0" collapsed="false">
      <c r="A150" s="13" t="n">
        <v>45077.5000380093</v>
      </c>
      <c r="B150" s="8" t="n">
        <v>12</v>
      </c>
      <c r="C150" s="8" t="s">
        <v>71</v>
      </c>
      <c r="D150" s="8" t="s">
        <v>833</v>
      </c>
      <c r="E150" s="14" t="s">
        <v>66</v>
      </c>
      <c r="F150" s="9" t="n">
        <v>53651</v>
      </c>
      <c r="G150" s="9" t="n">
        <v>19962</v>
      </c>
      <c r="H150" s="9" t="n">
        <v>19957</v>
      </c>
      <c r="I150" s="9" t="n">
        <v>2</v>
      </c>
      <c r="J150" s="9" t="n">
        <v>250</v>
      </c>
      <c r="K150" s="9" t="n">
        <v>44</v>
      </c>
      <c r="L150" s="9" t="n">
        <v>17</v>
      </c>
      <c r="M150" s="10" t="n">
        <f aca="false">IFERROR(G150/F150,"")</f>
        <v>0.372071350021435</v>
      </c>
      <c r="N150" s="10" t="n">
        <f aca="false">IFERROR(H150/G150,"")</f>
        <v>0.999749524095782</v>
      </c>
      <c r="O150" s="11" t="n">
        <f aca="false">IFERROR(I150/H150,"")</f>
        <v>0.000100215463245979</v>
      </c>
      <c r="P150" s="10" t="n">
        <f aca="false">IFERROR(J150/H150,"")</f>
        <v>0.0125269329057474</v>
      </c>
      <c r="Q150" s="10" t="n">
        <f aca="false">IFERROR(K150/H150,"")</f>
        <v>0.00220474019141154</v>
      </c>
      <c r="R150" s="10" t="n">
        <f aca="false">IFERROR(L150/H150,"")</f>
        <v>0.00085183143759082</v>
      </c>
      <c r="S150" s="11" t="n">
        <f aca="false">IFERROR(M150/MEDIAN(INDEX($M$5:$M$665,MATCH($A150-90,$A$5:$A$665,1)):INDEX($M$5:$M$665,MATCH($A150+90,$A$5:$A$665,1))),"")</f>
        <v>1.09422943334229</v>
      </c>
      <c r="T150" s="11" t="n">
        <f aca="false">IFERROR(N150/MEDIAN(INDEX($N$5:$N$665,MATCH($A150-90,$A$5:$A$665,1)):INDEX($N$5:$N$665,MATCH($A150+90,$A$5:$A$665,1))),"")</f>
        <v>0.999940376249789</v>
      </c>
      <c r="U150" s="11" t="n">
        <f aca="false">IFERROR(Q150/MEDIAN(INDEX($Q$5:$Q$665,MATCH($A150-90,$A$5:$A$665,1)):INDEX($Q$5:$Q$665,MATCH($A150+90,$A$5:$A$665,1))),"")</f>
        <v>1.81589920896433</v>
      </c>
    </row>
    <row r="151" customFormat="false" ht="15" hidden="false" customHeight="false" outlineLevel="0" collapsed="false">
      <c r="A151" s="13" t="n">
        <v>45078.5005099653</v>
      </c>
      <c r="B151" s="8" t="n">
        <v>12</v>
      </c>
      <c r="C151" s="8" t="s">
        <v>73</v>
      </c>
      <c r="D151" s="8" t="s">
        <v>834</v>
      </c>
      <c r="E151" s="14" t="s">
        <v>66</v>
      </c>
      <c r="F151" s="9" t="n">
        <v>34491</v>
      </c>
      <c r="G151" s="9" t="n">
        <v>13718</v>
      </c>
      <c r="H151" s="9" t="n">
        <v>13712</v>
      </c>
      <c r="I151" s="9" t="n">
        <v>5</v>
      </c>
      <c r="J151" s="9" t="n">
        <v>245</v>
      </c>
      <c r="K151" s="9" t="n">
        <v>23</v>
      </c>
      <c r="L151" s="9" t="n">
        <v>13</v>
      </c>
      <c r="M151" s="10" t="n">
        <f aca="false">IFERROR(G151/F151,"")</f>
        <v>0.397726943260561</v>
      </c>
      <c r="N151" s="10" t="n">
        <f aca="false">IFERROR(H151/G151,"")</f>
        <v>0.999562618457501</v>
      </c>
      <c r="O151" s="11" t="n">
        <f aca="false">IFERROR(I151/H151,"")</f>
        <v>0.000364644107351225</v>
      </c>
      <c r="P151" s="10" t="n">
        <f aca="false">IFERROR(J151/H151,"")</f>
        <v>0.01786756126021</v>
      </c>
      <c r="Q151" s="10" t="n">
        <f aca="false">IFERROR(K151/H151,"")</f>
        <v>0.00167736289381564</v>
      </c>
      <c r="R151" s="10" t="n">
        <f aca="false">IFERROR(L151/H151,"")</f>
        <v>0.000948074679113186</v>
      </c>
      <c r="S151" s="11" t="n">
        <f aca="false">IFERROR(M151/MEDIAN(INDEX($M$5:$M$665,MATCH($A151-90,$A$5:$A$665,1)):INDEX($M$5:$M$665,MATCH($A151+90,$A$5:$A$665,1))),"")</f>
        <v>1.1696802984801</v>
      </c>
      <c r="T151" s="11" t="n">
        <f aca="false">IFERROR(N151/MEDIAN(INDEX($N$5:$N$665,MATCH($A151-90,$A$5:$A$665,1)):INDEX($N$5:$N$665,MATCH($A151+90,$A$5:$A$665,1))),"")</f>
        <v>0.999755595288663</v>
      </c>
      <c r="U151" s="11" t="n">
        <f aca="false">IFERROR(Q151/MEDIAN(INDEX($Q$5:$Q$665,MATCH($A151-90,$A$5:$A$665,1)):INDEX($Q$5:$Q$665,MATCH($A151+90,$A$5:$A$665,1))),"")</f>
        <v>1.38153328174049</v>
      </c>
    </row>
    <row r="152" customFormat="false" ht="15" hidden="false" customHeight="false" outlineLevel="0" collapsed="false">
      <c r="A152" s="13" t="n">
        <v>45079.510194456</v>
      </c>
      <c r="B152" s="8" t="n">
        <v>12</v>
      </c>
      <c r="C152" s="8" t="s">
        <v>84</v>
      </c>
      <c r="D152" s="8" t="s">
        <v>835</v>
      </c>
      <c r="E152" s="14" t="s">
        <v>66</v>
      </c>
      <c r="F152" s="9" t="n">
        <v>27206</v>
      </c>
      <c r="G152" s="9" t="n">
        <v>12057</v>
      </c>
      <c r="H152" s="9" t="n">
        <v>12052</v>
      </c>
      <c r="I152" s="9" t="n">
        <v>4</v>
      </c>
      <c r="J152" s="9" t="n">
        <v>472</v>
      </c>
      <c r="K152" s="9" t="n">
        <v>32</v>
      </c>
      <c r="L152" s="9" t="n">
        <v>19</v>
      </c>
      <c r="M152" s="10" t="n">
        <f aca="false">IFERROR(G152/F152,"")</f>
        <v>0.443174299786812</v>
      </c>
      <c r="N152" s="10" t="n">
        <f aca="false">IFERROR(H152/G152,"")</f>
        <v>0.999585303143402</v>
      </c>
      <c r="O152" s="11" t="n">
        <f aca="false">IFERROR(I152/H152,"")</f>
        <v>0.000331895121141719</v>
      </c>
      <c r="P152" s="10" t="n">
        <f aca="false">IFERROR(J152/H152,"")</f>
        <v>0.0391636242947229</v>
      </c>
      <c r="Q152" s="10" t="n">
        <f aca="false">IFERROR(K152/H152,"")</f>
        <v>0.00265516096913375</v>
      </c>
      <c r="R152" s="10" t="n">
        <f aca="false">IFERROR(L152/H152,"")</f>
        <v>0.00157650182542317</v>
      </c>
      <c r="S152" s="11" t="n">
        <f aca="false">IFERROR(M152/MEDIAN(INDEX($M$5:$M$665,MATCH($A152-90,$A$5:$A$665,1)):INDEX($M$5:$M$665,MATCH($A152+90,$A$5:$A$665,1))),"")</f>
        <v>1.29534347445821</v>
      </c>
      <c r="T152" s="11" t="n">
        <f aca="false">IFERROR(N152/MEDIAN(INDEX($N$5:$N$665,MATCH($A152-90,$A$5:$A$665,1)):INDEX($N$5:$N$665,MATCH($A152+90,$A$5:$A$665,1))),"")</f>
        <v>0.999780268094279</v>
      </c>
      <c r="U152" s="11" t="n">
        <f aca="false">IFERROR(Q152/MEDIAN(INDEX($Q$5:$Q$665,MATCH($A152-90,$A$5:$A$665,1)):INDEX($Q$5:$Q$665,MATCH($A152+90,$A$5:$A$665,1))),"")</f>
        <v>2.20688129217834</v>
      </c>
    </row>
    <row r="153" customFormat="false" ht="15" hidden="false" customHeight="false" outlineLevel="0" collapsed="false">
      <c r="A153" s="13" t="n">
        <v>45080.4999677662</v>
      </c>
      <c r="B153" s="8" t="n">
        <v>11</v>
      </c>
      <c r="C153" s="8" t="s">
        <v>68</v>
      </c>
      <c r="D153" s="8" t="s">
        <v>836</v>
      </c>
      <c r="E153" s="14" t="s">
        <v>66</v>
      </c>
      <c r="F153" s="9" t="n">
        <v>6850</v>
      </c>
      <c r="G153" s="9" t="n">
        <v>2922</v>
      </c>
      <c r="H153" s="9" t="n">
        <v>2916</v>
      </c>
      <c r="I153" s="9" t="n">
        <v>3</v>
      </c>
      <c r="J153" s="9" t="n">
        <v>163</v>
      </c>
      <c r="K153" s="9" t="n">
        <v>6</v>
      </c>
      <c r="L153" s="9" t="n">
        <v>6</v>
      </c>
      <c r="M153" s="10" t="n">
        <f aca="false">IFERROR(G153/F153,"")</f>
        <v>0.426569343065693</v>
      </c>
      <c r="N153" s="10" t="n">
        <f aca="false">IFERROR(H153/G153,"")</f>
        <v>0.997946611909651</v>
      </c>
      <c r="O153" s="11" t="n">
        <f aca="false">IFERROR(I153/H153,"")</f>
        <v>0.00102880658436214</v>
      </c>
      <c r="P153" s="10" t="n">
        <f aca="false">IFERROR(J153/H153,"")</f>
        <v>0.0558984910836763</v>
      </c>
      <c r="Q153" s="10" t="n">
        <f aca="false">IFERROR(K153/H153,"")</f>
        <v>0.00205761316872428</v>
      </c>
      <c r="R153" s="10" t="n">
        <f aca="false">IFERROR(L153/H153,"")</f>
        <v>0.00205761316872428</v>
      </c>
      <c r="S153" s="11" t="n">
        <f aca="false">IFERROR(M153/MEDIAN(INDEX($M$5:$M$665,MATCH($A153-90,$A$5:$A$665,1)):INDEX($M$5:$M$665,MATCH($A153+90,$A$5:$A$665,1))),"")</f>
        <v>1.26229287062523</v>
      </c>
      <c r="T153" s="11" t="n">
        <f aca="false">IFERROR(N153/MEDIAN(INDEX($N$5:$N$665,MATCH($A153-90,$A$5:$A$665,1)):INDEX($N$5:$N$665,MATCH($A153+90,$A$5:$A$665,1))),"")</f>
        <v>0.998142460523508</v>
      </c>
      <c r="U153" s="11" t="n">
        <f aca="false">IFERROR(Q153/MEDIAN(INDEX($Q$5:$Q$665,MATCH($A153-90,$A$5:$A$665,1)):INDEX($Q$5:$Q$665,MATCH($A153+90,$A$5:$A$665,1))),"")</f>
        <v>1.710219478738</v>
      </c>
    </row>
    <row r="154" customFormat="false" ht="15" hidden="false" customHeight="false" outlineLevel="0" collapsed="false">
      <c r="A154" s="13" t="n">
        <v>45081.5004269907</v>
      </c>
      <c r="B154" s="8" t="n">
        <v>12</v>
      </c>
      <c r="C154" s="8" t="s">
        <v>86</v>
      </c>
      <c r="D154" s="8" t="s">
        <v>837</v>
      </c>
      <c r="E154" s="14" t="s">
        <v>66</v>
      </c>
      <c r="F154" s="9" t="n">
        <v>36283</v>
      </c>
      <c r="G154" s="9" t="n">
        <v>10587</v>
      </c>
      <c r="H154" s="9" t="n">
        <v>10580</v>
      </c>
      <c r="I154" s="9" t="n">
        <v>4</v>
      </c>
      <c r="J154" s="9" t="n">
        <v>316</v>
      </c>
      <c r="K154" s="9" t="n">
        <v>9</v>
      </c>
      <c r="L154" s="9" t="n">
        <v>13</v>
      </c>
      <c r="M154" s="10" t="n">
        <f aca="false">IFERROR(G154/F154,"")</f>
        <v>0.291789543312295</v>
      </c>
      <c r="N154" s="10" t="n">
        <f aca="false">IFERROR(H154/G154,"")</f>
        <v>0.99933881175026</v>
      </c>
      <c r="O154" s="11" t="n">
        <f aca="false">IFERROR(I154/H154,"")</f>
        <v>0.000378071833648393</v>
      </c>
      <c r="P154" s="10" t="n">
        <f aca="false">IFERROR(J154/H154,"")</f>
        <v>0.0298676748582231</v>
      </c>
      <c r="Q154" s="10" t="n">
        <f aca="false">IFERROR(K154/H154,"")</f>
        <v>0.000850661625708885</v>
      </c>
      <c r="R154" s="10" t="n">
        <f aca="false">IFERROR(L154/H154,"")</f>
        <v>0.00122873345935728</v>
      </c>
      <c r="S154" s="11" t="n">
        <f aca="false">IFERROR(M154/MEDIAN(INDEX($M$5:$M$665,MATCH($A154-90,$A$5:$A$665,1)):INDEX($M$5:$M$665,MATCH($A154+90,$A$5:$A$665,1))),"")</f>
        <v>0.87656045367977</v>
      </c>
      <c r="T154" s="11" t="n">
        <f aca="false">IFERROR(N154/MEDIAN(INDEX($N$5:$N$665,MATCH($A154-90,$A$5:$A$665,1)):INDEX($N$5:$N$665,MATCH($A154+90,$A$5:$A$665,1))),"")</f>
        <v>0.999535312794715</v>
      </c>
      <c r="U154" s="11" t="n">
        <f aca="false">IFERROR(Q154/MEDIAN(INDEX($Q$5:$Q$665,MATCH($A154-90,$A$5:$A$665,1)):INDEX($Q$5:$Q$665,MATCH($A154+90,$A$5:$A$665,1))),"")</f>
        <v>0.707041587901701</v>
      </c>
    </row>
    <row r="155" customFormat="false" ht="15" hidden="false" customHeight="false" outlineLevel="0" collapsed="false">
      <c r="A155" s="13" t="n">
        <v>45082.499989838</v>
      </c>
      <c r="B155" s="8" t="n">
        <v>11</v>
      </c>
      <c r="C155" s="8" t="s">
        <v>80</v>
      </c>
      <c r="D155" s="8" t="s">
        <v>838</v>
      </c>
      <c r="E155" s="14" t="s">
        <v>66</v>
      </c>
      <c r="F155" s="9" t="n">
        <v>6142</v>
      </c>
      <c r="G155" s="9" t="n">
        <v>3063</v>
      </c>
      <c r="H155" s="9" t="n">
        <v>3056</v>
      </c>
      <c r="I155" s="9" t="n">
        <v>5</v>
      </c>
      <c r="J155" s="9" t="n">
        <v>203</v>
      </c>
      <c r="K155" s="9" t="n">
        <v>5</v>
      </c>
      <c r="L155" s="9" t="n">
        <v>4</v>
      </c>
      <c r="M155" s="10" t="n">
        <f aca="false">IFERROR(G155/F155,"")</f>
        <v>0.498697492673396</v>
      </c>
      <c r="N155" s="10" t="n">
        <f aca="false">IFERROR(H155/G155,"")</f>
        <v>0.997714658831211</v>
      </c>
      <c r="O155" s="11" t="n">
        <f aca="false">IFERROR(I155/H155,"")</f>
        <v>0.00163612565445026</v>
      </c>
      <c r="P155" s="10" t="n">
        <f aca="false">IFERROR(J155/H155,"")</f>
        <v>0.0664267015706806</v>
      </c>
      <c r="Q155" s="10" t="n">
        <f aca="false">IFERROR(K155/H155,"")</f>
        <v>0.00163612565445026</v>
      </c>
      <c r="R155" s="10" t="n">
        <f aca="false">IFERROR(L155/H155,"")</f>
        <v>0.00130890052356021</v>
      </c>
      <c r="S155" s="11" t="n">
        <f aca="false">IFERROR(M155/MEDIAN(INDEX($M$5:$M$665,MATCH($A155-90,$A$5:$A$665,1)):INDEX($M$5:$M$665,MATCH($A155+90,$A$5:$A$665,1))),"")</f>
        <v>1.49812942391461</v>
      </c>
      <c r="T155" s="11" t="n">
        <f aca="false">IFERROR(N155/MEDIAN(INDEX($N$5:$N$665,MATCH($A155-90,$A$5:$A$665,1)):INDEX($N$5:$N$665,MATCH($A155+90,$A$5:$A$665,1))),"")</f>
        <v>0.997910840516765</v>
      </c>
      <c r="U155" s="11" t="n">
        <f aca="false">IFERROR(Q155/MEDIAN(INDEX($Q$5:$Q$665,MATCH($A155-90,$A$5:$A$665,1)):INDEX($Q$5:$Q$665,MATCH($A155+90,$A$5:$A$665,1))),"")</f>
        <v>1.35989310645724</v>
      </c>
    </row>
    <row r="156" customFormat="false" ht="15" hidden="false" customHeight="false" outlineLevel="0" collapsed="false">
      <c r="A156" s="13" t="n">
        <v>45083.5006279514</v>
      </c>
      <c r="B156" s="8" t="n">
        <v>12</v>
      </c>
      <c r="C156" s="8" t="s">
        <v>64</v>
      </c>
      <c r="D156" s="8" t="s">
        <v>839</v>
      </c>
      <c r="E156" s="14" t="s">
        <v>66</v>
      </c>
      <c r="F156" s="9" t="n">
        <v>11547</v>
      </c>
      <c r="G156" s="9" t="n">
        <v>5393</v>
      </c>
      <c r="H156" s="9" t="n">
        <v>5402</v>
      </c>
      <c r="I156" s="9" t="n">
        <v>51</v>
      </c>
      <c r="J156" s="9" t="n">
        <v>271</v>
      </c>
      <c r="K156" s="9" t="n">
        <v>12</v>
      </c>
      <c r="L156" s="9" t="n">
        <v>9</v>
      </c>
      <c r="M156" s="10" t="n">
        <f aca="false">IFERROR(G156/F156,"")</f>
        <v>0.467047718021997</v>
      </c>
      <c r="N156" s="10" t="n">
        <f aca="false">IFERROR(H156/G156,"")</f>
        <v>1.00166882996477</v>
      </c>
      <c r="O156" s="11" t="n">
        <f aca="false">IFERROR(I156/H156,"")</f>
        <v>0.00944094779711218</v>
      </c>
      <c r="P156" s="10" t="n">
        <f aca="false">IFERROR(J156/H156,"")</f>
        <v>0.0501666049611255</v>
      </c>
      <c r="Q156" s="10" t="n">
        <f aca="false">IFERROR(K156/H156,"")</f>
        <v>0.00222139948167345</v>
      </c>
      <c r="R156" s="10" t="n">
        <f aca="false">IFERROR(L156/H156,"")</f>
        <v>0.00166604961125509</v>
      </c>
      <c r="S156" s="11" t="n">
        <f aca="false">IFERROR(M156/MEDIAN(INDEX($M$5:$M$665,MATCH($A156-90,$A$5:$A$665,1)):INDEX($M$5:$M$665,MATCH($A156+90,$A$5:$A$665,1))),"")</f>
        <v>1.3924841383598</v>
      </c>
      <c r="T156" s="11" t="n">
        <f aca="false">IFERROR(N156/MEDIAN(INDEX($N$5:$N$665,MATCH($A156-90,$A$5:$A$665,1)):INDEX($N$5:$N$665,MATCH($A156+90,$A$5:$A$665,1))),"")</f>
        <v>1.0018696808267</v>
      </c>
      <c r="U156" s="11" t="n">
        <f aca="false">IFERROR(Q156/MEDIAN(INDEX($Q$5:$Q$665,MATCH($A156-90,$A$5:$A$665,1)):INDEX($Q$5:$Q$665,MATCH($A156+90,$A$5:$A$665,1))),"")</f>
        <v>1.86884517477763</v>
      </c>
    </row>
    <row r="157" customFormat="false" ht="15" hidden="false" customHeight="false" outlineLevel="0" collapsed="false">
      <c r="A157" s="13" t="n">
        <v>45084.5001543171</v>
      </c>
      <c r="B157" s="8" t="n">
        <v>12</v>
      </c>
      <c r="C157" s="8" t="s">
        <v>71</v>
      </c>
      <c r="D157" s="8" t="s">
        <v>840</v>
      </c>
      <c r="E157" s="14" t="s">
        <v>66</v>
      </c>
      <c r="F157" s="9" t="n">
        <v>40299</v>
      </c>
      <c r="G157" s="9" t="n">
        <v>14899</v>
      </c>
      <c r="H157" s="9" t="n">
        <v>14894</v>
      </c>
      <c r="I157" s="9" t="n">
        <v>5</v>
      </c>
      <c r="J157" s="9" t="n">
        <v>337</v>
      </c>
      <c r="K157" s="9" t="n">
        <v>17</v>
      </c>
      <c r="L157" s="9" t="n">
        <v>21</v>
      </c>
      <c r="M157" s="10" t="n">
        <f aca="false">IFERROR(G157/F157,"")</f>
        <v>0.369711407230949</v>
      </c>
      <c r="N157" s="10" t="n">
        <f aca="false">IFERROR(H157/G157,"")</f>
        <v>0.999664407007182</v>
      </c>
      <c r="O157" s="11" t="n">
        <f aca="false">IFERROR(I157/H157,"")</f>
        <v>0.000335705653283201</v>
      </c>
      <c r="P157" s="10" t="n">
        <f aca="false">IFERROR(J157/H157,"")</f>
        <v>0.0226265610312878</v>
      </c>
      <c r="Q157" s="10" t="n">
        <f aca="false">IFERROR(K157/H157,"")</f>
        <v>0.00114139922116288</v>
      </c>
      <c r="R157" s="10" t="n">
        <f aca="false">IFERROR(L157/H157,"")</f>
        <v>0.00140996374378945</v>
      </c>
      <c r="S157" s="11" t="n">
        <f aca="false">IFERROR(M157/MEDIAN(INDEX($M$5:$M$665,MATCH($A157-90,$A$5:$A$665,1)):INDEX($M$5:$M$665,MATCH($A157+90,$A$5:$A$665,1))),"")</f>
        <v>1.11064431978667</v>
      </c>
      <c r="T157" s="11" t="n">
        <f aca="false">IFERROR(N157/MEDIAN(INDEX($N$5:$N$665,MATCH($A157-90,$A$5:$A$665,1)):INDEX($N$5:$N$665,MATCH($A157+90,$A$5:$A$665,1))),"")</f>
        <v>0.999860972073776</v>
      </c>
      <c r="U157" s="11" t="n">
        <f aca="false">IFERROR(Q157/MEDIAN(INDEX($Q$5:$Q$665,MATCH($A157-90,$A$5:$A$665,1)):INDEX($Q$5:$Q$665,MATCH($A157+90,$A$5:$A$665,1))),"")</f>
        <v>0.972091670023723</v>
      </c>
    </row>
    <row r="158" customFormat="false" ht="15" hidden="false" customHeight="false" outlineLevel="0" collapsed="false">
      <c r="A158" s="13" t="n">
        <v>45085.4998877778</v>
      </c>
      <c r="B158" s="8" t="n">
        <v>11</v>
      </c>
      <c r="C158" s="8" t="s">
        <v>73</v>
      </c>
      <c r="D158" s="8" t="s">
        <v>841</v>
      </c>
      <c r="E158" s="14" t="s">
        <v>66</v>
      </c>
      <c r="F158" s="9" t="n">
        <v>82270</v>
      </c>
      <c r="G158" s="9" t="n">
        <v>18018</v>
      </c>
      <c r="H158" s="9" t="n">
        <v>18023</v>
      </c>
      <c r="I158" s="9" t="n">
        <v>46</v>
      </c>
      <c r="J158" s="9" t="n">
        <v>371</v>
      </c>
      <c r="K158" s="9" t="n">
        <v>19</v>
      </c>
      <c r="L158" s="9" t="n">
        <v>13</v>
      </c>
      <c r="M158" s="10" t="n">
        <f aca="false">IFERROR(G158/F158,"")</f>
        <v>0.219010574936186</v>
      </c>
      <c r="N158" s="10" t="n">
        <f aca="false">IFERROR(H158/G158,"")</f>
        <v>1.0002775002775</v>
      </c>
      <c r="O158" s="11" t="n">
        <f aca="false">IFERROR(I158/H158,"")</f>
        <v>0.00255229429062864</v>
      </c>
      <c r="P158" s="10" t="n">
        <f aca="false">IFERROR(J158/H158,"")</f>
        <v>0.0205848083005049</v>
      </c>
      <c r="Q158" s="10" t="n">
        <f aca="false">IFERROR(K158/H158,"")</f>
        <v>0.00105420851134661</v>
      </c>
      <c r="R158" s="10" t="n">
        <f aca="false">IFERROR(L158/H158,"")</f>
        <v>0.000721300560395051</v>
      </c>
      <c r="S158" s="11" t="n">
        <f aca="false">IFERROR(M158/MEDIAN(INDEX($M$5:$M$665,MATCH($A158-90,$A$5:$A$665,1)):INDEX($M$5:$M$665,MATCH($A158+90,$A$5:$A$665,1))),"")</f>
        <v>0.652971291719993</v>
      </c>
      <c r="T158" s="11" t="n">
        <f aca="false">IFERROR(N158/MEDIAN(INDEX($N$5:$N$665,MATCH($A158-90,$A$5:$A$665,1)):INDEX($N$5:$N$665,MATCH($A158+90,$A$5:$A$665,1))),"")</f>
        <v>1.00048223361315</v>
      </c>
      <c r="U158" s="11" t="n">
        <f aca="false">IFERROR(Q158/MEDIAN(INDEX($Q$5:$Q$665,MATCH($A158-90,$A$5:$A$665,1)):INDEX($Q$5:$Q$665,MATCH($A158+90,$A$5:$A$665,1))),"")</f>
        <v>0.886896979086105</v>
      </c>
    </row>
    <row r="159" customFormat="false" ht="15" hidden="false" customHeight="false" outlineLevel="0" collapsed="false">
      <c r="A159" s="13" t="n">
        <v>45086.4999903009</v>
      </c>
      <c r="B159" s="8" t="n">
        <v>11</v>
      </c>
      <c r="C159" s="8" t="s">
        <v>84</v>
      </c>
      <c r="D159" s="8" t="s">
        <v>836</v>
      </c>
      <c r="E159" s="14" t="s">
        <v>66</v>
      </c>
      <c r="F159" s="9" t="n">
        <v>10936</v>
      </c>
      <c r="G159" s="9" t="n">
        <v>5231</v>
      </c>
      <c r="H159" s="9" t="n">
        <v>5223</v>
      </c>
      <c r="I159" s="9" t="n">
        <v>12</v>
      </c>
      <c r="J159" s="9" t="n">
        <v>250</v>
      </c>
      <c r="K159" s="9" t="n">
        <v>19</v>
      </c>
      <c r="L159" s="9" t="n">
        <v>11</v>
      </c>
      <c r="M159" s="10" t="n">
        <f aca="false">IFERROR(G159/F159,"")</f>
        <v>0.478328456474031</v>
      </c>
      <c r="N159" s="10" t="n">
        <f aca="false">IFERROR(H159/G159,"")</f>
        <v>0.998470655706366</v>
      </c>
      <c r="O159" s="11" t="n">
        <f aca="false">IFERROR(I159/H159,"")</f>
        <v>0.00229753015508329</v>
      </c>
      <c r="P159" s="10" t="n">
        <f aca="false">IFERROR(J159/H159,"")</f>
        <v>0.0478652115642351</v>
      </c>
      <c r="Q159" s="10" t="n">
        <f aca="false">IFERROR(K159/H159,"")</f>
        <v>0.00363775607888187</v>
      </c>
      <c r="R159" s="10" t="n">
        <f aca="false">IFERROR(L159/H159,"")</f>
        <v>0.00210606930882635</v>
      </c>
      <c r="S159" s="11" t="n">
        <f aca="false">IFERROR(M159/MEDIAN(INDEX($M$5:$M$665,MATCH($A159-90,$A$5:$A$665,1)):INDEX($M$5:$M$665,MATCH($A159+90,$A$5:$A$665,1))),"")</f>
        <v>1.43693911733523</v>
      </c>
      <c r="T159" s="11" t="n">
        <f aca="false">IFERROR(N159/MEDIAN(INDEX($N$5:$N$665,MATCH($A159-90,$A$5:$A$665,1)):INDEX($N$5:$N$665,MATCH($A159+90,$A$5:$A$665,1))),"")</f>
        <v>0.998675293896173</v>
      </c>
      <c r="U159" s="11" t="n">
        <f aca="false">IFERROR(Q159/MEDIAN(INDEX($Q$5:$Q$665,MATCH($A159-90,$A$5:$A$665,1)):INDEX($Q$5:$Q$665,MATCH($A159+90,$A$5:$A$665,1))),"")</f>
        <v>3.09815559384773</v>
      </c>
    </row>
    <row r="160" customFormat="false" ht="15" hidden="false" customHeight="false" outlineLevel="0" collapsed="false">
      <c r="A160" s="13" t="n">
        <v>45087.5001282755</v>
      </c>
      <c r="B160" s="8" t="n">
        <v>12</v>
      </c>
      <c r="C160" s="8" t="s">
        <v>68</v>
      </c>
      <c r="D160" s="8" t="s">
        <v>842</v>
      </c>
      <c r="E160" s="14" t="s">
        <v>66</v>
      </c>
      <c r="F160" s="9" t="n">
        <v>7976</v>
      </c>
      <c r="G160" s="9" t="n">
        <v>4361</v>
      </c>
      <c r="H160" s="9" t="n">
        <v>4355</v>
      </c>
      <c r="I160" s="9" t="n">
        <v>1</v>
      </c>
      <c r="J160" s="9" t="n">
        <v>261</v>
      </c>
      <c r="K160" s="9" t="n">
        <v>16</v>
      </c>
      <c r="L160" s="9" t="n">
        <v>5</v>
      </c>
      <c r="M160" s="10" t="n">
        <f aca="false">IFERROR(G160/F160,"")</f>
        <v>0.546765295887663</v>
      </c>
      <c r="N160" s="10" t="n">
        <f aca="false">IFERROR(H160/G160,"")</f>
        <v>0.998624168768631</v>
      </c>
      <c r="O160" s="11" t="n">
        <f aca="false">IFERROR(I160/H160,"")</f>
        <v>0.000229621125143513</v>
      </c>
      <c r="P160" s="10" t="n">
        <f aca="false">IFERROR(J160/H160,"")</f>
        <v>0.0599311136624569</v>
      </c>
      <c r="Q160" s="10" t="n">
        <f aca="false">IFERROR(K160/H160,"")</f>
        <v>0.00367393800229621</v>
      </c>
      <c r="R160" s="10" t="n">
        <f aca="false">IFERROR(L160/H160,"")</f>
        <v>0.00114810562571757</v>
      </c>
      <c r="S160" s="11" t="n">
        <f aca="false">IFERROR(M160/MEDIAN(INDEX($M$5:$M$665,MATCH($A160-90,$A$5:$A$665,1)):INDEX($M$5:$M$665,MATCH($A160+90,$A$5:$A$665,1))),"")</f>
        <v>1.6179735982527</v>
      </c>
      <c r="T160" s="11" t="n">
        <f aca="false">IFERROR(N160/MEDIAN(INDEX($N$5:$N$665,MATCH($A160-90,$A$5:$A$665,1)):INDEX($N$5:$N$665,MATCH($A160+90,$A$5:$A$665,1))),"")</f>
        <v>0.998828838421191</v>
      </c>
      <c r="U160" s="11" t="n">
        <f aca="false">IFERROR(Q160/MEDIAN(INDEX($Q$5:$Q$665,MATCH($A160-90,$A$5:$A$665,1)):INDEX($Q$5:$Q$665,MATCH($A160+90,$A$5:$A$665,1))),"")</f>
        <v>3.17703788748565</v>
      </c>
    </row>
    <row r="161" customFormat="false" ht="15" hidden="false" customHeight="false" outlineLevel="0" collapsed="false">
      <c r="A161" s="13" t="n">
        <v>45088.5003382292</v>
      </c>
      <c r="B161" s="8" t="n">
        <v>12</v>
      </c>
      <c r="C161" s="8" t="s">
        <v>86</v>
      </c>
      <c r="D161" s="8" t="s">
        <v>843</v>
      </c>
      <c r="E161" s="14" t="s">
        <v>66</v>
      </c>
      <c r="F161" s="9" t="n">
        <v>22463</v>
      </c>
      <c r="G161" s="9" t="n">
        <v>13022</v>
      </c>
      <c r="H161" s="9" t="n">
        <v>13019</v>
      </c>
      <c r="I161" s="9" t="n">
        <v>48</v>
      </c>
      <c r="J161" s="9" t="n">
        <v>411</v>
      </c>
      <c r="K161" s="9" t="n">
        <v>11</v>
      </c>
      <c r="L161" s="9" t="n">
        <v>14</v>
      </c>
      <c r="M161" s="10" t="n">
        <f aca="false">IFERROR(G161/F161,"")</f>
        <v>0.579708854560833</v>
      </c>
      <c r="N161" s="10" t="n">
        <f aca="false">IFERROR(H161/G161,"")</f>
        <v>0.999769620641991</v>
      </c>
      <c r="O161" s="11" t="n">
        <f aca="false">IFERROR(I161/H161,"")</f>
        <v>0.00368691911821184</v>
      </c>
      <c r="P161" s="10" t="n">
        <f aca="false">IFERROR(J161/H161,"")</f>
        <v>0.0315692449496889</v>
      </c>
      <c r="Q161" s="10" t="n">
        <f aca="false">IFERROR(K161/H161,"")</f>
        <v>0.000844918964590214</v>
      </c>
      <c r="R161" s="10" t="n">
        <f aca="false">IFERROR(L161/H161,"")</f>
        <v>0.00107535140947845</v>
      </c>
      <c r="S161" s="11" t="n">
        <f aca="false">IFERROR(M161/MEDIAN(INDEX($M$5:$M$665,MATCH($A161-90,$A$5:$A$665,1)):INDEX($M$5:$M$665,MATCH($A161+90,$A$5:$A$665,1))),"")</f>
        <v>1.74149440308135</v>
      </c>
      <c r="T161" s="11" t="n">
        <f aca="false">IFERROR(N161/MEDIAN(INDEX($N$5:$N$665,MATCH($A161-90,$A$5:$A$665,1)):INDEX($N$5:$N$665,MATCH($A161+90,$A$5:$A$665,1))),"")</f>
        <v>0.999986177238519</v>
      </c>
      <c r="U161" s="11" t="n">
        <f aca="false">IFERROR(Q161/MEDIAN(INDEX($Q$5:$Q$665,MATCH($A161-90,$A$5:$A$665,1)):INDEX($Q$5:$Q$665,MATCH($A161+90,$A$5:$A$665,1))),"")</f>
        <v>0.730643674629388</v>
      </c>
    </row>
    <row r="162" customFormat="false" ht="15" hidden="false" customHeight="false" outlineLevel="0" collapsed="false">
      <c r="A162" s="13" t="n">
        <v>45089.5001407292</v>
      </c>
      <c r="B162" s="8" t="n">
        <v>12</v>
      </c>
      <c r="C162" s="8" t="s">
        <v>80</v>
      </c>
      <c r="D162" s="8" t="s">
        <v>844</v>
      </c>
      <c r="E162" s="14" t="s">
        <v>66</v>
      </c>
      <c r="F162" s="9" t="n">
        <v>10949</v>
      </c>
      <c r="G162" s="9" t="n">
        <v>6738</v>
      </c>
      <c r="H162" s="9" t="n">
        <v>6732</v>
      </c>
      <c r="I162" s="9" t="n">
        <v>1</v>
      </c>
      <c r="J162" s="9" t="n">
        <v>219</v>
      </c>
      <c r="K162" s="9" t="n">
        <v>7</v>
      </c>
      <c r="L162" s="9" t="n">
        <v>8</v>
      </c>
      <c r="M162" s="10" t="n">
        <f aca="false">IFERROR(G162/F162,"")</f>
        <v>0.61539866654489</v>
      </c>
      <c r="N162" s="10" t="n">
        <f aca="false">IFERROR(H162/G162,"")</f>
        <v>0.999109528049866</v>
      </c>
      <c r="O162" s="11" t="n">
        <f aca="false">IFERROR(I162/H162,"")</f>
        <v>0.000148544266191325</v>
      </c>
      <c r="P162" s="10" t="n">
        <f aca="false">IFERROR(J162/H162,"")</f>
        <v>0.0325311942959002</v>
      </c>
      <c r="Q162" s="10" t="n">
        <f aca="false">IFERROR(K162/H162,"")</f>
        <v>0.00103980986333928</v>
      </c>
      <c r="R162" s="10" t="n">
        <f aca="false">IFERROR(L162/H162,"")</f>
        <v>0.0011883541295306</v>
      </c>
      <c r="S162" s="11" t="n">
        <f aca="false">IFERROR(M162/MEDIAN(INDEX($M$5:$M$665,MATCH($A162-90,$A$5:$A$665,1)):INDEX($M$5:$M$665,MATCH($A162+90,$A$5:$A$665,1))),"")</f>
        <v>1.83478657290254</v>
      </c>
      <c r="T162" s="11" t="n">
        <f aca="false">IFERROR(N162/MEDIAN(INDEX($N$5:$N$665,MATCH($A162-90,$A$5:$A$665,1)):INDEX($N$5:$N$665,MATCH($A162+90,$A$5:$A$665,1))),"")</f>
        <v>0.999326396711875</v>
      </c>
      <c r="U162" s="11" t="n">
        <f aca="false">IFERROR(Q162/MEDIAN(INDEX($Q$5:$Q$665,MATCH($A162-90,$A$5:$A$665,1)):INDEX($Q$5:$Q$665,MATCH($A162+90,$A$5:$A$665,1))),"")</f>
        <v>0.910214067017925</v>
      </c>
    </row>
    <row r="163" customFormat="false" ht="15" hidden="false" customHeight="false" outlineLevel="0" collapsed="false">
      <c r="A163" s="13" t="n">
        <v>45090.5004019792</v>
      </c>
      <c r="B163" s="8" t="n">
        <v>12</v>
      </c>
      <c r="C163" s="8" t="s">
        <v>64</v>
      </c>
      <c r="D163" s="8" t="s">
        <v>845</v>
      </c>
      <c r="E163" s="14" t="s">
        <v>66</v>
      </c>
      <c r="F163" s="9" t="n">
        <v>8315</v>
      </c>
      <c r="G163" s="9" t="n">
        <v>4581</v>
      </c>
      <c r="H163" s="9" t="n">
        <v>4577</v>
      </c>
      <c r="I163" s="9" t="n">
        <v>2</v>
      </c>
      <c r="J163" s="9" t="n">
        <v>228</v>
      </c>
      <c r="K163" s="9" t="n">
        <v>15</v>
      </c>
      <c r="L163" s="9" t="n">
        <v>7</v>
      </c>
      <c r="M163" s="10" t="n">
        <f aca="false">IFERROR(G163/F163,"")</f>
        <v>0.550932050511125</v>
      </c>
      <c r="N163" s="10" t="n">
        <f aca="false">IFERROR(H163/G163,"")</f>
        <v>0.999126828203449</v>
      </c>
      <c r="O163" s="11" t="n">
        <f aca="false">IFERROR(I163/H163,"")</f>
        <v>0.000436967445925279</v>
      </c>
      <c r="P163" s="10" t="n">
        <f aca="false">IFERROR(J163/H163,"")</f>
        <v>0.0498142888354818</v>
      </c>
      <c r="Q163" s="10" t="n">
        <f aca="false">IFERROR(K163/H163,"")</f>
        <v>0.00327725584443959</v>
      </c>
      <c r="R163" s="10" t="n">
        <f aca="false">IFERROR(L163/H163,"")</f>
        <v>0.00152938606073848</v>
      </c>
      <c r="S163" s="11" t="n">
        <f aca="false">IFERROR(M163/MEDIAN(INDEX($M$5:$M$665,MATCH($A163-90,$A$5:$A$665,1)):INDEX($M$5:$M$665,MATCH($A163+90,$A$5:$A$665,1))),"")</f>
        <v>1.63030374982205</v>
      </c>
      <c r="T163" s="11" t="n">
        <f aca="false">IFERROR(N163/MEDIAN(INDEX($N$5:$N$665,MATCH($A163-90,$A$5:$A$665,1)):INDEX($N$5:$N$665,MATCH($A163+90,$A$5:$A$665,1))),"")</f>
        <v>0.999344155674781</v>
      </c>
      <c r="U163" s="11" t="n">
        <f aca="false">IFERROR(Q163/MEDIAN(INDEX($Q$5:$Q$665,MATCH($A163-90,$A$5:$A$665,1)):INDEX($Q$5:$Q$665,MATCH($A163+90,$A$5:$A$665,1))),"")</f>
        <v>2.87126167924019</v>
      </c>
    </row>
    <row r="164" customFormat="false" ht="15" hidden="false" customHeight="false" outlineLevel="0" collapsed="false">
      <c r="A164" s="13" t="n">
        <v>45091.5004561921</v>
      </c>
      <c r="B164" s="8" t="n">
        <v>12</v>
      </c>
      <c r="C164" s="8" t="s">
        <v>71</v>
      </c>
      <c r="D164" s="8" t="s">
        <v>846</v>
      </c>
      <c r="E164" s="14" t="s">
        <v>66</v>
      </c>
      <c r="F164" s="9" t="n">
        <v>60280</v>
      </c>
      <c r="G164" s="9" t="n">
        <v>18823</v>
      </c>
      <c r="H164" s="9" t="n">
        <v>18817</v>
      </c>
      <c r="I164" s="9" t="n">
        <v>1</v>
      </c>
      <c r="J164" s="9" t="n">
        <v>331</v>
      </c>
      <c r="K164" s="9" t="n">
        <v>20</v>
      </c>
      <c r="L164" s="9" t="n">
        <v>10</v>
      </c>
      <c r="M164" s="10" t="n">
        <f aca="false">IFERROR(G164/F164,"")</f>
        <v>0.312259455872595</v>
      </c>
      <c r="N164" s="10" t="n">
        <f aca="false">IFERROR(H164/G164,"")</f>
        <v>0.999681241034904</v>
      </c>
      <c r="O164" s="11" t="n">
        <f aca="false">IFERROR(I164/H164,"")</f>
        <v>5.31434341287134E-005</v>
      </c>
      <c r="P164" s="10" t="n">
        <f aca="false">IFERROR(J164/H164,"")</f>
        <v>0.0175904766966041</v>
      </c>
      <c r="Q164" s="10" t="n">
        <f aca="false">IFERROR(K164/H164,"")</f>
        <v>0.00106286868257427</v>
      </c>
      <c r="R164" s="10" t="n">
        <f aca="false">IFERROR(L164/H164,"")</f>
        <v>0.000531434341287134</v>
      </c>
      <c r="S164" s="11" t="n">
        <f aca="false">IFERROR(M164/MEDIAN(INDEX($M$5:$M$665,MATCH($A164-90,$A$5:$A$665,1)):INDEX($M$5:$M$665,MATCH($A164+90,$A$5:$A$665,1))),"")</f>
        <v>0.905290338312543</v>
      </c>
      <c r="T164" s="11" t="n">
        <f aca="false">IFERROR(N164/MEDIAN(INDEX($N$5:$N$665,MATCH($A164-90,$A$5:$A$665,1)):INDEX($N$5:$N$665,MATCH($A164+90,$A$5:$A$665,1))),"")</f>
        <v>0.999904185111852</v>
      </c>
      <c r="U164" s="11" t="n">
        <f aca="false">IFERROR(Q164/MEDIAN(INDEX($Q$5:$Q$665,MATCH($A164-90,$A$5:$A$665,1)):INDEX($Q$5:$Q$665,MATCH($A164+90,$A$5:$A$665,1))),"")</f>
        <v>0.919115693256098</v>
      </c>
    </row>
    <row r="165" customFormat="false" ht="15" hidden="false" customHeight="false" outlineLevel="0" collapsed="false">
      <c r="A165" s="13" t="n">
        <v>45092.5254080208</v>
      </c>
      <c r="B165" s="8" t="n">
        <v>12</v>
      </c>
      <c r="C165" s="8" t="s">
        <v>73</v>
      </c>
      <c r="D165" s="8" t="s">
        <v>847</v>
      </c>
      <c r="E165" s="14" t="s">
        <v>66</v>
      </c>
      <c r="F165" s="9" t="n">
        <v>16916</v>
      </c>
      <c r="G165" s="9" t="n">
        <v>12388</v>
      </c>
      <c r="H165" s="9" t="n">
        <v>12386</v>
      </c>
      <c r="I165" s="9" t="n">
        <v>3</v>
      </c>
      <c r="J165" s="9" t="n">
        <v>304</v>
      </c>
      <c r="K165" s="9" t="n">
        <v>24</v>
      </c>
      <c r="L165" s="9" t="n">
        <v>5</v>
      </c>
      <c r="M165" s="10" t="n">
        <f aca="false">IFERROR(G165/F165,"")</f>
        <v>0.732324426578387</v>
      </c>
      <c r="N165" s="10" t="n">
        <f aca="false">IFERROR(H165/G165,"")</f>
        <v>0.999838553438812</v>
      </c>
      <c r="O165" s="11" t="n">
        <f aca="false">IFERROR(I165/H165,"")</f>
        <v>0.000242208945583724</v>
      </c>
      <c r="P165" s="10" t="n">
        <f aca="false">IFERROR(J165/H165,"")</f>
        <v>0.0245438398191507</v>
      </c>
      <c r="Q165" s="10" t="n">
        <f aca="false">IFERROR(K165/H165,"")</f>
        <v>0.00193767156466979</v>
      </c>
      <c r="R165" s="10" t="n">
        <f aca="false">IFERROR(L165/H165,"")</f>
        <v>0.000403681575972873</v>
      </c>
      <c r="S165" s="11" t="n">
        <f aca="false">IFERROR(M165/MEDIAN(INDEX($M$5:$M$665,MATCH($A165-90,$A$5:$A$665,1)):INDEX($M$5:$M$665,MATCH($A165+90,$A$5:$A$665,1))),"")</f>
        <v>2.14487565251356</v>
      </c>
      <c r="T165" s="11" t="n">
        <f aca="false">IFERROR(N165/MEDIAN(INDEX($N$5:$N$665,MATCH($A165-90,$A$5:$A$665,1)):INDEX($N$5:$N$665,MATCH($A165+90,$A$5:$A$665,1))),"")</f>
        <v>1.00006340339552</v>
      </c>
      <c r="U165" s="11" t="n">
        <f aca="false">IFERROR(Q165/MEDIAN(INDEX($Q$5:$Q$665,MATCH($A165-90,$A$5:$A$665,1)):INDEX($Q$5:$Q$665,MATCH($A165+90,$A$5:$A$665,1))),"")</f>
        <v>1.6961715575183</v>
      </c>
    </row>
    <row r="166" customFormat="false" ht="15" hidden="false" customHeight="false" outlineLevel="0" collapsed="false">
      <c r="A166" s="13" t="n">
        <v>45093.6250607407</v>
      </c>
      <c r="B166" s="8" t="n">
        <v>15</v>
      </c>
      <c r="C166" s="8" t="s">
        <v>84</v>
      </c>
      <c r="D166" s="8" t="s">
        <v>848</v>
      </c>
      <c r="E166" s="14" t="s">
        <v>66</v>
      </c>
      <c r="F166" s="9" t="n">
        <v>22046</v>
      </c>
      <c r="G166" s="9" t="n">
        <v>15531</v>
      </c>
      <c r="H166" s="9" t="n">
        <v>15523</v>
      </c>
      <c r="I166" s="9" t="n">
        <v>1</v>
      </c>
      <c r="J166" s="9" t="n">
        <v>208</v>
      </c>
      <c r="K166" s="9" t="n">
        <v>14</v>
      </c>
      <c r="L166" s="9" t="n">
        <v>3</v>
      </c>
      <c r="M166" s="10" t="n">
        <f aca="false">IFERROR(G166/F166,"")</f>
        <v>0.704481538601107</v>
      </c>
      <c r="N166" s="10" t="n">
        <f aca="false">IFERROR(H166/G166,"")</f>
        <v>0.999484901165411</v>
      </c>
      <c r="O166" s="11" t="n">
        <f aca="false">IFERROR(I166/H166,"")</f>
        <v>6.44205372672808E-005</v>
      </c>
      <c r="P166" s="10" t="n">
        <f aca="false">IFERROR(J166/H166,"")</f>
        <v>0.0133994717515944</v>
      </c>
      <c r="Q166" s="10" t="n">
        <f aca="false">IFERROR(K166/H166,"")</f>
        <v>0.000901887521741931</v>
      </c>
      <c r="R166" s="10" t="n">
        <f aca="false">IFERROR(L166/H166,"")</f>
        <v>0.000193261611801842</v>
      </c>
      <c r="S166" s="11" t="n">
        <f aca="false">IFERROR(M166/MEDIAN(INDEX($M$5:$M$665,MATCH($A166-90,$A$5:$A$665,1)):INDEX($M$5:$M$665,MATCH($A166+90,$A$5:$A$665,1))),"")</f>
        <v>2.04240518075888</v>
      </c>
      <c r="T166" s="11" t="n">
        <f aca="false">IFERROR(N166/MEDIAN(INDEX($N$5:$N$665,MATCH($A166-90,$A$5:$A$665,1)):INDEX($N$5:$N$665,MATCH($A166+90,$A$5:$A$665,1))),"")</f>
        <v>0.999715214914816</v>
      </c>
      <c r="U166" s="11" t="n">
        <f aca="false">IFERROR(Q166/MEDIAN(INDEX($Q$5:$Q$665,MATCH($A166-90,$A$5:$A$665,1)):INDEX($Q$5:$Q$665,MATCH($A166+90,$A$5:$A$665,1))),"")</f>
        <v>0.790159573460254</v>
      </c>
    </row>
    <row r="167" customFormat="false" ht="15" hidden="false" customHeight="false" outlineLevel="0" collapsed="false">
      <c r="A167" s="13" t="n">
        <v>45094.6251987847</v>
      </c>
      <c r="B167" s="8" t="n">
        <v>15</v>
      </c>
      <c r="C167" s="8" t="s">
        <v>68</v>
      </c>
      <c r="D167" s="8" t="s">
        <v>849</v>
      </c>
      <c r="E167" s="14" t="s">
        <v>66</v>
      </c>
      <c r="F167" s="9" t="n">
        <v>21095</v>
      </c>
      <c r="G167" s="9" t="n">
        <v>11100</v>
      </c>
      <c r="H167" s="9" t="n">
        <v>11106</v>
      </c>
      <c r="I167" s="9" t="n">
        <v>58</v>
      </c>
      <c r="J167" s="9" t="n">
        <v>306</v>
      </c>
      <c r="K167" s="9" t="n">
        <v>20</v>
      </c>
      <c r="L167" s="9" t="n">
        <v>12</v>
      </c>
      <c r="M167" s="10" t="n">
        <f aca="false">IFERROR(G167/F167,"")</f>
        <v>0.526191040530932</v>
      </c>
      <c r="N167" s="10" t="n">
        <f aca="false">IFERROR(H167/G167,"")</f>
        <v>1.00054054054054</v>
      </c>
      <c r="O167" s="11" t="n">
        <f aca="false">IFERROR(I167/H167,"")</f>
        <v>0.00522240230506033</v>
      </c>
      <c r="P167" s="10" t="n">
        <f aca="false">IFERROR(J167/H167,"")</f>
        <v>0.0275526742301459</v>
      </c>
      <c r="Q167" s="10" t="n">
        <f aca="false">IFERROR(K167/H167,"")</f>
        <v>0.00180082838105529</v>
      </c>
      <c r="R167" s="10" t="n">
        <f aca="false">IFERROR(L167/H167,"")</f>
        <v>0.00108049702863317</v>
      </c>
      <c r="S167" s="11" t="n">
        <f aca="false">IFERROR(M167/MEDIAN(INDEX($M$5:$M$665,MATCH($A167-90,$A$5:$A$665,1)):INDEX($M$5:$M$665,MATCH($A167+90,$A$5:$A$665,1))),"")</f>
        <v>1.44582635110329</v>
      </c>
      <c r="T167" s="11" t="n">
        <f aca="false">IFERROR(N167/MEDIAN(INDEX($N$5:$N$665,MATCH($A167-90,$A$5:$A$665,1)):INDEX($N$5:$N$665,MATCH($A167+90,$A$5:$A$665,1))),"")</f>
        <v>1.00077708194898</v>
      </c>
      <c r="U167" s="11" t="n">
        <f aca="false">IFERROR(Q167/MEDIAN(INDEX($Q$5:$Q$665,MATCH($A167-90,$A$5:$A$665,1)):INDEX($Q$5:$Q$665,MATCH($A167+90,$A$5:$A$665,1))),"")</f>
        <v>1.59124624757681</v>
      </c>
    </row>
    <row r="168" customFormat="false" ht="15" hidden="false" customHeight="false" outlineLevel="0" collapsed="false">
      <c r="A168" s="13" t="n">
        <v>45095.6248453357</v>
      </c>
      <c r="B168" s="8" t="n">
        <v>14</v>
      </c>
      <c r="C168" s="8" t="s">
        <v>86</v>
      </c>
      <c r="D168" s="8" t="s">
        <v>850</v>
      </c>
      <c r="E168" s="14" t="s">
        <v>66</v>
      </c>
      <c r="F168" s="9" t="n">
        <v>82903</v>
      </c>
      <c r="G168" s="9" t="n">
        <v>56706</v>
      </c>
      <c r="H168" s="9" t="n">
        <v>56703</v>
      </c>
      <c r="I168" s="9" t="n">
        <v>8</v>
      </c>
      <c r="J168" s="9" t="n">
        <v>752</v>
      </c>
      <c r="K168" s="9" t="n">
        <v>39</v>
      </c>
      <c r="L168" s="9" t="n">
        <v>59</v>
      </c>
      <c r="M168" s="10" t="n">
        <f aca="false">IFERROR(G168/F168,"")</f>
        <v>0.684004197676803</v>
      </c>
      <c r="N168" s="10" t="n">
        <f aca="false">IFERROR(H168/G168,"")</f>
        <v>0.999947095545445</v>
      </c>
      <c r="O168" s="11" t="n">
        <f aca="false">IFERROR(I168/H168,"")</f>
        <v>0.000141086009558577</v>
      </c>
      <c r="P168" s="10" t="n">
        <f aca="false">IFERROR(J168/H168,"")</f>
        <v>0.0132620848985063</v>
      </c>
      <c r="Q168" s="10" t="n">
        <f aca="false">IFERROR(K168/H168,"")</f>
        <v>0.000687794296598064</v>
      </c>
      <c r="R168" s="10" t="n">
        <f aca="false">IFERROR(L168/H168,"")</f>
        <v>0.00104050932049451</v>
      </c>
      <c r="S168" s="11" t="n">
        <f aca="false">IFERROR(M168/MEDIAN(INDEX($M$5:$M$665,MATCH($A168-90,$A$5:$A$665,1)):INDEX($M$5:$M$665,MATCH($A168+90,$A$5:$A$665,1))),"")</f>
        <v>1.86304009574231</v>
      </c>
      <c r="T168" s="11" t="n">
        <f aca="false">IFERROR(N168/MEDIAN(INDEX($N$5:$N$665,MATCH($A168-90,$A$5:$A$665,1)):INDEX($N$5:$N$665,MATCH($A168+90,$A$5:$A$665,1))),"")</f>
        <v>1.00018947758291</v>
      </c>
      <c r="U168" s="11" t="n">
        <f aca="false">IFERROR(Q168/MEDIAN(INDEX($Q$5:$Q$665,MATCH($A168-90,$A$5:$A$665,1)):INDEX($Q$5:$Q$665,MATCH($A168+90,$A$5:$A$665,1))),"")</f>
        <v>0.612996666843024</v>
      </c>
    </row>
    <row r="169" customFormat="false" ht="15" hidden="false" customHeight="false" outlineLevel="0" collapsed="false">
      <c r="A169" s="13" t="n">
        <v>45096.6255028125</v>
      </c>
      <c r="B169" s="8" t="n">
        <v>15</v>
      </c>
      <c r="C169" s="8" t="s">
        <v>80</v>
      </c>
      <c r="D169" s="8" t="s">
        <v>851</v>
      </c>
      <c r="E169" s="14" t="s">
        <v>66</v>
      </c>
      <c r="F169" s="9" t="n">
        <v>27</v>
      </c>
      <c r="G169" s="9" t="n">
        <v>19</v>
      </c>
      <c r="H169" s="9" t="n">
        <v>19</v>
      </c>
      <c r="I169" s="9" t="n">
        <v>0</v>
      </c>
      <c r="J169" s="9" t="n">
        <v>4</v>
      </c>
      <c r="K169" s="9" t="n">
        <v>0</v>
      </c>
      <c r="L169" s="9" t="n">
        <v>0</v>
      </c>
      <c r="M169" s="10" t="n">
        <f aca="false">IFERROR(G169/F169,"")</f>
        <v>0.703703703703704</v>
      </c>
      <c r="N169" s="10" t="n">
        <f aca="false">IFERROR(H169/G169,"")</f>
        <v>1</v>
      </c>
      <c r="O169" s="11" t="n">
        <f aca="false">IFERROR(I169/H169,"")</f>
        <v>0</v>
      </c>
      <c r="P169" s="10" t="n">
        <f aca="false">IFERROR(J169/H169,"")</f>
        <v>0.210526315789474</v>
      </c>
      <c r="Q169" s="10" t="n">
        <f aca="false">IFERROR(K169/H169,"")</f>
        <v>0</v>
      </c>
      <c r="R169" s="10" t="n">
        <f aca="false">IFERROR(L169/H169,"")</f>
        <v>0</v>
      </c>
      <c r="S169" s="11" t="n">
        <f aca="false">IFERROR(M169/MEDIAN(INDEX($M$5:$M$665,MATCH($A169-90,$A$5:$A$665,1)):INDEX($M$5:$M$665,MATCH($A169+90,$A$5:$A$665,1))),"")</f>
        <v>1.95076737035751</v>
      </c>
      <c r="T169" s="11" t="n">
        <f aca="false">IFERROR(N169/MEDIAN(INDEX($N$5:$N$665,MATCH($A169-90,$A$5:$A$665,1)):INDEX($N$5:$N$665,MATCH($A169+90,$A$5:$A$665,1))),"")</f>
        <v>1.00023043244489</v>
      </c>
      <c r="U169" s="11" t="n">
        <f aca="false">IFERROR(Q169/MEDIAN(INDEX($Q$5:$Q$665,MATCH($A169-90,$A$5:$A$665,1)):INDEX($Q$5:$Q$665,MATCH($A169+90,$A$5:$A$665,1))),"")</f>
        <v>0</v>
      </c>
    </row>
    <row r="170" customFormat="false" ht="15" hidden="false" customHeight="false" outlineLevel="0" collapsed="false">
      <c r="A170" s="13" t="n">
        <v>45096.8789136343</v>
      </c>
      <c r="B170" s="8" t="n">
        <v>21</v>
      </c>
      <c r="C170" s="8" t="s">
        <v>80</v>
      </c>
      <c r="D170" s="8" t="s">
        <v>851</v>
      </c>
      <c r="E170" s="14" t="s">
        <v>66</v>
      </c>
      <c r="F170" s="9" t="n">
        <v>3594</v>
      </c>
      <c r="G170" s="9" t="n">
        <v>2285</v>
      </c>
      <c r="H170" s="9" t="n">
        <v>2281</v>
      </c>
      <c r="I170" s="9" t="n">
        <v>0</v>
      </c>
      <c r="J170" s="9" t="n">
        <v>193</v>
      </c>
      <c r="K170" s="9" t="n">
        <v>4</v>
      </c>
      <c r="L170" s="9" t="n">
        <v>6</v>
      </c>
      <c r="M170" s="10" t="n">
        <f aca="false">IFERROR(G170/F170,"")</f>
        <v>0.635781858653311</v>
      </c>
      <c r="N170" s="10" t="n">
        <f aca="false">IFERROR(H170/G170,"")</f>
        <v>0.998249452954048</v>
      </c>
      <c r="O170" s="11" t="n">
        <f aca="false">IFERROR(I170/H170,"")</f>
        <v>0</v>
      </c>
      <c r="P170" s="10" t="n">
        <f aca="false">IFERROR(J170/H170,"")</f>
        <v>0.0846120122753178</v>
      </c>
      <c r="Q170" s="10" t="n">
        <f aca="false">IFERROR(K170/H170,"")</f>
        <v>0.00175361683472161</v>
      </c>
      <c r="R170" s="10" t="n">
        <f aca="false">IFERROR(L170/H170,"")</f>
        <v>0.00263042525208242</v>
      </c>
      <c r="S170" s="11" t="n">
        <f aca="false">IFERROR(M170/MEDIAN(INDEX($M$5:$M$665,MATCH($A170-90,$A$5:$A$665,1)):INDEX($M$5:$M$665,MATCH($A170+90,$A$5:$A$665,1))),"")</f>
        <v>1.76247829590555</v>
      </c>
      <c r="T170" s="11" t="n">
        <f aca="false">IFERROR(N170/MEDIAN(INDEX($N$5:$N$665,MATCH($A170-90,$A$5:$A$665,1)):INDEX($N$5:$N$665,MATCH($A170+90,$A$5:$A$665,1))),"")</f>
        <v>0.998491423491669</v>
      </c>
      <c r="U170" s="11" t="n">
        <f aca="false">IFERROR(Q170/MEDIAN(INDEX($Q$5:$Q$665,MATCH($A170-90,$A$5:$A$665,1)):INDEX($Q$5:$Q$665,MATCH($A170+90,$A$5:$A$665,1))),"")</f>
        <v>1.58424163630592</v>
      </c>
    </row>
    <row r="171" customFormat="false" ht="15" hidden="false" customHeight="false" outlineLevel="0" collapsed="false">
      <c r="A171" s="13" t="n">
        <v>45097.746334375</v>
      </c>
      <c r="B171" s="8" t="n">
        <v>17</v>
      </c>
      <c r="C171" s="8" t="s">
        <v>64</v>
      </c>
      <c r="D171" s="8" t="s">
        <v>852</v>
      </c>
      <c r="E171" s="14" t="s">
        <v>66</v>
      </c>
      <c r="F171" s="9" t="n">
        <v>8024</v>
      </c>
      <c r="G171" s="9" t="n">
        <v>4748</v>
      </c>
      <c r="H171" s="9" t="n">
        <v>4745</v>
      </c>
      <c r="I171" s="9" t="n">
        <v>4</v>
      </c>
      <c r="J171" s="9" t="n">
        <v>282</v>
      </c>
      <c r="K171" s="9" t="n">
        <v>24</v>
      </c>
      <c r="L171" s="9" t="n">
        <v>10</v>
      </c>
      <c r="M171" s="10" t="n">
        <f aca="false">IFERROR(G171/F171,"")</f>
        <v>0.59172482552343</v>
      </c>
      <c r="N171" s="10" t="n">
        <f aca="false">IFERROR(H171/G171,"")</f>
        <v>0.999368155012637</v>
      </c>
      <c r="O171" s="11" t="n">
        <f aca="false">IFERROR(I171/H171,"")</f>
        <v>0.000842992623814542</v>
      </c>
      <c r="P171" s="10" t="n">
        <f aca="false">IFERROR(J171/H171,"")</f>
        <v>0.0594309799789252</v>
      </c>
      <c r="Q171" s="10" t="n">
        <f aca="false">IFERROR(K171/H171,"")</f>
        <v>0.00505795574288725</v>
      </c>
      <c r="R171" s="10" t="n">
        <f aca="false">IFERROR(L171/H171,"")</f>
        <v>0.00210748155953635</v>
      </c>
      <c r="S171" s="11" t="n">
        <f aca="false">IFERROR(M171/MEDIAN(INDEX($M$5:$M$665,MATCH($A171-90,$A$5:$A$665,1)):INDEX($M$5:$M$665,MATCH($A171+90,$A$5:$A$665,1))),"")</f>
        <v>1.62589493063305</v>
      </c>
      <c r="T171" s="11" t="n">
        <f aca="false">IFERROR(N171/MEDIAN(INDEX($N$5:$N$665,MATCH($A171-90,$A$5:$A$665,1)):INDEX($N$5:$N$665,MATCH($A171+90,$A$5:$A$665,1))),"")</f>
        <v>0.999614466026956</v>
      </c>
      <c r="U171" s="11" t="n">
        <f aca="false">IFERROR(Q171/MEDIAN(INDEX($Q$5:$Q$665,MATCH($A171-90,$A$5:$A$665,1)):INDEX($Q$5:$Q$665,MATCH($A171+90,$A$5:$A$665,1))),"")</f>
        <v>4.60430818761576</v>
      </c>
    </row>
    <row r="172" customFormat="false" ht="15" hidden="false" customHeight="false" outlineLevel="0" collapsed="false">
      <c r="A172" s="13" t="n">
        <v>45098.7400220255</v>
      </c>
      <c r="B172" s="8" t="n">
        <v>17</v>
      </c>
      <c r="C172" s="8" t="s">
        <v>71</v>
      </c>
      <c r="D172" s="8" t="s">
        <v>853</v>
      </c>
      <c r="E172" s="14" t="s">
        <v>66</v>
      </c>
      <c r="F172" s="9" t="n">
        <v>53758</v>
      </c>
      <c r="G172" s="9" t="n">
        <v>13546</v>
      </c>
      <c r="H172" s="9" t="n">
        <v>13542</v>
      </c>
      <c r="I172" s="9" t="n">
        <v>11</v>
      </c>
      <c r="J172" s="9" t="n">
        <v>400</v>
      </c>
      <c r="K172" s="9" t="n">
        <v>29</v>
      </c>
      <c r="L172" s="9" t="n">
        <v>12</v>
      </c>
      <c r="M172" s="10" t="n">
        <f aca="false">IFERROR(G172/F172,"")</f>
        <v>0.251981100487369</v>
      </c>
      <c r="N172" s="10" t="n">
        <f aca="false">IFERROR(H172/G172,"")</f>
        <v>0.999704709877455</v>
      </c>
      <c r="O172" s="11" t="n">
        <f aca="false">IFERROR(I172/H172,"")</f>
        <v>0.000812287697533599</v>
      </c>
      <c r="P172" s="10" t="n">
        <f aca="false">IFERROR(J172/H172,"")</f>
        <v>0.0295377344557672</v>
      </c>
      <c r="Q172" s="10" t="n">
        <f aca="false">IFERROR(K172/H172,"")</f>
        <v>0.00214148574804313</v>
      </c>
      <c r="R172" s="10" t="n">
        <f aca="false">IFERROR(L172/H172,"")</f>
        <v>0.000886132033673017</v>
      </c>
      <c r="S172" s="11" t="n">
        <f aca="false">IFERROR(M172/MEDIAN(INDEX($M$5:$M$665,MATCH($A172-90,$A$5:$A$665,1)):INDEX($M$5:$M$665,MATCH($A172+90,$A$5:$A$665,1))),"")</f>
        <v>0.686327503795613</v>
      </c>
      <c r="T172" s="11" t="n">
        <f aca="false">IFERROR(N172/MEDIAN(INDEX($N$5:$N$665,MATCH($A172-90,$A$5:$A$665,1)):INDEX($N$5:$N$665,MATCH($A172+90,$A$5:$A$665,1))),"")</f>
        <v>0.999955174553979</v>
      </c>
      <c r="U172" s="11" t="n">
        <f aca="false">IFERROR(Q172/MEDIAN(INDEX($Q$5:$Q$665,MATCH($A172-90,$A$5:$A$665,1)):INDEX($Q$5:$Q$665,MATCH($A172+90,$A$5:$A$665,1))),"")</f>
        <v>1.93464776251661</v>
      </c>
    </row>
    <row r="173" customFormat="false" ht="15" hidden="false" customHeight="false" outlineLevel="0" collapsed="false">
      <c r="A173" s="13" t="n">
        <v>45099.7044831829</v>
      </c>
      <c r="B173" s="8" t="n">
        <v>16</v>
      </c>
      <c r="C173" s="8" t="s">
        <v>73</v>
      </c>
      <c r="D173" s="8" t="s">
        <v>854</v>
      </c>
      <c r="E173" s="14" t="s">
        <v>66</v>
      </c>
      <c r="F173" s="9" t="n">
        <v>36931</v>
      </c>
      <c r="G173" s="9" t="n">
        <v>8376</v>
      </c>
      <c r="H173" s="9" t="n">
        <v>8373</v>
      </c>
      <c r="I173" s="9" t="n">
        <v>7</v>
      </c>
      <c r="J173" s="9" t="n">
        <v>391</v>
      </c>
      <c r="K173" s="9" t="n">
        <v>13</v>
      </c>
      <c r="L173" s="9" t="n">
        <v>14</v>
      </c>
      <c r="M173" s="10" t="n">
        <f aca="false">IFERROR(G173/F173,"")</f>
        <v>0.226801332214129</v>
      </c>
      <c r="N173" s="10" t="n">
        <f aca="false">IFERROR(H173/G173,"")</f>
        <v>0.999641833810888</v>
      </c>
      <c r="O173" s="11" t="n">
        <f aca="false">IFERROR(I173/H173,"")</f>
        <v>0.000836020542219037</v>
      </c>
      <c r="P173" s="10" t="n">
        <f aca="false">IFERROR(J173/H173,"")</f>
        <v>0.0466977188582348</v>
      </c>
      <c r="Q173" s="10" t="n">
        <f aca="false">IFERROR(K173/H173,"")</f>
        <v>0.00155260957840678</v>
      </c>
      <c r="R173" s="10" t="n">
        <f aca="false">IFERROR(L173/H173,"")</f>
        <v>0.00167204108443807</v>
      </c>
      <c r="S173" s="11" t="n">
        <f aca="false">IFERROR(M173/MEDIAN(INDEX($M$5:$M$665,MATCH($A173-90,$A$5:$A$665,1)):INDEX($M$5:$M$665,MATCH($A173+90,$A$5:$A$665,1))),"")</f>
        <v>0.609564085493449</v>
      </c>
      <c r="T173" s="11" t="n">
        <f aca="false">IFERROR(N173/MEDIAN(INDEX($N$5:$N$665,MATCH($A173-90,$A$5:$A$665,1)):INDEX($N$5:$N$665,MATCH($A173+90,$A$5:$A$665,1))),"")</f>
        <v>0.999898448323482</v>
      </c>
      <c r="U173" s="11" t="n">
        <f aca="false">IFERROR(Q173/MEDIAN(INDEX($Q$5:$Q$665,MATCH($A173-90,$A$5:$A$665,1)):INDEX($Q$5:$Q$665,MATCH($A173+90,$A$5:$A$665,1))),"")</f>
        <v>1.42422817389227</v>
      </c>
    </row>
    <row r="174" customFormat="false" ht="15" hidden="false" customHeight="false" outlineLevel="0" collapsed="false">
      <c r="A174" s="13" t="n">
        <v>45100.7624276852</v>
      </c>
      <c r="B174" s="8" t="n">
        <v>18</v>
      </c>
      <c r="C174" s="8" t="s">
        <v>84</v>
      </c>
      <c r="D174" s="8" t="s">
        <v>855</v>
      </c>
      <c r="E174" s="14" t="s">
        <v>66</v>
      </c>
      <c r="F174" s="9" t="n">
        <v>18324</v>
      </c>
      <c r="G174" s="9" t="n">
        <v>11547</v>
      </c>
      <c r="H174" s="9" t="n">
        <v>11543</v>
      </c>
      <c r="I174" s="9" t="n">
        <v>3</v>
      </c>
      <c r="J174" s="9" t="n">
        <v>239</v>
      </c>
      <c r="K174" s="9" t="n">
        <v>9</v>
      </c>
      <c r="L174" s="9" t="n">
        <v>13</v>
      </c>
      <c r="M174" s="10" t="n">
        <f aca="false">IFERROR(G174/F174,"")</f>
        <v>0.630157170923379</v>
      </c>
      <c r="N174" s="10" t="n">
        <f aca="false">IFERROR(H174/G174,"")</f>
        <v>0.999653589676972</v>
      </c>
      <c r="O174" s="11" t="n">
        <f aca="false">IFERROR(I174/H174,"")</f>
        <v>0.000259897773542407</v>
      </c>
      <c r="P174" s="10" t="n">
        <f aca="false">IFERROR(J174/H174,"")</f>
        <v>0.0207051892922117</v>
      </c>
      <c r="Q174" s="10" t="n">
        <f aca="false">IFERROR(K174/H174,"")</f>
        <v>0.00077969332062722</v>
      </c>
      <c r="R174" s="10" t="n">
        <f aca="false">IFERROR(L174/H174,"")</f>
        <v>0.00112622368535043</v>
      </c>
      <c r="S174" s="11" t="n">
        <f aca="false">IFERROR(M174/MEDIAN(INDEX($M$5:$M$665,MATCH($A174-90,$A$5:$A$665,1)):INDEX($M$5:$M$665,MATCH($A174+90,$A$5:$A$665,1))),"")</f>
        <v>1.69364604634857</v>
      </c>
      <c r="T174" s="11" t="n">
        <f aca="false">IFERROR(N174/MEDIAN(INDEX($N$5:$N$665,MATCH($A174-90,$A$5:$A$665,1)):INDEX($N$5:$N$665,MATCH($A174+90,$A$5:$A$665,1))),"")</f>
        <v>0.999910207207373</v>
      </c>
      <c r="U174" s="11" t="n">
        <f aca="false">IFERROR(Q174/MEDIAN(INDEX($Q$5:$Q$665,MATCH($A174-90,$A$5:$A$665,1)):INDEX($Q$5:$Q$665,MATCH($A174+90,$A$5:$A$665,1))),"")</f>
        <v>0.715222429177857</v>
      </c>
    </row>
    <row r="175" customFormat="false" ht="15" hidden="false" customHeight="false" outlineLevel="0" collapsed="false">
      <c r="A175" s="13" t="n">
        <v>45101.8000136458</v>
      </c>
      <c r="B175" s="8" t="n">
        <v>19</v>
      </c>
      <c r="C175" s="8" t="s">
        <v>68</v>
      </c>
      <c r="D175" s="8" t="s">
        <v>856</v>
      </c>
      <c r="E175" s="14" t="s">
        <v>66</v>
      </c>
      <c r="F175" s="9" t="n">
        <v>85125</v>
      </c>
      <c r="G175" s="9" t="n">
        <v>27299</v>
      </c>
      <c r="H175" s="9" t="n">
        <v>27296</v>
      </c>
      <c r="I175" s="9" t="n">
        <v>5</v>
      </c>
      <c r="J175" s="9" t="n">
        <v>261</v>
      </c>
      <c r="K175" s="9" t="n">
        <v>29</v>
      </c>
      <c r="L175" s="9" t="n">
        <v>26</v>
      </c>
      <c r="M175" s="10" t="n">
        <f aca="false">IFERROR(G175/F175,"")</f>
        <v>0.320693098384728</v>
      </c>
      <c r="N175" s="10" t="n">
        <f aca="false">IFERROR(H175/G175,"")</f>
        <v>0.999890105864684</v>
      </c>
      <c r="O175" s="11" t="n">
        <f aca="false">IFERROR(I175/H175,"")</f>
        <v>0.000183177022274326</v>
      </c>
      <c r="P175" s="10" t="n">
        <f aca="false">IFERROR(J175/H175,"")</f>
        <v>0.00956184056271981</v>
      </c>
      <c r="Q175" s="10" t="n">
        <f aca="false">IFERROR(K175/H175,"")</f>
        <v>0.00106242672919109</v>
      </c>
      <c r="R175" s="10" t="n">
        <f aca="false">IFERROR(L175/H175,"")</f>
        <v>0.000952520515826495</v>
      </c>
      <c r="S175" s="11" t="n">
        <f aca="false">IFERROR(M175/MEDIAN(INDEX($M$5:$M$665,MATCH($A175-90,$A$5:$A$665,1)):INDEX($M$5:$M$665,MATCH($A175+90,$A$5:$A$665,1))),"")</f>
        <v>0.861912905592579</v>
      </c>
      <c r="T175" s="11" t="n">
        <f aca="false">IFERROR(N175/MEDIAN(INDEX($N$5:$N$665,MATCH($A175-90,$A$5:$A$665,1)):INDEX($N$5:$N$665,MATCH($A175+90,$A$5:$A$665,1))),"")</f>
        <v>1.00014678411032</v>
      </c>
      <c r="U175" s="11" t="n">
        <f aca="false">IFERROR(Q175/MEDIAN(INDEX($Q$5:$Q$665,MATCH($A175-90,$A$5:$A$665,1)):INDEX($Q$5:$Q$665,MATCH($A175+90,$A$5:$A$665,1))),"")</f>
        <v>0.980994845183091</v>
      </c>
    </row>
    <row r="176" customFormat="false" ht="15" hidden="false" customHeight="false" outlineLevel="0" collapsed="false">
      <c r="A176" s="13" t="n">
        <v>45102.7638163773</v>
      </c>
      <c r="B176" s="8" t="n">
        <v>18</v>
      </c>
      <c r="C176" s="8" t="s">
        <v>86</v>
      </c>
      <c r="D176" s="8" t="s">
        <v>857</v>
      </c>
      <c r="E176" s="14" t="s">
        <v>66</v>
      </c>
      <c r="F176" s="9" t="n">
        <v>228651</v>
      </c>
      <c r="G176" s="9" t="n">
        <v>36198</v>
      </c>
      <c r="H176" s="9" t="n">
        <v>36195</v>
      </c>
      <c r="I176" s="9" t="n">
        <v>8</v>
      </c>
      <c r="J176" s="9" t="n">
        <v>415</v>
      </c>
      <c r="K176" s="9" t="n">
        <v>28</v>
      </c>
      <c r="L176" s="9" t="n">
        <v>7</v>
      </c>
      <c r="M176" s="10" t="n">
        <f aca="false">IFERROR(G176/F176,"")</f>
        <v>0.158311137935106</v>
      </c>
      <c r="N176" s="10" t="n">
        <f aca="false">IFERROR(H176/G176,"")</f>
        <v>0.999917122492955</v>
      </c>
      <c r="O176" s="11" t="n">
        <f aca="false">IFERROR(I176/H176,"")</f>
        <v>0.000221025003453516</v>
      </c>
      <c r="P176" s="10" t="n">
        <f aca="false">IFERROR(J176/H176,"")</f>
        <v>0.0114656720541511</v>
      </c>
      <c r="Q176" s="10" t="n">
        <f aca="false">IFERROR(K176/H176,"")</f>
        <v>0.000773587512087305</v>
      </c>
      <c r="R176" s="10" t="n">
        <f aca="false">IFERROR(L176/H176,"")</f>
        <v>0.000193396878021826</v>
      </c>
      <c r="S176" s="11" t="n">
        <f aca="false">IFERROR(M176/MEDIAN(INDEX($M$5:$M$665,MATCH($A176-90,$A$5:$A$665,1)):INDEX($M$5:$M$665,MATCH($A176+90,$A$5:$A$665,1))),"")</f>
        <v>0.4235136785905</v>
      </c>
      <c r="T176" s="11" t="n">
        <f aca="false">IFERROR(N176/MEDIAN(INDEX($N$5:$N$665,MATCH($A176-90,$A$5:$A$665,1)):INDEX($N$5:$N$665,MATCH($A176+90,$A$5:$A$665,1))),"")</f>
        <v>1.00017380767393</v>
      </c>
      <c r="U176" s="11" t="n">
        <f aca="false">IFERROR(Q176/MEDIAN(INDEX($Q$5:$Q$665,MATCH($A176-90,$A$5:$A$665,1)):INDEX($Q$5:$Q$665,MATCH($A176+90,$A$5:$A$665,1))),"")</f>
        <v>0.717163972924437</v>
      </c>
    </row>
    <row r="177" customFormat="false" ht="15" hidden="false" customHeight="false" outlineLevel="0" collapsed="false">
      <c r="A177" s="13" t="n">
        <v>45103.8131659259</v>
      </c>
      <c r="B177" s="8" t="n">
        <v>19</v>
      </c>
      <c r="C177" s="8" t="s">
        <v>80</v>
      </c>
      <c r="D177" s="8" t="s">
        <v>858</v>
      </c>
      <c r="E177" s="14" t="s">
        <v>66</v>
      </c>
      <c r="F177" s="9" t="n">
        <v>53498</v>
      </c>
      <c r="G177" s="9" t="n">
        <v>13083</v>
      </c>
      <c r="H177" s="9" t="n">
        <v>13101</v>
      </c>
      <c r="I177" s="9" t="n">
        <v>67</v>
      </c>
      <c r="J177" s="9" t="n">
        <v>301</v>
      </c>
      <c r="K177" s="9" t="n">
        <v>26</v>
      </c>
      <c r="L177" s="9" t="n">
        <v>9</v>
      </c>
      <c r="M177" s="10" t="n">
        <f aca="false">IFERROR(G177/F177,"")</f>
        <v>0.244551198175633</v>
      </c>
      <c r="N177" s="10" t="n">
        <f aca="false">IFERROR(H177/G177,"")</f>
        <v>1.00137583123137</v>
      </c>
      <c r="O177" s="11" t="n">
        <f aca="false">IFERROR(I177/H177,"")</f>
        <v>0.005114113426456</v>
      </c>
      <c r="P177" s="10" t="n">
        <f aca="false">IFERROR(J177/H177,"")</f>
        <v>0.0229753453934814</v>
      </c>
      <c r="Q177" s="10" t="n">
        <f aca="false">IFERROR(K177/H177,"")</f>
        <v>0.00198458132966949</v>
      </c>
      <c r="R177" s="10" t="n">
        <f aca="false">IFERROR(L177/H177,"")</f>
        <v>0.000686970460270208</v>
      </c>
      <c r="S177" s="11" t="n">
        <f aca="false">IFERROR(M177/MEDIAN(INDEX($M$5:$M$665,MATCH($A177-90,$A$5:$A$665,1)):INDEX($M$5:$M$665,MATCH($A177+90,$A$5:$A$665,1))),"")</f>
        <v>0.654222936515884</v>
      </c>
      <c r="T177" s="11" t="n">
        <f aca="false">IFERROR(N177/MEDIAN(INDEX($N$5:$N$665,MATCH($A177-90,$A$5:$A$665,1)):INDEX($N$5:$N$665,MATCH($A177+90,$A$5:$A$665,1))),"")</f>
        <v>1.0016328908723</v>
      </c>
      <c r="U177" s="11" t="n">
        <f aca="false">IFERROR(Q177/MEDIAN(INDEX($Q$5:$Q$665,MATCH($A177-90,$A$5:$A$665,1)):INDEX($Q$5:$Q$665,MATCH($A177+90,$A$5:$A$665,1))),"")</f>
        <v>1.83983092893672</v>
      </c>
    </row>
    <row r="178" customFormat="false" ht="15" hidden="false" customHeight="false" outlineLevel="0" collapsed="false">
      <c r="A178" s="13" t="n">
        <v>45104.8275810764</v>
      </c>
      <c r="B178" s="8" t="n">
        <v>19</v>
      </c>
      <c r="C178" s="8" t="s">
        <v>64</v>
      </c>
      <c r="D178" s="8" t="s">
        <v>859</v>
      </c>
      <c r="E178" s="14" t="s">
        <v>66</v>
      </c>
      <c r="F178" s="9" t="n">
        <v>70233</v>
      </c>
      <c r="G178" s="9" t="n">
        <v>14699</v>
      </c>
      <c r="H178" s="9" t="n">
        <v>14695</v>
      </c>
      <c r="I178" s="9" t="n">
        <v>6</v>
      </c>
      <c r="J178" s="9" t="n">
        <v>414</v>
      </c>
      <c r="K178" s="9" t="n">
        <v>22</v>
      </c>
      <c r="L178" s="9" t="n">
        <v>13</v>
      </c>
      <c r="M178" s="10" t="n">
        <f aca="false">IFERROR(G178/F178,"")</f>
        <v>0.209289080631612</v>
      </c>
      <c r="N178" s="10" t="n">
        <f aca="false">IFERROR(H178/G178,"")</f>
        <v>0.999727872644398</v>
      </c>
      <c r="O178" s="11" t="n">
        <f aca="false">IFERROR(I178/H178,"")</f>
        <v>0.000408302143586254</v>
      </c>
      <c r="P178" s="10" t="n">
        <f aca="false">IFERROR(J178/H178,"")</f>
        <v>0.0281728479074515</v>
      </c>
      <c r="Q178" s="10" t="n">
        <f aca="false">IFERROR(K178/H178,"")</f>
        <v>0.00149710785981626</v>
      </c>
      <c r="R178" s="10" t="n">
        <f aca="false">IFERROR(L178/H178,"")</f>
        <v>0.000884654644436883</v>
      </c>
      <c r="S178" s="11" t="n">
        <f aca="false">IFERROR(M178/MEDIAN(INDEX($M$5:$M$665,MATCH($A178-90,$A$5:$A$665,1)):INDEX($M$5:$M$665,MATCH($A178+90,$A$5:$A$665,1))),"")</f>
        <v>0.555525075438534</v>
      </c>
      <c r="T178" s="11" t="n">
        <f aca="false">IFERROR(N178/MEDIAN(INDEX($N$5:$N$665,MATCH($A178-90,$A$5:$A$665,1)):INDEX($N$5:$N$665,MATCH($A178+90,$A$5:$A$665,1))),"")</f>
        <v>0.999997421897165</v>
      </c>
      <c r="U178" s="11" t="n">
        <f aca="false">IFERROR(Q178/MEDIAN(INDEX($Q$5:$Q$665,MATCH($A178-90,$A$5:$A$665,1)):INDEX($Q$5:$Q$665,MATCH($A178+90,$A$5:$A$665,1))),"")</f>
        <v>1.39457066174892</v>
      </c>
    </row>
    <row r="179" customFormat="false" ht="15" hidden="false" customHeight="false" outlineLevel="0" collapsed="false">
      <c r="A179" s="13" t="n">
        <v>45105.7639285648</v>
      </c>
      <c r="B179" s="8" t="n">
        <v>18</v>
      </c>
      <c r="C179" s="8" t="s">
        <v>71</v>
      </c>
      <c r="D179" s="8" t="s">
        <v>860</v>
      </c>
      <c r="E179" s="14" t="s">
        <v>66</v>
      </c>
      <c r="F179" s="9" t="n">
        <v>33832</v>
      </c>
      <c r="G179" s="9" t="n">
        <v>11262</v>
      </c>
      <c r="H179" s="9" t="n">
        <v>11257</v>
      </c>
      <c r="I179" s="9" t="n">
        <v>7</v>
      </c>
      <c r="J179" s="9" t="n">
        <v>374</v>
      </c>
      <c r="K179" s="9" t="n">
        <v>39</v>
      </c>
      <c r="L179" s="9" t="n">
        <v>18</v>
      </c>
      <c r="M179" s="10" t="n">
        <f aca="false">IFERROR(G179/F179,"")</f>
        <v>0.33288011350201</v>
      </c>
      <c r="N179" s="10" t="n">
        <f aca="false">IFERROR(H179/G179,"")</f>
        <v>0.99955602912449</v>
      </c>
      <c r="O179" s="11" t="n">
        <f aca="false">IFERROR(I179/H179,"")</f>
        <v>0.000621835302478458</v>
      </c>
      <c r="P179" s="10" t="n">
        <f aca="false">IFERROR(J179/H179,"")</f>
        <v>0.0332237718752776</v>
      </c>
      <c r="Q179" s="10" t="n">
        <f aca="false">IFERROR(K179/H179,"")</f>
        <v>0.00346451097095141</v>
      </c>
      <c r="R179" s="10" t="n">
        <f aca="false">IFERROR(L179/H179,"")</f>
        <v>0.00159900506351603</v>
      </c>
      <c r="S179" s="11" t="n">
        <f aca="false">IFERROR(M179/MEDIAN(INDEX($M$5:$M$665,MATCH($A179-90,$A$5:$A$665,1)):INDEX($M$5:$M$665,MATCH($A179+90,$A$5:$A$665,1))),"")</f>
        <v>0.876743323218953</v>
      </c>
      <c r="T179" s="11" t="n">
        <f aca="false">IFERROR(N179/MEDIAN(INDEX($N$5:$N$665,MATCH($A179-90,$A$5:$A$665,1)):INDEX($N$5:$N$665,MATCH($A179+90,$A$5:$A$665,1))),"")</f>
        <v>0.99982810970404</v>
      </c>
      <c r="U179" s="11" t="n">
        <f aca="false">IFERROR(Q179/MEDIAN(INDEX($Q$5:$Q$665,MATCH($A179-90,$A$5:$A$665,1)):INDEX($Q$5:$Q$665,MATCH($A179+90,$A$5:$A$665,1))),"")</f>
        <v>3.24278226881052</v>
      </c>
    </row>
    <row r="180" customFormat="false" ht="15" hidden="false" customHeight="false" outlineLevel="0" collapsed="false">
      <c r="A180" s="13" t="n">
        <v>45107.8672635417</v>
      </c>
      <c r="B180" s="8" t="n">
        <v>20</v>
      </c>
      <c r="C180" s="8" t="s">
        <v>84</v>
      </c>
      <c r="D180" s="8" t="s">
        <v>861</v>
      </c>
      <c r="E180" s="14" t="s">
        <v>66</v>
      </c>
      <c r="F180" s="9" t="n">
        <v>14920</v>
      </c>
      <c r="G180" s="9" t="n">
        <v>10193</v>
      </c>
      <c r="H180" s="9" t="n">
        <v>10191</v>
      </c>
      <c r="I180" s="9" t="n">
        <v>8</v>
      </c>
      <c r="J180" s="9" t="n">
        <v>489</v>
      </c>
      <c r="K180" s="9" t="n">
        <v>21</v>
      </c>
      <c r="L180" s="9" t="n">
        <v>18</v>
      </c>
      <c r="M180" s="10" t="n">
        <f aca="false">IFERROR(G180/F180,"")</f>
        <v>0.683176943699732</v>
      </c>
      <c r="N180" s="10" t="n">
        <f aca="false">IFERROR(H180/G180,"")</f>
        <v>0.999803786912587</v>
      </c>
      <c r="O180" s="11" t="n">
        <f aca="false">IFERROR(I180/H180,"")</f>
        <v>0.000785006378176823</v>
      </c>
      <c r="P180" s="10" t="n">
        <f aca="false">IFERROR(J180/H180,"")</f>
        <v>0.0479835148660583</v>
      </c>
      <c r="Q180" s="10" t="n">
        <f aca="false">IFERROR(K180/H180,"")</f>
        <v>0.00206064174271416</v>
      </c>
      <c r="R180" s="10" t="n">
        <f aca="false">IFERROR(L180/H180,"")</f>
        <v>0.00176626435089785</v>
      </c>
      <c r="S180" s="11" t="n">
        <f aca="false">IFERROR(M180/MEDIAN(INDEX($M$5:$M$665,MATCH($A180-90,$A$5:$A$665,1)):INDEX($M$5:$M$665,MATCH($A180+90,$A$5:$A$665,1))),"")</f>
        <v>1.7787211189907</v>
      </c>
      <c r="T180" s="11" t="n">
        <f aca="false">IFERROR(N180/MEDIAN(INDEX($N$5:$N$665,MATCH($A180-90,$A$5:$A$665,1)):INDEX($N$5:$N$665,MATCH($A180+90,$A$5:$A$665,1))),"")</f>
        <v>1.00007593493216</v>
      </c>
      <c r="U180" s="11" t="n">
        <f aca="false">IFERROR(Q180/MEDIAN(INDEX($Q$5:$Q$665,MATCH($A180-90,$A$5:$A$665,1)):INDEX($Q$5:$Q$665,MATCH($A180+90,$A$5:$A$665,1))),"")</f>
        <v>1.92876067118045</v>
      </c>
    </row>
    <row r="181" customFormat="false" ht="15" hidden="false" customHeight="false" outlineLevel="0" collapsed="false">
      <c r="A181" s="13" t="n">
        <v>45108.8815117708</v>
      </c>
      <c r="B181" s="8" t="n">
        <v>21</v>
      </c>
      <c r="C181" s="8" t="s">
        <v>68</v>
      </c>
      <c r="D181" s="8" t="s">
        <v>862</v>
      </c>
      <c r="E181" s="14" t="s">
        <v>66</v>
      </c>
      <c r="F181" s="9" t="n">
        <v>103596</v>
      </c>
      <c r="G181" s="9" t="n">
        <v>20922</v>
      </c>
      <c r="H181" s="9" t="n">
        <v>20921</v>
      </c>
      <c r="I181" s="9" t="n">
        <v>3</v>
      </c>
      <c r="J181" s="9" t="n">
        <v>272</v>
      </c>
      <c r="K181" s="9" t="n">
        <v>10</v>
      </c>
      <c r="L181" s="9" t="n">
        <v>7</v>
      </c>
      <c r="M181" s="10" t="n">
        <f aca="false">IFERROR(G181/F181,"")</f>
        <v>0.201957604540716</v>
      </c>
      <c r="N181" s="10" t="n">
        <f aca="false">IFERROR(H181/G181,"")</f>
        <v>0.999952203422235</v>
      </c>
      <c r="O181" s="11" t="n">
        <f aca="false">IFERROR(I181/H181,"")</f>
        <v>0.000143396587161226</v>
      </c>
      <c r="P181" s="10" t="n">
        <f aca="false">IFERROR(J181/H181,"")</f>
        <v>0.0130012905692845</v>
      </c>
      <c r="Q181" s="10" t="n">
        <f aca="false">IFERROR(K181/H181,"")</f>
        <v>0.000477988623870752</v>
      </c>
      <c r="R181" s="10" t="n">
        <f aca="false">IFERROR(L181/H181,"")</f>
        <v>0.000334592036709526</v>
      </c>
      <c r="S181" s="11" t="n">
        <f aca="false">IFERROR(M181/MEDIAN(INDEX($M$5:$M$665,MATCH($A181-90,$A$5:$A$665,1)):INDEX($M$5:$M$665,MATCH($A181+90,$A$5:$A$665,1))),"")</f>
        <v>0.520255602757013</v>
      </c>
      <c r="T181" s="11" t="n">
        <f aca="false">IFERROR(N181/MEDIAN(INDEX($N$5:$N$665,MATCH($A181-90,$A$5:$A$665,1)):INDEX($N$5:$N$665,MATCH($A181+90,$A$5:$A$665,1))),"")</f>
        <v>1.000224391841</v>
      </c>
      <c r="U181" s="11" t="n">
        <f aca="false">IFERROR(Q181/MEDIAN(INDEX($Q$5:$Q$665,MATCH($A181-90,$A$5:$A$665,1)):INDEX($Q$5:$Q$665,MATCH($A181+90,$A$5:$A$665,1))),"")</f>
        <v>0.443125328617179</v>
      </c>
    </row>
    <row r="182" customFormat="false" ht="15" hidden="false" customHeight="false" outlineLevel="0" collapsed="false">
      <c r="A182" s="13" t="n">
        <v>45109.6043045486</v>
      </c>
      <c r="B182" s="8" t="n">
        <v>14</v>
      </c>
      <c r="C182" s="8" t="s">
        <v>86</v>
      </c>
      <c r="D182" s="8" t="s">
        <v>863</v>
      </c>
      <c r="E182" s="14" t="s">
        <v>66</v>
      </c>
      <c r="F182" s="9" t="n">
        <v>9845</v>
      </c>
      <c r="G182" s="9" t="n">
        <v>4724</v>
      </c>
      <c r="H182" s="9" t="n">
        <v>4719</v>
      </c>
      <c r="I182" s="9" t="n">
        <v>3</v>
      </c>
      <c r="J182" s="9" t="n">
        <v>142</v>
      </c>
      <c r="K182" s="9" t="n">
        <v>5</v>
      </c>
      <c r="L182" s="9" t="n">
        <v>3</v>
      </c>
      <c r="M182" s="10" t="n">
        <f aca="false">IFERROR(G182/F182,"")</f>
        <v>0.479837480954799</v>
      </c>
      <c r="N182" s="10" t="n">
        <f aca="false">IFERROR(H182/G182,"")</f>
        <v>0.998941574936495</v>
      </c>
      <c r="O182" s="11" t="n">
        <f aca="false">IFERROR(I182/H182,"")</f>
        <v>0.000635727908455181</v>
      </c>
      <c r="P182" s="10" t="n">
        <f aca="false">IFERROR(J182/H182,"")</f>
        <v>0.0300911210002119</v>
      </c>
      <c r="Q182" s="10" t="n">
        <f aca="false">IFERROR(K182/H182,"")</f>
        <v>0.00105954651409197</v>
      </c>
      <c r="R182" s="10" t="n">
        <f aca="false">IFERROR(L182/H182,"")</f>
        <v>0.000635727908455181</v>
      </c>
      <c r="S182" s="11" t="n">
        <f aca="false">IFERROR(M182/MEDIAN(INDEX($M$5:$M$665,MATCH($A182-90,$A$5:$A$665,1)):INDEX($M$5:$M$665,MATCH($A182+90,$A$5:$A$665,1))),"")</f>
        <v>1.23609179484607</v>
      </c>
      <c r="T182" s="11" t="n">
        <f aca="false">IFERROR(N182/MEDIAN(INDEX($N$5:$N$665,MATCH($A182-90,$A$5:$A$665,1)):INDEX($N$5:$N$665,MATCH($A182+90,$A$5:$A$665,1))),"")</f>
        <v>0.999213488260737</v>
      </c>
      <c r="U182" s="11" t="n">
        <f aca="false">IFERROR(Q182/MEDIAN(INDEX($Q$5:$Q$665,MATCH($A182-90,$A$5:$A$665,1)):INDEX($Q$5:$Q$665,MATCH($A182+90,$A$5:$A$665,1))),"")</f>
        <v>0.982265840220386</v>
      </c>
    </row>
    <row r="183" customFormat="false" ht="15" hidden="false" customHeight="false" outlineLevel="0" collapsed="false">
      <c r="A183" s="13" t="n">
        <v>45110.6916290509</v>
      </c>
      <c r="B183" s="8" t="n">
        <v>16</v>
      </c>
      <c r="C183" s="8" t="s">
        <v>80</v>
      </c>
      <c r="D183" s="8" t="s">
        <v>864</v>
      </c>
      <c r="E183" s="14" t="s">
        <v>66</v>
      </c>
      <c r="F183" s="9" t="n">
        <v>44911</v>
      </c>
      <c r="G183" s="9" t="n">
        <v>13408</v>
      </c>
      <c r="H183" s="9" t="n">
        <v>13411</v>
      </c>
      <c r="I183" s="9" t="n">
        <v>55</v>
      </c>
      <c r="J183" s="9" t="n">
        <v>309</v>
      </c>
      <c r="K183" s="9" t="n">
        <v>12</v>
      </c>
      <c r="L183" s="9" t="n">
        <v>16</v>
      </c>
      <c r="M183" s="10" t="n">
        <f aca="false">IFERROR(G183/F183,"")</f>
        <v>0.298546013226158</v>
      </c>
      <c r="N183" s="10" t="n">
        <f aca="false">IFERROR(H183/G183,"")</f>
        <v>1.00022374701671</v>
      </c>
      <c r="O183" s="11" t="n">
        <f aca="false">IFERROR(I183/H183,"")</f>
        <v>0.00410111102826038</v>
      </c>
      <c r="P183" s="10" t="n">
        <f aca="false">IFERROR(J183/H183,"")</f>
        <v>0.0230407874133174</v>
      </c>
      <c r="Q183" s="10" t="n">
        <f aca="false">IFERROR(K183/H183,"")</f>
        <v>0.000894787860711356</v>
      </c>
      <c r="R183" s="10" t="n">
        <f aca="false">IFERROR(L183/H183,"")</f>
        <v>0.00119305048094848</v>
      </c>
      <c r="S183" s="11" t="n">
        <f aca="false">IFERROR(M183/MEDIAN(INDEX($M$5:$M$665,MATCH($A183-90,$A$5:$A$665,1)):INDEX($M$5:$M$665,MATCH($A183+90,$A$5:$A$665,1))),"")</f>
        <v>0.764683587501708</v>
      </c>
      <c r="T183" s="11" t="n">
        <f aca="false">IFERROR(N183/MEDIAN(INDEX($N$5:$N$665,MATCH($A183-90,$A$5:$A$665,1)):INDEX($N$5:$N$665,MATCH($A183+90,$A$5:$A$665,1))),"")</f>
        <v>1.00049593836478</v>
      </c>
      <c r="U183" s="11" t="n">
        <f aca="false">IFERROR(Q183/MEDIAN(INDEX($Q$5:$Q$665,MATCH($A183-90,$A$5:$A$665,1)):INDEX($Q$5:$Q$665,MATCH($A183+90,$A$5:$A$665,1))),"")</f>
        <v>0.833503672334123</v>
      </c>
    </row>
    <row r="184" customFormat="false" ht="15" hidden="false" customHeight="false" outlineLevel="0" collapsed="false">
      <c r="A184" s="13" t="n">
        <v>45111.8344484607</v>
      </c>
      <c r="B184" s="8" t="n">
        <v>20</v>
      </c>
      <c r="C184" s="8" t="s">
        <v>64</v>
      </c>
      <c r="D184" s="8" t="s">
        <v>865</v>
      </c>
      <c r="E184" s="14" t="s">
        <v>66</v>
      </c>
      <c r="F184" s="9" t="n">
        <v>37111</v>
      </c>
      <c r="G184" s="9" t="n">
        <v>12541</v>
      </c>
      <c r="H184" s="9" t="n">
        <v>12539</v>
      </c>
      <c r="I184" s="9" t="n">
        <v>10</v>
      </c>
      <c r="J184" s="9" t="n">
        <v>346</v>
      </c>
      <c r="K184" s="9" t="n">
        <v>25</v>
      </c>
      <c r="L184" s="9" t="n">
        <v>16</v>
      </c>
      <c r="M184" s="10" t="n">
        <f aca="false">IFERROR(G184/F184,"")</f>
        <v>0.337932149497454</v>
      </c>
      <c r="N184" s="10" t="n">
        <f aca="false">IFERROR(H184/G184,"")</f>
        <v>0.999840523084284</v>
      </c>
      <c r="O184" s="11" t="n">
        <f aca="false">IFERROR(I184/H184,"")</f>
        <v>0.000797511763298509</v>
      </c>
      <c r="P184" s="10" t="n">
        <f aca="false">IFERROR(J184/H184,"")</f>
        <v>0.0275939070101284</v>
      </c>
      <c r="Q184" s="10" t="n">
        <f aca="false">IFERROR(K184/H184,"")</f>
        <v>0.00199377940824627</v>
      </c>
      <c r="R184" s="10" t="n">
        <f aca="false">IFERROR(L184/H184,"")</f>
        <v>0.00127601882127761</v>
      </c>
      <c r="S184" s="11" t="n">
        <f aca="false">IFERROR(M184/MEDIAN(INDEX($M$5:$M$665,MATCH($A184-90,$A$5:$A$665,1)):INDEX($M$5:$M$665,MATCH($A184+90,$A$5:$A$665,1))),"")</f>
        <v>0.875163064205793</v>
      </c>
      <c r="T184" s="11" t="n">
        <f aca="false">IFERROR(N184/MEDIAN(INDEX($N$5:$N$665,MATCH($A184-90,$A$5:$A$665,1)):INDEX($N$5:$N$665,MATCH($A184+90,$A$5:$A$665,1))),"")</f>
        <v>1.00011261014545</v>
      </c>
      <c r="U184" s="11" t="n">
        <f aca="false">IFERROR(Q184/MEDIAN(INDEX($Q$5:$Q$665,MATCH($A184-90,$A$5:$A$665,1)):INDEX($Q$5:$Q$665,MATCH($A184+90,$A$5:$A$665,1))),"")</f>
        <v>1.87099994719727</v>
      </c>
    </row>
    <row r="185" customFormat="false" ht="15" hidden="false" customHeight="false" outlineLevel="0" collapsed="false">
      <c r="A185" s="13" t="n">
        <v>45112.6748123032</v>
      </c>
      <c r="B185" s="8" t="n">
        <v>16</v>
      </c>
      <c r="C185" s="8" t="s">
        <v>71</v>
      </c>
      <c r="D185" s="8" t="s">
        <v>866</v>
      </c>
      <c r="E185" s="14" t="s">
        <v>66</v>
      </c>
      <c r="F185" s="9" t="n">
        <v>14314</v>
      </c>
      <c r="G185" s="9" t="n">
        <v>7957</v>
      </c>
      <c r="H185" s="9" t="n">
        <v>7951</v>
      </c>
      <c r="I185" s="9" t="n">
        <v>19</v>
      </c>
      <c r="J185" s="9" t="n">
        <v>328</v>
      </c>
      <c r="K185" s="9" t="n">
        <v>5</v>
      </c>
      <c r="L185" s="9" t="n">
        <v>5</v>
      </c>
      <c r="M185" s="10" t="n">
        <f aca="false">IFERROR(G185/F185,"")</f>
        <v>0.555889339108565</v>
      </c>
      <c r="N185" s="10" t="n">
        <f aca="false">IFERROR(H185/G185,"")</f>
        <v>0.999245946964937</v>
      </c>
      <c r="O185" s="11" t="n">
        <f aca="false">IFERROR(I185/H185,"")</f>
        <v>0.00238963652370771</v>
      </c>
      <c r="P185" s="10" t="n">
        <f aca="false">IFERROR(J185/H185,"")</f>
        <v>0.0412526726197963</v>
      </c>
      <c r="Q185" s="10" t="n">
        <f aca="false">IFERROR(K185/H185,"")</f>
        <v>0.000628851716765187</v>
      </c>
      <c r="R185" s="10" t="n">
        <f aca="false">IFERROR(L185/H185,"")</f>
        <v>0.000628851716765187</v>
      </c>
      <c r="S185" s="11" t="n">
        <f aca="false">IFERROR(M185/MEDIAN(INDEX($M$5:$M$665,MATCH($A185-90,$A$5:$A$665,1)):INDEX($M$5:$M$665,MATCH($A185+90,$A$5:$A$665,1))),"")</f>
        <v>1.43961981154223</v>
      </c>
      <c r="T185" s="11" t="n">
        <f aca="false">IFERROR(N185/MEDIAN(INDEX($N$5:$N$665,MATCH($A185-90,$A$5:$A$665,1)):INDEX($N$5:$N$665,MATCH($A185+90,$A$5:$A$665,1))),"")</f>
        <v>0.999517872223832</v>
      </c>
      <c r="U185" s="11" t="n">
        <f aca="false">IFERROR(Q185/MEDIAN(INDEX($Q$5:$Q$665,MATCH($A185-90,$A$5:$A$665,1)):INDEX($Q$5:$Q$665,MATCH($A185+90,$A$5:$A$665,1))),"")</f>
        <v>0.591778171903958</v>
      </c>
    </row>
    <row r="186" customFormat="false" ht="15" hidden="false" customHeight="false" outlineLevel="0" collapsed="false">
      <c r="A186" s="13" t="n">
        <v>45113.555392581</v>
      </c>
      <c r="B186" s="8" t="n">
        <v>13</v>
      </c>
      <c r="C186" s="8" t="s">
        <v>73</v>
      </c>
      <c r="D186" s="8" t="s">
        <v>867</v>
      </c>
      <c r="E186" s="14" t="s">
        <v>66</v>
      </c>
      <c r="F186" s="9" t="n">
        <v>64029</v>
      </c>
      <c r="G186" s="9" t="n">
        <v>13795</v>
      </c>
      <c r="H186" s="9" t="n">
        <v>13792</v>
      </c>
      <c r="I186" s="9" t="n">
        <v>18</v>
      </c>
      <c r="J186" s="9" t="n">
        <v>233</v>
      </c>
      <c r="K186" s="9" t="n">
        <v>10</v>
      </c>
      <c r="L186" s="9" t="n">
        <v>7</v>
      </c>
      <c r="M186" s="10" t="n">
        <f aca="false">IFERROR(G186/F186,"")</f>
        <v>0.215449249558794</v>
      </c>
      <c r="N186" s="10" t="n">
        <f aca="false">IFERROR(H186/G186,"")</f>
        <v>0.999782529902139</v>
      </c>
      <c r="O186" s="11" t="n">
        <f aca="false">IFERROR(I186/H186,"")</f>
        <v>0.00130510440835267</v>
      </c>
      <c r="P186" s="10" t="n">
        <f aca="false">IFERROR(J186/H186,"")</f>
        <v>0.0168938515081207</v>
      </c>
      <c r="Q186" s="10" t="n">
        <f aca="false">IFERROR(K186/H186,"")</f>
        <v>0.000725058004640371</v>
      </c>
      <c r="R186" s="10" t="n">
        <f aca="false">IFERROR(L186/H186,"")</f>
        <v>0.00050754060324826</v>
      </c>
      <c r="S186" s="11" t="n">
        <f aca="false">IFERROR(M186/MEDIAN(INDEX($M$5:$M$665,MATCH($A186-90,$A$5:$A$665,1)):INDEX($M$5:$M$665,MATCH($A186+90,$A$5:$A$665,1))),"")</f>
        <v>0.555010936318363</v>
      </c>
      <c r="T186" s="11" t="n">
        <f aca="false">IFERROR(N186/MEDIAN(INDEX($N$5:$N$665,MATCH($A186-90,$A$5:$A$665,1)):INDEX($N$5:$N$665,MATCH($A186+90,$A$5:$A$665,1))),"")</f>
        <v>1.00005453022768</v>
      </c>
      <c r="U186" s="11" t="n">
        <f aca="false">IFERROR(Q186/MEDIAN(INDEX($Q$5:$Q$665,MATCH($A186-90,$A$5:$A$665,1)):INDEX($Q$5:$Q$665,MATCH($A186+90,$A$5:$A$665,1))),"")</f>
        <v>0.682454596367709</v>
      </c>
    </row>
    <row r="187" customFormat="false" ht="15" hidden="false" customHeight="false" outlineLevel="0" collapsed="false">
      <c r="A187" s="13" t="n">
        <v>45114.727283287</v>
      </c>
      <c r="B187" s="8" t="n">
        <v>17</v>
      </c>
      <c r="C187" s="8" t="s">
        <v>84</v>
      </c>
      <c r="D187" s="8" t="s">
        <v>868</v>
      </c>
      <c r="E187" s="14" t="s">
        <v>66</v>
      </c>
      <c r="F187" s="9" t="n">
        <v>38897</v>
      </c>
      <c r="G187" s="9" t="n">
        <v>12040</v>
      </c>
      <c r="H187" s="9" t="n">
        <v>12039</v>
      </c>
      <c r="I187" s="9" t="n">
        <v>198</v>
      </c>
      <c r="J187" s="9" t="n">
        <v>337</v>
      </c>
      <c r="K187" s="9" t="n">
        <v>11</v>
      </c>
      <c r="L187" s="9" t="n">
        <v>14</v>
      </c>
      <c r="M187" s="10" t="n">
        <f aca="false">IFERROR(G187/F187,"")</f>
        <v>0.309535439751138</v>
      </c>
      <c r="N187" s="10" t="n">
        <f aca="false">IFERROR(H187/G187,"")</f>
        <v>0.999916943521595</v>
      </c>
      <c r="O187" s="11" t="n">
        <f aca="false">IFERROR(I187/H187,"")</f>
        <v>0.0164465487166708</v>
      </c>
      <c r="P187" s="10" t="n">
        <f aca="false">IFERROR(J187/H187,"")</f>
        <v>0.0279923581692832</v>
      </c>
      <c r="Q187" s="10" t="n">
        <f aca="false">IFERROR(K187/H187,"")</f>
        <v>0.000913697150926157</v>
      </c>
      <c r="R187" s="10" t="n">
        <f aca="false">IFERROR(L187/H187,"")</f>
        <v>0.00116288728299693</v>
      </c>
      <c r="S187" s="11" t="n">
        <f aca="false">IFERROR(M187/MEDIAN(INDEX($M$5:$M$665,MATCH($A187-90,$A$5:$A$665,1)):INDEX($M$5:$M$665,MATCH($A187+90,$A$5:$A$665,1))),"")</f>
        <v>0.788331646411316</v>
      </c>
      <c r="T187" s="11" t="n">
        <f aca="false">IFERROR(N187/MEDIAN(INDEX($N$5:$N$665,MATCH($A187-90,$A$5:$A$665,1)):INDEX($N$5:$N$665,MATCH($A187+90,$A$5:$A$665,1))),"")</f>
        <v>1.00018898041563</v>
      </c>
      <c r="U187" s="11" t="n">
        <f aca="false">IFERROR(Q187/MEDIAN(INDEX($Q$5:$Q$665,MATCH($A187-90,$A$5:$A$665,1)):INDEX($Q$5:$Q$665,MATCH($A187+90,$A$5:$A$665,1))),"")</f>
        <v>0.860662990209356</v>
      </c>
    </row>
    <row r="188" customFormat="false" ht="15" hidden="false" customHeight="false" outlineLevel="0" collapsed="false">
      <c r="A188" s="13" t="n">
        <v>45116.4399947107</v>
      </c>
      <c r="B188" s="8" t="n">
        <v>10</v>
      </c>
      <c r="C188" s="8" t="s">
        <v>86</v>
      </c>
      <c r="D188" s="8" t="s">
        <v>869</v>
      </c>
      <c r="E188" s="14" t="s">
        <v>66</v>
      </c>
      <c r="F188" s="9" t="n">
        <v>43245</v>
      </c>
      <c r="G188" s="9" t="n">
        <v>10197</v>
      </c>
      <c r="H188" s="9" t="n">
        <v>10213</v>
      </c>
      <c r="I188" s="9" t="n">
        <v>129</v>
      </c>
      <c r="J188" s="9" t="n">
        <v>239</v>
      </c>
      <c r="K188" s="9" t="n">
        <v>18</v>
      </c>
      <c r="L188" s="9" t="n">
        <v>6</v>
      </c>
      <c r="M188" s="10" t="n">
        <f aca="false">IFERROR(G188/F188,"")</f>
        <v>0.23579604578564</v>
      </c>
      <c r="N188" s="10" t="n">
        <f aca="false">IFERROR(H188/G188,"")</f>
        <v>1.00156908894773</v>
      </c>
      <c r="O188" s="11" t="n">
        <f aca="false">IFERROR(I188/H188,"")</f>
        <v>0.0126309605404876</v>
      </c>
      <c r="P188" s="10" t="n">
        <f aca="false">IFERROR(J188/H188,"")</f>
        <v>0.0234015470478802</v>
      </c>
      <c r="Q188" s="10" t="n">
        <f aca="false">IFERROR(K188/H188,"")</f>
        <v>0.0017624596103006</v>
      </c>
      <c r="R188" s="10" t="n">
        <f aca="false">IFERROR(L188/H188,"")</f>
        <v>0.000587486536766866</v>
      </c>
      <c r="S188" s="11" t="n">
        <f aca="false">IFERROR(M188/MEDIAN(INDEX($M$5:$M$665,MATCH($A188-90,$A$5:$A$665,1)):INDEX($M$5:$M$665,MATCH($A188+90,$A$5:$A$665,1))),"")</f>
        <v>0.592859120512648</v>
      </c>
      <c r="T188" s="11" t="n">
        <f aca="false">IFERROR(N188/MEDIAN(INDEX($N$5:$N$665,MATCH($A188-90,$A$5:$A$665,1)):INDEX($N$5:$N$665,MATCH($A188+90,$A$5:$A$665,1))),"")</f>
        <v>1.00184171748504</v>
      </c>
      <c r="U188" s="11" t="n">
        <f aca="false">IFERROR(Q188/MEDIAN(INDEX($Q$5:$Q$665,MATCH($A188-90,$A$5:$A$665,1)):INDEX($Q$5:$Q$665,MATCH($A188+90,$A$5:$A$665,1))),"")</f>
        <v>1.65889991457811</v>
      </c>
    </row>
    <row r="189" customFormat="false" ht="15" hidden="false" customHeight="false" outlineLevel="0" collapsed="false">
      <c r="A189" s="13" t="n">
        <v>45116.5521456019</v>
      </c>
      <c r="B189" s="8" t="n">
        <v>13</v>
      </c>
      <c r="C189" s="8" t="s">
        <v>86</v>
      </c>
      <c r="D189" s="8" t="s">
        <v>870</v>
      </c>
      <c r="E189" s="14" t="s">
        <v>66</v>
      </c>
      <c r="F189" s="9" t="n">
        <v>32240</v>
      </c>
      <c r="G189" s="9" t="n">
        <v>9235</v>
      </c>
      <c r="H189" s="9" t="n">
        <v>9238</v>
      </c>
      <c r="I189" s="9" t="n">
        <v>280</v>
      </c>
      <c r="J189" s="9" t="n">
        <v>349</v>
      </c>
      <c r="K189" s="9" t="n">
        <v>31</v>
      </c>
      <c r="L189" s="9" t="n">
        <v>15</v>
      </c>
      <c r="M189" s="10" t="n">
        <f aca="false">IFERROR(G189/F189,"")</f>
        <v>0.28644540942928</v>
      </c>
      <c r="N189" s="10" t="n">
        <f aca="false">IFERROR(H189/G189,"")</f>
        <v>1.00032485110991</v>
      </c>
      <c r="O189" s="11" t="n">
        <f aca="false">IFERROR(I189/H189,"")</f>
        <v>0.0303095908205239</v>
      </c>
      <c r="P189" s="10" t="n">
        <f aca="false">IFERROR(J189/H189,"")</f>
        <v>0.0377787399870102</v>
      </c>
      <c r="Q189" s="10" t="n">
        <f aca="false">IFERROR(K189/H189,"")</f>
        <v>0.00335570469798658</v>
      </c>
      <c r="R189" s="10" t="n">
        <f aca="false">IFERROR(L189/H189,"")</f>
        <v>0.00162372807967092</v>
      </c>
      <c r="S189" s="11" t="n">
        <f aca="false">IFERROR(M189/MEDIAN(INDEX($M$5:$M$665,MATCH($A189-90,$A$5:$A$665,1)):INDEX($M$5:$M$665,MATCH($A189+90,$A$5:$A$665,1))),"")</f>
        <v>0.715856164132677</v>
      </c>
      <c r="T189" s="11" t="n">
        <f aca="false">IFERROR(N189/MEDIAN(INDEX($N$5:$N$665,MATCH($A189-90,$A$5:$A$665,1)):INDEX($N$5:$N$665,MATCH($A189+90,$A$5:$A$665,1))),"")</f>
        <v>1.00059812702448</v>
      </c>
      <c r="U189" s="11" t="n">
        <f aca="false">IFERROR(Q189/MEDIAN(INDEX($Q$5:$Q$665,MATCH($A189-90,$A$5:$A$665,1)):INDEX($Q$5:$Q$665,MATCH($A189+90,$A$5:$A$665,1))),"")</f>
        <v>3.15787130524052</v>
      </c>
    </row>
    <row r="190" customFormat="false" ht="15" hidden="false" customHeight="false" outlineLevel="0" collapsed="false">
      <c r="A190" s="13" t="n">
        <v>45117.6631023148</v>
      </c>
      <c r="B190" s="8" t="n">
        <v>15</v>
      </c>
      <c r="C190" s="8" t="s">
        <v>80</v>
      </c>
      <c r="D190" s="8" t="s">
        <v>871</v>
      </c>
      <c r="E190" s="14" t="s">
        <v>66</v>
      </c>
      <c r="F190" s="9" t="n">
        <v>182783</v>
      </c>
      <c r="G190" s="9" t="n">
        <v>47542</v>
      </c>
      <c r="H190" s="9" t="n">
        <v>47536</v>
      </c>
      <c r="I190" s="9" t="n">
        <v>373</v>
      </c>
      <c r="J190" s="9" t="n">
        <v>413</v>
      </c>
      <c r="K190" s="9" t="n">
        <v>33</v>
      </c>
      <c r="L190" s="9" t="n">
        <v>21</v>
      </c>
      <c r="M190" s="10" t="n">
        <f aca="false">IFERROR(G190/F190,"")</f>
        <v>0.260100775236209</v>
      </c>
      <c r="N190" s="10" t="n">
        <f aca="false">IFERROR(H190/G190,"")</f>
        <v>0.999873795801607</v>
      </c>
      <c r="O190" s="11" t="n">
        <f aca="false">IFERROR(I190/H190,"")</f>
        <v>0.00784668461797375</v>
      </c>
      <c r="P190" s="10" t="n">
        <f aca="false">IFERROR(J190/H190,"")</f>
        <v>0.0086881521373275</v>
      </c>
      <c r="Q190" s="10" t="n">
        <f aca="false">IFERROR(K190/H190,"")</f>
        <v>0.000694210703466846</v>
      </c>
      <c r="R190" s="10" t="n">
        <f aca="false">IFERROR(L190/H190,"")</f>
        <v>0.00044177044766072</v>
      </c>
      <c r="S190" s="11" t="n">
        <f aca="false">IFERROR(M190/MEDIAN(INDEX($M$5:$M$665,MATCH($A190-90,$A$5:$A$665,1)):INDEX($M$5:$M$665,MATCH($A190+90,$A$5:$A$665,1))),"")</f>
        <v>0.644287370764545</v>
      </c>
      <c r="T190" s="11" t="n">
        <f aca="false">IFERROR(N190/MEDIAN(INDEX($N$5:$N$665,MATCH($A190-90,$A$5:$A$665,1)):INDEX($N$5:$N$665,MATCH($A190+90,$A$5:$A$665,1))),"")</f>
        <v>1.00014694849365</v>
      </c>
      <c r="U190" s="11" t="n">
        <f aca="false">IFERROR(Q190/MEDIAN(INDEX($Q$5:$Q$665,MATCH($A190-90,$A$5:$A$665,1)):INDEX($Q$5:$Q$665,MATCH($A190+90,$A$5:$A$665,1))),"")</f>
        <v>0.65366797556243</v>
      </c>
    </row>
    <row r="191" customFormat="false" ht="15" hidden="false" customHeight="false" outlineLevel="0" collapsed="false">
      <c r="A191" s="13" t="n">
        <v>45118.5602767708</v>
      </c>
      <c r="B191" s="8" t="n">
        <v>13</v>
      </c>
      <c r="C191" s="8" t="s">
        <v>64</v>
      </c>
      <c r="D191" s="8" t="s">
        <v>872</v>
      </c>
      <c r="E191" s="14" t="s">
        <v>66</v>
      </c>
      <c r="F191" s="9" t="n">
        <v>26651</v>
      </c>
      <c r="G191" s="9" t="n">
        <v>16506</v>
      </c>
      <c r="H191" s="9" t="n">
        <v>16502</v>
      </c>
      <c r="I191" s="9" t="n">
        <v>172</v>
      </c>
      <c r="J191" s="9" t="n">
        <v>314</v>
      </c>
      <c r="K191" s="9" t="n">
        <v>16</v>
      </c>
      <c r="L191" s="9" t="n">
        <v>13</v>
      </c>
      <c r="M191" s="10" t="n">
        <f aca="false">IFERROR(G191/F191,"")</f>
        <v>0.619338861581179</v>
      </c>
      <c r="N191" s="10" t="n">
        <f aca="false">IFERROR(H191/G191,"")</f>
        <v>0.999757663879801</v>
      </c>
      <c r="O191" s="11" t="n">
        <f aca="false">IFERROR(I191/H191,"")</f>
        <v>0.0104229790328445</v>
      </c>
      <c r="P191" s="10" t="n">
        <f aca="false">IFERROR(J191/H191,"")</f>
        <v>0.0190279966064719</v>
      </c>
      <c r="Q191" s="10" t="n">
        <f aca="false">IFERROR(K191/H191,"")</f>
        <v>0.000969579444915768</v>
      </c>
      <c r="R191" s="10" t="n">
        <f aca="false">IFERROR(L191/H191,"")</f>
        <v>0.000787783298994061</v>
      </c>
      <c r="S191" s="11" t="n">
        <f aca="false">IFERROR(M191/MEDIAN(INDEX($M$5:$M$665,MATCH($A191-90,$A$5:$A$665,1)):INDEX($M$5:$M$665,MATCH($A191+90,$A$5:$A$665,1))),"")</f>
        <v>1.53414462674348</v>
      </c>
      <c r="T191" s="11" t="n">
        <f aca="false">IFERROR(N191/MEDIAN(INDEX($N$5:$N$665,MATCH($A191-90,$A$5:$A$665,1)):INDEX($N$5:$N$665,MATCH($A191+90,$A$5:$A$665,1))),"")</f>
        <v>1.00003603558737</v>
      </c>
      <c r="U191" s="11" t="n">
        <f aca="false">IFERROR(Q191/MEDIAN(INDEX($Q$5:$Q$665,MATCH($A191-90,$A$5:$A$665,1)):INDEX($Q$5:$Q$665,MATCH($A191+90,$A$5:$A$665,1))),"")</f>
        <v>0.912954856126476</v>
      </c>
    </row>
    <row r="192" customFormat="false" ht="15" hidden="false" customHeight="false" outlineLevel="0" collapsed="false">
      <c r="A192" s="13" t="n">
        <v>45119.57266875</v>
      </c>
      <c r="B192" s="8" t="n">
        <v>13</v>
      </c>
      <c r="C192" s="8" t="s">
        <v>71</v>
      </c>
      <c r="D192" s="8" t="s">
        <v>873</v>
      </c>
      <c r="E192" s="14" t="s">
        <v>66</v>
      </c>
      <c r="F192" s="9" t="n">
        <v>6067</v>
      </c>
      <c r="G192" s="9" t="n">
        <v>2990</v>
      </c>
      <c r="H192" s="9" t="n">
        <v>2986</v>
      </c>
      <c r="I192" s="9" t="n">
        <v>79</v>
      </c>
      <c r="J192" s="9" t="n">
        <v>234</v>
      </c>
      <c r="K192" s="9" t="n">
        <v>5</v>
      </c>
      <c r="L192" s="9" t="n">
        <v>2</v>
      </c>
      <c r="M192" s="10" t="n">
        <f aca="false">IFERROR(G192/F192,"")</f>
        <v>0.492830064282182</v>
      </c>
      <c r="N192" s="10" t="n">
        <f aca="false">IFERROR(H192/G192,"")</f>
        <v>0.99866220735786</v>
      </c>
      <c r="O192" s="11" t="n">
        <f aca="false">IFERROR(I192/H192,"")</f>
        <v>0.0264567983924983</v>
      </c>
      <c r="P192" s="10" t="n">
        <f aca="false">IFERROR(J192/H192,"")</f>
        <v>0.0783657066309444</v>
      </c>
      <c r="Q192" s="10" t="n">
        <f aca="false">IFERROR(K192/H192,"")</f>
        <v>0.00167448091091762</v>
      </c>
      <c r="R192" s="10" t="n">
        <f aca="false">IFERROR(L192/H192,"")</f>
        <v>0.000669792364367046</v>
      </c>
      <c r="S192" s="11" t="n">
        <f aca="false">IFERROR(M192/MEDIAN(INDEX($M$5:$M$665,MATCH($A192-90,$A$5:$A$665,1)):INDEX($M$5:$M$665,MATCH($A192+90,$A$5:$A$665,1))),"")</f>
        <v>1.21732895921529</v>
      </c>
      <c r="T192" s="11" t="n">
        <f aca="false">IFERROR(N192/MEDIAN(INDEX($N$5:$N$665,MATCH($A192-90,$A$5:$A$665,1)):INDEX($N$5:$N$665,MATCH($A192+90,$A$5:$A$665,1))),"")</f>
        <v>0.998944534648087</v>
      </c>
      <c r="U192" s="11" t="n">
        <f aca="false">IFERROR(Q192/MEDIAN(INDEX($Q$5:$Q$665,MATCH($A192-90,$A$5:$A$665,1)):INDEX($Q$5:$Q$665,MATCH($A192+90,$A$5:$A$665,1))),"")</f>
        <v>1.57609072222094</v>
      </c>
    </row>
    <row r="193" customFormat="false" ht="15" hidden="false" customHeight="false" outlineLevel="0" collapsed="false">
      <c r="A193" s="13" t="n">
        <v>45120.5165001042</v>
      </c>
      <c r="B193" s="8" t="n">
        <v>12</v>
      </c>
      <c r="C193" s="8" t="s">
        <v>73</v>
      </c>
      <c r="D193" s="8" t="s">
        <v>874</v>
      </c>
      <c r="E193" s="14" t="s">
        <v>66</v>
      </c>
      <c r="F193" s="9" t="n">
        <v>57281</v>
      </c>
      <c r="G193" s="9" t="n">
        <v>16136</v>
      </c>
      <c r="H193" s="9" t="n">
        <v>16145</v>
      </c>
      <c r="I193" s="9" t="n">
        <v>474</v>
      </c>
      <c r="J193" s="9" t="n">
        <v>450</v>
      </c>
      <c r="K193" s="9" t="n">
        <v>9</v>
      </c>
      <c r="L193" s="9" t="n">
        <v>17</v>
      </c>
      <c r="M193" s="10" t="n">
        <f aca="false">IFERROR(G193/F193,"")</f>
        <v>0.281698992685184</v>
      </c>
      <c r="N193" s="10" t="n">
        <f aca="false">IFERROR(H193/G193,"")</f>
        <v>1.00055775904809</v>
      </c>
      <c r="O193" s="11" t="n">
        <f aca="false">IFERROR(I193/H193,"")</f>
        <v>0.0293589346546919</v>
      </c>
      <c r="P193" s="10" t="n">
        <f aca="false">IFERROR(J193/H193,"")</f>
        <v>0.0278724063177454</v>
      </c>
      <c r="Q193" s="10" t="n">
        <f aca="false">IFERROR(K193/H193,"")</f>
        <v>0.000557448126354909</v>
      </c>
      <c r="R193" s="10" t="n">
        <f aca="false">IFERROR(L193/H193,"")</f>
        <v>0.00105295757200372</v>
      </c>
      <c r="S193" s="11" t="n">
        <f aca="false">IFERROR(M193/MEDIAN(INDEX($M$5:$M$665,MATCH($A193-90,$A$5:$A$665,1)):INDEX($M$5:$M$665,MATCH($A193+90,$A$5:$A$665,1))),"")</f>
        <v>0.687645777314668</v>
      </c>
      <c r="T193" s="11" t="n">
        <f aca="false">IFERROR(N193/MEDIAN(INDEX($N$5:$N$665,MATCH($A193-90,$A$5:$A$665,1)):INDEX($N$5:$N$665,MATCH($A193+90,$A$5:$A$665,1))),"")</f>
        <v>1.0008363535335</v>
      </c>
      <c r="U193" s="11" t="n">
        <f aca="false">IFERROR(Q193/MEDIAN(INDEX($Q$5:$Q$665,MATCH($A193-90,$A$5:$A$665,1)):INDEX($Q$5:$Q$665,MATCH($A193+90,$A$5:$A$665,1))),"")</f>
        <v>0.524584133828124</v>
      </c>
    </row>
    <row r="194" customFormat="false" ht="15" hidden="false" customHeight="false" outlineLevel="0" collapsed="false">
      <c r="A194" s="13" t="n">
        <v>45121.6265576157</v>
      </c>
      <c r="B194" s="8" t="n">
        <v>15</v>
      </c>
      <c r="C194" s="8" t="s">
        <v>84</v>
      </c>
      <c r="D194" s="8" t="s">
        <v>875</v>
      </c>
      <c r="E194" s="14" t="s">
        <v>66</v>
      </c>
      <c r="F194" s="9" t="n">
        <v>174423</v>
      </c>
      <c r="G194" s="9" t="n">
        <v>90536</v>
      </c>
      <c r="H194" s="9" t="n">
        <v>90543</v>
      </c>
      <c r="I194" s="9" t="n">
        <v>1415</v>
      </c>
      <c r="J194" s="9" t="n">
        <v>603</v>
      </c>
      <c r="K194" s="9" t="n">
        <v>34</v>
      </c>
      <c r="L194" s="9" t="n">
        <v>114</v>
      </c>
      <c r="M194" s="10" t="n">
        <f aca="false">IFERROR(G194/F194,"")</f>
        <v>0.519059986355011</v>
      </c>
      <c r="N194" s="10" t="n">
        <f aca="false">IFERROR(H194/G194,"")</f>
        <v>1.00007731731024</v>
      </c>
      <c r="O194" s="11" t="n">
        <f aca="false">IFERROR(I194/H194,"")</f>
        <v>0.0156279336889655</v>
      </c>
      <c r="P194" s="10" t="n">
        <f aca="false">IFERROR(J194/H194,"")</f>
        <v>0.0066598190914814</v>
      </c>
      <c r="Q194" s="10" t="n">
        <f aca="false">IFERROR(K194/H194,"")</f>
        <v>0.000375512187579382</v>
      </c>
      <c r="R194" s="10" t="n">
        <f aca="false">IFERROR(L194/H194,"")</f>
        <v>0.00125907027600146</v>
      </c>
      <c r="S194" s="11" t="n">
        <f aca="false">IFERROR(M194/MEDIAN(INDEX($M$5:$M$665,MATCH($A194-90,$A$5:$A$665,1)):INDEX($M$5:$M$665,MATCH($A194+90,$A$5:$A$665,1))),"")</f>
        <v>1.26114670762444</v>
      </c>
      <c r="T194" s="11" t="n">
        <f aca="false">IFERROR(N194/MEDIAN(INDEX($N$5:$N$665,MATCH($A194-90,$A$5:$A$665,1)):INDEX($N$5:$N$665,MATCH($A194+90,$A$5:$A$665,1))),"")</f>
        <v>1.00036638103607</v>
      </c>
      <c r="U194" s="11" t="n">
        <f aca="false">IFERROR(Q194/MEDIAN(INDEX($Q$5:$Q$665,MATCH($A194-90,$A$5:$A$665,1)):INDEX($Q$5:$Q$665,MATCH($A194+90,$A$5:$A$665,1))),"")</f>
        <v>0.353374110253658</v>
      </c>
    </row>
    <row r="195" customFormat="false" ht="15" hidden="false" customHeight="false" outlineLevel="0" collapsed="false">
      <c r="A195" s="13" t="n">
        <v>45122.6405403704</v>
      </c>
      <c r="B195" s="8" t="n">
        <v>15</v>
      </c>
      <c r="C195" s="8" t="s">
        <v>68</v>
      </c>
      <c r="D195" s="8" t="s">
        <v>876</v>
      </c>
      <c r="E195" s="14" t="s">
        <v>66</v>
      </c>
      <c r="F195" s="9" t="n">
        <v>7203</v>
      </c>
      <c r="G195" s="9" t="n">
        <v>3957</v>
      </c>
      <c r="H195" s="9" t="n">
        <v>3950</v>
      </c>
      <c r="I195" s="9" t="n">
        <v>135</v>
      </c>
      <c r="J195" s="9" t="n">
        <v>256</v>
      </c>
      <c r="K195" s="9" t="n">
        <v>14</v>
      </c>
      <c r="L195" s="9" t="n">
        <v>3</v>
      </c>
      <c r="M195" s="10" t="n">
        <f aca="false">IFERROR(G195/F195,"")</f>
        <v>0.549354435651812</v>
      </c>
      <c r="N195" s="10" t="n">
        <f aca="false">IFERROR(H195/G195,"")</f>
        <v>0.998230983067981</v>
      </c>
      <c r="O195" s="11" t="n">
        <f aca="false">IFERROR(I195/H195,"")</f>
        <v>0.0341772151898734</v>
      </c>
      <c r="P195" s="10" t="n">
        <f aca="false">IFERROR(J195/H195,"")</f>
        <v>0.0648101265822785</v>
      </c>
      <c r="Q195" s="10" t="n">
        <f aca="false">IFERROR(K195/H195,"")</f>
        <v>0.00354430379746835</v>
      </c>
      <c r="R195" s="10" t="n">
        <f aca="false">IFERROR(L195/H195,"")</f>
        <v>0.000759493670886076</v>
      </c>
      <c r="S195" s="11" t="n">
        <f aca="false">IFERROR(M195/MEDIAN(INDEX($M$5:$M$665,MATCH($A195-90,$A$5:$A$665,1)):INDEX($M$5:$M$665,MATCH($A195+90,$A$5:$A$665,1))),"")</f>
        <v>1.33475235243295</v>
      </c>
      <c r="T195" s="11" t="n">
        <f aca="false">IFERROR(N195/MEDIAN(INDEX($N$5:$N$665,MATCH($A195-90,$A$5:$A$665,1)):INDEX($N$5:$N$665,MATCH($A195+90,$A$5:$A$665,1))),"")</f>
        <v>0.9985375586064</v>
      </c>
      <c r="U195" s="11" t="n">
        <f aca="false">IFERROR(Q195/MEDIAN(INDEX($Q$5:$Q$665,MATCH($A195-90,$A$5:$A$665,1)):INDEX($Q$5:$Q$665,MATCH($A195+90,$A$5:$A$665,1))),"")</f>
        <v>3.33731225476562</v>
      </c>
    </row>
    <row r="196" customFormat="false" ht="15" hidden="false" customHeight="false" outlineLevel="0" collapsed="false">
      <c r="A196" s="13" t="n">
        <v>45123.6597484259</v>
      </c>
      <c r="B196" s="8" t="n">
        <v>15</v>
      </c>
      <c r="C196" s="8" t="s">
        <v>86</v>
      </c>
      <c r="D196" s="8" t="s">
        <v>877</v>
      </c>
      <c r="E196" s="14" t="s">
        <v>66</v>
      </c>
      <c r="F196" s="9" t="n">
        <v>110763</v>
      </c>
      <c r="G196" s="9" t="n">
        <v>42997</v>
      </c>
      <c r="H196" s="9" t="n">
        <v>42993</v>
      </c>
      <c r="I196" s="9" t="n">
        <v>1374</v>
      </c>
      <c r="J196" s="9" t="n">
        <v>270</v>
      </c>
      <c r="K196" s="9" t="n">
        <v>25</v>
      </c>
      <c r="L196" s="9" t="n">
        <v>13</v>
      </c>
      <c r="M196" s="10" t="n">
        <f aca="false">IFERROR(G196/F196,"")</f>
        <v>0.388189196753429</v>
      </c>
      <c r="N196" s="10" t="n">
        <f aca="false">IFERROR(H196/G196,"")</f>
        <v>0.999906970253739</v>
      </c>
      <c r="O196" s="11" t="n">
        <f aca="false">IFERROR(I196/H196,"")</f>
        <v>0.0319586909496895</v>
      </c>
      <c r="P196" s="10" t="n">
        <f aca="false">IFERROR(J196/H196,"")</f>
        <v>0.00628009210801759</v>
      </c>
      <c r="Q196" s="10" t="n">
        <f aca="false">IFERROR(K196/H196,"")</f>
        <v>0.000581490010001628</v>
      </c>
      <c r="R196" s="10" t="n">
        <f aca="false">IFERROR(L196/H196,"")</f>
        <v>0.000302374805200847</v>
      </c>
      <c r="S196" s="11" t="n">
        <f aca="false">IFERROR(M196/MEDIAN(INDEX($M$5:$M$665,MATCH($A196-90,$A$5:$A$665,1)):INDEX($M$5:$M$665,MATCH($A196+90,$A$5:$A$665,1))),"")</f>
        <v>0.943173313856882</v>
      </c>
      <c r="T196" s="11" t="n">
        <f aca="false">IFERROR(N196/MEDIAN(INDEX($N$5:$N$665,MATCH($A196-90,$A$5:$A$665,1)):INDEX($N$5:$N$665,MATCH($A196+90,$A$5:$A$665,1))),"")</f>
        <v>1.00020767652769</v>
      </c>
      <c r="U196" s="11" t="n">
        <f aca="false">IFERROR(Q196/MEDIAN(INDEX($Q$5:$Q$665,MATCH($A196-90,$A$5:$A$665,1)):INDEX($Q$5:$Q$665,MATCH($A196+90,$A$5:$A$665,1))),"")</f>
        <v>0.54827376537787</v>
      </c>
    </row>
    <row r="197" customFormat="false" ht="15" hidden="false" customHeight="false" outlineLevel="0" collapsed="false">
      <c r="A197" s="13" t="n">
        <v>45124.7400169792</v>
      </c>
      <c r="B197" s="8" t="n">
        <v>17</v>
      </c>
      <c r="C197" s="8" t="s">
        <v>80</v>
      </c>
      <c r="D197" s="8" t="s">
        <v>878</v>
      </c>
      <c r="E197" s="14" t="s">
        <v>66</v>
      </c>
      <c r="F197" s="9" t="n">
        <v>36217</v>
      </c>
      <c r="G197" s="9" t="n">
        <v>11243</v>
      </c>
      <c r="H197" s="9" t="n">
        <v>11239</v>
      </c>
      <c r="I197" s="9" t="n">
        <v>596</v>
      </c>
      <c r="J197" s="9" t="n">
        <v>427</v>
      </c>
      <c r="K197" s="9" t="n">
        <v>9</v>
      </c>
      <c r="L197" s="9" t="n">
        <v>17</v>
      </c>
      <c r="M197" s="10" t="n">
        <f aca="false">IFERROR(G197/F197,"")</f>
        <v>0.310434326421294</v>
      </c>
      <c r="N197" s="10" t="n">
        <f aca="false">IFERROR(H197/G197,"")</f>
        <v>0.999644223072134</v>
      </c>
      <c r="O197" s="11" t="n">
        <f aca="false">IFERROR(I197/H197,"")</f>
        <v>0.053029628970549</v>
      </c>
      <c r="P197" s="10" t="n">
        <f aca="false">IFERROR(J197/H197,"")</f>
        <v>0.0379927039772222</v>
      </c>
      <c r="Q197" s="10" t="n">
        <f aca="false">IFERROR(K197/H197,"")</f>
        <v>0.000800782987810303</v>
      </c>
      <c r="R197" s="10" t="n">
        <f aca="false">IFERROR(L197/H197,"")</f>
        <v>0.00151259008808613</v>
      </c>
      <c r="S197" s="11" t="n">
        <f aca="false">IFERROR(M197/MEDIAN(INDEX($M$5:$M$665,MATCH($A197-90,$A$5:$A$665,1)):INDEX($M$5:$M$665,MATCH($A197+90,$A$5:$A$665,1))),"")</f>
        <v>0.748672507254843</v>
      </c>
      <c r="T197" s="11" t="n">
        <f aca="false">IFERROR(N197/MEDIAN(INDEX($N$5:$N$665,MATCH($A197-90,$A$5:$A$665,1)):INDEX($N$5:$N$665,MATCH($A197+90,$A$5:$A$665,1))),"")</f>
        <v>0.999956587769655</v>
      </c>
      <c r="U197" s="11" t="n">
        <f aca="false">IFERROR(Q197/MEDIAN(INDEX($Q$5:$Q$665,MATCH($A197-90,$A$5:$A$665,1)):INDEX($Q$5:$Q$665,MATCH($A197+90,$A$5:$A$665,1))),"")</f>
        <v>0.755040149315835</v>
      </c>
    </row>
    <row r="198" customFormat="false" ht="15" hidden="false" customHeight="false" outlineLevel="0" collapsed="false">
      <c r="A198" s="13" t="n">
        <v>45125.7292166435</v>
      </c>
      <c r="B198" s="8" t="n">
        <v>17</v>
      </c>
      <c r="C198" s="8" t="s">
        <v>64</v>
      </c>
      <c r="D198" s="8" t="s">
        <v>879</v>
      </c>
      <c r="E198" s="14" t="s">
        <v>66</v>
      </c>
      <c r="F198" s="9" t="n">
        <v>9224</v>
      </c>
      <c r="G198" s="9" t="n">
        <v>5302</v>
      </c>
      <c r="H198" s="9" t="n">
        <v>5297</v>
      </c>
      <c r="I198" s="9" t="n">
        <v>244</v>
      </c>
      <c r="J198" s="9" t="n">
        <v>235</v>
      </c>
      <c r="K198" s="9" t="n">
        <v>4</v>
      </c>
      <c r="L198" s="9" t="n">
        <v>3</v>
      </c>
      <c r="M198" s="10" t="n">
        <f aca="false">IFERROR(G198/F198,"")</f>
        <v>0.574804856895056</v>
      </c>
      <c r="N198" s="10" t="n">
        <f aca="false">IFERROR(H198/G198,"")</f>
        <v>0.999056959637873</v>
      </c>
      <c r="O198" s="11" t="n">
        <f aca="false">IFERROR(I198/H198,"")</f>
        <v>0.0460638097036058</v>
      </c>
      <c r="P198" s="10" t="n">
        <f aca="false">IFERROR(J198/H198,"")</f>
        <v>0.044364734755522</v>
      </c>
      <c r="Q198" s="10" t="n">
        <f aca="false">IFERROR(K198/H198,"")</f>
        <v>0.000755144421370587</v>
      </c>
      <c r="R198" s="10" t="n">
        <f aca="false">IFERROR(L198/H198,"")</f>
        <v>0.00056635831602794</v>
      </c>
      <c r="S198" s="11" t="n">
        <f aca="false">IFERROR(M198/MEDIAN(INDEX($M$5:$M$665,MATCH($A198-90,$A$5:$A$665,1)):INDEX($M$5:$M$665,MATCH($A198+90,$A$5:$A$665,1))),"")</f>
        <v>1.38033497585623</v>
      </c>
      <c r="T198" s="11" t="n">
        <f aca="false">IFERROR(N198/MEDIAN(INDEX($N$5:$N$665,MATCH($A198-90,$A$5:$A$665,1)):INDEX($N$5:$N$665,MATCH($A198+90,$A$5:$A$665,1))),"")</f>
        <v>0.999369140829741</v>
      </c>
      <c r="U198" s="11" t="n">
        <f aca="false">IFERROR(Q198/MEDIAN(INDEX($Q$5:$Q$665,MATCH($A198-90,$A$5:$A$665,1)):INDEX($Q$5:$Q$665,MATCH($A198+90,$A$5:$A$665,1))),"")</f>
        <v>0.712008578286298</v>
      </c>
    </row>
    <row r="199" customFormat="false" ht="15" hidden="false" customHeight="false" outlineLevel="0" collapsed="false">
      <c r="A199" s="13" t="n">
        <v>45126.6374892245</v>
      </c>
      <c r="B199" s="8" t="n">
        <v>15</v>
      </c>
      <c r="C199" s="8" t="s">
        <v>71</v>
      </c>
      <c r="D199" s="8" t="s">
        <v>880</v>
      </c>
      <c r="E199" s="14" t="s">
        <v>66</v>
      </c>
      <c r="F199" s="9" t="n">
        <v>7552</v>
      </c>
      <c r="G199" s="9" t="n">
        <v>4649</v>
      </c>
      <c r="H199" s="9" t="n">
        <v>4644</v>
      </c>
      <c r="I199" s="9" t="n">
        <v>453</v>
      </c>
      <c r="J199" s="9" t="n">
        <v>341</v>
      </c>
      <c r="K199" s="9" t="n">
        <v>11</v>
      </c>
      <c r="L199" s="9" t="n">
        <v>5</v>
      </c>
      <c r="M199" s="10" t="n">
        <f aca="false">IFERROR(G199/F199,"")</f>
        <v>0.615598516949153</v>
      </c>
      <c r="N199" s="10" t="n">
        <f aca="false">IFERROR(H199/G199,"")</f>
        <v>0.99892449989245</v>
      </c>
      <c r="O199" s="11" t="n">
        <f aca="false">IFERROR(I199/H199,"")</f>
        <v>0.0975452196382429</v>
      </c>
      <c r="P199" s="10" t="n">
        <f aca="false">IFERROR(J199/H199,"")</f>
        <v>0.0734280792420327</v>
      </c>
      <c r="Q199" s="10" t="n">
        <f aca="false">IFERROR(K199/H199,"")</f>
        <v>0.00236864771748493</v>
      </c>
      <c r="R199" s="10" t="n">
        <f aca="false">IFERROR(L199/H199,"")</f>
        <v>0.00107665805340224</v>
      </c>
      <c r="S199" s="11" t="n">
        <f aca="false">IFERROR(M199/MEDIAN(INDEX($M$5:$M$665,MATCH($A199-90,$A$5:$A$665,1)):INDEX($M$5:$M$665,MATCH($A199+90,$A$5:$A$665,1))),"")</f>
        <v>1.47829677122105</v>
      </c>
      <c r="T199" s="11" t="n">
        <f aca="false">IFERROR(N199/MEDIAN(INDEX($N$5:$N$665,MATCH($A199-90,$A$5:$A$665,1)):INDEX($N$5:$N$665,MATCH($A199+90,$A$5:$A$665,1))),"")</f>
        <v>0.999236639693845</v>
      </c>
      <c r="U199" s="11" t="n">
        <f aca="false">IFERROR(Q199/MEDIAN(INDEX($Q$5:$Q$665,MATCH($A199-90,$A$5:$A$665,1)):INDEX($Q$5:$Q$665,MATCH($A199+90,$A$5:$A$665,1))),"")</f>
        <v>2.2411752440361</v>
      </c>
    </row>
    <row r="200" customFormat="false" ht="15" hidden="false" customHeight="false" outlineLevel="0" collapsed="false">
      <c r="A200" s="13" t="n">
        <v>45127.7110526736</v>
      </c>
      <c r="B200" s="8" t="n">
        <v>17</v>
      </c>
      <c r="C200" s="8" t="s">
        <v>73</v>
      </c>
      <c r="D200" s="8" t="s">
        <v>881</v>
      </c>
      <c r="E200" s="14" t="s">
        <v>66</v>
      </c>
      <c r="F200" s="9" t="n">
        <v>1058</v>
      </c>
      <c r="G200" s="9" t="n">
        <v>334</v>
      </c>
      <c r="H200" s="9" t="n">
        <v>334</v>
      </c>
      <c r="I200" s="9" t="n">
        <v>0</v>
      </c>
      <c r="J200" s="9" t="n">
        <v>27</v>
      </c>
      <c r="K200" s="9" t="n">
        <v>1</v>
      </c>
      <c r="L200" s="9" t="n">
        <v>0</v>
      </c>
      <c r="M200" s="10" t="n">
        <f aca="false">IFERROR(G200/F200,"")</f>
        <v>0.315689981096408</v>
      </c>
      <c r="N200" s="10" t="n">
        <f aca="false">IFERROR(H200/G200,"")</f>
        <v>1</v>
      </c>
      <c r="O200" s="11" t="n">
        <f aca="false">IFERROR(I200/H200,"")</f>
        <v>0</v>
      </c>
      <c r="P200" s="10" t="n">
        <f aca="false">IFERROR(J200/H200,"")</f>
        <v>0.0808383233532934</v>
      </c>
      <c r="Q200" s="10" t="n">
        <f aca="false">IFERROR(K200/H200,"")</f>
        <v>0.0029940119760479</v>
      </c>
      <c r="R200" s="10" t="n">
        <f aca="false">IFERROR(L200/H200,"")</f>
        <v>0</v>
      </c>
      <c r="S200" s="11" t="n">
        <f aca="false">IFERROR(M200/MEDIAN(INDEX($M$5:$M$665,MATCH($A200-90,$A$5:$A$665,1)):INDEX($M$5:$M$665,MATCH($A200+90,$A$5:$A$665,1))),"")</f>
        <v>0.758097147593032</v>
      </c>
      <c r="T200" s="11" t="n">
        <f aca="false">IFERROR(N200/MEDIAN(INDEX($N$5:$N$665,MATCH($A200-90,$A$5:$A$665,1)):INDEX($N$5:$N$665,MATCH($A200+90,$A$5:$A$665,1))),"")</f>
        <v>1.00031247586923</v>
      </c>
      <c r="U200" s="11" t="n">
        <f aca="false">IFERROR(Q200/MEDIAN(INDEX($Q$5:$Q$665,MATCH($A200-90,$A$5:$A$665,1)):INDEX($Q$5:$Q$665,MATCH($A200+90,$A$5:$A$665,1))),"")</f>
        <v>2.83288454907558</v>
      </c>
    </row>
    <row r="201" customFormat="false" ht="15" hidden="false" customHeight="false" outlineLevel="0" collapsed="false">
      <c r="A201" s="13" t="n">
        <v>45127.7114031482</v>
      </c>
      <c r="B201" s="8" t="n">
        <v>17</v>
      </c>
      <c r="C201" s="8" t="s">
        <v>73</v>
      </c>
      <c r="D201" s="8" t="s">
        <v>881</v>
      </c>
      <c r="E201" s="14" t="s">
        <v>66</v>
      </c>
      <c r="F201" s="9" t="n">
        <v>27126</v>
      </c>
      <c r="G201" s="9" t="n">
        <v>7257</v>
      </c>
      <c r="H201" s="9" t="n">
        <v>7257</v>
      </c>
      <c r="I201" s="9" t="n">
        <v>262</v>
      </c>
      <c r="J201" s="9" t="n">
        <v>282</v>
      </c>
      <c r="K201" s="9" t="n">
        <v>25</v>
      </c>
      <c r="L201" s="9" t="n">
        <v>5</v>
      </c>
      <c r="M201" s="10" t="n">
        <f aca="false">IFERROR(G201/F201,"")</f>
        <v>0.267529307675293</v>
      </c>
      <c r="N201" s="10" t="n">
        <f aca="false">IFERROR(H201/G201,"")</f>
        <v>1</v>
      </c>
      <c r="O201" s="11" t="n">
        <f aca="false">IFERROR(I201/H201,"")</f>
        <v>0.0361030728951357</v>
      </c>
      <c r="P201" s="10" t="n">
        <f aca="false">IFERROR(J201/H201,"")</f>
        <v>0.0388590326581232</v>
      </c>
      <c r="Q201" s="10" t="n">
        <f aca="false">IFERROR(K201/H201,"")</f>
        <v>0.00344494970373433</v>
      </c>
      <c r="R201" s="10" t="n">
        <f aca="false">IFERROR(L201/H201,"")</f>
        <v>0.000688989940746865</v>
      </c>
      <c r="S201" s="11" t="n">
        <f aca="false">IFERROR(M201/MEDIAN(INDEX($M$5:$M$665,MATCH($A201-90,$A$5:$A$665,1)):INDEX($M$5:$M$665,MATCH($A201+90,$A$5:$A$665,1))),"")</f>
        <v>0.642444224367834</v>
      </c>
      <c r="T201" s="11" t="n">
        <f aca="false">IFERROR(N201/MEDIAN(INDEX($N$5:$N$665,MATCH($A201-90,$A$5:$A$665,1)):INDEX($N$5:$N$665,MATCH($A201+90,$A$5:$A$665,1))),"")</f>
        <v>1.00031247586923</v>
      </c>
      <c r="U201" s="11" t="n">
        <f aca="false">IFERROR(Q201/MEDIAN(INDEX($Q$5:$Q$665,MATCH($A201-90,$A$5:$A$665,1)):INDEX($Q$5:$Q$665,MATCH($A201+90,$A$5:$A$665,1))),"")</f>
        <v>3.25955435920919</v>
      </c>
    </row>
    <row r="202" customFormat="false" ht="15" hidden="false" customHeight="false" outlineLevel="0" collapsed="false">
      <c r="A202" s="13" t="n">
        <v>45128.7276926736</v>
      </c>
      <c r="B202" s="8" t="n">
        <v>17</v>
      </c>
      <c r="C202" s="8" t="s">
        <v>84</v>
      </c>
      <c r="D202" s="8" t="s">
        <v>882</v>
      </c>
      <c r="E202" s="14" t="s">
        <v>66</v>
      </c>
      <c r="F202" s="9" t="n">
        <v>26279</v>
      </c>
      <c r="G202" s="9" t="n">
        <v>15703</v>
      </c>
      <c r="H202" s="9" t="n">
        <v>15697</v>
      </c>
      <c r="I202" s="9" t="n">
        <v>1330</v>
      </c>
      <c r="J202" s="9" t="n">
        <v>388</v>
      </c>
      <c r="K202" s="9" t="n">
        <v>17</v>
      </c>
      <c r="L202" s="9" t="n">
        <v>15</v>
      </c>
      <c r="M202" s="10" t="n">
        <f aca="false">IFERROR(G202/F202,"")</f>
        <v>0.597549374024887</v>
      </c>
      <c r="N202" s="10" t="n">
        <f aca="false">IFERROR(H202/G202,"")</f>
        <v>0.999617907406228</v>
      </c>
      <c r="O202" s="11" t="n">
        <f aca="false">IFERROR(I202/H202,"")</f>
        <v>0.0847295661591387</v>
      </c>
      <c r="P202" s="10" t="n">
        <f aca="false">IFERROR(J202/H202,"")</f>
        <v>0.0247180989998089</v>
      </c>
      <c r="Q202" s="10" t="n">
        <f aca="false">IFERROR(K202/H202,"")</f>
        <v>0.00108300949225967</v>
      </c>
      <c r="R202" s="10" t="n">
        <f aca="false">IFERROR(L202/H202,"")</f>
        <v>0.000955596610817354</v>
      </c>
      <c r="S202" s="11" t="n">
        <f aca="false">IFERROR(M202/MEDIAN(INDEX($M$5:$M$665,MATCH($A202-90,$A$5:$A$665,1)):INDEX($M$5:$M$665,MATCH($A202+90,$A$5:$A$665,1))),"")</f>
        <v>1.43270282597695</v>
      </c>
      <c r="T202" s="11" t="n">
        <f aca="false">IFERROR(N202/MEDIAN(INDEX($N$5:$N$665,MATCH($A202-90,$A$5:$A$665,1)):INDEX($N$5:$N$665,MATCH($A202+90,$A$5:$A$665,1))),"")</f>
        <v>0.999930263880738</v>
      </c>
      <c r="U202" s="11" t="n">
        <f aca="false">IFERROR(Q202/MEDIAN(INDEX($Q$5:$Q$665,MATCH($A202-90,$A$5:$A$665,1)):INDEX($Q$5:$Q$665,MATCH($A202+90,$A$5:$A$665,1))),"")</f>
        <v>1.02736750237783</v>
      </c>
    </row>
    <row r="203" customFormat="false" ht="15" hidden="false" customHeight="false" outlineLevel="0" collapsed="false">
      <c r="A203" s="13" t="n">
        <v>45129.720184456</v>
      </c>
      <c r="B203" s="8" t="n">
        <v>17</v>
      </c>
      <c r="C203" s="8" t="s">
        <v>68</v>
      </c>
      <c r="D203" s="8" t="s">
        <v>883</v>
      </c>
      <c r="E203" s="14" t="s">
        <v>66</v>
      </c>
      <c r="F203" s="9" t="n">
        <v>117235</v>
      </c>
      <c r="G203" s="9" t="n">
        <v>57940</v>
      </c>
      <c r="H203" s="9" t="n">
        <v>57935</v>
      </c>
      <c r="I203" s="9" t="n">
        <v>2769</v>
      </c>
      <c r="J203" s="9" t="n">
        <v>408</v>
      </c>
      <c r="K203" s="9" t="n">
        <v>33</v>
      </c>
      <c r="L203" s="9" t="n">
        <v>31</v>
      </c>
      <c r="M203" s="10" t="n">
        <f aca="false">IFERROR(G203/F203,"")</f>
        <v>0.494221009084318</v>
      </c>
      <c r="N203" s="10" t="n">
        <f aca="false">IFERROR(H203/G203,"")</f>
        <v>0.99991370383155</v>
      </c>
      <c r="O203" s="11" t="n">
        <f aca="false">IFERROR(I203/H203,"")</f>
        <v>0.0477949426080953</v>
      </c>
      <c r="P203" s="10" t="n">
        <f aca="false">IFERROR(J203/H203,"")</f>
        <v>0.00704237507551566</v>
      </c>
      <c r="Q203" s="10" t="n">
        <f aca="false">IFERROR(K203/H203,"")</f>
        <v>0.000569603866402002</v>
      </c>
      <c r="R203" s="10" t="n">
        <f aca="false">IFERROR(L203/H203,"")</f>
        <v>0.000535082419953396</v>
      </c>
      <c r="S203" s="11" t="n">
        <f aca="false">IFERROR(M203/MEDIAN(INDEX($M$5:$M$665,MATCH($A203-90,$A$5:$A$665,1)):INDEX($M$5:$M$665,MATCH($A203+90,$A$5:$A$665,1))),"")</f>
        <v>1.18334459183763</v>
      </c>
      <c r="T203" s="11" t="n">
        <f aca="false">IFERROR(N203/MEDIAN(INDEX($N$5:$N$665,MATCH($A203-90,$A$5:$A$665,1)):INDEX($N$5:$N$665,MATCH($A203+90,$A$5:$A$665,1))),"")</f>
        <v>1.00021976863223</v>
      </c>
      <c r="U203" s="11" t="n">
        <f aca="false">IFERROR(Q203/MEDIAN(INDEX($Q$5:$Q$665,MATCH($A203-90,$A$5:$A$665,1)):INDEX($Q$5:$Q$665,MATCH($A203+90,$A$5:$A$665,1))),"")</f>
        <v>0.540314236008594</v>
      </c>
    </row>
    <row r="204" customFormat="false" ht="15" hidden="false" customHeight="false" outlineLevel="0" collapsed="false">
      <c r="A204" s="13" t="n">
        <v>45131.0351410532</v>
      </c>
      <c r="B204" s="8" t="n">
        <v>0</v>
      </c>
      <c r="C204" s="8" t="s">
        <v>80</v>
      </c>
      <c r="D204" s="8" t="s">
        <v>884</v>
      </c>
      <c r="E204" s="14" t="s">
        <v>66</v>
      </c>
      <c r="F204" s="9" t="n">
        <v>23259</v>
      </c>
      <c r="G204" s="9" t="n">
        <v>10037</v>
      </c>
      <c r="H204" s="9" t="n">
        <v>10033</v>
      </c>
      <c r="I204" s="9" t="n">
        <v>741</v>
      </c>
      <c r="J204" s="9" t="n">
        <v>318</v>
      </c>
      <c r="K204" s="9" t="n">
        <v>19</v>
      </c>
      <c r="L204" s="9" t="n">
        <v>17</v>
      </c>
      <c r="M204" s="10" t="n">
        <f aca="false">IFERROR(G204/F204,"")</f>
        <v>0.431531880132422</v>
      </c>
      <c r="N204" s="10" t="n">
        <f aca="false">IFERROR(H204/G204,"")</f>
        <v>0.999601474544187</v>
      </c>
      <c r="O204" s="11" t="n">
        <f aca="false">IFERROR(I204/H204,"")</f>
        <v>0.0738562742948271</v>
      </c>
      <c r="P204" s="10" t="n">
        <f aca="false">IFERROR(J204/H204,"")</f>
        <v>0.0316954051629622</v>
      </c>
      <c r="Q204" s="10" t="n">
        <f aca="false">IFERROR(K204/H204,"")</f>
        <v>0.00189375062294428</v>
      </c>
      <c r="R204" s="10" t="n">
        <f aca="false">IFERROR(L204/H204,"")</f>
        <v>0.00169440845210804</v>
      </c>
      <c r="S204" s="11" t="n">
        <f aca="false">IFERROR(M204/MEDIAN(INDEX($M$5:$M$665,MATCH($A204-90,$A$5:$A$665,1)):INDEX($M$5:$M$665,MATCH($A204+90,$A$5:$A$665,1))),"")</f>
        <v>1.03209148989825</v>
      </c>
      <c r="T204" s="11" t="n">
        <f aca="false">IFERROR(N204/MEDIAN(INDEX($N$5:$N$665,MATCH($A204-90,$A$5:$A$665,1)):INDEX($N$5:$N$665,MATCH($A204+90,$A$5:$A$665,1))),"")</f>
        <v>0.999913825883824</v>
      </c>
      <c r="U204" s="11" t="n">
        <f aca="false">IFERROR(Q204/MEDIAN(INDEX($Q$5:$Q$665,MATCH($A204-90,$A$5:$A$665,1)):INDEX($Q$5:$Q$665,MATCH($A204+90,$A$5:$A$665,1))),"")</f>
        <v>1.79183547776673</v>
      </c>
    </row>
    <row r="205" customFormat="false" ht="15" hidden="false" customHeight="false" outlineLevel="0" collapsed="false">
      <c r="A205" s="13" t="n">
        <v>45131.6400290394</v>
      </c>
      <c r="B205" s="8" t="n">
        <v>15</v>
      </c>
      <c r="C205" s="8" t="s">
        <v>80</v>
      </c>
      <c r="D205" s="8" t="s">
        <v>885</v>
      </c>
      <c r="E205" s="14" t="s">
        <v>66</v>
      </c>
      <c r="F205" s="9" t="n">
        <v>394788</v>
      </c>
      <c r="G205" s="9" t="n">
        <v>99160</v>
      </c>
      <c r="H205" s="9" t="n">
        <v>99156</v>
      </c>
      <c r="I205" s="9" t="n">
        <v>4414</v>
      </c>
      <c r="J205" s="9" t="n">
        <v>854</v>
      </c>
      <c r="K205" s="9" t="n">
        <v>69</v>
      </c>
      <c r="L205" s="9" t="n">
        <v>23</v>
      </c>
      <c r="M205" s="10" t="n">
        <f aca="false">IFERROR(G205/F205,"")</f>
        <v>0.251172781340872</v>
      </c>
      <c r="N205" s="10" t="n">
        <f aca="false">IFERROR(H205/G205,"")</f>
        <v>0.999959661153691</v>
      </c>
      <c r="O205" s="11" t="n">
        <f aca="false">IFERROR(I205/H205,"")</f>
        <v>0.0445157126144661</v>
      </c>
      <c r="P205" s="10" t="n">
        <f aca="false">IFERROR(J205/H205,"")</f>
        <v>0.00861269111299367</v>
      </c>
      <c r="Q205" s="10" t="n">
        <f aca="false">IFERROR(K205/H205,"")</f>
        <v>0.000695873169551011</v>
      </c>
      <c r="R205" s="10" t="n">
        <f aca="false">IFERROR(L205/H205,"")</f>
        <v>0.00023195772318367</v>
      </c>
      <c r="S205" s="11" t="n">
        <f aca="false">IFERROR(M205/MEDIAN(INDEX($M$5:$M$665,MATCH($A205-90,$A$5:$A$665,1)):INDEX($M$5:$M$665,MATCH($A205+90,$A$5:$A$665,1))),"")</f>
        <v>0.600058664649763</v>
      </c>
      <c r="T205" s="11" t="n">
        <f aca="false">IFERROR(N205/MEDIAN(INDEX($N$5:$N$665,MATCH($A205-90,$A$5:$A$665,1)):INDEX($N$5:$N$665,MATCH($A205+90,$A$5:$A$665,1))),"")</f>
        <v>1.00027850889599</v>
      </c>
      <c r="U205" s="11" t="n">
        <f aca="false">IFERROR(Q205/MEDIAN(INDEX($Q$5:$Q$665,MATCH($A205-90,$A$5:$A$665,1)):INDEX($Q$5:$Q$665,MATCH($A205+90,$A$5:$A$665,1))),"")</f>
        <v>0.656765097422244</v>
      </c>
    </row>
    <row r="206" customFormat="false" ht="15" hidden="false" customHeight="false" outlineLevel="0" collapsed="false">
      <c r="A206" s="13" t="n">
        <v>45132.6327009375</v>
      </c>
      <c r="B206" s="8" t="n">
        <v>15</v>
      </c>
      <c r="C206" s="8" t="s">
        <v>64</v>
      </c>
      <c r="D206" s="8" t="s">
        <v>886</v>
      </c>
      <c r="E206" s="14" t="s">
        <v>66</v>
      </c>
      <c r="F206" s="9" t="n">
        <v>13849</v>
      </c>
      <c r="G206" s="9" t="n">
        <v>9890</v>
      </c>
      <c r="H206" s="9" t="n">
        <v>9885</v>
      </c>
      <c r="I206" s="9" t="n">
        <v>845</v>
      </c>
      <c r="J206" s="9" t="n">
        <v>494</v>
      </c>
      <c r="K206" s="9" t="n">
        <v>21</v>
      </c>
      <c r="L206" s="9" t="n">
        <v>12</v>
      </c>
      <c r="M206" s="10" t="n">
        <f aca="false">IFERROR(G206/F206,"")</f>
        <v>0.714130984186584</v>
      </c>
      <c r="N206" s="10" t="n">
        <f aca="false">IFERROR(H206/G206,"")</f>
        <v>0.999494438827098</v>
      </c>
      <c r="O206" s="11" t="n">
        <f aca="false">IFERROR(I206/H206,"")</f>
        <v>0.0854830551340415</v>
      </c>
      <c r="P206" s="10" t="n">
        <f aca="false">IFERROR(J206/H206,"")</f>
        <v>0.0499747091552858</v>
      </c>
      <c r="Q206" s="10" t="n">
        <f aca="false">IFERROR(K206/H206,"")</f>
        <v>0.00212443095599393</v>
      </c>
      <c r="R206" s="10" t="n">
        <f aca="false">IFERROR(L206/H206,"")</f>
        <v>0.00121396054628225</v>
      </c>
      <c r="S206" s="11" t="n">
        <f aca="false">IFERROR(M206/MEDIAN(INDEX($M$5:$M$665,MATCH($A206-90,$A$5:$A$665,1)):INDEX($M$5:$M$665,MATCH($A206+90,$A$5:$A$665,1))),"")</f>
        <v>1.69993410972149</v>
      </c>
      <c r="T206" s="11" t="n">
        <f aca="false">IFERROR(N206/MEDIAN(INDEX($N$5:$N$665,MATCH($A206-90,$A$5:$A$665,1)):INDEX($N$5:$N$665,MATCH($A206+90,$A$5:$A$665,1))),"")</f>
        <v>0.999818113047026</v>
      </c>
      <c r="U206" s="11" t="n">
        <f aca="false">IFERROR(Q206/MEDIAN(INDEX($Q$5:$Q$665,MATCH($A206-90,$A$5:$A$665,1)):INDEX($Q$5:$Q$665,MATCH($A206+90,$A$5:$A$665,1))),"")</f>
        <v>2.00036167015542</v>
      </c>
    </row>
    <row r="207" customFormat="false" ht="15" hidden="false" customHeight="false" outlineLevel="0" collapsed="false">
      <c r="A207" s="13" t="n">
        <v>45133.6026511574</v>
      </c>
      <c r="B207" s="8" t="n">
        <v>14</v>
      </c>
      <c r="C207" s="8" t="s">
        <v>71</v>
      </c>
      <c r="D207" s="8" t="s">
        <v>887</v>
      </c>
      <c r="E207" s="14" t="s">
        <v>66</v>
      </c>
      <c r="F207" s="9" t="n">
        <v>158799</v>
      </c>
      <c r="G207" s="9" t="n">
        <v>36754</v>
      </c>
      <c r="H207" s="9" t="n">
        <v>36749</v>
      </c>
      <c r="I207" s="9" t="n">
        <v>1541</v>
      </c>
      <c r="J207" s="9" t="n">
        <v>300</v>
      </c>
      <c r="K207" s="9" t="n">
        <v>17</v>
      </c>
      <c r="L207" s="9" t="n">
        <v>8</v>
      </c>
      <c r="M207" s="10" t="n">
        <f aca="false">IFERROR(G207/F207,"")</f>
        <v>0.231449820212974</v>
      </c>
      <c r="N207" s="10" t="n">
        <f aca="false">IFERROR(H207/G207,"")</f>
        <v>0.999863960385264</v>
      </c>
      <c r="O207" s="11" t="n">
        <f aca="false">IFERROR(I207/H207,"")</f>
        <v>0.0419331138262266</v>
      </c>
      <c r="P207" s="10" t="n">
        <f aca="false">IFERROR(J207/H207,"")</f>
        <v>0.00816348744183515</v>
      </c>
      <c r="Q207" s="10" t="n">
        <f aca="false">IFERROR(K207/H207,"")</f>
        <v>0.000462597621703992</v>
      </c>
      <c r="R207" s="10" t="n">
        <f aca="false">IFERROR(L207/H207,"")</f>
        <v>0.000217692998448937</v>
      </c>
      <c r="S207" s="11" t="n">
        <f aca="false">IFERROR(M207/MEDIAN(INDEX($M$5:$M$665,MATCH($A207-90,$A$5:$A$665,1)):INDEX($M$5:$M$665,MATCH($A207+90,$A$5:$A$665,1))),"")</f>
        <v>0.54897146170784</v>
      </c>
      <c r="T207" s="11" t="n">
        <f aca="false">IFERROR(N207/MEDIAN(INDEX($N$5:$N$665,MATCH($A207-90,$A$5:$A$665,1)):INDEX($N$5:$N$665,MATCH($A207+90,$A$5:$A$665,1))),"")</f>
        <v>1.0001888552546</v>
      </c>
      <c r="U207" s="11" t="n">
        <f aca="false">IFERROR(Q207/MEDIAN(INDEX($Q$5:$Q$665,MATCH($A207-90,$A$5:$A$665,1)):INDEX($Q$5:$Q$665,MATCH($A207+90,$A$5:$A$665,1))),"")</f>
        <v>0.435746846705086</v>
      </c>
    </row>
    <row r="208" customFormat="false" ht="15" hidden="false" customHeight="false" outlineLevel="0" collapsed="false">
      <c r="A208" s="13" t="n">
        <v>45134.7043587616</v>
      </c>
      <c r="B208" s="8" t="n">
        <v>16</v>
      </c>
      <c r="C208" s="8" t="s">
        <v>73</v>
      </c>
      <c r="D208" s="8" t="s">
        <v>888</v>
      </c>
      <c r="E208" s="14" t="s">
        <v>66</v>
      </c>
      <c r="F208" s="9" t="n">
        <v>6612</v>
      </c>
      <c r="G208" s="9" t="n">
        <v>3753</v>
      </c>
      <c r="H208" s="9" t="n">
        <v>3744</v>
      </c>
      <c r="I208" s="9" t="n">
        <v>340</v>
      </c>
      <c r="J208" s="9" t="n">
        <v>314</v>
      </c>
      <c r="K208" s="9" t="n">
        <v>13</v>
      </c>
      <c r="L208" s="9" t="n">
        <v>2</v>
      </c>
      <c r="M208" s="10" t="n">
        <f aca="false">IFERROR(G208/F208,"")</f>
        <v>0.567604355716878</v>
      </c>
      <c r="N208" s="10" t="n">
        <f aca="false">IFERROR(H208/G208,"")</f>
        <v>0.997601918465228</v>
      </c>
      <c r="O208" s="11" t="n">
        <f aca="false">IFERROR(I208/H208,"")</f>
        <v>0.0908119658119658</v>
      </c>
      <c r="P208" s="10" t="n">
        <f aca="false">IFERROR(J208/H208,"")</f>
        <v>0.0838675213675214</v>
      </c>
      <c r="Q208" s="10" t="n">
        <f aca="false">IFERROR(K208/H208,"")</f>
        <v>0.00347222222222222</v>
      </c>
      <c r="R208" s="10" t="n">
        <f aca="false">IFERROR(L208/H208,"")</f>
        <v>0.000534188034188034</v>
      </c>
      <c r="S208" s="11" t="n">
        <f aca="false">IFERROR(M208/MEDIAN(INDEX($M$5:$M$665,MATCH($A208-90,$A$5:$A$665,1)):INDEX($M$5:$M$665,MATCH($A208+90,$A$5:$A$665,1))),"")</f>
        <v>1.3437100552184</v>
      </c>
      <c r="T208" s="11" t="n">
        <f aca="false">IFERROR(N208/MEDIAN(INDEX($N$5:$N$665,MATCH($A208-90,$A$5:$A$665,1)):INDEX($N$5:$N$665,MATCH($A208+90,$A$5:$A$665,1))),"")</f>
        <v>0.997928934877471</v>
      </c>
      <c r="U208" s="11" t="n">
        <f aca="false">IFERROR(Q208/MEDIAN(INDEX($Q$5:$Q$665,MATCH($A208-90,$A$5:$A$665,1)):INDEX($Q$5:$Q$665,MATCH($A208+90,$A$5:$A$665,1))),"")</f>
        <v>3.27387972151261</v>
      </c>
    </row>
    <row r="209" customFormat="false" ht="15" hidden="false" customHeight="false" outlineLevel="0" collapsed="false">
      <c r="A209" s="13" t="n">
        <v>45135.6322834838</v>
      </c>
      <c r="B209" s="8" t="n">
        <v>15</v>
      </c>
      <c r="C209" s="8" t="s">
        <v>84</v>
      </c>
      <c r="D209" s="8" t="s">
        <v>889</v>
      </c>
      <c r="E209" s="14" t="s">
        <v>66</v>
      </c>
      <c r="F209" s="9" t="n">
        <v>67841</v>
      </c>
      <c r="G209" s="9" t="n">
        <v>13873</v>
      </c>
      <c r="H209" s="9" t="n">
        <v>13868</v>
      </c>
      <c r="I209" s="9" t="n">
        <v>858</v>
      </c>
      <c r="J209" s="9" t="n">
        <v>344</v>
      </c>
      <c r="K209" s="9" t="n">
        <v>31</v>
      </c>
      <c r="L209" s="9" t="n">
        <v>11</v>
      </c>
      <c r="M209" s="10" t="n">
        <f aca="false">IFERROR(G209/F209,"")</f>
        <v>0.204492858301027</v>
      </c>
      <c r="N209" s="10" t="n">
        <f aca="false">IFERROR(H209/G209,"")</f>
        <v>0.999639587688315</v>
      </c>
      <c r="O209" s="11" t="n">
        <f aca="false">IFERROR(I209/H209,"")</f>
        <v>0.0618690510527834</v>
      </c>
      <c r="P209" s="10" t="n">
        <f aca="false">IFERROR(J209/H209,"")</f>
        <v>0.0248053071820017</v>
      </c>
      <c r="Q209" s="10" t="n">
        <f aca="false">IFERROR(K209/H209,"")</f>
        <v>0.00223536198442457</v>
      </c>
      <c r="R209" s="10" t="n">
        <f aca="false">IFERROR(L209/H209,"")</f>
        <v>0.000793192962215172</v>
      </c>
      <c r="S209" s="11" t="n">
        <f aca="false">IFERROR(M209/MEDIAN(INDEX($M$5:$M$665,MATCH($A209-90,$A$5:$A$665,1)):INDEX($M$5:$M$665,MATCH($A209+90,$A$5:$A$665,1))),"")</f>
        <v>0.483177291446001</v>
      </c>
      <c r="T209" s="11" t="n">
        <f aca="false">IFERROR(N209/MEDIAN(INDEX($N$5:$N$665,MATCH($A209-90,$A$5:$A$665,1)):INDEX($N$5:$N$665,MATCH($A209+90,$A$5:$A$665,1))),"")</f>
        <v>0.999970134473478</v>
      </c>
      <c r="U209" s="11" t="n">
        <f aca="false">IFERROR(Q209/MEDIAN(INDEX($Q$5:$Q$665,MATCH($A209-90,$A$5:$A$665,1)):INDEX($Q$5:$Q$665,MATCH($A209+90,$A$5:$A$665,1))),"")</f>
        <v>2.10561379967645</v>
      </c>
    </row>
    <row r="210" customFormat="false" ht="15" hidden="false" customHeight="false" outlineLevel="0" collapsed="false">
      <c r="A210" s="13" t="n">
        <v>45136.6248812384</v>
      </c>
      <c r="B210" s="8" t="n">
        <v>14</v>
      </c>
      <c r="C210" s="8" t="s">
        <v>68</v>
      </c>
      <c r="D210" s="8" t="s">
        <v>890</v>
      </c>
      <c r="E210" s="14" t="s">
        <v>66</v>
      </c>
      <c r="F210" s="9" t="n">
        <v>72820</v>
      </c>
      <c r="G210" s="9" t="n">
        <v>20373</v>
      </c>
      <c r="H210" s="9" t="n">
        <v>20372</v>
      </c>
      <c r="I210" s="9" t="n">
        <v>1212</v>
      </c>
      <c r="J210" s="9" t="n">
        <v>413</v>
      </c>
      <c r="K210" s="9" t="n">
        <v>15</v>
      </c>
      <c r="L210" s="9" t="n">
        <v>39</v>
      </c>
      <c r="M210" s="10" t="n">
        <f aca="false">IFERROR(G210/F210,"")</f>
        <v>0.279772040648174</v>
      </c>
      <c r="N210" s="10" t="n">
        <f aca="false">IFERROR(H210/G210,"")</f>
        <v>0.999950915427281</v>
      </c>
      <c r="O210" s="11" t="n">
        <f aca="false">IFERROR(I210/H210,"")</f>
        <v>0.0594934223443943</v>
      </c>
      <c r="P210" s="10" t="n">
        <f aca="false">IFERROR(J210/H210,"")</f>
        <v>0.0202729236206558</v>
      </c>
      <c r="Q210" s="10" t="n">
        <f aca="false">IFERROR(K210/H210,"")</f>
        <v>0.000736304731985078</v>
      </c>
      <c r="R210" s="10" t="n">
        <f aca="false">IFERROR(L210/H210,"")</f>
        <v>0.0019143923031612</v>
      </c>
      <c r="S210" s="11" t="n">
        <f aca="false">IFERROR(M210/MEDIAN(INDEX($M$5:$M$665,MATCH($A210-90,$A$5:$A$665,1)):INDEX($M$5:$M$665,MATCH($A210+90,$A$5:$A$665,1))),"")</f>
        <v>0.655865324585896</v>
      </c>
      <c r="T210" s="11" t="n">
        <f aca="false">IFERROR(N210/MEDIAN(INDEX($N$5:$N$665,MATCH($A210-90,$A$5:$A$665,1)):INDEX($N$5:$N$665,MATCH($A210+90,$A$5:$A$665,1))),"")</f>
        <v>1.0002866046026</v>
      </c>
      <c r="U210" s="11" t="n">
        <f aca="false">IFERROR(Q210/MEDIAN(INDEX($Q$5:$Q$665,MATCH($A210-90,$A$5:$A$665,1)):INDEX($Q$5:$Q$665,MATCH($A210+90,$A$5:$A$665,1))),"")</f>
        <v>0.693567044280726</v>
      </c>
    </row>
    <row r="211" customFormat="false" ht="15" hidden="false" customHeight="false" outlineLevel="0" collapsed="false">
      <c r="A211" s="13" t="n">
        <v>45137.624822963</v>
      </c>
      <c r="B211" s="8" t="n">
        <v>14</v>
      </c>
      <c r="C211" s="8" t="s">
        <v>86</v>
      </c>
      <c r="D211" s="8" t="s">
        <v>891</v>
      </c>
      <c r="E211" s="14" t="s">
        <v>66</v>
      </c>
      <c r="F211" s="9" t="n">
        <v>5251</v>
      </c>
      <c r="G211" s="9" t="n">
        <v>2415</v>
      </c>
      <c r="H211" s="9" t="n">
        <v>2407</v>
      </c>
      <c r="I211" s="9" t="n">
        <v>305</v>
      </c>
      <c r="J211" s="9" t="n">
        <v>170</v>
      </c>
      <c r="K211" s="9" t="n">
        <v>8</v>
      </c>
      <c r="L211" s="9" t="n">
        <v>2</v>
      </c>
      <c r="M211" s="10" t="n">
        <f aca="false">IFERROR(G211/F211,"")</f>
        <v>0.459912397638545</v>
      </c>
      <c r="N211" s="10" t="n">
        <f aca="false">IFERROR(H211/G211,"")</f>
        <v>0.996687370600414</v>
      </c>
      <c r="O211" s="11" t="n">
        <f aca="false">IFERROR(I211/H211,"")</f>
        <v>0.126713751557956</v>
      </c>
      <c r="P211" s="10" t="n">
        <f aca="false">IFERROR(J211/H211,"")</f>
        <v>0.0706273369339427</v>
      </c>
      <c r="Q211" s="10" t="n">
        <f aca="false">IFERROR(K211/H211,"")</f>
        <v>0.00332363938512671</v>
      </c>
      <c r="R211" s="10" t="n">
        <f aca="false">IFERROR(L211/H211,"")</f>
        <v>0.000830909846281678</v>
      </c>
      <c r="S211" s="11" t="n">
        <f aca="false">IFERROR(M211/MEDIAN(INDEX($M$5:$M$665,MATCH($A211-90,$A$5:$A$665,1)):INDEX($M$5:$M$665,MATCH($A211+90,$A$5:$A$665,1))),"")</f>
        <v>1.0750430153501</v>
      </c>
      <c r="T211" s="11" t="n">
        <f aca="false">IFERROR(N211/MEDIAN(INDEX($N$5:$N$665,MATCH($A211-90,$A$5:$A$665,1)):INDEX($N$5:$N$665,MATCH($A211+90,$A$5:$A$665,1))),"")</f>
        <v>0.997019452680252</v>
      </c>
      <c r="U211" s="11" t="n">
        <f aca="false">IFERROR(Q211/MEDIAN(INDEX($Q$5:$Q$665,MATCH($A211-90,$A$5:$A$665,1)):INDEX($Q$5:$Q$665,MATCH($A211+90,$A$5:$A$665,1))),"")</f>
        <v>3.12953490565</v>
      </c>
    </row>
    <row r="212" customFormat="false" ht="15" hidden="false" customHeight="false" outlineLevel="0" collapsed="false">
      <c r="A212" s="13" t="n">
        <v>45138.6255386921</v>
      </c>
      <c r="B212" s="8" t="n">
        <v>15</v>
      </c>
      <c r="C212" s="8" t="s">
        <v>80</v>
      </c>
      <c r="D212" s="8" t="s">
        <v>892</v>
      </c>
      <c r="E212" s="14" t="s">
        <v>66</v>
      </c>
      <c r="F212" s="9" t="n">
        <v>7654</v>
      </c>
      <c r="G212" s="9" t="n">
        <v>4902</v>
      </c>
      <c r="H212" s="9" t="n">
        <v>4893</v>
      </c>
      <c r="I212" s="9" t="n">
        <v>1048</v>
      </c>
      <c r="J212" s="9" t="n">
        <v>396</v>
      </c>
      <c r="K212" s="9" t="n">
        <v>7</v>
      </c>
      <c r="L212" s="9" t="n">
        <v>4</v>
      </c>
      <c r="M212" s="10" t="n">
        <f aca="false">IFERROR(G212/F212,"")</f>
        <v>0.640449438202247</v>
      </c>
      <c r="N212" s="10" t="n">
        <f aca="false">IFERROR(H212/G212,"")</f>
        <v>0.998164014687883</v>
      </c>
      <c r="O212" s="11" t="n">
        <f aca="false">IFERROR(I212/H212,"")</f>
        <v>0.214183527488249</v>
      </c>
      <c r="P212" s="10" t="n">
        <f aca="false">IFERROR(J212/H212,"")</f>
        <v>0.0809319435928878</v>
      </c>
      <c r="Q212" s="10" t="n">
        <f aca="false">IFERROR(K212/H212,"")</f>
        <v>0.00143061516452074</v>
      </c>
      <c r="R212" s="10" t="n">
        <f aca="false">IFERROR(L212/H212,"")</f>
        <v>0.000817494379726139</v>
      </c>
      <c r="S212" s="11" t="n">
        <f aca="false">IFERROR(M212/MEDIAN(INDEX($M$5:$M$665,MATCH($A212-90,$A$5:$A$665,1)):INDEX($M$5:$M$665,MATCH($A212+90,$A$5:$A$665,1))),"")</f>
        <v>1.49272422942004</v>
      </c>
      <c r="T212" s="11" t="n">
        <f aca="false">IFERROR(N212/MEDIAN(INDEX($N$5:$N$665,MATCH($A212-90,$A$5:$A$665,1)):INDEX($N$5:$N$665,MATCH($A212+90,$A$5:$A$665,1))),"")</f>
        <v>0.99849407355128</v>
      </c>
      <c r="U212" s="11" t="n">
        <f aca="false">IFERROR(Q212/MEDIAN(INDEX($Q$5:$Q$665,MATCH($A212-90,$A$5:$A$665,1)):INDEX($Q$5:$Q$665,MATCH($A212+90,$A$5:$A$665,1))),"")</f>
        <v>1.3465541907158</v>
      </c>
    </row>
    <row r="213" customFormat="false" ht="15" hidden="false" customHeight="false" outlineLevel="0" collapsed="false">
      <c r="A213" s="13" t="n">
        <v>45139.5628132292</v>
      </c>
      <c r="B213" s="8" t="n">
        <v>13</v>
      </c>
      <c r="C213" s="8" t="s">
        <v>64</v>
      </c>
      <c r="D213" s="8" t="s">
        <v>893</v>
      </c>
      <c r="E213" s="14" t="s">
        <v>66</v>
      </c>
      <c r="F213" s="9" t="n">
        <v>7948</v>
      </c>
      <c r="G213" s="9" t="n">
        <v>4316</v>
      </c>
      <c r="H213" s="9" t="n">
        <v>4311</v>
      </c>
      <c r="I213" s="9" t="n">
        <v>803</v>
      </c>
      <c r="J213" s="9" t="n">
        <v>213</v>
      </c>
      <c r="K213" s="9" t="n">
        <v>10</v>
      </c>
      <c r="L213" s="9" t="n">
        <v>1</v>
      </c>
      <c r="M213" s="10" t="n">
        <f aca="false">IFERROR(G213/F213,"")</f>
        <v>0.543029693004529</v>
      </c>
      <c r="N213" s="10" t="n">
        <f aca="false">IFERROR(H213/G213,"")</f>
        <v>0.998841519925857</v>
      </c>
      <c r="O213" s="11" t="n">
        <f aca="false">IFERROR(I213/H213,"")</f>
        <v>0.186267687311529</v>
      </c>
      <c r="P213" s="10" t="n">
        <f aca="false">IFERROR(J213/H213,"")</f>
        <v>0.0494084899095338</v>
      </c>
      <c r="Q213" s="10" t="n">
        <f aca="false">IFERROR(K213/H213,"")</f>
        <v>0.00231964741359313</v>
      </c>
      <c r="R213" s="10" t="n">
        <f aca="false">IFERROR(L213/H213,"")</f>
        <v>0.000231964741359313</v>
      </c>
      <c r="S213" s="11" t="n">
        <f aca="false">IFERROR(M213/MEDIAN(INDEX($M$5:$M$665,MATCH($A213-90,$A$5:$A$665,1)):INDEX($M$5:$M$665,MATCH($A213+90,$A$5:$A$665,1))),"")</f>
        <v>1.26566366006618</v>
      </c>
      <c r="T213" s="11" t="n">
        <f aca="false">IFERROR(N213/MEDIAN(INDEX($N$5:$N$665,MATCH($A213-90,$A$5:$A$665,1)):INDEX($N$5:$N$665,MATCH($A213+90,$A$5:$A$665,1))),"")</f>
        <v>0.999171802817176</v>
      </c>
      <c r="U213" s="11" t="n">
        <f aca="false">IFERROR(Q213/MEDIAN(INDEX($Q$5:$Q$665,MATCH($A213-90,$A$5:$A$665,1)):INDEX($Q$5:$Q$665,MATCH($A213+90,$A$5:$A$665,1))),"")</f>
        <v>2.18334813108408</v>
      </c>
    </row>
    <row r="214" customFormat="false" ht="15" hidden="false" customHeight="false" outlineLevel="0" collapsed="false">
      <c r="A214" s="13" t="n">
        <v>45140.6254651736</v>
      </c>
      <c r="B214" s="8" t="n">
        <v>15</v>
      </c>
      <c r="C214" s="8" t="s">
        <v>71</v>
      </c>
      <c r="D214" s="8" t="s">
        <v>894</v>
      </c>
      <c r="E214" s="14" t="s">
        <v>66</v>
      </c>
      <c r="F214" s="9" t="n">
        <v>31614</v>
      </c>
      <c r="G214" s="9" t="n">
        <v>13233</v>
      </c>
      <c r="H214" s="9" t="n">
        <v>13230</v>
      </c>
      <c r="I214" s="9" t="n">
        <v>2803</v>
      </c>
      <c r="J214" s="9" t="n">
        <v>404</v>
      </c>
      <c r="K214" s="9" t="n">
        <v>29</v>
      </c>
      <c r="L214" s="9" t="n">
        <v>16</v>
      </c>
      <c r="M214" s="10" t="n">
        <f aca="false">IFERROR(G214/F214,"")</f>
        <v>0.418580375782881</v>
      </c>
      <c r="N214" s="10" t="n">
        <f aca="false">IFERROR(H214/G214,"")</f>
        <v>0.999773294037633</v>
      </c>
      <c r="O214" s="11" t="n">
        <f aca="false">IFERROR(I214/H214,"")</f>
        <v>0.211866969009826</v>
      </c>
      <c r="P214" s="10" t="n">
        <f aca="false">IFERROR(J214/H214,"")</f>
        <v>0.0305366591080877</v>
      </c>
      <c r="Q214" s="10" t="n">
        <f aca="false">IFERROR(K214/H214,"")</f>
        <v>0.00219198790627362</v>
      </c>
      <c r="R214" s="10" t="n">
        <f aca="false">IFERROR(L214/H214,"")</f>
        <v>0.00120937263794407</v>
      </c>
      <c r="S214" s="11" t="n">
        <f aca="false">IFERROR(M214/MEDIAN(INDEX($M$5:$M$665,MATCH($A214-90,$A$5:$A$665,1)):INDEX($M$5:$M$665,MATCH($A214+90,$A$5:$A$665,1))),"")</f>
        <v>0.975604054934839</v>
      </c>
      <c r="T214" s="11" t="n">
        <f aca="false">IFERROR(N214/MEDIAN(INDEX($N$5:$N$665,MATCH($A214-90,$A$5:$A$665,1)):INDEX($N$5:$N$665,MATCH($A214+90,$A$5:$A$665,1))),"")</f>
        <v>1.00010388503493</v>
      </c>
      <c r="U214" s="11" t="n">
        <f aca="false">IFERROR(Q214/MEDIAN(INDEX($Q$5:$Q$665,MATCH($A214-90,$A$5:$A$665,1)):INDEX($Q$5:$Q$665,MATCH($A214+90,$A$5:$A$665,1))),"")</f>
        <v>2.06318972033258</v>
      </c>
    </row>
    <row r="215" customFormat="false" ht="15" hidden="false" customHeight="false" outlineLevel="0" collapsed="false">
      <c r="A215" s="13" t="n">
        <v>45141.6759067593</v>
      </c>
      <c r="B215" s="8" t="n">
        <v>16</v>
      </c>
      <c r="C215" s="8" t="s">
        <v>73</v>
      </c>
      <c r="D215" s="8" t="s">
        <v>895</v>
      </c>
      <c r="E215" s="14" t="s">
        <v>66</v>
      </c>
      <c r="F215" s="9" t="n">
        <v>25821</v>
      </c>
      <c r="G215" s="9" t="n">
        <v>8173</v>
      </c>
      <c r="H215" s="9" t="n">
        <v>8168</v>
      </c>
      <c r="I215" s="9" t="n">
        <v>1401</v>
      </c>
      <c r="J215" s="9" t="n">
        <v>168</v>
      </c>
      <c r="K215" s="9" t="n">
        <v>6</v>
      </c>
      <c r="L215" s="9" t="n">
        <v>1</v>
      </c>
      <c r="M215" s="10" t="n">
        <f aca="false">IFERROR(G215/F215,"")</f>
        <v>0.316525308857132</v>
      </c>
      <c r="N215" s="10" t="n">
        <f aca="false">IFERROR(H215/G215,"")</f>
        <v>0.999388229536278</v>
      </c>
      <c r="O215" s="11" t="n">
        <f aca="false">IFERROR(I215/H215,"")</f>
        <v>0.171523016650343</v>
      </c>
      <c r="P215" s="10" t="n">
        <f aca="false">IFERROR(J215/H215,"")</f>
        <v>0.0205680705190989</v>
      </c>
      <c r="Q215" s="10" t="n">
        <f aca="false">IFERROR(K215/H215,"")</f>
        <v>0.000734573947110676</v>
      </c>
      <c r="R215" s="10" t="n">
        <f aca="false">IFERROR(L215/H215,"")</f>
        <v>0.000122428991185113</v>
      </c>
      <c r="S215" s="11" t="n">
        <f aca="false">IFERROR(M215/MEDIAN(INDEX($M$5:$M$665,MATCH($A215-90,$A$5:$A$665,1)):INDEX($M$5:$M$665,MATCH($A215+90,$A$5:$A$665,1))),"")</f>
        <v>0.736961153405892</v>
      </c>
      <c r="T215" s="11" t="n">
        <f aca="false">IFERROR(N215/MEDIAN(INDEX($N$5:$N$665,MATCH($A215-90,$A$5:$A$665,1)):INDEX($N$5:$N$665,MATCH($A215+90,$A$5:$A$665,1))),"")</f>
        <v>0.999723729814758</v>
      </c>
      <c r="U215" s="11" t="n">
        <f aca="false">IFERROR(Q215/MEDIAN(INDEX($Q$5:$Q$665,MATCH($A215-90,$A$5:$A$665,1)):INDEX($Q$5:$Q$665,MATCH($A215+90,$A$5:$A$665,1))),"")</f>
        <v>0.691411395183897</v>
      </c>
    </row>
    <row r="216" customFormat="false" ht="15" hidden="false" customHeight="false" outlineLevel="0" collapsed="false">
      <c r="A216" s="13" t="n">
        <v>45142.5839714236</v>
      </c>
      <c r="B216" s="8" t="n">
        <v>14</v>
      </c>
      <c r="C216" s="8" t="s">
        <v>84</v>
      </c>
      <c r="D216" s="8" t="s">
        <v>896</v>
      </c>
      <c r="E216" s="14" t="s">
        <v>66</v>
      </c>
      <c r="F216" s="9" t="n">
        <v>16559</v>
      </c>
      <c r="G216" s="9" t="n">
        <v>9586</v>
      </c>
      <c r="H216" s="9" t="n">
        <v>9580</v>
      </c>
      <c r="I216" s="9" t="n">
        <v>2382</v>
      </c>
      <c r="J216" s="9" t="n">
        <v>289</v>
      </c>
      <c r="K216" s="9" t="n">
        <v>4</v>
      </c>
      <c r="L216" s="9" t="n">
        <v>4</v>
      </c>
      <c r="M216" s="10" t="n">
        <f aca="false">IFERROR(G216/F216,"")</f>
        <v>0.578899692010387</v>
      </c>
      <c r="N216" s="10" t="n">
        <f aca="false">IFERROR(H216/G216,"")</f>
        <v>0.999374087210515</v>
      </c>
      <c r="O216" s="11" t="n">
        <f aca="false">IFERROR(I216/H216,"")</f>
        <v>0.248643006263048</v>
      </c>
      <c r="P216" s="10" t="n">
        <f aca="false">IFERROR(J216/H216,"")</f>
        <v>0.0301670146137787</v>
      </c>
      <c r="Q216" s="10" t="n">
        <f aca="false">IFERROR(K216/H216,"")</f>
        <v>0.000417536534446764</v>
      </c>
      <c r="R216" s="10" t="n">
        <f aca="false">IFERROR(L216/H216,"")</f>
        <v>0.000417536534446764</v>
      </c>
      <c r="S216" s="11" t="n">
        <f aca="false">IFERROR(M216/MEDIAN(INDEX($M$5:$M$665,MATCH($A216-90,$A$5:$A$665,1)):INDEX($M$5:$M$665,MATCH($A216+90,$A$5:$A$665,1))),"")</f>
        <v>1.34784351453822</v>
      </c>
      <c r="T216" s="11" t="n">
        <f aca="false">IFERROR(N216/MEDIAN(INDEX($N$5:$N$665,MATCH($A216-90,$A$5:$A$665,1)):INDEX($N$5:$N$665,MATCH($A216+90,$A$5:$A$665,1))),"")</f>
        <v>0.999709582741337</v>
      </c>
      <c r="U216" s="11" t="n">
        <f aca="false">IFERROR(Q216/MEDIAN(INDEX($Q$5:$Q$665,MATCH($A216-90,$A$5:$A$665,1)):INDEX($Q$5:$Q$665,MATCH($A216+90,$A$5:$A$665,1))),"")</f>
        <v>0.393002663595134</v>
      </c>
    </row>
    <row r="217" customFormat="false" ht="15" hidden="false" customHeight="false" outlineLevel="0" collapsed="false">
      <c r="A217" s="13" t="n">
        <v>45143.5618655903</v>
      </c>
      <c r="B217" s="8" t="n">
        <v>13</v>
      </c>
      <c r="C217" s="8" t="s">
        <v>68</v>
      </c>
      <c r="D217" s="8" t="s">
        <v>897</v>
      </c>
      <c r="E217" s="14" t="s">
        <v>66</v>
      </c>
      <c r="F217" s="9" t="n">
        <v>13232</v>
      </c>
      <c r="G217" s="9" t="n">
        <v>5509</v>
      </c>
      <c r="H217" s="9" t="n">
        <v>5504</v>
      </c>
      <c r="I217" s="9" t="n">
        <v>766</v>
      </c>
      <c r="J217" s="9" t="n">
        <v>246</v>
      </c>
      <c r="K217" s="9" t="n">
        <v>7</v>
      </c>
      <c r="L217" s="9" t="n">
        <v>5</v>
      </c>
      <c r="M217" s="10" t="n">
        <f aca="false">IFERROR(G217/F217,"")</f>
        <v>0.416339177750907</v>
      </c>
      <c r="N217" s="10" t="n">
        <f aca="false">IFERROR(H217/G217,"")</f>
        <v>0.999092394263932</v>
      </c>
      <c r="O217" s="11" t="n">
        <f aca="false">IFERROR(I217/H217,"")</f>
        <v>0.139171511627907</v>
      </c>
      <c r="P217" s="10" t="n">
        <f aca="false">IFERROR(J217/H217,"")</f>
        <v>0.0446947674418605</v>
      </c>
      <c r="Q217" s="10" t="n">
        <f aca="false">IFERROR(K217/H217,"")</f>
        <v>0.0012718023255814</v>
      </c>
      <c r="R217" s="10" t="n">
        <f aca="false">IFERROR(L217/H217,"")</f>
        <v>0.00090843023255814</v>
      </c>
      <c r="S217" s="11" t="n">
        <f aca="false">IFERROR(M217/MEDIAN(INDEX($M$5:$M$665,MATCH($A217-90,$A$5:$A$665,1)):INDEX($M$5:$M$665,MATCH($A217+90,$A$5:$A$665,1))),"")</f>
        <v>0.969868074203903</v>
      </c>
      <c r="T217" s="11" t="n">
        <f aca="false">IFERROR(N217/MEDIAN(INDEX($N$5:$N$665,MATCH($A217-90,$A$5:$A$665,1)):INDEX($N$5:$N$665,MATCH($A217+90,$A$5:$A$665,1))),"")</f>
        <v>0.99942883184956</v>
      </c>
      <c r="U217" s="11" t="n">
        <f aca="false">IFERROR(Q217/MEDIAN(INDEX($Q$5:$Q$665,MATCH($A217-90,$A$5:$A$665,1)):INDEX($Q$5:$Q$665,MATCH($A217+90,$A$5:$A$665,1))),"")</f>
        <v>1.19752756234777</v>
      </c>
    </row>
    <row r="218" customFormat="false" ht="15" hidden="false" customHeight="false" outlineLevel="0" collapsed="false">
      <c r="A218" s="13" t="n">
        <v>45144.6801195255</v>
      </c>
      <c r="B218" s="8" t="n">
        <v>16</v>
      </c>
      <c r="C218" s="8" t="s">
        <v>86</v>
      </c>
      <c r="D218" s="8" t="s">
        <v>898</v>
      </c>
      <c r="E218" s="14" t="s">
        <v>66</v>
      </c>
      <c r="F218" s="9" t="n">
        <v>8004</v>
      </c>
      <c r="G218" s="9" t="n">
        <v>3790</v>
      </c>
      <c r="H218" s="9" t="n">
        <v>3783</v>
      </c>
      <c r="I218" s="9" t="n">
        <v>1173</v>
      </c>
      <c r="J218" s="9" t="n">
        <v>298</v>
      </c>
      <c r="K218" s="9" t="n">
        <v>17</v>
      </c>
      <c r="L218" s="9" t="n">
        <v>3</v>
      </c>
      <c r="M218" s="10" t="n">
        <f aca="false">IFERROR(G218/F218,"")</f>
        <v>0.473513243378311</v>
      </c>
      <c r="N218" s="10" t="n">
        <f aca="false">IFERROR(H218/G218,"")</f>
        <v>0.998153034300792</v>
      </c>
      <c r="O218" s="11" t="n">
        <f aca="false">IFERROR(I218/H218,"")</f>
        <v>0.310071371927042</v>
      </c>
      <c r="P218" s="10" t="n">
        <f aca="false">IFERROR(J218/H218,"")</f>
        <v>0.0787734602167592</v>
      </c>
      <c r="Q218" s="10" t="n">
        <f aca="false">IFERROR(K218/H218,"")</f>
        <v>0.00449378799894264</v>
      </c>
      <c r="R218" s="10" t="n">
        <f aca="false">IFERROR(L218/H218,"")</f>
        <v>0.000793021411578113</v>
      </c>
      <c r="S218" s="11" t="n">
        <f aca="false">IFERROR(M218/MEDIAN(INDEX($M$5:$M$665,MATCH($A218-90,$A$5:$A$665,1)):INDEX($M$5:$M$665,MATCH($A218+90,$A$5:$A$665,1))),"")</f>
        <v>1.10172569476735</v>
      </c>
      <c r="T218" s="11" t="n">
        <f aca="false">IFERROR(N218/MEDIAN(INDEX($N$5:$N$665,MATCH($A218-90,$A$5:$A$665,1)):INDEX($N$5:$N$665,MATCH($A218+90,$A$5:$A$665,1))),"")</f>
        <v>0.998494557904587</v>
      </c>
      <c r="U218" s="11" t="n">
        <f aca="false">IFERROR(Q218/MEDIAN(INDEX($Q$5:$Q$665,MATCH($A218-90,$A$5:$A$665,1)):INDEX($Q$5:$Q$665,MATCH($A218+90,$A$5:$A$665,1))),"")</f>
        <v>4.22885964376116</v>
      </c>
    </row>
    <row r="219" customFormat="false" ht="15" hidden="false" customHeight="false" outlineLevel="0" collapsed="false">
      <c r="A219" s="13" t="n">
        <v>45145.6087396991</v>
      </c>
      <c r="B219" s="8" t="n">
        <v>14</v>
      </c>
      <c r="C219" s="8" t="s">
        <v>80</v>
      </c>
      <c r="D219" s="8" t="s">
        <v>899</v>
      </c>
      <c r="E219" s="14" t="s">
        <v>66</v>
      </c>
      <c r="F219" s="9" t="n">
        <v>29256</v>
      </c>
      <c r="G219" s="9" t="n">
        <v>13507</v>
      </c>
      <c r="H219" s="9" t="n">
        <v>13502</v>
      </c>
      <c r="I219" s="9" t="n">
        <v>2078</v>
      </c>
      <c r="J219" s="9" t="n">
        <v>279</v>
      </c>
      <c r="K219" s="9" t="n">
        <v>7</v>
      </c>
      <c r="L219" s="9" t="n">
        <v>12</v>
      </c>
      <c r="M219" s="10" t="n">
        <f aca="false">IFERROR(G219/F219,"")</f>
        <v>0.461683073557561</v>
      </c>
      <c r="N219" s="10" t="n">
        <f aca="false">IFERROR(H219/G219,"")</f>
        <v>0.999629821573999</v>
      </c>
      <c r="O219" s="11" t="n">
        <f aca="false">IFERROR(I219/H219,"")</f>
        <v>0.153903125462894</v>
      </c>
      <c r="P219" s="10" t="n">
        <f aca="false">IFERROR(J219/H219,"")</f>
        <v>0.0206636053917938</v>
      </c>
      <c r="Q219" s="10" t="n">
        <f aca="false">IFERROR(K219/H219,"")</f>
        <v>0.000518441712338913</v>
      </c>
      <c r="R219" s="10" t="n">
        <f aca="false">IFERROR(L219/H219,"")</f>
        <v>0.000888757221152422</v>
      </c>
      <c r="S219" s="11" t="n">
        <f aca="false">IFERROR(M219/MEDIAN(INDEX($M$5:$M$665,MATCH($A219-90,$A$5:$A$665,1)):INDEX($M$5:$M$665,MATCH($A219+90,$A$5:$A$665,1))),"")</f>
        <v>1.07420037789978</v>
      </c>
      <c r="T219" s="11" t="n">
        <f aca="false">IFERROR(N219/MEDIAN(INDEX($N$5:$N$665,MATCH($A219-90,$A$5:$A$665,1)):INDEX($N$5:$N$665,MATCH($A219+90,$A$5:$A$665,1))),"")</f>
        <v>0.999971850468761</v>
      </c>
      <c r="U219" s="11" t="n">
        <f aca="false">IFERROR(Q219/MEDIAN(INDEX($Q$5:$Q$665,MATCH($A219-90,$A$5:$A$665,1)):INDEX($Q$5:$Q$665,MATCH($A219+90,$A$5:$A$665,1))),"")</f>
        <v>0.487877317636774</v>
      </c>
    </row>
    <row r="220" customFormat="false" ht="15" hidden="false" customHeight="false" outlineLevel="0" collapsed="false">
      <c r="A220" s="13" t="n">
        <v>45146.716245</v>
      </c>
      <c r="B220" s="8" t="n">
        <v>17</v>
      </c>
      <c r="C220" s="8" t="s">
        <v>64</v>
      </c>
      <c r="D220" s="8" t="s">
        <v>900</v>
      </c>
      <c r="E220" s="14" t="s">
        <v>66</v>
      </c>
      <c r="F220" s="9" t="n">
        <v>8179</v>
      </c>
      <c r="G220" s="9" t="n">
        <v>5166</v>
      </c>
      <c r="H220" s="9" t="n">
        <v>5161</v>
      </c>
      <c r="I220" s="9" t="n">
        <v>1229</v>
      </c>
      <c r="J220" s="9" t="n">
        <v>346</v>
      </c>
      <c r="K220" s="9" t="n">
        <v>12</v>
      </c>
      <c r="L220" s="9" t="n">
        <v>4</v>
      </c>
      <c r="M220" s="10" t="n">
        <f aca="false">IFERROR(G220/F220,"")</f>
        <v>0.631617557158577</v>
      </c>
      <c r="N220" s="10" t="n">
        <f aca="false">IFERROR(H220/G220,"")</f>
        <v>0.999032133178475</v>
      </c>
      <c r="O220" s="11" t="n">
        <f aca="false">IFERROR(I220/H220,"")</f>
        <v>0.238132144933153</v>
      </c>
      <c r="P220" s="10" t="n">
        <f aca="false">IFERROR(J220/H220,"")</f>
        <v>0.0670412710714978</v>
      </c>
      <c r="Q220" s="10" t="n">
        <f aca="false">IFERROR(K220/H220,"")</f>
        <v>0.00232513078860686</v>
      </c>
      <c r="R220" s="10" t="n">
        <f aca="false">IFERROR(L220/H220,"")</f>
        <v>0.000775043596202286</v>
      </c>
      <c r="S220" s="11" t="n">
        <f aca="false">IFERROR(M220/MEDIAN(INDEX($M$5:$M$665,MATCH($A220-90,$A$5:$A$665,1)):INDEX($M$5:$M$665,MATCH($A220+90,$A$5:$A$665,1))),"")</f>
        <v>1.46958781347501</v>
      </c>
      <c r="T220" s="11" t="n">
        <f aca="false">IFERROR(N220/MEDIAN(INDEX($N$5:$N$665,MATCH($A220-90,$A$5:$A$665,1)):INDEX($N$5:$N$665,MATCH($A220+90,$A$5:$A$665,1))),"")</f>
        <v>0.999373957570833</v>
      </c>
      <c r="U220" s="11" t="n">
        <f aca="false">IFERROR(Q220/MEDIAN(INDEX($Q$5:$Q$665,MATCH($A220-90,$A$5:$A$665,1)):INDEX($Q$5:$Q$665,MATCH($A220+90,$A$5:$A$665,1))),"")</f>
        <v>2.18805421188531</v>
      </c>
    </row>
    <row r="221" customFormat="false" ht="15" hidden="false" customHeight="false" outlineLevel="0" collapsed="false">
      <c r="A221" s="13" t="n">
        <v>45147.7315842477</v>
      </c>
      <c r="B221" s="8" t="n">
        <v>17</v>
      </c>
      <c r="C221" s="8" t="s">
        <v>71</v>
      </c>
      <c r="D221" s="8" t="s">
        <v>901</v>
      </c>
      <c r="E221" s="14" t="s">
        <v>66</v>
      </c>
      <c r="F221" s="9" t="n">
        <v>8473</v>
      </c>
      <c r="G221" s="9" t="n">
        <v>4215</v>
      </c>
      <c r="H221" s="9" t="n">
        <v>4212</v>
      </c>
      <c r="I221" s="9" t="n">
        <v>1119</v>
      </c>
      <c r="J221" s="9" t="n">
        <v>281</v>
      </c>
      <c r="K221" s="9" t="n">
        <v>6</v>
      </c>
      <c r="L221" s="9" t="n">
        <v>8</v>
      </c>
      <c r="M221" s="10" t="n">
        <f aca="false">IFERROR(G221/F221,"")</f>
        <v>0.497462528030214</v>
      </c>
      <c r="N221" s="10" t="n">
        <f aca="false">IFERROR(H221/G221,"")</f>
        <v>0.999288256227758</v>
      </c>
      <c r="O221" s="11" t="n">
        <f aca="false">IFERROR(I221/H221,"")</f>
        <v>0.265669515669516</v>
      </c>
      <c r="P221" s="10" t="n">
        <f aca="false">IFERROR(J221/H221,"")</f>
        <v>0.0667141500474834</v>
      </c>
      <c r="Q221" s="10" t="n">
        <f aca="false">IFERROR(K221/H221,"")</f>
        <v>0.00142450142450142</v>
      </c>
      <c r="R221" s="10" t="n">
        <f aca="false">IFERROR(L221/H221,"")</f>
        <v>0.00189933523266857</v>
      </c>
      <c r="S221" s="11" t="n">
        <f aca="false">IFERROR(M221/MEDIAN(INDEX($M$5:$M$665,MATCH($A221-90,$A$5:$A$665,1)):INDEX($M$5:$M$665,MATCH($A221+90,$A$5:$A$665,1))),"")</f>
        <v>1.15744861834188</v>
      </c>
      <c r="T221" s="11" t="n">
        <f aca="false">IFERROR(N221/MEDIAN(INDEX($N$5:$N$665,MATCH($A221-90,$A$5:$A$665,1)):INDEX($N$5:$N$665,MATCH($A221+90,$A$5:$A$665,1))),"")</f>
        <v>0.999624759768574</v>
      </c>
      <c r="U221" s="11" t="n">
        <f aca="false">IFERROR(Q221/MEDIAN(INDEX($Q$5:$Q$665,MATCH($A221-90,$A$5:$A$665,1)):INDEX($Q$5:$Q$665,MATCH($A221+90,$A$5:$A$665,1))),"")</f>
        <v>1.34052086746677</v>
      </c>
    </row>
    <row r="222" customFormat="false" ht="15" hidden="false" customHeight="false" outlineLevel="0" collapsed="false">
      <c r="A222" s="13" t="n">
        <v>45148.7093492477</v>
      </c>
      <c r="B222" s="8" t="n">
        <v>17</v>
      </c>
      <c r="C222" s="8" t="s">
        <v>73</v>
      </c>
      <c r="D222" s="8" t="s">
        <v>902</v>
      </c>
      <c r="E222" s="14" t="s">
        <v>66</v>
      </c>
      <c r="F222" s="9" t="n">
        <v>9194</v>
      </c>
      <c r="G222" s="9" t="n">
        <v>5257</v>
      </c>
      <c r="H222" s="9" t="n">
        <v>5257</v>
      </c>
      <c r="I222" s="9" t="n">
        <v>1274</v>
      </c>
      <c r="J222" s="9" t="n">
        <v>332</v>
      </c>
      <c r="K222" s="9" t="n">
        <v>10</v>
      </c>
      <c r="L222" s="9" t="n">
        <v>5</v>
      </c>
      <c r="M222" s="10" t="n">
        <f aca="false">IFERROR(G222/F222,"")</f>
        <v>0.571785947356972</v>
      </c>
      <c r="N222" s="10" t="n">
        <f aca="false">IFERROR(H222/G222,"")</f>
        <v>1</v>
      </c>
      <c r="O222" s="11" t="n">
        <f aca="false">IFERROR(I222/H222,"")</f>
        <v>0.242343541944075</v>
      </c>
      <c r="P222" s="10" t="n">
        <f aca="false">IFERROR(J222/H222,"")</f>
        <v>0.0631538900513601</v>
      </c>
      <c r="Q222" s="10" t="n">
        <f aca="false">IFERROR(K222/H222,"")</f>
        <v>0.00190222560395663</v>
      </c>
      <c r="R222" s="10" t="n">
        <f aca="false">IFERROR(L222/H222,"")</f>
        <v>0.000951112801978315</v>
      </c>
      <c r="S222" s="11" t="n">
        <f aca="false">IFERROR(M222/MEDIAN(INDEX($M$5:$M$665,MATCH($A222-90,$A$5:$A$665,1)):INDEX($M$5:$M$665,MATCH($A222+90,$A$5:$A$665,1))),"")</f>
        <v>1.33037729972585</v>
      </c>
      <c r="T222" s="11" t="n">
        <f aca="false">IFERROR(N222/MEDIAN(INDEX($N$5:$N$665,MATCH($A222-90,$A$5:$A$665,1)):INDEX($N$5:$N$665,MATCH($A222+90,$A$5:$A$665,1))),"")</f>
        <v>1.0003367432157</v>
      </c>
      <c r="U222" s="11" t="n">
        <f aca="false">IFERROR(Q222/MEDIAN(INDEX($Q$5:$Q$665,MATCH($A222-90,$A$5:$A$665,1)):INDEX($Q$5:$Q$665,MATCH($A222+90,$A$5:$A$665,1))),"")</f>
        <v>1.79113337404878</v>
      </c>
    </row>
    <row r="223" customFormat="false" ht="15" hidden="false" customHeight="false" outlineLevel="0" collapsed="false">
      <c r="A223" s="13" t="n">
        <v>45149.7319682639</v>
      </c>
      <c r="B223" s="8" t="n">
        <v>17</v>
      </c>
      <c r="C223" s="8" t="s">
        <v>84</v>
      </c>
      <c r="D223" s="8" t="s">
        <v>903</v>
      </c>
      <c r="E223" s="14" t="s">
        <v>66</v>
      </c>
      <c r="F223" s="9" t="n">
        <v>311394</v>
      </c>
      <c r="G223" s="9" t="n">
        <v>77381</v>
      </c>
      <c r="H223" s="9" t="n">
        <v>77376</v>
      </c>
      <c r="I223" s="9" t="n">
        <v>5477</v>
      </c>
      <c r="J223" s="9" t="n">
        <v>384</v>
      </c>
      <c r="K223" s="9" t="n">
        <v>33</v>
      </c>
      <c r="L223" s="9" t="n">
        <v>26</v>
      </c>
      <c r="M223" s="10" t="n">
        <f aca="false">IFERROR(G223/F223,"")</f>
        <v>0.248498686551443</v>
      </c>
      <c r="N223" s="10" t="n">
        <f aca="false">IFERROR(H223/G223,"")</f>
        <v>0.999935384655148</v>
      </c>
      <c r="O223" s="11" t="n">
        <f aca="false">IFERROR(I223/H223,"")</f>
        <v>0.0707842224979322</v>
      </c>
      <c r="P223" s="10" t="n">
        <f aca="false">IFERROR(J223/H223,"")</f>
        <v>0.00496277915632754</v>
      </c>
      <c r="Q223" s="10" t="n">
        <f aca="false">IFERROR(K223/H223,"")</f>
        <v>0.000426488833746898</v>
      </c>
      <c r="R223" s="10" t="n">
        <f aca="false">IFERROR(L223/H223,"")</f>
        <v>0.000336021505376344</v>
      </c>
      <c r="S223" s="11" t="n">
        <f aca="false">IFERROR(M223/MEDIAN(INDEX($M$5:$M$665,MATCH($A223-90,$A$5:$A$665,1)):INDEX($M$5:$M$665,MATCH($A223+90,$A$5:$A$665,1))),"")</f>
        <v>0.577791088679458</v>
      </c>
      <c r="T223" s="11" t="n">
        <f aca="false">IFERROR(N223/MEDIAN(INDEX($N$5:$N$665,MATCH($A223-90,$A$5:$A$665,1)):INDEX($N$5:$N$665,MATCH($A223+90,$A$5:$A$665,1))),"")</f>
        <v>1.0002731436096</v>
      </c>
      <c r="U223" s="11" t="n">
        <f aca="false">IFERROR(Q223/MEDIAN(INDEX($Q$5:$Q$665,MATCH($A223-90,$A$5:$A$665,1)):INDEX($Q$5:$Q$665,MATCH($A223+90,$A$5:$A$665,1))),"")</f>
        <v>0.401733938396807</v>
      </c>
    </row>
    <row r="224" customFormat="false" ht="15" hidden="false" customHeight="false" outlineLevel="0" collapsed="false">
      <c r="A224" s="13" t="n">
        <v>45150.7720659259</v>
      </c>
      <c r="B224" s="8" t="n">
        <v>18</v>
      </c>
      <c r="C224" s="8" t="s">
        <v>68</v>
      </c>
      <c r="D224" s="8" t="s">
        <v>904</v>
      </c>
      <c r="E224" s="14" t="s">
        <v>66</v>
      </c>
      <c r="F224" s="9" t="n">
        <v>8556</v>
      </c>
      <c r="G224" s="9" t="n">
        <v>4835</v>
      </c>
      <c r="H224" s="9" t="n">
        <v>4830</v>
      </c>
      <c r="I224" s="9" t="n">
        <v>1092</v>
      </c>
      <c r="J224" s="9" t="n">
        <v>341</v>
      </c>
      <c r="K224" s="9" t="n">
        <v>13</v>
      </c>
      <c r="L224" s="9" t="n">
        <v>4</v>
      </c>
      <c r="M224" s="10" t="n">
        <f aca="false">IFERROR(G224/F224,"")</f>
        <v>0.565100514259</v>
      </c>
      <c r="N224" s="10" t="n">
        <f aca="false">IFERROR(H224/G224,"")</f>
        <v>0.998965873836608</v>
      </c>
      <c r="O224" s="11" t="n">
        <f aca="false">IFERROR(I224/H224,"")</f>
        <v>0.226086956521739</v>
      </c>
      <c r="P224" s="10" t="n">
        <f aca="false">IFERROR(J224/H224,"")</f>
        <v>0.0706004140786749</v>
      </c>
      <c r="Q224" s="10" t="n">
        <f aca="false">IFERROR(K224/H224,"")</f>
        <v>0.00269151138716356</v>
      </c>
      <c r="R224" s="10" t="n">
        <f aca="false">IFERROR(L224/H224,"")</f>
        <v>0.00082815734989648</v>
      </c>
      <c r="S224" s="11" t="n">
        <f aca="false">IFERROR(M224/MEDIAN(INDEX($M$5:$M$665,MATCH($A224-90,$A$5:$A$665,1)):INDEX($M$5:$M$665,MATCH($A224+90,$A$5:$A$665,1))),"")</f>
        <v>1.31393065242394</v>
      </c>
      <c r="T224" s="11" t="n">
        <f aca="false">IFERROR(N224/MEDIAN(INDEX($N$5:$N$665,MATCH($A224-90,$A$5:$A$665,1)):INDEX($N$5:$N$665,MATCH($A224+90,$A$5:$A$665,1))),"")</f>
        <v>0.999303305308939</v>
      </c>
      <c r="U224" s="11" t="n">
        <f aca="false">IFERROR(Q224/MEDIAN(INDEX($Q$5:$Q$665,MATCH($A224-90,$A$5:$A$665,1)):INDEX($Q$5:$Q$665,MATCH($A224+90,$A$5:$A$665,1))),"")</f>
        <v>2.53528670447385</v>
      </c>
    </row>
    <row r="225" customFormat="false" ht="15" hidden="false" customHeight="false" outlineLevel="0" collapsed="false">
      <c r="A225" s="13" t="n">
        <v>45151.6766381597</v>
      </c>
      <c r="B225" s="8" t="n">
        <v>16</v>
      </c>
      <c r="C225" s="8" t="s">
        <v>86</v>
      </c>
      <c r="D225" s="8" t="s">
        <v>905</v>
      </c>
      <c r="E225" s="14" t="s">
        <v>66</v>
      </c>
      <c r="F225" s="9" t="n">
        <v>117555</v>
      </c>
      <c r="G225" s="9" t="n">
        <v>24475</v>
      </c>
      <c r="H225" s="9" t="n">
        <v>24476</v>
      </c>
      <c r="I225" s="9" t="n">
        <v>2794</v>
      </c>
      <c r="J225" s="9" t="n">
        <v>371</v>
      </c>
      <c r="K225" s="9" t="n">
        <v>24</v>
      </c>
      <c r="L225" s="9" t="n">
        <v>21</v>
      </c>
      <c r="M225" s="10" t="n">
        <f aca="false">IFERROR(G225/F225,"")</f>
        <v>0.208200416826166</v>
      </c>
      <c r="N225" s="10" t="n">
        <f aca="false">IFERROR(H225/G225,"")</f>
        <v>1.00004085801839</v>
      </c>
      <c r="O225" s="11" t="n">
        <f aca="false">IFERROR(I225/H225,"")</f>
        <v>0.11415263932015</v>
      </c>
      <c r="P225" s="10" t="n">
        <f aca="false">IFERROR(J225/H225,"")</f>
        <v>0.0151577055074359</v>
      </c>
      <c r="Q225" s="10" t="n">
        <f aca="false">IFERROR(K225/H225,"")</f>
        <v>0.000980552377839516</v>
      </c>
      <c r="R225" s="10" t="n">
        <f aca="false">IFERROR(L225/H225,"")</f>
        <v>0.000857983330609577</v>
      </c>
      <c r="S225" s="11" t="n">
        <f aca="false">IFERROR(M225/MEDIAN(INDEX($M$5:$M$665,MATCH($A225-90,$A$5:$A$665,1)):INDEX($M$5:$M$665,MATCH($A225+90,$A$5:$A$665,1))),"")</f>
        <v>0.483619975951486</v>
      </c>
      <c r="T225" s="11" t="n">
        <f aca="false">IFERROR(N225/MEDIAN(INDEX($N$5:$N$665,MATCH($A225-90,$A$5:$A$665,1)):INDEX($N$5:$N$665,MATCH($A225+90,$A$5:$A$665,1))),"")</f>
        <v>1.00037761499275</v>
      </c>
      <c r="U225" s="11" t="n">
        <f aca="false">IFERROR(Q225/MEDIAN(INDEX($Q$5:$Q$665,MATCH($A225-90,$A$5:$A$665,1)):INDEX($Q$5:$Q$665,MATCH($A225+90,$A$5:$A$665,1))),"")</f>
        <v>0.92454063715865</v>
      </c>
    </row>
    <row r="226" customFormat="false" ht="15" hidden="false" customHeight="false" outlineLevel="0" collapsed="false">
      <c r="A226" s="13" t="n">
        <v>45152.733922662</v>
      </c>
      <c r="B226" s="8" t="n">
        <v>17</v>
      </c>
      <c r="C226" s="8" t="s">
        <v>80</v>
      </c>
      <c r="D226" s="8" t="s">
        <v>906</v>
      </c>
      <c r="E226" s="14" t="s">
        <v>66</v>
      </c>
      <c r="F226" s="9" t="n">
        <v>14095</v>
      </c>
      <c r="G226" s="9" t="n">
        <v>6288</v>
      </c>
      <c r="H226" s="9" t="n">
        <v>6281</v>
      </c>
      <c r="I226" s="9" t="n">
        <v>1421</v>
      </c>
      <c r="J226" s="9" t="n">
        <v>299</v>
      </c>
      <c r="K226" s="9" t="n">
        <v>2</v>
      </c>
      <c r="L226" s="9" t="n">
        <v>8</v>
      </c>
      <c r="M226" s="10" t="n">
        <f aca="false">IFERROR(G226/F226,"")</f>
        <v>0.446115643845335</v>
      </c>
      <c r="N226" s="10" t="n">
        <f aca="false">IFERROR(H226/G226,"")</f>
        <v>0.998886768447837</v>
      </c>
      <c r="O226" s="11" t="n">
        <f aca="false">IFERROR(I226/H226,"")</f>
        <v>0.226237860213342</v>
      </c>
      <c r="P226" s="10" t="n">
        <f aca="false">IFERROR(J226/H226,"")</f>
        <v>0.0476038847317306</v>
      </c>
      <c r="Q226" s="10" t="n">
        <f aca="false">IFERROR(K226/H226,"")</f>
        <v>0.000318420633657061</v>
      </c>
      <c r="R226" s="10" t="n">
        <f aca="false">IFERROR(L226/H226,"")</f>
        <v>0.00127368253462824</v>
      </c>
      <c r="S226" s="11" t="n">
        <f aca="false">IFERROR(M226/MEDIAN(INDEX($M$5:$M$665,MATCH($A226-90,$A$5:$A$665,1)):INDEX($M$5:$M$665,MATCH($A226+90,$A$5:$A$665,1))),"")</f>
        <v>1.03626323249967</v>
      </c>
      <c r="T226" s="11" t="n">
        <f aca="false">IFERROR(N226/MEDIAN(INDEX($N$5:$N$665,MATCH($A226-90,$A$5:$A$665,1)):INDEX($N$5:$N$665,MATCH($A226+90,$A$5:$A$665,1))),"")</f>
        <v>0.999228543102846</v>
      </c>
      <c r="U226" s="11" t="n">
        <f aca="false">IFERROR(Q226/MEDIAN(INDEX($Q$5:$Q$665,MATCH($A226-90,$A$5:$A$665,1)):INDEX($Q$5:$Q$665,MATCH($A226+90,$A$5:$A$665,1))),"")</f>
        <v>0.301284330326777</v>
      </c>
    </row>
    <row r="227" customFormat="false" ht="15" hidden="false" customHeight="false" outlineLevel="0" collapsed="false">
      <c r="A227" s="13" t="n">
        <v>45153.7117753125</v>
      </c>
      <c r="B227" s="8" t="n">
        <v>17</v>
      </c>
      <c r="C227" s="8" t="s">
        <v>64</v>
      </c>
      <c r="D227" s="8" t="s">
        <v>907</v>
      </c>
      <c r="E227" s="14" t="s">
        <v>66</v>
      </c>
      <c r="F227" s="9" t="n">
        <v>60901</v>
      </c>
      <c r="G227" s="9" t="n">
        <v>14320</v>
      </c>
      <c r="H227" s="9" t="n">
        <v>14315</v>
      </c>
      <c r="I227" s="9" t="n">
        <v>1433</v>
      </c>
      <c r="J227" s="9" t="n">
        <v>275</v>
      </c>
      <c r="K227" s="9" t="n">
        <v>7</v>
      </c>
      <c r="L227" s="9" t="n">
        <v>7</v>
      </c>
      <c r="M227" s="10" t="n">
        <f aca="false">IFERROR(G227/F227,"")</f>
        <v>0.235135712057273</v>
      </c>
      <c r="N227" s="10" t="n">
        <f aca="false">IFERROR(H227/G227,"")</f>
        <v>0.999650837988827</v>
      </c>
      <c r="O227" s="11" t="n">
        <f aca="false">IFERROR(I227/H227,"")</f>
        <v>0.10010478519036</v>
      </c>
      <c r="P227" s="10" t="n">
        <f aca="false">IFERROR(J227/H227,"")</f>
        <v>0.0192106182326231</v>
      </c>
      <c r="Q227" s="10" t="n">
        <f aca="false">IFERROR(K227/H227,"")</f>
        <v>0.000488997555012225</v>
      </c>
      <c r="R227" s="10" t="n">
        <f aca="false">IFERROR(L227/H227,"")</f>
        <v>0.000488997555012225</v>
      </c>
      <c r="S227" s="11" t="n">
        <f aca="false">IFERROR(M227/MEDIAN(INDEX($M$5:$M$665,MATCH($A227-90,$A$5:$A$665,1)):INDEX($M$5:$M$665,MATCH($A227+90,$A$5:$A$665,1))),"")</f>
        <v>0.545654245998743</v>
      </c>
      <c r="T227" s="11" t="n">
        <f aca="false">IFERROR(N227/MEDIAN(INDEX($N$5:$N$665,MATCH($A227-90,$A$5:$A$665,1)):INDEX($N$5:$N$665,MATCH($A227+90,$A$5:$A$665,1))),"")</f>
        <v>0.999997247358311</v>
      </c>
      <c r="U227" s="11" t="n">
        <f aca="false">IFERROR(Q227/MEDIAN(INDEX($Q$5:$Q$665,MATCH($A227-90,$A$5:$A$665,1)):INDEX($Q$5:$Q$665,MATCH($A227+90,$A$5:$A$665,1))),"")</f>
        <v>0.463852785999228</v>
      </c>
    </row>
    <row r="228" customFormat="false" ht="15" hidden="false" customHeight="false" outlineLevel="0" collapsed="false">
      <c r="A228" s="13" t="n">
        <v>45154.7595433796</v>
      </c>
      <c r="B228" s="8" t="n">
        <v>18</v>
      </c>
      <c r="C228" s="8" t="s">
        <v>71</v>
      </c>
      <c r="D228" s="8" t="s">
        <v>908</v>
      </c>
      <c r="E228" s="14" t="s">
        <v>66</v>
      </c>
      <c r="F228" s="9" t="n">
        <v>16476</v>
      </c>
      <c r="G228" s="9" t="n">
        <v>10981</v>
      </c>
      <c r="H228" s="9" t="n">
        <v>10973</v>
      </c>
      <c r="I228" s="9" t="n">
        <v>2160</v>
      </c>
      <c r="J228" s="9" t="n">
        <v>364</v>
      </c>
      <c r="K228" s="9" t="n">
        <v>11</v>
      </c>
      <c r="L228" s="9" t="n">
        <v>12</v>
      </c>
      <c r="M228" s="10" t="n">
        <f aca="false">IFERROR(G228/F228,"")</f>
        <v>0.666484583636805</v>
      </c>
      <c r="N228" s="10" t="n">
        <f aca="false">IFERROR(H228/G228,"")</f>
        <v>0.999271468900829</v>
      </c>
      <c r="O228" s="11" t="n">
        <f aca="false">IFERROR(I228/H228,"")</f>
        <v>0.196846805796045</v>
      </c>
      <c r="P228" s="10" t="n">
        <f aca="false">IFERROR(J228/H228,"")</f>
        <v>0.033172332087852</v>
      </c>
      <c r="Q228" s="10" t="n">
        <f aca="false">IFERROR(K228/H228,"")</f>
        <v>0.00100246058507245</v>
      </c>
      <c r="R228" s="10" t="n">
        <f aca="false">IFERROR(L228/H228,"")</f>
        <v>0.00109359336553358</v>
      </c>
      <c r="S228" s="11" t="n">
        <f aca="false">IFERROR(M228/MEDIAN(INDEX($M$5:$M$665,MATCH($A228-90,$A$5:$A$665,1)):INDEX($M$5:$M$665,MATCH($A228+90,$A$5:$A$665,1))),"")</f>
        <v>1.54966152341359</v>
      </c>
      <c r="T228" s="11" t="n">
        <f aca="false">IFERROR(N228/MEDIAN(INDEX($N$5:$N$665,MATCH($A228-90,$A$5:$A$665,1)):INDEX($N$5:$N$665,MATCH($A228+90,$A$5:$A$665,1))),"")</f>
        <v>0.999617746807405</v>
      </c>
      <c r="U228" s="11" t="n">
        <f aca="false">IFERROR(Q228/MEDIAN(INDEX($Q$5:$Q$665,MATCH($A228-90,$A$5:$A$665,1)):INDEX($Q$5:$Q$665,MATCH($A228+90,$A$5:$A$665,1))),"")</f>
        <v>0.946122300191379</v>
      </c>
    </row>
    <row r="229" customFormat="false" ht="15" hidden="false" customHeight="false" outlineLevel="0" collapsed="false">
      <c r="A229" s="13" t="n">
        <v>45155.6839896991</v>
      </c>
      <c r="B229" s="8" t="n">
        <v>16</v>
      </c>
      <c r="C229" s="8" t="s">
        <v>73</v>
      </c>
      <c r="D229" s="8" t="s">
        <v>909</v>
      </c>
      <c r="E229" s="14" t="s">
        <v>66</v>
      </c>
      <c r="F229" s="9" t="n">
        <v>97850</v>
      </c>
      <c r="G229" s="9" t="n">
        <v>21419</v>
      </c>
      <c r="H229" s="9" t="n">
        <v>21418</v>
      </c>
      <c r="I229" s="9" t="n">
        <v>2180</v>
      </c>
      <c r="J229" s="9" t="n">
        <v>300</v>
      </c>
      <c r="K229" s="9" t="n">
        <v>18</v>
      </c>
      <c r="L229" s="9" t="n">
        <v>12</v>
      </c>
      <c r="M229" s="10" t="n">
        <f aca="false">IFERROR(G229/F229,"")</f>
        <v>0.218896269800715</v>
      </c>
      <c r="N229" s="10" t="n">
        <f aca="false">IFERROR(H229/G229,"")</f>
        <v>0.999953312479574</v>
      </c>
      <c r="O229" s="11" t="n">
        <f aca="false">IFERROR(I229/H229,"")</f>
        <v>0.101783546549631</v>
      </c>
      <c r="P229" s="10" t="n">
        <f aca="false">IFERROR(J229/H229,"")</f>
        <v>0.0140069100756373</v>
      </c>
      <c r="Q229" s="10" t="n">
        <f aca="false">IFERROR(K229/H229,"")</f>
        <v>0.000840414604538239</v>
      </c>
      <c r="R229" s="10" t="n">
        <f aca="false">IFERROR(L229/H229,"")</f>
        <v>0.000560276403025493</v>
      </c>
      <c r="S229" s="11" t="n">
        <f aca="false">IFERROR(M229/MEDIAN(INDEX($M$5:$M$665,MATCH($A229-90,$A$5:$A$665,1)):INDEX($M$5:$M$665,MATCH($A229+90,$A$5:$A$665,1))),"")</f>
        <v>0.509307074935386</v>
      </c>
      <c r="T229" s="11" t="n">
        <f aca="false">IFERROR(N229/MEDIAN(INDEX($N$5:$N$665,MATCH($A229-90,$A$5:$A$665,1)):INDEX($N$5:$N$665,MATCH($A229+90,$A$5:$A$665,1))),"")</f>
        <v>1.00030120340105</v>
      </c>
      <c r="U229" s="11" t="n">
        <f aca="false">IFERROR(Q229/MEDIAN(INDEX($Q$5:$Q$665,MATCH($A229-90,$A$5:$A$665,1)):INDEX($Q$5:$Q$665,MATCH($A229+90,$A$5:$A$665,1))),"")</f>
        <v>0.795186381036622</v>
      </c>
    </row>
    <row r="230" customFormat="false" ht="15" hidden="false" customHeight="false" outlineLevel="0" collapsed="false">
      <c r="A230" s="13" t="n">
        <v>45156.7590696296</v>
      </c>
      <c r="B230" s="8" t="n">
        <v>18</v>
      </c>
      <c r="C230" s="8" t="s">
        <v>84</v>
      </c>
      <c r="D230" s="8" t="s">
        <v>910</v>
      </c>
      <c r="E230" s="14" t="s">
        <v>66</v>
      </c>
      <c r="F230" s="9" t="n">
        <v>19287</v>
      </c>
      <c r="G230" s="9" t="n">
        <v>12398</v>
      </c>
      <c r="H230" s="9" t="n">
        <v>12394</v>
      </c>
      <c r="I230" s="9" t="n">
        <v>3205</v>
      </c>
      <c r="J230" s="9" t="n">
        <v>424</v>
      </c>
      <c r="K230" s="9" t="n">
        <v>8</v>
      </c>
      <c r="L230" s="9" t="n">
        <v>9</v>
      </c>
      <c r="M230" s="10" t="n">
        <f aca="false">IFERROR(G230/F230,"")</f>
        <v>0.64281640483227</v>
      </c>
      <c r="N230" s="10" t="n">
        <f aca="false">IFERROR(H230/G230,"")</f>
        <v>0.999677367317309</v>
      </c>
      <c r="O230" s="11" t="n">
        <f aca="false">IFERROR(I230/H230,"")</f>
        <v>0.25859286751654</v>
      </c>
      <c r="P230" s="10" t="n">
        <f aca="false">IFERROR(J230/H230,"")</f>
        <v>0.0342101016620946</v>
      </c>
      <c r="Q230" s="10" t="n">
        <f aca="false">IFERROR(K230/H230,"")</f>
        <v>0.000645473616265935</v>
      </c>
      <c r="R230" s="10" t="n">
        <f aca="false">IFERROR(L230/H230,"")</f>
        <v>0.000726157818299177</v>
      </c>
      <c r="S230" s="11" t="n">
        <f aca="false">IFERROR(M230/MEDIAN(INDEX($M$5:$M$665,MATCH($A230-90,$A$5:$A$665,1)):INDEX($M$5:$M$665,MATCH($A230+90,$A$5:$A$665,1))),"")</f>
        <v>1.49462999391816</v>
      </c>
      <c r="T230" s="11" t="n">
        <f aca="false">IFERROR(N230/MEDIAN(INDEX($N$5:$N$665,MATCH($A230-90,$A$5:$A$665,1)):INDEX($N$5:$N$665,MATCH($A230+90,$A$5:$A$665,1))),"")</f>
        <v>1.00002653859475</v>
      </c>
      <c r="U230" s="11" t="n">
        <f aca="false">IFERROR(Q230/MEDIAN(INDEX($Q$5:$Q$665,MATCH($A230-90,$A$5:$A$665,1)):INDEX($Q$5:$Q$665,MATCH($A230+90,$A$5:$A$665,1))),"")</f>
        <v>0.60919799903179</v>
      </c>
    </row>
    <row r="231" customFormat="false" ht="15" hidden="false" customHeight="false" outlineLevel="0" collapsed="false">
      <c r="A231" s="13" t="n">
        <v>45157.7617780787</v>
      </c>
      <c r="B231" s="8" t="n">
        <v>18</v>
      </c>
      <c r="C231" s="8" t="s">
        <v>68</v>
      </c>
      <c r="D231" s="8" t="s">
        <v>911</v>
      </c>
      <c r="E231" s="14" t="s">
        <v>66</v>
      </c>
      <c r="F231" s="9" t="n">
        <v>344940</v>
      </c>
      <c r="G231" s="9" t="n">
        <v>198052</v>
      </c>
      <c r="H231" s="9" t="n">
        <v>198044</v>
      </c>
      <c r="I231" s="9" t="n">
        <v>27950</v>
      </c>
      <c r="J231" s="9" t="n">
        <v>515</v>
      </c>
      <c r="K231" s="9" t="n">
        <v>58</v>
      </c>
      <c r="L231" s="9" t="n">
        <v>49</v>
      </c>
      <c r="M231" s="10" t="n">
        <f aca="false">IFERROR(G231/F231,"")</f>
        <v>0.574163622659013</v>
      </c>
      <c r="N231" s="10" t="n">
        <f aca="false">IFERROR(H231/G231,"")</f>
        <v>0.999959606567972</v>
      </c>
      <c r="O231" s="11" t="n">
        <f aca="false">IFERROR(I231/H231,"")</f>
        <v>0.141130253882976</v>
      </c>
      <c r="P231" s="10" t="n">
        <f aca="false">IFERROR(J231/H231,"")</f>
        <v>0.00260043222718184</v>
      </c>
      <c r="Q231" s="10" t="n">
        <f aca="false">IFERROR(K231/H231,"")</f>
        <v>0.000292864211993294</v>
      </c>
      <c r="R231" s="10" t="n">
        <f aca="false">IFERROR(L231/H231,"")</f>
        <v>0.00024741976530468</v>
      </c>
      <c r="S231" s="11" t="n">
        <f aca="false">IFERROR(M231/MEDIAN(INDEX($M$5:$M$665,MATCH($A231-90,$A$5:$A$665,1)):INDEX($M$5:$M$665,MATCH($A231+90,$A$5:$A$665,1))),"")</f>
        <v>1.33500353350003</v>
      </c>
      <c r="T231" s="11" t="n">
        <f aca="false">IFERROR(N231/MEDIAN(INDEX($N$5:$N$665,MATCH($A231-90,$A$5:$A$665,1)):INDEX($N$5:$N$665,MATCH($A231+90,$A$5:$A$665,1))),"")</f>
        <v>1.00030887642706</v>
      </c>
      <c r="U231" s="11" t="n">
        <f aca="false">IFERROR(Q231/MEDIAN(INDEX($Q$5:$Q$665,MATCH($A231-90,$A$5:$A$665,1)):INDEX($Q$5:$Q$665,MATCH($A231+90,$A$5:$A$665,1))),"")</f>
        <v>0.277804825934481</v>
      </c>
    </row>
    <row r="232" customFormat="false" ht="15" hidden="false" customHeight="false" outlineLevel="0" collapsed="false">
      <c r="A232" s="13" t="n">
        <v>45158.7150079398</v>
      </c>
      <c r="B232" s="8" t="n">
        <v>17</v>
      </c>
      <c r="C232" s="8" t="s">
        <v>86</v>
      </c>
      <c r="D232" s="8" t="s">
        <v>912</v>
      </c>
      <c r="E232" s="14" t="s">
        <v>66</v>
      </c>
      <c r="F232" s="9" t="n">
        <v>5425</v>
      </c>
      <c r="G232" s="9" t="n">
        <v>2561</v>
      </c>
      <c r="H232" s="9" t="n">
        <v>2555</v>
      </c>
      <c r="I232" s="9" t="n">
        <v>465</v>
      </c>
      <c r="J232" s="9" t="n">
        <v>208</v>
      </c>
      <c r="K232" s="9" t="n">
        <v>3</v>
      </c>
      <c r="L232" s="9" t="n">
        <v>1</v>
      </c>
      <c r="M232" s="10" t="n">
        <f aca="false">IFERROR(G232/F232,"")</f>
        <v>0.472073732718894</v>
      </c>
      <c r="N232" s="10" t="n">
        <f aca="false">IFERROR(H232/G232,"")</f>
        <v>0.997657165169856</v>
      </c>
      <c r="O232" s="11" t="n">
        <f aca="false">IFERROR(I232/H232,"")</f>
        <v>0.181996086105675</v>
      </c>
      <c r="P232" s="10" t="n">
        <f aca="false">IFERROR(J232/H232,"")</f>
        <v>0.0814090019569472</v>
      </c>
      <c r="Q232" s="10" t="n">
        <f aca="false">IFERROR(K232/H232,"")</f>
        <v>0.00117416829745597</v>
      </c>
      <c r="R232" s="10" t="n">
        <f aca="false">IFERROR(L232/H232,"")</f>
        <v>0.000391389432485323</v>
      </c>
      <c r="S232" s="11" t="n">
        <f aca="false">IFERROR(M232/MEDIAN(INDEX($M$5:$M$665,MATCH($A232-90,$A$5:$A$665,1)):INDEX($M$5:$M$665,MATCH($A232+90,$A$5:$A$665,1))),"")</f>
        <v>1.09763153982772</v>
      </c>
      <c r="T232" s="11" t="n">
        <f aca="false">IFERROR(N232/MEDIAN(INDEX($N$5:$N$665,MATCH($A232-90,$A$5:$A$665,1)):INDEX($N$5:$N$665,MATCH($A232+90,$A$5:$A$665,1))),"")</f>
        <v>0.99801223489676</v>
      </c>
      <c r="U232" s="11" t="n">
        <f aca="false">IFERROR(Q232/MEDIAN(INDEX($Q$5:$Q$665,MATCH($A232-90,$A$5:$A$665,1)):INDEX($Q$5:$Q$665,MATCH($A232+90,$A$5:$A$665,1))),"")</f>
        <v>1.11379132763415</v>
      </c>
    </row>
    <row r="233" customFormat="false" ht="15" hidden="false" customHeight="false" outlineLevel="0" collapsed="false">
      <c r="A233" s="13" t="n">
        <v>45159.7171504051</v>
      </c>
      <c r="B233" s="8" t="n">
        <v>17</v>
      </c>
      <c r="C233" s="8" t="s">
        <v>80</v>
      </c>
      <c r="D233" s="8" t="s">
        <v>913</v>
      </c>
      <c r="E233" s="14" t="s">
        <v>66</v>
      </c>
      <c r="F233" s="9" t="n">
        <v>8626</v>
      </c>
      <c r="G233" s="9" t="n">
        <v>4364</v>
      </c>
      <c r="H233" s="9" t="n">
        <v>4357</v>
      </c>
      <c r="I233" s="9" t="n">
        <v>900</v>
      </c>
      <c r="J233" s="9" t="n">
        <v>316</v>
      </c>
      <c r="K233" s="9" t="n">
        <v>10</v>
      </c>
      <c r="L233" s="9" t="n">
        <v>3</v>
      </c>
      <c r="M233" s="10" t="n">
        <f aca="false">IFERROR(G233/F233,"")</f>
        <v>0.50591235798748</v>
      </c>
      <c r="N233" s="10" t="n">
        <f aca="false">IFERROR(H233/G233,"")</f>
        <v>0.99839596700275</v>
      </c>
      <c r="O233" s="11" t="n">
        <f aca="false">IFERROR(I233/H233,"")</f>
        <v>0.206564149644251</v>
      </c>
      <c r="P233" s="10" t="n">
        <f aca="false">IFERROR(J233/H233,"")</f>
        <v>0.0725269680973147</v>
      </c>
      <c r="Q233" s="10" t="n">
        <f aca="false">IFERROR(K233/H233,"")</f>
        <v>0.00229515721826945</v>
      </c>
      <c r="R233" s="10" t="n">
        <f aca="false">IFERROR(L233/H233,"")</f>
        <v>0.000688547165480836</v>
      </c>
      <c r="S233" s="11" t="n">
        <f aca="false">IFERROR(M233/MEDIAN(INDEX($M$5:$M$665,MATCH($A233-90,$A$5:$A$665,1)):INDEX($M$5:$M$665,MATCH($A233+90,$A$5:$A$665,1))),"")</f>
        <v>1.1771088810917</v>
      </c>
      <c r="T233" s="11" t="n">
        <f aca="false">IFERROR(N233/MEDIAN(INDEX($N$5:$N$665,MATCH($A233-90,$A$5:$A$665,1)):INDEX($N$5:$N$665,MATCH($A233+90,$A$5:$A$665,1))),"")</f>
        <v>0.998752493236805</v>
      </c>
      <c r="U233" s="11" t="n">
        <f aca="false">IFERROR(Q233/MEDIAN(INDEX($Q$5:$Q$665,MATCH($A233-90,$A$5:$A$665,1)):INDEX($Q$5:$Q$665,MATCH($A233+90,$A$5:$A$665,1))),"")</f>
        <v>2.1772384782871</v>
      </c>
    </row>
    <row r="234" customFormat="false" ht="15" hidden="false" customHeight="false" outlineLevel="0" collapsed="false">
      <c r="A234" s="13" t="n">
        <v>45160.633899838</v>
      </c>
      <c r="B234" s="8" t="n">
        <v>15</v>
      </c>
      <c r="C234" s="8" t="s">
        <v>64</v>
      </c>
      <c r="D234" s="8" t="s">
        <v>914</v>
      </c>
      <c r="E234" s="14" t="s">
        <v>66</v>
      </c>
      <c r="F234" s="9" t="n">
        <v>3667</v>
      </c>
      <c r="G234" s="9" t="n">
        <v>2120</v>
      </c>
      <c r="H234" s="9" t="n">
        <v>2113</v>
      </c>
      <c r="I234" s="9" t="n">
        <v>382</v>
      </c>
      <c r="J234" s="9" t="n">
        <v>229</v>
      </c>
      <c r="K234" s="9" t="n">
        <v>3</v>
      </c>
      <c r="L234" s="9" t="n">
        <v>1</v>
      </c>
      <c r="M234" s="10" t="n">
        <f aca="false">IFERROR(G234/F234,"")</f>
        <v>0.578129260976275</v>
      </c>
      <c r="N234" s="10" t="n">
        <f aca="false">IFERROR(H234/G234,"")</f>
        <v>0.996698113207547</v>
      </c>
      <c r="O234" s="11" t="n">
        <f aca="false">IFERROR(I234/H234,"")</f>
        <v>0.180785612872693</v>
      </c>
      <c r="P234" s="10" t="n">
        <f aca="false">IFERROR(J234/H234,"")</f>
        <v>0.108376715570279</v>
      </c>
      <c r="Q234" s="10" t="n">
        <f aca="false">IFERROR(K234/H234,"")</f>
        <v>0.00141978230004733</v>
      </c>
      <c r="R234" s="10" t="n">
        <f aca="false">IFERROR(L234/H234,"")</f>
        <v>0.000473260766682442</v>
      </c>
      <c r="S234" s="11" t="n">
        <f aca="false">IFERROR(M234/MEDIAN(INDEX($M$5:$M$665,MATCH($A234-90,$A$5:$A$665,1)):INDEX($M$5:$M$665,MATCH($A234+90,$A$5:$A$665,1))),"")</f>
        <v>1.34513632009558</v>
      </c>
      <c r="T234" s="11" t="n">
        <f aca="false">IFERROR(N234/MEDIAN(INDEX($N$5:$N$665,MATCH($A234-90,$A$5:$A$665,1)):INDEX($N$5:$N$665,MATCH($A234+90,$A$5:$A$665,1))),"")</f>
        <v>0.997054033139655</v>
      </c>
      <c r="U234" s="11" t="n">
        <f aca="false">IFERROR(Q234/MEDIAN(INDEX($Q$5:$Q$665,MATCH($A234-90,$A$5:$A$665,1)):INDEX($Q$5:$Q$665,MATCH($A234+90,$A$5:$A$665,1))),"")</f>
        <v>1.35609927052158</v>
      </c>
    </row>
    <row r="235" customFormat="false" ht="15" hidden="false" customHeight="false" outlineLevel="0" collapsed="false">
      <c r="A235" s="13" t="n">
        <v>45161.7849537732</v>
      </c>
      <c r="B235" s="8" t="n">
        <v>18</v>
      </c>
      <c r="C235" s="8" t="s">
        <v>71</v>
      </c>
      <c r="D235" s="8" t="s">
        <v>915</v>
      </c>
      <c r="E235" s="14" t="s">
        <v>66</v>
      </c>
      <c r="F235" s="9" t="n">
        <v>6409</v>
      </c>
      <c r="G235" s="9" t="n">
        <v>2622</v>
      </c>
      <c r="H235" s="9" t="n">
        <v>2614</v>
      </c>
      <c r="I235" s="9" t="n">
        <v>672</v>
      </c>
      <c r="J235" s="9" t="n">
        <v>194</v>
      </c>
      <c r="K235" s="9" t="n">
        <v>5</v>
      </c>
      <c r="L235" s="9" t="n">
        <v>2</v>
      </c>
      <c r="M235" s="10" t="n">
        <f aca="false">IFERROR(G235/F235,"")</f>
        <v>0.409112185988454</v>
      </c>
      <c r="N235" s="10" t="n">
        <f aca="false">IFERROR(H235/G235,"")</f>
        <v>0.996948893974066</v>
      </c>
      <c r="O235" s="11" t="n">
        <f aca="false">IFERROR(I235/H235,"")</f>
        <v>0.25707727620505</v>
      </c>
      <c r="P235" s="10" t="n">
        <f aca="false">IFERROR(J235/H235,"")</f>
        <v>0.0742157612853864</v>
      </c>
      <c r="Q235" s="10" t="n">
        <f aca="false">IFERROR(K235/H235,"")</f>
        <v>0.00191277735271614</v>
      </c>
      <c r="R235" s="10" t="n">
        <f aca="false">IFERROR(L235/H235,"")</f>
        <v>0.000765110941086458</v>
      </c>
      <c r="S235" s="11" t="n">
        <f aca="false">IFERROR(M235/MEDIAN(INDEX($M$5:$M$665,MATCH($A235-90,$A$5:$A$665,1)):INDEX($M$5:$M$665,MATCH($A235+90,$A$5:$A$665,1))),"")</f>
        <v>0.951237926504563</v>
      </c>
      <c r="T235" s="11" t="n">
        <f aca="false">IFERROR(N235/MEDIAN(INDEX($N$5:$N$665,MATCH($A235-90,$A$5:$A$665,1)):INDEX($N$5:$N$665,MATCH($A235+90,$A$5:$A$665,1))),"")</f>
        <v>0.997306095297596</v>
      </c>
      <c r="U235" s="11" t="n">
        <f aca="false">IFERROR(Q235/MEDIAN(INDEX($Q$5:$Q$665,MATCH($A235-90,$A$5:$A$665,1)):INDEX($Q$5:$Q$665,MATCH($A235+90,$A$5:$A$665,1))),"")</f>
        <v>1.81458811527672</v>
      </c>
    </row>
    <row r="236" customFormat="false" ht="15" hidden="false" customHeight="false" outlineLevel="0" collapsed="false">
      <c r="A236" s="13" t="n">
        <v>45162.6750509722</v>
      </c>
      <c r="B236" s="8" t="n">
        <v>16</v>
      </c>
      <c r="C236" s="8" t="s">
        <v>73</v>
      </c>
      <c r="D236" s="8" t="s">
        <v>916</v>
      </c>
      <c r="E236" s="14" t="s">
        <v>66</v>
      </c>
      <c r="F236" s="9" t="n">
        <v>6238</v>
      </c>
      <c r="G236" s="9" t="n">
        <v>3622</v>
      </c>
      <c r="H236" s="9" t="n">
        <v>3617</v>
      </c>
      <c r="I236" s="9" t="n">
        <v>822</v>
      </c>
      <c r="J236" s="9" t="n">
        <v>235</v>
      </c>
      <c r="K236" s="9" t="n">
        <v>5</v>
      </c>
      <c r="L236" s="9" t="n">
        <v>0</v>
      </c>
      <c r="M236" s="10" t="n">
        <f aca="false">IFERROR(G236/F236,"")</f>
        <v>0.580634818852196</v>
      </c>
      <c r="N236" s="10" t="n">
        <f aca="false">IFERROR(H236/G236,"")</f>
        <v>0.998619547211485</v>
      </c>
      <c r="O236" s="11" t="n">
        <f aca="false">IFERROR(I236/H236,"")</f>
        <v>0.227260160353884</v>
      </c>
      <c r="P236" s="10" t="n">
        <f aca="false">IFERROR(J236/H236,"")</f>
        <v>0.0649709704174731</v>
      </c>
      <c r="Q236" s="10" t="n">
        <f aca="false">IFERROR(K236/H236,"")</f>
        <v>0.00138236107271219</v>
      </c>
      <c r="R236" s="10" t="n">
        <f aca="false">IFERROR(L236/H236,"")</f>
        <v>0</v>
      </c>
      <c r="S236" s="11" t="n">
        <f aca="false">IFERROR(M236/MEDIAN(INDEX($M$5:$M$665,MATCH($A236-90,$A$5:$A$665,1)):INDEX($M$5:$M$665,MATCH($A236+90,$A$5:$A$665,1))),"")</f>
        <v>1.35096601447104</v>
      </c>
      <c r="T236" s="11" t="n">
        <f aca="false">IFERROR(N236/MEDIAN(INDEX($N$5:$N$665,MATCH($A236-90,$A$5:$A$665,1)):INDEX($N$5:$N$665,MATCH($A236+90,$A$5:$A$665,1))),"")</f>
        <v>0.998976153285817</v>
      </c>
      <c r="U236" s="11" t="n">
        <f aca="false">IFERROR(Q236/MEDIAN(INDEX($Q$5:$Q$665,MATCH($A236-90,$A$5:$A$665,1)):INDEX($Q$5:$Q$665,MATCH($A236+90,$A$5:$A$665,1))),"")</f>
        <v>1.32035653792835</v>
      </c>
    </row>
    <row r="237" customFormat="false" ht="15" hidden="false" customHeight="false" outlineLevel="0" collapsed="false">
      <c r="A237" s="13" t="n">
        <v>45163.7728359954</v>
      </c>
      <c r="B237" s="8" t="n">
        <v>18</v>
      </c>
      <c r="C237" s="8" t="s">
        <v>84</v>
      </c>
      <c r="D237" s="8"/>
      <c r="E237" s="14" t="s">
        <v>66</v>
      </c>
      <c r="F237" s="9" t="n">
        <v>55675</v>
      </c>
      <c r="G237" s="9" t="n">
        <v>22838</v>
      </c>
      <c r="H237" s="9" t="n">
        <v>22834</v>
      </c>
      <c r="I237" s="9" t="n">
        <v>3326</v>
      </c>
      <c r="J237" s="9" t="n">
        <v>341</v>
      </c>
      <c r="K237" s="9" t="n">
        <v>18</v>
      </c>
      <c r="L237" s="9" t="n">
        <v>25</v>
      </c>
      <c r="M237" s="10" t="n">
        <f aca="false">IFERROR(G237/F237,"")</f>
        <v>0.410202065559048</v>
      </c>
      <c r="N237" s="10" t="n">
        <f aca="false">IFERROR(H237/G237,"")</f>
        <v>0.999824853314651</v>
      </c>
      <c r="O237" s="11" t="n">
        <f aca="false">IFERROR(I237/H237,"")</f>
        <v>0.14565998073049</v>
      </c>
      <c r="P237" s="10" t="n">
        <f aca="false">IFERROR(J237/H237,"")</f>
        <v>0.0149338705439257</v>
      </c>
      <c r="Q237" s="10" t="n">
        <f aca="false">IFERROR(K237/H237,"")</f>
        <v>0.000788298151878777</v>
      </c>
      <c r="R237" s="10" t="n">
        <f aca="false">IFERROR(L237/H237,"")</f>
        <v>0.00109485854427608</v>
      </c>
      <c r="S237" s="11" t="n">
        <f aca="false">IFERROR(M237/MEDIAN(INDEX($M$5:$M$665,MATCH($A237-90,$A$5:$A$665,1)):INDEX($M$5:$M$665,MATCH($A237+90,$A$5:$A$665,1))),"")</f>
        <v>0.954419252244605</v>
      </c>
      <c r="T237" s="11" t="n">
        <f aca="false">IFERROR(N237/MEDIAN(INDEX($N$5:$N$665,MATCH($A237-90,$A$5:$A$665,1)):INDEX($N$5:$N$665,MATCH($A237+90,$A$5:$A$665,1))),"")</f>
        <v>1.00018188980263</v>
      </c>
      <c r="U237" s="11" t="n">
        <f aca="false">IFERROR(Q237/MEDIAN(INDEX($Q$5:$Q$665,MATCH($A237-90,$A$5:$A$665,1)):INDEX($Q$5:$Q$665,MATCH($A237+90,$A$5:$A$665,1))),"")</f>
        <v>0.747797604003434</v>
      </c>
    </row>
    <row r="238" customFormat="false" ht="15" hidden="false" customHeight="false" outlineLevel="0" collapsed="false">
      <c r="A238" s="13" t="n">
        <v>45164.7484979282</v>
      </c>
      <c r="B238" s="8" t="n">
        <v>17</v>
      </c>
      <c r="C238" s="8" t="s">
        <v>68</v>
      </c>
      <c r="D238" s="8" t="s">
        <v>917</v>
      </c>
      <c r="E238" s="14" t="s">
        <v>66</v>
      </c>
      <c r="F238" s="9" t="n">
        <v>8367</v>
      </c>
      <c r="G238" s="9" t="n">
        <v>4749</v>
      </c>
      <c r="H238" s="9" t="n">
        <v>4743</v>
      </c>
      <c r="I238" s="9" t="n">
        <v>1288</v>
      </c>
      <c r="J238" s="9" t="n">
        <v>294</v>
      </c>
      <c r="K238" s="9" t="n">
        <v>4</v>
      </c>
      <c r="L238" s="9" t="n">
        <v>9</v>
      </c>
      <c r="M238" s="10" t="n">
        <f aca="false">IFERROR(G238/F238,"")</f>
        <v>0.567586948727142</v>
      </c>
      <c r="N238" s="10" t="n">
        <f aca="false">IFERROR(H238/G238,"")</f>
        <v>0.998736576121289</v>
      </c>
      <c r="O238" s="11" t="n">
        <f aca="false">IFERROR(I238/H238,"")</f>
        <v>0.271558085599831</v>
      </c>
      <c r="P238" s="10" t="n">
        <f aca="false">IFERROR(J238/H238,"")</f>
        <v>0.0619860847564832</v>
      </c>
      <c r="Q238" s="10" t="n">
        <f aca="false">IFERROR(K238/H238,"")</f>
        <v>0.000843348091924942</v>
      </c>
      <c r="R238" s="10" t="n">
        <f aca="false">IFERROR(L238/H238,"")</f>
        <v>0.00189753320683112</v>
      </c>
      <c r="S238" s="11" t="n">
        <f aca="false">IFERROR(M238/MEDIAN(INDEX($M$5:$M$665,MATCH($A238-90,$A$5:$A$665,1)):INDEX($M$5:$M$665,MATCH($A238+90,$A$5:$A$665,1))),"")</f>
        <v>1.32150422316115</v>
      </c>
      <c r="T238" s="11" t="n">
        <f aca="false">IFERROR(N238/MEDIAN(INDEX($N$5:$N$665,MATCH($A238-90,$A$5:$A$665,1)):INDEX($N$5:$N$665,MATCH($A238+90,$A$5:$A$665,1))),"")</f>
        <v>0.999092030014383</v>
      </c>
      <c r="U238" s="11" t="n">
        <f aca="false">IFERROR(Q238/MEDIAN(INDEX($Q$5:$Q$665,MATCH($A238-90,$A$5:$A$665,1)):INDEX($Q$5:$Q$665,MATCH($A238+90,$A$5:$A$665,1))),"")</f>
        <v>0.800056223206128</v>
      </c>
    </row>
    <row r="239" customFormat="false" ht="15" hidden="false" customHeight="false" outlineLevel="0" collapsed="false">
      <c r="A239" s="13" t="n">
        <v>45165.7943890394</v>
      </c>
      <c r="B239" s="8" t="n">
        <v>19</v>
      </c>
      <c r="C239" s="8" t="s">
        <v>86</v>
      </c>
      <c r="D239" s="8"/>
      <c r="E239" s="14" t="s">
        <v>66</v>
      </c>
      <c r="F239" s="9" t="n">
        <v>46418</v>
      </c>
      <c r="G239" s="9" t="n">
        <v>11030</v>
      </c>
      <c r="H239" s="9" t="n">
        <v>11027</v>
      </c>
      <c r="I239" s="9" t="n">
        <v>1235</v>
      </c>
      <c r="J239" s="9" t="n">
        <v>274</v>
      </c>
      <c r="K239" s="9" t="n">
        <v>11</v>
      </c>
      <c r="L239" s="9" t="n">
        <v>9</v>
      </c>
      <c r="M239" s="10" t="n">
        <f aca="false">IFERROR(G239/F239,"")</f>
        <v>0.237623335774915</v>
      </c>
      <c r="N239" s="10" t="n">
        <f aca="false">IFERROR(H239/G239,"")</f>
        <v>0.999728014505893</v>
      </c>
      <c r="O239" s="11" t="n">
        <f aca="false">IFERROR(I239/H239,"")</f>
        <v>0.111997823524077</v>
      </c>
      <c r="P239" s="10" t="n">
        <f aca="false">IFERROR(J239/H239,"")</f>
        <v>0.0248481001178924</v>
      </c>
      <c r="Q239" s="10" t="n">
        <f aca="false">IFERROR(K239/H239,"")</f>
        <v>0.000997551464586923</v>
      </c>
      <c r="R239" s="10" t="n">
        <f aca="false">IFERROR(L239/H239,"")</f>
        <v>0.000816178471025664</v>
      </c>
      <c r="S239" s="11" t="n">
        <f aca="false">IFERROR(M239/MEDIAN(INDEX($M$5:$M$665,MATCH($A239-90,$A$5:$A$665,1)):INDEX($M$5:$M$665,MATCH($A239+90,$A$5:$A$665,1))),"")</f>
        <v>0.557056759089037</v>
      </c>
      <c r="T239" s="11" t="n">
        <f aca="false">IFERROR(N239/MEDIAN(INDEX($N$5:$N$665,MATCH($A239-90,$A$5:$A$665,1)):INDEX($N$5:$N$665,MATCH($A239+90,$A$5:$A$665,1))),"")</f>
        <v>1.00007720347359</v>
      </c>
      <c r="U239" s="11" t="n">
        <f aca="false">IFERROR(Q239/MEDIAN(INDEX($Q$5:$Q$665,MATCH($A239-90,$A$5:$A$665,1)):INDEX($Q$5:$Q$665,MATCH($A239+90,$A$5:$A$665,1))),"")</f>
        <v>0.946343822738128</v>
      </c>
    </row>
    <row r="240" customFormat="false" ht="15" hidden="false" customHeight="false" outlineLevel="0" collapsed="false">
      <c r="A240" s="13" t="n">
        <v>45166.7813710417</v>
      </c>
      <c r="B240" s="8" t="n">
        <v>18</v>
      </c>
      <c r="C240" s="8" t="s">
        <v>80</v>
      </c>
      <c r="D240" s="8" t="s">
        <v>918</v>
      </c>
      <c r="E240" s="14" t="s">
        <v>66</v>
      </c>
      <c r="F240" s="9" t="n">
        <v>34379</v>
      </c>
      <c r="G240" s="9" t="n">
        <v>10572</v>
      </c>
      <c r="H240" s="9" t="n">
        <v>10573</v>
      </c>
      <c r="I240" s="9" t="n">
        <v>2261</v>
      </c>
      <c r="J240" s="9" t="n">
        <v>472</v>
      </c>
      <c r="K240" s="9" t="n">
        <v>19</v>
      </c>
      <c r="L240" s="9" t="n">
        <v>17</v>
      </c>
      <c r="M240" s="10" t="n">
        <f aca="false">IFERROR(G240/F240,"")</f>
        <v>0.307513307542395</v>
      </c>
      <c r="N240" s="10" t="n">
        <f aca="false">IFERROR(H240/G240,"")</f>
        <v>1.00009458948165</v>
      </c>
      <c r="O240" s="11" t="n">
        <f aca="false">IFERROR(I240/H240,"")</f>
        <v>0.213846590371702</v>
      </c>
      <c r="P240" s="10" t="n">
        <f aca="false">IFERROR(J240/H240,"")</f>
        <v>0.0446420126737917</v>
      </c>
      <c r="Q240" s="10" t="n">
        <f aca="false">IFERROR(K240/H240,"")</f>
        <v>0.00179703017119077</v>
      </c>
      <c r="R240" s="10" t="n">
        <f aca="false">IFERROR(L240/H240,"")</f>
        <v>0.00160786910053911</v>
      </c>
      <c r="S240" s="11" t="n">
        <f aca="false">IFERROR(M240/MEDIAN(INDEX($M$5:$M$665,MATCH($A240-90,$A$5:$A$665,1)):INDEX($M$5:$M$665,MATCH($A240+90,$A$5:$A$665,1))),"")</f>
        <v>0.720898753136689</v>
      </c>
      <c r="T240" s="11" t="n">
        <f aca="false">IFERROR(N240/MEDIAN(INDEX($N$5:$N$665,MATCH($A240-90,$A$5:$A$665,1)):INDEX($N$5:$N$665,MATCH($A240+90,$A$5:$A$665,1))),"")</f>
        <v>1.0004439064881</v>
      </c>
      <c r="U240" s="11" t="n">
        <f aca="false">IFERROR(Q240/MEDIAN(INDEX($Q$5:$Q$665,MATCH($A240-90,$A$5:$A$665,1)):INDEX($Q$5:$Q$665,MATCH($A240+90,$A$5:$A$665,1))),"")</f>
        <v>1.72822958749375</v>
      </c>
    </row>
    <row r="241" customFormat="false" ht="15" hidden="false" customHeight="false" outlineLevel="0" collapsed="false">
      <c r="A241" s="13" t="n">
        <v>45167.7055791435</v>
      </c>
      <c r="B241" s="8" t="n">
        <v>16</v>
      </c>
      <c r="C241" s="8" t="s">
        <v>64</v>
      </c>
      <c r="D241" s="8" t="s">
        <v>919</v>
      </c>
      <c r="E241" s="14" t="s">
        <v>66</v>
      </c>
      <c r="F241" s="9" t="n">
        <v>7490</v>
      </c>
      <c r="G241" s="9" t="n">
        <v>4284</v>
      </c>
      <c r="H241" s="9" t="n">
        <v>4282</v>
      </c>
      <c r="I241" s="9" t="n">
        <v>676</v>
      </c>
      <c r="J241" s="9" t="n">
        <v>224</v>
      </c>
      <c r="K241" s="9" t="n">
        <v>1</v>
      </c>
      <c r="L241" s="9" t="n">
        <v>1</v>
      </c>
      <c r="M241" s="10" t="n">
        <f aca="false">IFERROR(G241/F241,"")</f>
        <v>0.57196261682243</v>
      </c>
      <c r="N241" s="10" t="n">
        <f aca="false">IFERROR(H241/G241,"")</f>
        <v>0.99953314659197</v>
      </c>
      <c r="O241" s="11" t="n">
        <f aca="false">IFERROR(I241/H241,"")</f>
        <v>0.157870154133582</v>
      </c>
      <c r="P241" s="10" t="n">
        <f aca="false">IFERROR(J241/H241,"")</f>
        <v>0.0523120037365717</v>
      </c>
      <c r="Q241" s="10" t="n">
        <f aca="false">IFERROR(K241/H241,"")</f>
        <v>0.000233535730966838</v>
      </c>
      <c r="R241" s="10" t="n">
        <f aca="false">IFERROR(L241/H241,"")</f>
        <v>0.000233535730966838</v>
      </c>
      <c r="S241" s="11" t="n">
        <f aca="false">IFERROR(M241/MEDIAN(INDEX($M$5:$M$665,MATCH($A241-90,$A$5:$A$665,1)):INDEX($M$5:$M$665,MATCH($A241+90,$A$5:$A$665,1))),"")</f>
        <v>1.33625196154531</v>
      </c>
      <c r="T241" s="11" t="n">
        <f aca="false">IFERROR(N241/MEDIAN(INDEX($N$5:$N$665,MATCH($A241-90,$A$5:$A$665,1)):INDEX($N$5:$N$665,MATCH($A241+90,$A$5:$A$665,1))),"")</f>
        <v>0.999880891334724</v>
      </c>
      <c r="U241" s="11" t="n">
        <f aca="false">IFERROR(Q241/MEDIAN(INDEX($Q$5:$Q$665,MATCH($A241-90,$A$5:$A$665,1)):INDEX($Q$5:$Q$665,MATCH($A241+90,$A$5:$A$665,1))),"")</f>
        <v>0.226043175954416</v>
      </c>
    </row>
    <row r="242" customFormat="false" ht="15" hidden="false" customHeight="false" outlineLevel="0" collapsed="false">
      <c r="A242" s="13" t="n">
        <v>45168.6508861227</v>
      </c>
      <c r="B242" s="8" t="n">
        <v>15</v>
      </c>
      <c r="C242" s="8" t="s">
        <v>71</v>
      </c>
      <c r="D242" s="8" t="s">
        <v>920</v>
      </c>
      <c r="E242" s="14" t="s">
        <v>66</v>
      </c>
      <c r="F242" s="9" t="n">
        <v>22428</v>
      </c>
      <c r="G242" s="9" t="n">
        <v>9367</v>
      </c>
      <c r="H242" s="9" t="n">
        <v>9360</v>
      </c>
      <c r="I242" s="9" t="n">
        <v>2387</v>
      </c>
      <c r="J242" s="9" t="n">
        <v>270</v>
      </c>
      <c r="K242" s="9" t="n">
        <v>10</v>
      </c>
      <c r="L242" s="9" t="n">
        <v>9</v>
      </c>
      <c r="M242" s="10" t="n">
        <f aca="false">IFERROR(G242/F242,"")</f>
        <v>0.41764758337792</v>
      </c>
      <c r="N242" s="10" t="n">
        <f aca="false">IFERROR(H242/G242,"")</f>
        <v>0.999252695633607</v>
      </c>
      <c r="O242" s="11" t="n">
        <f aca="false">IFERROR(I242/H242,"")</f>
        <v>0.255021367521368</v>
      </c>
      <c r="P242" s="10" t="n">
        <f aca="false">IFERROR(J242/H242,"")</f>
        <v>0.0288461538461538</v>
      </c>
      <c r="Q242" s="10" t="n">
        <f aca="false">IFERROR(K242/H242,"")</f>
        <v>0.00106837606837607</v>
      </c>
      <c r="R242" s="10" t="n">
        <f aca="false">IFERROR(L242/H242,"")</f>
        <v>0.000961538461538462</v>
      </c>
      <c r="S242" s="11" t="n">
        <f aca="false">IFERROR(M242/MEDIAN(INDEX($M$5:$M$665,MATCH($A242-90,$A$5:$A$665,1)):INDEX($M$5:$M$665,MATCH($A242+90,$A$5:$A$665,1))),"")</f>
        <v>0.975732305065433</v>
      </c>
      <c r="T242" s="11" t="n">
        <f aca="false">IFERROR(N242/MEDIAN(INDEX($N$5:$N$665,MATCH($A242-90,$A$5:$A$665,1)):INDEX($N$5:$N$665,MATCH($A242+90,$A$5:$A$665,1))),"")</f>
        <v>0.999605025886811</v>
      </c>
      <c r="U242" s="11" t="n">
        <f aca="false">IFERROR(Q242/MEDIAN(INDEX($Q$5:$Q$665,MATCH($A242-90,$A$5:$A$665,1)):INDEX($Q$5:$Q$665,MATCH($A242+90,$A$5:$A$665,1))),"")</f>
        <v>1.03409923016753</v>
      </c>
    </row>
    <row r="243" customFormat="false" ht="15" hidden="false" customHeight="false" outlineLevel="0" collapsed="false">
      <c r="A243" s="13" t="n">
        <v>45169.6973875347</v>
      </c>
      <c r="B243" s="8" t="n">
        <v>16</v>
      </c>
      <c r="C243" s="8" t="s">
        <v>73</v>
      </c>
      <c r="D243" s="8" t="s">
        <v>921</v>
      </c>
      <c r="E243" s="14" t="s">
        <v>66</v>
      </c>
      <c r="F243" s="9" t="n">
        <v>98756</v>
      </c>
      <c r="G243" s="9" t="n">
        <v>32787</v>
      </c>
      <c r="H243" s="9" t="n">
        <v>32771</v>
      </c>
      <c r="I243" s="9" t="n">
        <v>5534</v>
      </c>
      <c r="J243" s="9" t="n">
        <v>379</v>
      </c>
      <c r="K243" s="9" t="n">
        <v>8</v>
      </c>
      <c r="L243" s="9" t="n">
        <v>6</v>
      </c>
      <c r="M243" s="10" t="n">
        <f aca="false">IFERROR(G243/F243,"")</f>
        <v>0.332000081007736</v>
      </c>
      <c r="N243" s="10" t="n">
        <f aca="false">IFERROR(H243/G243,"")</f>
        <v>0.999512001707994</v>
      </c>
      <c r="O243" s="11" t="n">
        <f aca="false">IFERROR(I243/H243,"")</f>
        <v>0.168868816941808</v>
      </c>
      <c r="P243" s="10" t="n">
        <f aca="false">IFERROR(J243/H243,"")</f>
        <v>0.0115651032925452</v>
      </c>
      <c r="Q243" s="10" t="n">
        <f aca="false">IFERROR(K243/H243,"")</f>
        <v>0.000244118275304385</v>
      </c>
      <c r="R243" s="10" t="n">
        <f aca="false">IFERROR(L243/H243,"")</f>
        <v>0.000183088706478289</v>
      </c>
      <c r="S243" s="11" t="n">
        <f aca="false">IFERROR(M243/MEDIAN(INDEX($M$5:$M$665,MATCH($A243-90,$A$5:$A$665,1)):INDEX($M$5:$M$665,MATCH($A243+90,$A$5:$A$665,1))),"")</f>
        <v>0.772990834488836</v>
      </c>
      <c r="T243" s="11" t="n">
        <f aca="false">IFERROR(N243/MEDIAN(INDEX($N$5:$N$665,MATCH($A243-90,$A$5:$A$665,1)):INDEX($N$5:$N$665,MATCH($A243+90,$A$5:$A$665,1))),"")</f>
        <v>0.99986111522588</v>
      </c>
      <c r="U243" s="11" t="n">
        <f aca="false">IFERROR(Q243/MEDIAN(INDEX($Q$5:$Q$665,MATCH($A243-90,$A$5:$A$665,1)):INDEX($Q$5:$Q$665,MATCH($A243+90,$A$5:$A$665,1))),"")</f>
        <v>0.237820023801532</v>
      </c>
    </row>
    <row r="244" customFormat="false" ht="15" hidden="false" customHeight="false" outlineLevel="0" collapsed="false">
      <c r="A244" s="13" t="n">
        <v>45170.7793586574</v>
      </c>
      <c r="B244" s="8" t="n">
        <v>18</v>
      </c>
      <c r="C244" s="8" t="s">
        <v>84</v>
      </c>
      <c r="D244" s="8" t="s">
        <v>922</v>
      </c>
      <c r="E244" s="14" t="s">
        <v>66</v>
      </c>
      <c r="F244" s="9" t="n">
        <v>31450</v>
      </c>
      <c r="G244" s="9" t="n">
        <v>9749</v>
      </c>
      <c r="H244" s="9" t="n">
        <v>9742</v>
      </c>
      <c r="I244" s="9" t="n">
        <v>1485</v>
      </c>
      <c r="J244" s="9" t="n">
        <v>273</v>
      </c>
      <c r="K244" s="9" t="n">
        <v>10</v>
      </c>
      <c r="L244" s="9" t="n">
        <v>5</v>
      </c>
      <c r="M244" s="10" t="n">
        <f aca="false">IFERROR(G244/F244,"")</f>
        <v>0.309984101748808</v>
      </c>
      <c r="N244" s="10" t="n">
        <f aca="false">IFERROR(H244/G244,"")</f>
        <v>0.999281977638732</v>
      </c>
      <c r="O244" s="11" t="n">
        <f aca="false">IFERROR(I244/H244,"")</f>
        <v>0.152432765345925</v>
      </c>
      <c r="P244" s="10" t="n">
        <f aca="false">IFERROR(J244/H244,"")</f>
        <v>0.0280229932252104</v>
      </c>
      <c r="Q244" s="10" t="n">
        <f aca="false">IFERROR(K244/H244,"")</f>
        <v>0.00102648326832273</v>
      </c>
      <c r="R244" s="10" t="n">
        <f aca="false">IFERROR(L244/H244,"")</f>
        <v>0.000513241634161363</v>
      </c>
      <c r="S244" s="11" t="n">
        <f aca="false">IFERROR(M244/MEDIAN(INDEX($M$5:$M$665,MATCH($A244-90,$A$5:$A$665,1)):INDEX($M$5:$M$665,MATCH($A244+90,$A$5:$A$665,1))),"")</f>
        <v>0.72669099828177</v>
      </c>
      <c r="T244" s="11" t="n">
        <f aca="false">IFERROR(N244/MEDIAN(INDEX($N$5:$N$665,MATCH($A244-90,$A$5:$A$665,1)):INDEX($N$5:$N$665,MATCH($A244+90,$A$5:$A$665,1))),"")</f>
        <v>0.999628259186905</v>
      </c>
      <c r="U244" s="11" t="n">
        <f aca="false">IFERROR(Q244/MEDIAN(INDEX($Q$5:$Q$665,MATCH($A244-90,$A$5:$A$665,1)):INDEX($Q$5:$Q$665,MATCH($A244+90,$A$5:$A$665,1))),"")</f>
        <v>1.00338739478547</v>
      </c>
    </row>
    <row r="245" customFormat="false" ht="15" hidden="false" customHeight="false" outlineLevel="0" collapsed="false">
      <c r="A245" s="13" t="n">
        <v>45171.7188857755</v>
      </c>
      <c r="B245" s="8" t="n">
        <v>17</v>
      </c>
      <c r="C245" s="8" t="s">
        <v>68</v>
      </c>
      <c r="D245" s="8" t="s">
        <v>923</v>
      </c>
      <c r="E245" s="14" t="s">
        <v>66</v>
      </c>
      <c r="F245" s="9" t="n">
        <v>35275</v>
      </c>
      <c r="G245" s="9" t="n">
        <v>16257</v>
      </c>
      <c r="H245" s="9" t="n">
        <v>16250</v>
      </c>
      <c r="I245" s="9" t="n">
        <v>3244</v>
      </c>
      <c r="J245" s="9" t="n">
        <v>316</v>
      </c>
      <c r="K245" s="9" t="n">
        <v>14</v>
      </c>
      <c r="L245" s="9" t="n">
        <v>9</v>
      </c>
      <c r="M245" s="10" t="n">
        <f aca="false">IFERROR(G245/F245,"")</f>
        <v>0.460864635010631</v>
      </c>
      <c r="N245" s="10" t="n">
        <f aca="false">IFERROR(H245/G245,"")</f>
        <v>0.999569416251461</v>
      </c>
      <c r="O245" s="11" t="n">
        <f aca="false">IFERROR(I245/H245,"")</f>
        <v>0.199630769230769</v>
      </c>
      <c r="P245" s="10" t="n">
        <f aca="false">IFERROR(J245/H245,"")</f>
        <v>0.0194461538461538</v>
      </c>
      <c r="Q245" s="10" t="n">
        <f aca="false">IFERROR(K245/H245,"")</f>
        <v>0.000861538461538462</v>
      </c>
      <c r="R245" s="10" t="n">
        <f aca="false">IFERROR(L245/H245,"")</f>
        <v>0.000553846153846154</v>
      </c>
      <c r="S245" s="11" t="n">
        <f aca="false">IFERROR(M245/MEDIAN(INDEX($M$5:$M$665,MATCH($A245-90,$A$5:$A$665,1)):INDEX($M$5:$M$665,MATCH($A245+90,$A$5:$A$665,1))),"")</f>
        <v>1.08092082748714</v>
      </c>
      <c r="T245" s="11" t="n">
        <f aca="false">IFERROR(N245/MEDIAN(INDEX($N$5:$N$665,MATCH($A245-90,$A$5:$A$665,1)):INDEX($N$5:$N$665,MATCH($A245+90,$A$5:$A$665,1))),"")</f>
        <v>0.999910387351322</v>
      </c>
      <c r="U245" s="11" t="n">
        <f aca="false">IFERROR(Q245/MEDIAN(INDEX($Q$5:$Q$665,MATCH($A245-90,$A$5:$A$665,1)):INDEX($Q$5:$Q$665,MATCH($A245+90,$A$5:$A$665,1))),"")</f>
        <v>0.843112194895376</v>
      </c>
    </row>
    <row r="246" customFormat="false" ht="15" hidden="false" customHeight="false" outlineLevel="0" collapsed="false">
      <c r="A246" s="13" t="n">
        <v>45172.7081175116</v>
      </c>
      <c r="B246" s="8" t="n">
        <v>16</v>
      </c>
      <c r="C246" s="8" t="s">
        <v>86</v>
      </c>
      <c r="D246" s="8" t="s">
        <v>924</v>
      </c>
      <c r="E246" s="14" t="s">
        <v>66</v>
      </c>
      <c r="F246" s="9" t="n">
        <v>12843</v>
      </c>
      <c r="G246" s="9" t="n">
        <v>8326</v>
      </c>
      <c r="H246" s="9" t="n">
        <v>8320</v>
      </c>
      <c r="I246" s="9" t="n">
        <v>1967</v>
      </c>
      <c r="J246" s="9" t="n">
        <v>291</v>
      </c>
      <c r="K246" s="9" t="n">
        <v>5</v>
      </c>
      <c r="L246" s="9" t="n">
        <v>13</v>
      </c>
      <c r="M246" s="10" t="n">
        <f aca="false">IFERROR(G246/F246,"")</f>
        <v>0.64829089776532</v>
      </c>
      <c r="N246" s="10" t="n">
        <f aca="false">IFERROR(H246/G246,"")</f>
        <v>0.999279365841941</v>
      </c>
      <c r="O246" s="11" t="n">
        <f aca="false">IFERROR(I246/H246,"")</f>
        <v>0.236418269230769</v>
      </c>
      <c r="P246" s="10" t="n">
        <f aca="false">IFERROR(J246/H246,"")</f>
        <v>0.0349759615384615</v>
      </c>
      <c r="Q246" s="10" t="n">
        <f aca="false">IFERROR(K246/H246,"")</f>
        <v>0.000600961538461539</v>
      </c>
      <c r="R246" s="10" t="n">
        <f aca="false">IFERROR(L246/H246,"")</f>
        <v>0.0015625</v>
      </c>
      <c r="S246" s="11" t="n">
        <f aca="false">IFERROR(M246/MEDIAN(INDEX($M$5:$M$665,MATCH($A246-90,$A$5:$A$665,1)):INDEX($M$5:$M$665,MATCH($A246+90,$A$5:$A$665,1))),"")</f>
        <v>1.52051400873644</v>
      </c>
      <c r="T246" s="11" t="n">
        <f aca="false">IFERROR(N246/MEDIAN(INDEX($N$5:$N$665,MATCH($A246-90,$A$5:$A$665,1)):INDEX($N$5:$N$665,MATCH($A246+90,$A$5:$A$665,1))),"")</f>
        <v>0.999612311537789</v>
      </c>
      <c r="U246" s="11" t="n">
        <f aca="false">IFERROR(Q246/MEDIAN(INDEX($Q$5:$Q$665,MATCH($A246-90,$A$5:$A$665,1)):INDEX($Q$5:$Q$665,MATCH($A246+90,$A$5:$A$665,1))),"")</f>
        <v>0.588108394876797</v>
      </c>
    </row>
    <row r="247" customFormat="false" ht="15" hidden="false" customHeight="false" outlineLevel="0" collapsed="false">
      <c r="A247" s="13" t="n">
        <v>45173.7306321875</v>
      </c>
      <c r="B247" s="8" t="n">
        <v>17</v>
      </c>
      <c r="C247" s="8" t="s">
        <v>80</v>
      </c>
      <c r="D247" s="8" t="s">
        <v>925</v>
      </c>
      <c r="E247" s="14" t="s">
        <v>66</v>
      </c>
      <c r="F247" s="9" t="n">
        <v>362849</v>
      </c>
      <c r="G247" s="9" t="n">
        <v>88206</v>
      </c>
      <c r="H247" s="9" t="n">
        <v>88203</v>
      </c>
      <c r="I247" s="9" t="n">
        <v>8035</v>
      </c>
      <c r="J247" s="9" t="n">
        <v>362</v>
      </c>
      <c r="K247" s="9" t="n">
        <v>12</v>
      </c>
      <c r="L247" s="9" t="n">
        <v>35</v>
      </c>
      <c r="M247" s="10" t="n">
        <f aca="false">IFERROR(G247/F247,"")</f>
        <v>0.243092856808204</v>
      </c>
      <c r="N247" s="10" t="n">
        <f aca="false">IFERROR(H247/G247,"")</f>
        <v>0.999965988708251</v>
      </c>
      <c r="O247" s="11" t="n">
        <f aca="false">IFERROR(I247/H247,"")</f>
        <v>0.0910966747162795</v>
      </c>
      <c r="P247" s="10" t="n">
        <f aca="false">IFERROR(J247/H247,"")</f>
        <v>0.0041041687924447</v>
      </c>
      <c r="Q247" s="10" t="n">
        <f aca="false">IFERROR(K247/H247,"")</f>
        <v>0.000136049794224686</v>
      </c>
      <c r="R247" s="10" t="n">
        <f aca="false">IFERROR(L247/H247,"")</f>
        <v>0.000396811899822002</v>
      </c>
      <c r="S247" s="11" t="n">
        <f aca="false">IFERROR(M247/MEDIAN(INDEX($M$5:$M$665,MATCH($A247-90,$A$5:$A$665,1)):INDEX($M$5:$M$665,MATCH($A247+90,$A$5:$A$665,1))),"")</f>
        <v>0.574381663488482</v>
      </c>
      <c r="T247" s="11" t="n">
        <f aca="false">IFERROR(N247/MEDIAN(INDEX($N$5:$N$665,MATCH($A247-90,$A$5:$A$665,1)):INDEX($N$5:$N$665,MATCH($A247+90,$A$5:$A$665,1))),"")</f>
        <v>1.00029664342312</v>
      </c>
      <c r="U247" s="11" t="n">
        <f aca="false">IFERROR(Q247/MEDIAN(INDEX($Q$5:$Q$665,MATCH($A247-90,$A$5:$A$665,1)):INDEX($Q$5:$Q$665,MATCH($A247+90,$A$5:$A$665,1))),"")</f>
        <v>0.133291693850859</v>
      </c>
    </row>
    <row r="248" customFormat="false" ht="15" hidden="false" customHeight="false" outlineLevel="0" collapsed="false">
      <c r="A248" s="13" t="n">
        <v>45174.7234845949</v>
      </c>
      <c r="B248" s="8" t="n">
        <v>17</v>
      </c>
      <c r="C248" s="8" t="s">
        <v>64</v>
      </c>
      <c r="D248" s="8" t="s">
        <v>926</v>
      </c>
      <c r="E248" s="14" t="s">
        <v>66</v>
      </c>
      <c r="F248" s="9" t="n">
        <v>10970</v>
      </c>
      <c r="G248" s="9" t="n">
        <v>6083</v>
      </c>
      <c r="H248" s="9" t="n">
        <v>6075</v>
      </c>
      <c r="I248" s="9" t="n">
        <v>1040</v>
      </c>
      <c r="J248" s="9" t="n">
        <v>315</v>
      </c>
      <c r="K248" s="9" t="n">
        <v>6</v>
      </c>
      <c r="L248" s="9" t="n">
        <v>10</v>
      </c>
      <c r="M248" s="10" t="n">
        <f aca="false">IFERROR(G248/F248,"")</f>
        <v>0.554512306289882</v>
      </c>
      <c r="N248" s="10" t="n">
        <f aca="false">IFERROR(H248/G248,"")</f>
        <v>0.998684859444353</v>
      </c>
      <c r="O248" s="11" t="n">
        <f aca="false">IFERROR(I248/H248,"")</f>
        <v>0.17119341563786</v>
      </c>
      <c r="P248" s="10" t="n">
        <f aca="false">IFERROR(J248/H248,"")</f>
        <v>0.0518518518518519</v>
      </c>
      <c r="Q248" s="10" t="n">
        <f aca="false">IFERROR(K248/H248,"")</f>
        <v>0.000987654320987654</v>
      </c>
      <c r="R248" s="10" t="n">
        <f aca="false">IFERROR(L248/H248,"")</f>
        <v>0.00164609053497942</v>
      </c>
      <c r="S248" s="11" t="n">
        <f aca="false">IFERROR(M248/MEDIAN(INDEX($M$5:$M$665,MATCH($A248-90,$A$5:$A$665,1)):INDEX($M$5:$M$665,MATCH($A248+90,$A$5:$A$665,1))),"")</f>
        <v>1.31020592333945</v>
      </c>
      <c r="T248" s="11" t="n">
        <f aca="false">IFERROR(N248/MEDIAN(INDEX($N$5:$N$665,MATCH($A248-90,$A$5:$A$665,1)):INDEX($N$5:$N$665,MATCH($A248+90,$A$5:$A$665,1))),"")</f>
        <v>0.999015090533383</v>
      </c>
      <c r="U248" s="11" t="n">
        <f aca="false">IFERROR(Q248/MEDIAN(INDEX($Q$5:$Q$665,MATCH($A248-90,$A$5:$A$665,1)):INDEX($Q$5:$Q$665,MATCH($A248+90,$A$5:$A$665,1))),"")</f>
        <v>0.967631874298541</v>
      </c>
    </row>
    <row r="249" customFormat="false" ht="15" hidden="false" customHeight="false" outlineLevel="0" collapsed="false">
      <c r="A249" s="13" t="n">
        <v>45175.7944357523</v>
      </c>
      <c r="B249" s="8" t="n">
        <v>19</v>
      </c>
      <c r="C249" s="8" t="s">
        <v>71</v>
      </c>
      <c r="D249" s="8" t="s">
        <v>927</v>
      </c>
      <c r="E249" s="14" t="s">
        <v>66</v>
      </c>
      <c r="F249" s="9" t="n">
        <v>101592</v>
      </c>
      <c r="G249" s="9" t="n">
        <v>28033</v>
      </c>
      <c r="H249" s="9" t="n">
        <v>28021</v>
      </c>
      <c r="I249" s="9" t="n">
        <v>3122</v>
      </c>
      <c r="J249" s="9" t="n">
        <v>197</v>
      </c>
      <c r="K249" s="9" t="n">
        <v>13</v>
      </c>
      <c r="L249" s="9" t="n">
        <v>10</v>
      </c>
      <c r="M249" s="10" t="n">
        <f aca="false">IFERROR(G249/F249,"")</f>
        <v>0.275937081659973</v>
      </c>
      <c r="N249" s="10" t="n">
        <f aca="false">IFERROR(H249/G249,"")</f>
        <v>0.999571933078871</v>
      </c>
      <c r="O249" s="11" t="n">
        <f aca="false">IFERROR(I249/H249,"")</f>
        <v>0.111416437671746</v>
      </c>
      <c r="P249" s="10" t="n">
        <f aca="false">IFERROR(J249/H249,"")</f>
        <v>0.00703044145462332</v>
      </c>
      <c r="Q249" s="10" t="n">
        <f aca="false">IFERROR(K249/H249,"")</f>
        <v>0.000463937760964991</v>
      </c>
      <c r="R249" s="10" t="n">
        <f aca="false">IFERROR(L249/H249,"")</f>
        <v>0.0003568752007423</v>
      </c>
      <c r="S249" s="11" t="n">
        <f aca="false">IFERROR(M249/MEDIAN(INDEX($M$5:$M$665,MATCH($A249-90,$A$5:$A$665,1)):INDEX($M$5:$M$665,MATCH($A249+90,$A$5:$A$665,1))),"")</f>
        <v>0.647188167595903</v>
      </c>
      <c r="T249" s="11" t="n">
        <f aca="false">IFERROR(N249/MEDIAN(INDEX($N$5:$N$665,MATCH($A249-90,$A$5:$A$665,1)):INDEX($N$5:$N$665,MATCH($A249+90,$A$5:$A$665,1))),"")</f>
        <v>0.999898494597799</v>
      </c>
      <c r="U249" s="11" t="n">
        <f aca="false">IFERROR(Q249/MEDIAN(INDEX($Q$5:$Q$665,MATCH($A249-90,$A$5:$A$665,1)):INDEX($Q$5:$Q$665,MATCH($A249+90,$A$5:$A$665,1))),"")</f>
        <v>0.458628494072049</v>
      </c>
    </row>
    <row r="250" customFormat="false" ht="15" hidden="false" customHeight="false" outlineLevel="0" collapsed="false">
      <c r="A250" s="13" t="n">
        <v>45176.7227423495</v>
      </c>
      <c r="B250" s="8" t="n">
        <v>17</v>
      </c>
      <c r="C250" s="8" t="s">
        <v>73</v>
      </c>
      <c r="D250" s="8" t="s">
        <v>928</v>
      </c>
      <c r="E250" s="14" t="s">
        <v>66</v>
      </c>
      <c r="F250" s="9" t="n">
        <v>11052</v>
      </c>
      <c r="G250" s="9" t="n">
        <v>6059</v>
      </c>
      <c r="H250" s="9" t="n">
        <v>6055</v>
      </c>
      <c r="I250" s="9" t="n">
        <v>1400</v>
      </c>
      <c r="J250" s="9" t="n">
        <v>275</v>
      </c>
      <c r="K250" s="9" t="n">
        <v>3</v>
      </c>
      <c r="L250" s="9" t="n">
        <v>9</v>
      </c>
      <c r="M250" s="10" t="n">
        <f aca="false">IFERROR(G250/F250,"")</f>
        <v>0.548226565327543</v>
      </c>
      <c r="N250" s="10" t="n">
        <f aca="false">IFERROR(H250/G250,"")</f>
        <v>0.999339825053639</v>
      </c>
      <c r="O250" s="11" t="n">
        <f aca="false">IFERROR(I250/H250,"")</f>
        <v>0.23121387283237</v>
      </c>
      <c r="P250" s="10" t="n">
        <f aca="false">IFERROR(J250/H250,"")</f>
        <v>0.0454170107349298</v>
      </c>
      <c r="Q250" s="10" t="n">
        <f aca="false">IFERROR(K250/H250,"")</f>
        <v>0.000495458298926507</v>
      </c>
      <c r="R250" s="10" t="n">
        <f aca="false">IFERROR(L250/H250,"")</f>
        <v>0.00148637489677952</v>
      </c>
      <c r="S250" s="11" t="n">
        <f aca="false">IFERROR(M250/MEDIAN(INDEX($M$5:$M$665,MATCH($A250-90,$A$5:$A$665,1)):INDEX($M$5:$M$665,MATCH($A250+90,$A$5:$A$665,1))),"")</f>
        <v>1.27642773138845</v>
      </c>
      <c r="T250" s="11" t="n">
        <f aca="false">IFERROR(N250/MEDIAN(INDEX($N$5:$N$665,MATCH($A250-90,$A$5:$A$665,1)):INDEX($N$5:$N$665,MATCH($A250+90,$A$5:$A$665,1))),"")</f>
        <v>0.999670272717502</v>
      </c>
      <c r="U250" s="11" t="n">
        <f aca="false">IFERROR(Q250/MEDIAN(INDEX($Q$5:$Q$665,MATCH($A250-90,$A$5:$A$665,1)):INDEX($Q$5:$Q$665,MATCH($A250+90,$A$5:$A$665,1))),"")</f>
        <v>0.49424217401096</v>
      </c>
    </row>
    <row r="251" customFormat="false" ht="15" hidden="false" customHeight="false" outlineLevel="0" collapsed="false">
      <c r="A251" s="13" t="n">
        <v>45177.7212430671</v>
      </c>
      <c r="B251" s="8" t="n">
        <v>17</v>
      </c>
      <c r="C251" s="8" t="s">
        <v>84</v>
      </c>
      <c r="D251" s="8" t="s">
        <v>929</v>
      </c>
      <c r="E251" s="14" t="s">
        <v>66</v>
      </c>
      <c r="F251" s="9" t="n">
        <v>37047</v>
      </c>
      <c r="G251" s="9" t="n">
        <v>11004</v>
      </c>
      <c r="H251" s="9" t="n">
        <v>10991</v>
      </c>
      <c r="I251" s="9" t="n">
        <v>1758</v>
      </c>
      <c r="J251" s="9" t="n">
        <v>150</v>
      </c>
      <c r="K251" s="9" t="n">
        <v>5</v>
      </c>
      <c r="L251" s="9" t="n">
        <v>3</v>
      </c>
      <c r="M251" s="10" t="n">
        <f aca="false">IFERROR(G251/F251,"")</f>
        <v>0.29702809944125</v>
      </c>
      <c r="N251" s="10" t="n">
        <f aca="false">IFERROR(H251/G251,"")</f>
        <v>0.998818611414031</v>
      </c>
      <c r="O251" s="11" t="n">
        <f aca="false">IFERROR(I251/H251,"")</f>
        <v>0.159949049222091</v>
      </c>
      <c r="P251" s="10" t="n">
        <f aca="false">IFERROR(J251/H251,"")</f>
        <v>0.0136475297971067</v>
      </c>
      <c r="Q251" s="10" t="n">
        <f aca="false">IFERROR(K251/H251,"")</f>
        <v>0.000454917659903557</v>
      </c>
      <c r="R251" s="10" t="n">
        <f aca="false">IFERROR(L251/H251,"")</f>
        <v>0.000272950595942134</v>
      </c>
      <c r="S251" s="11" t="n">
        <f aca="false">IFERROR(M251/MEDIAN(INDEX($M$5:$M$665,MATCH($A251-90,$A$5:$A$665,1)):INDEX($M$5:$M$665,MATCH($A251+90,$A$5:$A$665,1))),"")</f>
        <v>0.701820267777321</v>
      </c>
      <c r="T251" s="11" t="n">
        <f aca="false">IFERROR(N251/MEDIAN(INDEX($N$5:$N$665,MATCH($A251-90,$A$5:$A$665,1)):INDEX($N$5:$N$665,MATCH($A251+90,$A$5:$A$665,1))),"")</f>
        <v>0.999140966944583</v>
      </c>
      <c r="U251" s="11" t="n">
        <f aca="false">IFERROR(Q251/MEDIAN(INDEX($Q$5:$Q$665,MATCH($A251-90,$A$5:$A$665,1)):INDEX($Q$5:$Q$665,MATCH($A251+90,$A$5:$A$665,1))),"")</f>
        <v>0.456034275977866</v>
      </c>
    </row>
    <row r="252" customFormat="false" ht="15" hidden="false" customHeight="false" outlineLevel="0" collapsed="false">
      <c r="A252" s="13" t="n">
        <v>45178.7288823495</v>
      </c>
      <c r="B252" s="8" t="n">
        <v>17</v>
      </c>
      <c r="C252" s="8" t="s">
        <v>68</v>
      </c>
      <c r="D252" s="8" t="s">
        <v>930</v>
      </c>
      <c r="E252" s="14" t="s">
        <v>66</v>
      </c>
      <c r="F252" s="9" t="n">
        <v>13586</v>
      </c>
      <c r="G252" s="9" t="n">
        <v>6462</v>
      </c>
      <c r="H252" s="9" t="n">
        <v>6455</v>
      </c>
      <c r="I252" s="9" t="n">
        <v>1103</v>
      </c>
      <c r="J252" s="9" t="n">
        <v>282</v>
      </c>
      <c r="K252" s="9" t="n">
        <v>2</v>
      </c>
      <c r="L252" s="9" t="n">
        <v>12</v>
      </c>
      <c r="M252" s="10" t="n">
        <f aca="false">IFERROR(G252/F252,"")</f>
        <v>0.475636684822612</v>
      </c>
      <c r="N252" s="10" t="n">
        <f aca="false">IFERROR(H252/G252,"")</f>
        <v>0.998916744042092</v>
      </c>
      <c r="O252" s="11" t="n">
        <f aca="false">IFERROR(I252/H252,"")</f>
        <v>0.170875290472502</v>
      </c>
      <c r="P252" s="10" t="n">
        <f aca="false">IFERROR(J252/H252,"")</f>
        <v>0.0436870642912471</v>
      </c>
      <c r="Q252" s="10" t="n">
        <f aca="false">IFERROR(K252/H252,"")</f>
        <v>0.000309837335398916</v>
      </c>
      <c r="R252" s="10" t="n">
        <f aca="false">IFERROR(L252/H252,"")</f>
        <v>0.00185902401239349</v>
      </c>
      <c r="S252" s="11" t="n">
        <f aca="false">IFERROR(M252/MEDIAN(INDEX($M$5:$M$665,MATCH($A252-90,$A$5:$A$665,1)):INDEX($M$5:$M$665,MATCH($A252+90,$A$5:$A$665,1))),"")</f>
        <v>1.12383800096646</v>
      </c>
      <c r="T252" s="11" t="n">
        <f aca="false">IFERROR(N252/MEDIAN(INDEX($N$5:$N$665,MATCH($A252-90,$A$5:$A$665,1)):INDEX($N$5:$N$665,MATCH($A252+90,$A$5:$A$665,1))),"")</f>
        <v>0.999239131243655</v>
      </c>
      <c r="U252" s="11" t="n">
        <f aca="false">IFERROR(Q252/MEDIAN(INDEX($Q$5:$Q$665,MATCH($A252-90,$A$5:$A$665,1)):INDEX($Q$5:$Q$665,MATCH($A252+90,$A$5:$A$665,1))),"")</f>
        <v>0.313710302091402</v>
      </c>
    </row>
    <row r="253" customFormat="false" ht="15" hidden="false" customHeight="false" outlineLevel="0" collapsed="false">
      <c r="A253" s="13" t="n">
        <v>45179.7960193519</v>
      </c>
      <c r="B253" s="8" t="n">
        <v>19</v>
      </c>
      <c r="C253" s="8" t="s">
        <v>86</v>
      </c>
      <c r="D253" s="8"/>
      <c r="E253" s="14" t="s">
        <v>66</v>
      </c>
      <c r="F253" s="9" t="n">
        <v>3421</v>
      </c>
      <c r="G253" s="9" t="n">
        <v>1256</v>
      </c>
      <c r="H253" s="9" t="n">
        <v>1247</v>
      </c>
      <c r="I253" s="9" t="n">
        <v>289</v>
      </c>
      <c r="J253" s="9" t="n">
        <v>80</v>
      </c>
      <c r="K253" s="9" t="n">
        <v>2</v>
      </c>
      <c r="L253" s="9" t="n">
        <v>2</v>
      </c>
      <c r="M253" s="10" t="n">
        <f aca="false">IFERROR(G253/F253,"")</f>
        <v>0.367144109909383</v>
      </c>
      <c r="N253" s="10" t="n">
        <f aca="false">IFERROR(H253/G253,"")</f>
        <v>0.992834394904459</v>
      </c>
      <c r="O253" s="11" t="n">
        <f aca="false">IFERROR(I253/H253,"")</f>
        <v>0.231756214915798</v>
      </c>
      <c r="P253" s="10" t="n">
        <f aca="false">IFERROR(J253/H253,"")</f>
        <v>0.0641539695268645</v>
      </c>
      <c r="Q253" s="10" t="n">
        <f aca="false">IFERROR(K253/H253,"")</f>
        <v>0.00160384923817161</v>
      </c>
      <c r="R253" s="10" t="n">
        <f aca="false">IFERROR(L253/H253,"")</f>
        <v>0.00160384923817161</v>
      </c>
      <c r="S253" s="11" t="n">
        <f aca="false">IFERROR(M253/MEDIAN(INDEX($M$5:$M$665,MATCH($A253-90,$A$5:$A$665,1)):INDEX($M$5:$M$665,MATCH($A253+90,$A$5:$A$665,1))),"")</f>
        <v>0.868203204894737</v>
      </c>
      <c r="T253" s="11" t="n">
        <f aca="false">IFERROR(N253/MEDIAN(INDEX($N$5:$N$665,MATCH($A253-90,$A$5:$A$665,1)):INDEX($N$5:$N$665,MATCH($A253+90,$A$5:$A$665,1))),"")</f>
        <v>0.993158755260441</v>
      </c>
      <c r="U253" s="11" t="n">
        <f aca="false">IFERROR(Q253/MEDIAN(INDEX($Q$5:$Q$665,MATCH($A253-90,$A$5:$A$665,1)):INDEX($Q$5:$Q$665,MATCH($A253+90,$A$5:$A$665,1))),"")</f>
        <v>1.61580149506507</v>
      </c>
    </row>
    <row r="254" customFormat="false" ht="15" hidden="false" customHeight="false" outlineLevel="0" collapsed="false">
      <c r="A254" s="13" t="n">
        <v>45180.7412236921</v>
      </c>
      <c r="B254" s="8" t="n">
        <v>17</v>
      </c>
      <c r="C254" s="8" t="s">
        <v>80</v>
      </c>
      <c r="D254" s="8" t="s">
        <v>931</v>
      </c>
      <c r="E254" s="14" t="s">
        <v>66</v>
      </c>
      <c r="F254" s="9" t="n">
        <v>7608</v>
      </c>
      <c r="G254" s="9" t="n">
        <v>3962</v>
      </c>
      <c r="H254" s="9" t="n">
        <v>3961</v>
      </c>
      <c r="I254" s="9" t="n">
        <v>1192</v>
      </c>
      <c r="J254" s="9" t="n">
        <v>286</v>
      </c>
      <c r="K254" s="9" t="n">
        <v>16</v>
      </c>
      <c r="L254" s="9" t="n">
        <v>6</v>
      </c>
      <c r="M254" s="10" t="n">
        <f aca="false">IFERROR(G254/F254,"")</f>
        <v>0.520767613038906</v>
      </c>
      <c r="N254" s="10" t="n">
        <f aca="false">IFERROR(H254/G254,"")</f>
        <v>0.999747602221101</v>
      </c>
      <c r="O254" s="11" t="n">
        <f aca="false">IFERROR(I254/H254,"")</f>
        <v>0.300934107548599</v>
      </c>
      <c r="P254" s="10" t="n">
        <f aca="false">IFERROR(J254/H254,"")</f>
        <v>0.072203988891694</v>
      </c>
      <c r="Q254" s="10" t="n">
        <f aca="false">IFERROR(K254/H254,"")</f>
        <v>0.00403938399394092</v>
      </c>
      <c r="R254" s="10" t="n">
        <f aca="false">IFERROR(L254/H254,"")</f>
        <v>0.00151476899772785</v>
      </c>
      <c r="S254" s="11" t="n">
        <f aca="false">IFERROR(M254/MEDIAN(INDEX($M$5:$M$665,MATCH($A254-90,$A$5:$A$665,1)):INDEX($M$5:$M$665,MATCH($A254+90,$A$5:$A$665,1))),"")</f>
        <v>1.23828475541721</v>
      </c>
      <c r="T254" s="11" t="n">
        <f aca="false">IFERROR(N254/MEDIAN(INDEX($N$5:$N$665,MATCH($A254-90,$A$5:$A$665,1)):INDEX($N$5:$N$665,MATCH($A254+90,$A$5:$A$665,1))),"")</f>
        <v>1.00006831995492</v>
      </c>
      <c r="U254" s="11" t="n">
        <f aca="false">IFERROR(Q254/MEDIAN(INDEX($Q$5:$Q$665,MATCH($A254-90,$A$5:$A$665,1)):INDEX($Q$5:$Q$665,MATCH($A254+90,$A$5:$A$665,1))),"")</f>
        <v>4.10463392523554</v>
      </c>
    </row>
    <row r="255" customFormat="false" ht="15" hidden="false" customHeight="false" outlineLevel="0" collapsed="false">
      <c r="A255" s="13" t="n">
        <v>45181.6782209144</v>
      </c>
      <c r="B255" s="8" t="n">
        <v>16</v>
      </c>
      <c r="C255" s="8" t="s">
        <v>64</v>
      </c>
      <c r="D255" s="8" t="s">
        <v>932</v>
      </c>
      <c r="E255" s="14" t="s">
        <v>66</v>
      </c>
      <c r="F255" s="9" t="n">
        <v>7883</v>
      </c>
      <c r="G255" s="9" t="n">
        <v>3801</v>
      </c>
      <c r="H255" s="9" t="n">
        <v>3799</v>
      </c>
      <c r="I255" s="9" t="n">
        <v>807</v>
      </c>
      <c r="J255" s="9" t="n">
        <v>203</v>
      </c>
      <c r="K255" s="9" t="n">
        <v>3</v>
      </c>
      <c r="L255" s="9" t="n">
        <v>3</v>
      </c>
      <c r="M255" s="10" t="n">
        <f aca="false">IFERROR(G255/F255,"")</f>
        <v>0.482176836229862</v>
      </c>
      <c r="N255" s="10" t="n">
        <f aca="false">IFERROR(H255/G255,"")</f>
        <v>0.999473822678243</v>
      </c>
      <c r="O255" s="11" t="n">
        <f aca="false">IFERROR(I255/H255,"")</f>
        <v>0.21242432219005</v>
      </c>
      <c r="P255" s="10" t="n">
        <f aca="false">IFERROR(J255/H255,"")</f>
        <v>0.0534351145038168</v>
      </c>
      <c r="Q255" s="10" t="n">
        <f aca="false">IFERROR(K255/H255,"")</f>
        <v>0.000789681495130297</v>
      </c>
      <c r="R255" s="10" t="n">
        <f aca="false">IFERROR(L255/H255,"")</f>
        <v>0.000789681495130297</v>
      </c>
      <c r="S255" s="11" t="n">
        <f aca="false">IFERROR(M255/MEDIAN(INDEX($M$5:$M$665,MATCH($A255-90,$A$5:$A$665,1)):INDEX($M$5:$M$665,MATCH($A255+90,$A$5:$A$665,1))),"")</f>
        <v>1.15193368854915</v>
      </c>
      <c r="T255" s="11" t="n">
        <f aca="false">IFERROR(N255/MEDIAN(INDEX($N$5:$N$665,MATCH($A255-90,$A$5:$A$665,1)):INDEX($N$5:$N$665,MATCH($A255+90,$A$5:$A$665,1))),"")</f>
        <v>0.999792515505796</v>
      </c>
      <c r="U255" s="11" t="n">
        <f aca="false">IFERROR(Q255/MEDIAN(INDEX($Q$5:$Q$665,MATCH($A255-90,$A$5:$A$665,1)):INDEX($Q$5:$Q$665,MATCH($A255+90,$A$5:$A$665,1))),"")</f>
        <v>0.805343511450382</v>
      </c>
    </row>
    <row r="256" customFormat="false" ht="15" hidden="false" customHeight="false" outlineLevel="0" collapsed="false">
      <c r="A256" s="13" t="n">
        <v>45182.7302842708</v>
      </c>
      <c r="B256" s="8" t="n">
        <v>17</v>
      </c>
      <c r="C256" s="8" t="s">
        <v>71</v>
      </c>
      <c r="D256" s="8" t="s">
        <v>933</v>
      </c>
      <c r="E256" s="14" t="s">
        <v>66</v>
      </c>
      <c r="F256" s="9" t="n">
        <v>7211</v>
      </c>
      <c r="G256" s="9" t="n">
        <v>3578</v>
      </c>
      <c r="H256" s="9" t="n">
        <v>3572</v>
      </c>
      <c r="I256" s="9" t="n">
        <v>574</v>
      </c>
      <c r="J256" s="9" t="n">
        <v>204</v>
      </c>
      <c r="K256" s="9" t="n">
        <v>2</v>
      </c>
      <c r="L256" s="9" t="n">
        <v>0</v>
      </c>
      <c r="M256" s="10" t="n">
        <f aca="false">IFERROR(G256/F256,"")</f>
        <v>0.496186381916516</v>
      </c>
      <c r="N256" s="10" t="n">
        <f aca="false">IFERROR(H256/G256,"")</f>
        <v>0.998323085522638</v>
      </c>
      <c r="O256" s="11" t="n">
        <f aca="false">IFERROR(I256/H256,"")</f>
        <v>0.160694288913774</v>
      </c>
      <c r="P256" s="10" t="n">
        <f aca="false">IFERROR(J256/H256,"")</f>
        <v>0.0571108622620381</v>
      </c>
      <c r="Q256" s="10" t="n">
        <f aca="false">IFERROR(K256/H256,"")</f>
        <v>0.000559910414333707</v>
      </c>
      <c r="R256" s="10" t="n">
        <f aca="false">IFERROR(L256/H256,"")</f>
        <v>0</v>
      </c>
      <c r="S256" s="11" t="n">
        <f aca="false">IFERROR(M256/MEDIAN(INDEX($M$5:$M$665,MATCH($A256-90,$A$5:$A$665,1)):INDEX($M$5:$M$665,MATCH($A256+90,$A$5:$A$665,1))),"")</f>
        <v>1.18540287749632</v>
      </c>
      <c r="T256" s="11" t="n">
        <f aca="false">IFERROR(N256/MEDIAN(INDEX($N$5:$N$665,MATCH($A256-90,$A$5:$A$665,1)):INDEX($N$5:$N$665,MATCH($A256+90,$A$5:$A$665,1))),"")</f>
        <v>0.99862866344903</v>
      </c>
      <c r="U256" s="11" t="n">
        <f aca="false">IFERROR(Q256/MEDIAN(INDEX($Q$5:$Q$665,MATCH($A256-90,$A$5:$A$665,1)):INDEX($Q$5:$Q$665,MATCH($A256+90,$A$5:$A$665,1))),"")</f>
        <v>0.577477603583427</v>
      </c>
    </row>
    <row r="257" customFormat="false" ht="15" hidden="false" customHeight="false" outlineLevel="0" collapsed="false">
      <c r="A257" s="13" t="n">
        <v>45183.7719458102</v>
      </c>
      <c r="B257" s="8" t="n">
        <v>18</v>
      </c>
      <c r="C257" s="8" t="s">
        <v>73</v>
      </c>
      <c r="D257" s="8" t="s">
        <v>934</v>
      </c>
      <c r="E257" s="14" t="s">
        <v>66</v>
      </c>
      <c r="F257" s="9" t="n">
        <v>7826</v>
      </c>
      <c r="G257" s="9" t="n">
        <v>3408</v>
      </c>
      <c r="H257" s="9" t="n">
        <v>3417</v>
      </c>
      <c r="I257" s="9" t="n">
        <v>579</v>
      </c>
      <c r="J257" s="9" t="n">
        <v>240</v>
      </c>
      <c r="K257" s="9" t="n">
        <v>4</v>
      </c>
      <c r="L257" s="9" t="n">
        <v>7</v>
      </c>
      <c r="M257" s="10" t="n">
        <f aca="false">IFERROR(G257/F257,"")</f>
        <v>0.435471505238947</v>
      </c>
      <c r="N257" s="10" t="n">
        <f aca="false">IFERROR(H257/G257,"")</f>
        <v>1.00264084507042</v>
      </c>
      <c r="O257" s="11" t="n">
        <f aca="false">IFERROR(I257/H257,"")</f>
        <v>0.169446883230904</v>
      </c>
      <c r="P257" s="10" t="n">
        <f aca="false">IFERROR(J257/H257,"")</f>
        <v>0.0702370500438982</v>
      </c>
      <c r="Q257" s="10" t="n">
        <f aca="false">IFERROR(K257/H257,"")</f>
        <v>0.00117061750073164</v>
      </c>
      <c r="R257" s="10" t="n">
        <f aca="false">IFERROR(L257/H257,"")</f>
        <v>0.00204858062628036</v>
      </c>
      <c r="S257" s="11" t="n">
        <f aca="false">IFERROR(M257/MEDIAN(INDEX($M$5:$M$665,MATCH($A257-90,$A$5:$A$665,1)):INDEX($M$5:$M$665,MATCH($A257+90,$A$5:$A$665,1))),"")</f>
        <v>1.04151386106718</v>
      </c>
      <c r="T257" s="11" t="n">
        <f aca="false">IFERROR(N257/MEDIAN(INDEX($N$5:$N$665,MATCH($A257-90,$A$5:$A$665,1)):INDEX($N$5:$N$665,MATCH($A257+90,$A$5:$A$665,1))),"")</f>
        <v>1.00295608933134</v>
      </c>
      <c r="U257" s="11" t="n">
        <f aca="false">IFERROR(Q257/MEDIAN(INDEX($Q$5:$Q$665,MATCH($A257-90,$A$5:$A$665,1)):INDEX($Q$5:$Q$665,MATCH($A257+90,$A$5:$A$665,1))),"")</f>
        <v>1.23351913528928</v>
      </c>
    </row>
    <row r="258" customFormat="false" ht="15" hidden="false" customHeight="false" outlineLevel="0" collapsed="false">
      <c r="A258" s="13" t="n">
        <v>45184.7948365972</v>
      </c>
      <c r="B258" s="8" t="n">
        <v>19</v>
      </c>
      <c r="C258" s="8" t="s">
        <v>84</v>
      </c>
      <c r="D258" s="8" t="s">
        <v>935</v>
      </c>
      <c r="E258" s="14" t="s">
        <v>66</v>
      </c>
      <c r="F258" s="9" t="n">
        <v>5708</v>
      </c>
      <c r="G258" s="9" t="n">
        <v>2856</v>
      </c>
      <c r="H258" s="9" t="n">
        <v>2846</v>
      </c>
      <c r="I258" s="9" t="n">
        <v>586</v>
      </c>
      <c r="J258" s="9" t="n">
        <v>214</v>
      </c>
      <c r="K258" s="9" t="n">
        <v>3</v>
      </c>
      <c r="L258" s="9" t="n">
        <v>3</v>
      </c>
      <c r="M258" s="10" t="n">
        <f aca="false">IFERROR(G258/F258,"")</f>
        <v>0.500350385423966</v>
      </c>
      <c r="N258" s="10" t="n">
        <f aca="false">IFERROR(H258/G258,"")</f>
        <v>0.996498599439776</v>
      </c>
      <c r="O258" s="11" t="n">
        <f aca="false">IFERROR(I258/H258,"")</f>
        <v>0.205903021784961</v>
      </c>
      <c r="P258" s="10" t="n">
        <f aca="false">IFERROR(J258/H258,"")</f>
        <v>0.0751932536893886</v>
      </c>
      <c r="Q258" s="10" t="n">
        <f aca="false">IFERROR(K258/H258,"")</f>
        <v>0.00105411103302881</v>
      </c>
      <c r="R258" s="10" t="n">
        <f aca="false">IFERROR(L258/H258,"")</f>
        <v>0.00105411103302881</v>
      </c>
      <c r="S258" s="11" t="n">
        <f aca="false">IFERROR(M258/MEDIAN(INDEX($M$5:$M$665,MATCH($A258-90,$A$5:$A$665,1)):INDEX($M$5:$M$665,MATCH($A258+90,$A$5:$A$665,1))),"")</f>
        <v>1.19965553029885</v>
      </c>
      <c r="T258" s="11" t="n">
        <f aca="false">IFERROR(N258/MEDIAN(INDEX($N$5:$N$665,MATCH($A258-90,$A$5:$A$665,1)):INDEX($N$5:$N$665,MATCH($A258+90,$A$5:$A$665,1))),"")</f>
        <v>0.996798280699882</v>
      </c>
      <c r="U258" s="11" t="n">
        <f aca="false">IFERROR(Q258/MEDIAN(INDEX($Q$5:$Q$665,MATCH($A258-90,$A$5:$A$665,1)):INDEX($Q$5:$Q$665,MATCH($A258+90,$A$5:$A$665,1))),"")</f>
        <v>1.11075234151884</v>
      </c>
    </row>
    <row r="259" customFormat="false" ht="15" hidden="false" customHeight="false" outlineLevel="0" collapsed="false">
      <c r="A259" s="13" t="n">
        <v>45185.8092274421</v>
      </c>
      <c r="B259" s="8" t="n">
        <v>19</v>
      </c>
      <c r="C259" s="8" t="s">
        <v>68</v>
      </c>
      <c r="D259" s="8" t="s">
        <v>936</v>
      </c>
      <c r="E259" s="14" t="s">
        <v>66</v>
      </c>
      <c r="F259" s="9" t="n">
        <v>216237</v>
      </c>
      <c r="G259" s="9" t="n">
        <v>41855</v>
      </c>
      <c r="H259" s="9" t="n">
        <v>41855</v>
      </c>
      <c r="I259" s="9" t="n">
        <v>4005</v>
      </c>
      <c r="J259" s="9" t="n">
        <v>372</v>
      </c>
      <c r="K259" s="9" t="n">
        <v>16</v>
      </c>
      <c r="L259" s="9" t="n">
        <v>27</v>
      </c>
      <c r="M259" s="10" t="n">
        <f aca="false">IFERROR(G259/F259,"")</f>
        <v>0.193560768971083</v>
      </c>
      <c r="N259" s="10" t="n">
        <f aca="false">IFERROR(H259/G259,"")</f>
        <v>1</v>
      </c>
      <c r="O259" s="11" t="n">
        <f aca="false">IFERROR(I259/H259,"")</f>
        <v>0.0956874925337475</v>
      </c>
      <c r="P259" s="10" t="n">
        <f aca="false">IFERROR(J259/H259,"")</f>
        <v>0.00888782702186119</v>
      </c>
      <c r="Q259" s="10" t="n">
        <f aca="false">IFERROR(K259/H259,"")</f>
        <v>0.000382272129972524</v>
      </c>
      <c r="R259" s="10" t="n">
        <f aca="false">IFERROR(L259/H259,"")</f>
        <v>0.000645084219328635</v>
      </c>
      <c r="S259" s="11" t="n">
        <f aca="false">IFERROR(M259/MEDIAN(INDEX($M$5:$M$665,MATCH($A259-90,$A$5:$A$665,1)):INDEX($M$5:$M$665,MATCH($A259+90,$A$5:$A$665,1))),"")</f>
        <v>0.464721498616337</v>
      </c>
      <c r="T259" s="11" t="n">
        <f aca="false">IFERROR(N259/MEDIAN(INDEX($N$5:$N$665,MATCH($A259-90,$A$5:$A$665,1)):INDEX($N$5:$N$665,MATCH($A259+90,$A$5:$A$665,1))),"")</f>
        <v>1.00030609121518</v>
      </c>
      <c r="U259" s="11" t="n">
        <f aca="false">IFERROR(Q259/MEDIAN(INDEX($Q$5:$Q$665,MATCH($A259-90,$A$5:$A$665,1)):INDEX($Q$5:$Q$665,MATCH($A259+90,$A$5:$A$665,1))),"")</f>
        <v>0.41173893999124</v>
      </c>
    </row>
    <row r="260" customFormat="false" ht="15" hidden="false" customHeight="false" outlineLevel="0" collapsed="false">
      <c r="A260" s="13" t="n">
        <v>45186.7768975231</v>
      </c>
      <c r="B260" s="8" t="n">
        <v>18</v>
      </c>
      <c r="C260" s="8" t="s">
        <v>86</v>
      </c>
      <c r="D260" s="8" t="s">
        <v>937</v>
      </c>
      <c r="E260" s="14" t="s">
        <v>66</v>
      </c>
      <c r="F260" s="9" t="n">
        <v>23263</v>
      </c>
      <c r="G260" s="9" t="n">
        <v>10783</v>
      </c>
      <c r="H260" s="9" t="n">
        <v>10777</v>
      </c>
      <c r="I260" s="9" t="n">
        <v>2599</v>
      </c>
      <c r="J260" s="9" t="n">
        <v>283</v>
      </c>
      <c r="K260" s="9" t="n">
        <v>11</v>
      </c>
      <c r="L260" s="9" t="n">
        <v>19</v>
      </c>
      <c r="M260" s="10" t="n">
        <f aca="false">IFERROR(G260/F260,"")</f>
        <v>0.463525770536904</v>
      </c>
      <c r="N260" s="10" t="n">
        <f aca="false">IFERROR(H260/G260,"")</f>
        <v>0.999443568580173</v>
      </c>
      <c r="O260" s="11" t="n">
        <f aca="false">IFERROR(I260/H260,"")</f>
        <v>0.241161733320961</v>
      </c>
      <c r="P260" s="10" t="n">
        <f aca="false">IFERROR(J260/H260,"")</f>
        <v>0.0262596269833906</v>
      </c>
      <c r="Q260" s="10" t="n">
        <f aca="false">IFERROR(K260/H260,"")</f>
        <v>0.00102069221490211</v>
      </c>
      <c r="R260" s="10" t="n">
        <f aca="false">IFERROR(L260/H260,"")</f>
        <v>0.00176301382574</v>
      </c>
      <c r="S260" s="11" t="n">
        <f aca="false">IFERROR(M260/MEDIAN(INDEX($M$5:$M$665,MATCH($A260-90,$A$5:$A$665,1)):INDEX($M$5:$M$665,MATCH($A260+90,$A$5:$A$665,1))),"")</f>
        <v>1.11333690247673</v>
      </c>
      <c r="T260" s="11" t="n">
        <f aca="false">IFERROR(N260/MEDIAN(INDEX($N$5:$N$665,MATCH($A260-90,$A$5:$A$665,1)):INDEX($N$5:$N$665,MATCH($A260+90,$A$5:$A$665,1))),"")</f>
        <v>0.999749489476585</v>
      </c>
      <c r="U260" s="11" t="n">
        <f aca="false">IFERROR(Q260/MEDIAN(INDEX($Q$5:$Q$665,MATCH($A260-90,$A$5:$A$665,1)):INDEX($Q$5:$Q$665,MATCH($A260+90,$A$5:$A$665,1))),"")</f>
        <v>1.05271643314466</v>
      </c>
    </row>
    <row r="261" customFormat="false" ht="15" hidden="false" customHeight="false" outlineLevel="0" collapsed="false">
      <c r="A261" s="13" t="n">
        <v>45187.7903591782</v>
      </c>
      <c r="B261" s="8" t="n">
        <v>18</v>
      </c>
      <c r="C261" s="8" t="s">
        <v>80</v>
      </c>
      <c r="D261" s="8" t="s">
        <v>938</v>
      </c>
      <c r="E261" s="14" t="s">
        <v>66</v>
      </c>
      <c r="F261" s="9" t="n">
        <v>25721</v>
      </c>
      <c r="G261" s="9" t="n">
        <v>15126</v>
      </c>
      <c r="H261" s="9" t="n">
        <v>15121</v>
      </c>
      <c r="I261" s="9" t="n">
        <v>1917</v>
      </c>
      <c r="J261" s="9" t="n">
        <v>348</v>
      </c>
      <c r="K261" s="9" t="n">
        <v>21</v>
      </c>
      <c r="L261" s="9" t="n">
        <v>4</v>
      </c>
      <c r="M261" s="10" t="n">
        <f aca="false">IFERROR(G261/F261,"")</f>
        <v>0.588079779168773</v>
      </c>
      <c r="N261" s="10" t="n">
        <f aca="false">IFERROR(H261/G261,"")</f>
        <v>0.999669443342589</v>
      </c>
      <c r="O261" s="11" t="n">
        <f aca="false">IFERROR(I261/H261,"")</f>
        <v>0.126777329541697</v>
      </c>
      <c r="P261" s="10" t="n">
        <f aca="false">IFERROR(J261/H261,"")</f>
        <v>0.0230143509027181</v>
      </c>
      <c r="Q261" s="10" t="n">
        <f aca="false">IFERROR(K261/H261,"")</f>
        <v>0.00138879703723299</v>
      </c>
      <c r="R261" s="10" t="n">
        <f aca="false">IFERROR(L261/H261,"")</f>
        <v>0.00026453276899676</v>
      </c>
      <c r="S261" s="11" t="n">
        <f aca="false">IFERROR(M261/MEDIAN(INDEX($M$5:$M$665,MATCH($A261-90,$A$5:$A$665,1)):INDEX($M$5:$M$665,MATCH($A261+90,$A$5:$A$665,1))),"")</f>
        <v>1.41574761651742</v>
      </c>
      <c r="T261" s="11" t="n">
        <f aca="false">IFERROR(N261/MEDIAN(INDEX($N$5:$N$665,MATCH($A261-90,$A$5:$A$665,1)):INDEX($N$5:$N$665,MATCH($A261+90,$A$5:$A$665,1))),"")</f>
        <v>0.999975433377282</v>
      </c>
      <c r="U261" s="11" t="n">
        <f aca="false">IFERROR(Q261/MEDIAN(INDEX($Q$5:$Q$665,MATCH($A261-90,$A$5:$A$665,1)):INDEX($Q$5:$Q$665,MATCH($A261+90,$A$5:$A$665,1))),"")</f>
        <v>1.43237054427617</v>
      </c>
    </row>
    <row r="262" customFormat="false" ht="15" hidden="false" customHeight="false" outlineLevel="0" collapsed="false">
      <c r="A262" s="13" t="n">
        <v>45188.7803537153</v>
      </c>
      <c r="B262" s="8" t="n">
        <v>18</v>
      </c>
      <c r="C262" s="8" t="s">
        <v>64</v>
      </c>
      <c r="D262" s="8" t="s">
        <v>939</v>
      </c>
      <c r="E262" s="14" t="s">
        <v>66</v>
      </c>
      <c r="F262" s="9" t="n">
        <v>5184</v>
      </c>
      <c r="G262" s="9" t="n">
        <v>2194</v>
      </c>
      <c r="H262" s="9" t="n">
        <v>2184</v>
      </c>
      <c r="I262" s="9" t="n">
        <v>427</v>
      </c>
      <c r="J262" s="9" t="n">
        <v>195</v>
      </c>
      <c r="K262" s="9" t="n">
        <v>7</v>
      </c>
      <c r="L262" s="9" t="n">
        <v>3</v>
      </c>
      <c r="M262" s="10" t="n">
        <f aca="false">IFERROR(G262/F262,"")</f>
        <v>0.423225308641975</v>
      </c>
      <c r="N262" s="10" t="n">
        <f aca="false">IFERROR(H262/G262,"")</f>
        <v>0.995442114858706</v>
      </c>
      <c r="O262" s="11" t="n">
        <f aca="false">IFERROR(I262/H262,"")</f>
        <v>0.195512820512821</v>
      </c>
      <c r="P262" s="10" t="n">
        <f aca="false">IFERROR(J262/H262,"")</f>
        <v>0.0892857142857143</v>
      </c>
      <c r="Q262" s="10" t="n">
        <f aca="false">IFERROR(K262/H262,"")</f>
        <v>0.00320512820512821</v>
      </c>
      <c r="R262" s="10" t="n">
        <f aca="false">IFERROR(L262/H262,"")</f>
        <v>0.00137362637362637</v>
      </c>
      <c r="S262" s="11" t="n">
        <f aca="false">IFERROR(M262/MEDIAN(INDEX($M$5:$M$665,MATCH($A262-90,$A$5:$A$665,1)):INDEX($M$5:$M$665,MATCH($A262+90,$A$5:$A$665,1))),"")</f>
        <v>1.03174836056756</v>
      </c>
      <c r="T262" s="11" t="n">
        <f aca="false">IFERROR(N262/MEDIAN(INDEX($N$5:$N$665,MATCH($A262-90,$A$5:$A$665,1)):INDEX($N$5:$N$665,MATCH($A262+90,$A$5:$A$665,1))),"")</f>
        <v>0.995736145907253</v>
      </c>
      <c r="U262" s="11" t="n">
        <f aca="false">IFERROR(Q262/MEDIAN(INDEX($Q$5:$Q$665,MATCH($A262-90,$A$5:$A$665,1)):INDEX($Q$5:$Q$665,MATCH($A262+90,$A$5:$A$665,1))),"")</f>
        <v>3.45219017094017</v>
      </c>
    </row>
    <row r="263" customFormat="false" ht="15" hidden="false" customHeight="false" outlineLevel="0" collapsed="false">
      <c r="A263" s="13" t="n">
        <v>45189.6665881944</v>
      </c>
      <c r="B263" s="8" t="n">
        <v>15</v>
      </c>
      <c r="C263" s="8" t="s">
        <v>71</v>
      </c>
      <c r="D263" s="8" t="s">
        <v>940</v>
      </c>
      <c r="E263" s="14" t="s">
        <v>66</v>
      </c>
      <c r="F263" s="9" t="n">
        <v>6717</v>
      </c>
      <c r="G263" s="9" t="n">
        <v>2704</v>
      </c>
      <c r="H263" s="9" t="n">
        <v>2701</v>
      </c>
      <c r="I263" s="9" t="n">
        <v>578</v>
      </c>
      <c r="J263" s="9" t="n">
        <v>163</v>
      </c>
      <c r="K263" s="9" t="n">
        <v>2</v>
      </c>
      <c r="L263" s="9" t="n">
        <v>0</v>
      </c>
      <c r="M263" s="10" t="n">
        <f aca="false">IFERROR(G263/F263,"")</f>
        <v>0.402560666964419</v>
      </c>
      <c r="N263" s="10" t="n">
        <f aca="false">IFERROR(H263/G263,"")</f>
        <v>0.998890532544379</v>
      </c>
      <c r="O263" s="11" t="n">
        <f aca="false">IFERROR(I263/H263,"")</f>
        <v>0.213994816734543</v>
      </c>
      <c r="P263" s="10" t="n">
        <f aca="false">IFERROR(J263/H263,"")</f>
        <v>0.0603480192521288</v>
      </c>
      <c r="Q263" s="10" t="n">
        <f aca="false">IFERROR(K263/H263,"")</f>
        <v>0.000740466493891152</v>
      </c>
      <c r="R263" s="10" t="n">
        <f aca="false">IFERROR(L263/H263,"")</f>
        <v>0</v>
      </c>
      <c r="S263" s="11" t="n">
        <f aca="false">IFERROR(M263/MEDIAN(INDEX($M$5:$M$665,MATCH($A263-90,$A$5:$A$665,1)):INDEX($M$5:$M$665,MATCH($A263+90,$A$5:$A$665,1))),"")</f>
        <v>0.981371623313951</v>
      </c>
      <c r="T263" s="11" t="n">
        <f aca="false">IFERROR(N263/MEDIAN(INDEX($N$5:$N$665,MATCH($A263-90,$A$5:$A$665,1)):INDEX($N$5:$N$665,MATCH($A263+90,$A$5:$A$665,1))),"")</f>
        <v>0.999185582177385</v>
      </c>
      <c r="U263" s="11" t="n">
        <f aca="false">IFERROR(Q263/MEDIAN(INDEX($Q$5:$Q$665,MATCH($A263-90,$A$5:$A$665,1)):INDEX($Q$5:$Q$665,MATCH($A263+90,$A$5:$A$665,1))),"")</f>
        <v>0.797544119461928</v>
      </c>
    </row>
    <row r="264" customFormat="false" ht="15" hidden="false" customHeight="false" outlineLevel="0" collapsed="false">
      <c r="A264" s="13" t="n">
        <v>45190.6665869329</v>
      </c>
      <c r="B264" s="8" t="n">
        <v>15</v>
      </c>
      <c r="C264" s="8" t="s">
        <v>73</v>
      </c>
      <c r="D264" s="8" t="s">
        <v>941</v>
      </c>
      <c r="E264" s="14" t="s">
        <v>66</v>
      </c>
      <c r="F264" s="9" t="n">
        <v>8821</v>
      </c>
      <c r="G264" s="9" t="n">
        <v>2787</v>
      </c>
      <c r="H264" s="9" t="n">
        <v>2807</v>
      </c>
      <c r="I264" s="9" t="n">
        <v>1003</v>
      </c>
      <c r="J264" s="9" t="n">
        <v>196</v>
      </c>
      <c r="K264" s="9" t="n">
        <v>6</v>
      </c>
      <c r="L264" s="9" t="n">
        <v>7</v>
      </c>
      <c r="M264" s="10" t="n">
        <f aca="false">IFERROR(G264/F264,"")</f>
        <v>0.315950572497449</v>
      </c>
      <c r="N264" s="10" t="n">
        <f aca="false">IFERROR(H264/G264,"")</f>
        <v>1.00717617509867</v>
      </c>
      <c r="O264" s="11" t="n">
        <f aca="false">IFERROR(I264/H264,"")</f>
        <v>0.357320983256145</v>
      </c>
      <c r="P264" s="10" t="n">
        <f aca="false">IFERROR(J264/H264,"")</f>
        <v>0.0698254364089776</v>
      </c>
      <c r="Q264" s="10" t="n">
        <f aca="false">IFERROR(K264/H264,"")</f>
        <v>0.0021375133594585</v>
      </c>
      <c r="R264" s="10" t="n">
        <f aca="false">IFERROR(L264/H264,"")</f>
        <v>0.00249376558603491</v>
      </c>
      <c r="S264" s="11" t="n">
        <f aca="false">IFERROR(M264/MEDIAN(INDEX($M$5:$M$665,MATCH($A264-90,$A$5:$A$665,1)):INDEX($M$5:$M$665,MATCH($A264+90,$A$5:$A$665,1))),"")</f>
        <v>0.770231549338624</v>
      </c>
      <c r="T264" s="11" t="n">
        <f aca="false">IFERROR(N264/MEDIAN(INDEX($N$5:$N$665,MATCH($A264-90,$A$5:$A$665,1)):INDEX($N$5:$N$665,MATCH($A264+90,$A$5:$A$665,1))),"")</f>
        <v>1.00748446287801</v>
      </c>
      <c r="U264" s="11" t="n">
        <f aca="false">IFERROR(Q264/MEDIAN(INDEX($Q$5:$Q$665,MATCH($A264-90,$A$5:$A$665,1)):INDEX($Q$5:$Q$665,MATCH($A264+90,$A$5:$A$665,1))),"")</f>
        <v>2.3111863199145</v>
      </c>
    </row>
    <row r="265" customFormat="false" ht="15" hidden="false" customHeight="false" outlineLevel="0" collapsed="false">
      <c r="A265" s="13" t="n">
        <v>45191.6667152083</v>
      </c>
      <c r="B265" s="8" t="n">
        <v>16</v>
      </c>
      <c r="C265" s="8" t="s">
        <v>84</v>
      </c>
      <c r="D265" s="8" t="s">
        <v>942</v>
      </c>
      <c r="E265" s="14" t="s">
        <v>66</v>
      </c>
      <c r="F265" s="9" t="n">
        <v>39549</v>
      </c>
      <c r="G265" s="9" t="n">
        <v>11387</v>
      </c>
      <c r="H265" s="9" t="n">
        <v>11389</v>
      </c>
      <c r="I265" s="9" t="n">
        <v>1715</v>
      </c>
      <c r="J265" s="9" t="n">
        <v>248</v>
      </c>
      <c r="K265" s="9" t="n">
        <v>6</v>
      </c>
      <c r="L265" s="9" t="n">
        <v>4</v>
      </c>
      <c r="M265" s="10" t="n">
        <f aca="false">IFERROR(G265/F265,"")</f>
        <v>0.287921312801841</v>
      </c>
      <c r="N265" s="10" t="n">
        <f aca="false">IFERROR(H265/G265,"")</f>
        <v>1.00017563888645</v>
      </c>
      <c r="O265" s="11" t="n">
        <f aca="false">IFERROR(I265/H265,"")</f>
        <v>0.150583896742471</v>
      </c>
      <c r="P265" s="10" t="n">
        <f aca="false">IFERROR(J265/H265,"")</f>
        <v>0.0217753973131969</v>
      </c>
      <c r="Q265" s="10" t="n">
        <f aca="false">IFERROR(K265/H265,"")</f>
        <v>0.000526824128545087</v>
      </c>
      <c r="R265" s="10" t="n">
        <f aca="false">IFERROR(L265/H265,"")</f>
        <v>0.000351216085696725</v>
      </c>
      <c r="S265" s="11" t="n">
        <f aca="false">IFERROR(M265/MEDIAN(INDEX($M$5:$M$665,MATCH($A265-90,$A$5:$A$665,1)):INDEX($M$5:$M$665,MATCH($A265+90,$A$5:$A$665,1))),"")</f>
        <v>0.697495052785349</v>
      </c>
      <c r="T265" s="11" t="n">
        <f aca="false">IFERROR(N265/MEDIAN(INDEX($N$5:$N$665,MATCH($A265-90,$A$5:$A$665,1)):INDEX($N$5:$N$665,MATCH($A265+90,$A$5:$A$665,1))),"")</f>
        <v>1.00047583926518</v>
      </c>
      <c r="U265" s="11" t="n">
        <f aca="false">IFERROR(Q265/MEDIAN(INDEX($Q$5:$Q$665,MATCH($A265-90,$A$5:$A$665,1)):INDEX($Q$5:$Q$665,MATCH($A265+90,$A$5:$A$665,1))),"")</f>
        <v>0.570133015029754</v>
      </c>
    </row>
    <row r="266" customFormat="false" ht="15" hidden="false" customHeight="false" outlineLevel="0" collapsed="false">
      <c r="A266" s="13" t="n">
        <v>45192.6816666204</v>
      </c>
      <c r="B266" s="8" t="n">
        <v>16</v>
      </c>
      <c r="C266" s="8" t="s">
        <v>68</v>
      </c>
      <c r="D266" s="8" t="s">
        <v>943</v>
      </c>
      <c r="E266" s="14" t="s">
        <v>66</v>
      </c>
      <c r="F266" s="9" t="n">
        <v>12511</v>
      </c>
      <c r="G266" s="9" t="n">
        <v>6489</v>
      </c>
      <c r="H266" s="9" t="n">
        <v>6499</v>
      </c>
      <c r="I266" s="9" t="n">
        <v>1412</v>
      </c>
      <c r="J266" s="9" t="n">
        <v>334</v>
      </c>
      <c r="K266" s="9" t="n">
        <v>6</v>
      </c>
      <c r="L266" s="9" t="n">
        <v>20</v>
      </c>
      <c r="M266" s="10" t="n">
        <f aca="false">IFERROR(G266/F266,"")</f>
        <v>0.518663576053073</v>
      </c>
      <c r="N266" s="10" t="n">
        <f aca="false">IFERROR(H266/G266,"")</f>
        <v>1.00154106950223</v>
      </c>
      <c r="O266" s="11" t="n">
        <f aca="false">IFERROR(I266/H266,"")</f>
        <v>0.21726419449146</v>
      </c>
      <c r="P266" s="10" t="n">
        <f aca="false">IFERROR(J266/H266,"")</f>
        <v>0.0513925219264502</v>
      </c>
      <c r="Q266" s="10" t="n">
        <f aca="false">IFERROR(K266/H266,"")</f>
        <v>0.000923218956762579</v>
      </c>
      <c r="R266" s="10" t="n">
        <f aca="false">IFERROR(L266/H266,"")</f>
        <v>0.00307739652254193</v>
      </c>
      <c r="S266" s="11" t="n">
        <f aca="false">IFERROR(M266/MEDIAN(INDEX($M$5:$M$665,MATCH($A266-90,$A$5:$A$665,1)):INDEX($M$5:$M$665,MATCH($A266+90,$A$5:$A$665,1))),"")</f>
        <v>1.26609191790191</v>
      </c>
      <c r="T266" s="11" t="n">
        <f aca="false">IFERROR(N266/MEDIAN(INDEX($N$5:$N$665,MATCH($A266-90,$A$5:$A$665,1)):INDEX($N$5:$N$665,MATCH($A266+90,$A$5:$A$665,1))),"")</f>
        <v>1.00184167971177</v>
      </c>
      <c r="U266" s="11" t="n">
        <f aca="false">IFERROR(Q266/MEDIAN(INDEX($Q$5:$Q$665,MATCH($A266-90,$A$5:$A$665,1)):INDEX($Q$5:$Q$665,MATCH($A266+90,$A$5:$A$665,1))),"")</f>
        <v>0.999114465021368</v>
      </c>
    </row>
    <row r="267" customFormat="false" ht="15" hidden="false" customHeight="false" outlineLevel="0" collapsed="false">
      <c r="A267" s="13" t="n">
        <v>45193.874754375</v>
      </c>
      <c r="B267" s="8" t="n">
        <v>20</v>
      </c>
      <c r="C267" s="8" t="s">
        <v>86</v>
      </c>
      <c r="D267" s="8" t="s">
        <v>944</v>
      </c>
      <c r="E267" s="14" t="s">
        <v>66</v>
      </c>
      <c r="F267" s="9" t="n">
        <v>37503</v>
      </c>
      <c r="G267" s="9" t="n">
        <v>10834</v>
      </c>
      <c r="H267" s="9" t="n">
        <v>10830</v>
      </c>
      <c r="I267" s="9" t="n">
        <v>1237</v>
      </c>
      <c r="J267" s="9" t="n">
        <v>324</v>
      </c>
      <c r="K267" s="9" t="n">
        <v>13</v>
      </c>
      <c r="L267" s="9" t="n">
        <v>6</v>
      </c>
      <c r="M267" s="10" t="n">
        <f aca="false">IFERROR(G267/F267,"")</f>
        <v>0.288883555982188</v>
      </c>
      <c r="N267" s="10" t="n">
        <f aca="false">IFERROR(H267/G267,"")</f>
        <v>0.999630791951265</v>
      </c>
      <c r="O267" s="11" t="n">
        <f aca="false">IFERROR(I267/H267,"")</f>
        <v>0.114219759926131</v>
      </c>
      <c r="P267" s="10" t="n">
        <f aca="false">IFERROR(J267/H267,"")</f>
        <v>0.0299168975069252</v>
      </c>
      <c r="Q267" s="10" t="n">
        <f aca="false">IFERROR(K267/H267,"")</f>
        <v>0.00120036934441367</v>
      </c>
      <c r="R267" s="10" t="n">
        <f aca="false">IFERROR(L267/H267,"")</f>
        <v>0.000554016620498615</v>
      </c>
      <c r="S267" s="11" t="n">
        <f aca="false">IFERROR(M267/MEDIAN(INDEX($M$5:$M$665,MATCH($A267-90,$A$5:$A$665,1)):INDEX($M$5:$M$665,MATCH($A267+90,$A$5:$A$665,1))),"")</f>
        <v>0.699826105847512</v>
      </c>
      <c r="T267" s="11" t="n">
        <f aca="false">IFERROR(N267/MEDIAN(INDEX($N$5:$N$665,MATCH($A267-90,$A$5:$A$665,1)):INDEX($N$5:$N$665,MATCH($A267+90,$A$5:$A$665,1))),"")</f>
        <v>0.999945089809517</v>
      </c>
      <c r="U267" s="11" t="n">
        <f aca="false">IFERROR(Q267/MEDIAN(INDEX($Q$5:$Q$665,MATCH($A267-90,$A$5:$A$665,1)):INDEX($Q$5:$Q$665,MATCH($A267+90,$A$5:$A$665,1))),"")</f>
        <v>1.29904868892367</v>
      </c>
    </row>
    <row r="268" customFormat="false" ht="15" hidden="false" customHeight="false" outlineLevel="0" collapsed="false">
      <c r="A268" s="13" t="n">
        <v>45194.8412349653</v>
      </c>
      <c r="B268" s="8" t="n">
        <v>20</v>
      </c>
      <c r="C268" s="8" t="s">
        <v>80</v>
      </c>
      <c r="D268" s="8" t="s">
        <v>945</v>
      </c>
      <c r="E268" s="14" t="s">
        <v>66</v>
      </c>
      <c r="F268" s="9" t="n">
        <v>4698</v>
      </c>
      <c r="G268" s="9" t="n">
        <v>1572</v>
      </c>
      <c r="H268" s="9" t="n">
        <v>1568</v>
      </c>
      <c r="I268" s="9" t="n">
        <v>345</v>
      </c>
      <c r="J268" s="9" t="n">
        <v>148</v>
      </c>
      <c r="K268" s="9" t="n">
        <v>7</v>
      </c>
      <c r="L268" s="9" t="n">
        <v>1</v>
      </c>
      <c r="M268" s="10" t="n">
        <f aca="false">IFERROR(G268/F268,"")</f>
        <v>0.334610472541507</v>
      </c>
      <c r="N268" s="10" t="n">
        <f aca="false">IFERROR(H268/G268,"")</f>
        <v>0.997455470737914</v>
      </c>
      <c r="O268" s="11" t="n">
        <f aca="false">IFERROR(I268/H268,"")</f>
        <v>0.220025510204082</v>
      </c>
      <c r="P268" s="10" t="n">
        <f aca="false">IFERROR(J268/H268,"")</f>
        <v>0.0943877551020408</v>
      </c>
      <c r="Q268" s="10" t="n">
        <f aca="false">IFERROR(K268/H268,"")</f>
        <v>0.00446428571428571</v>
      </c>
      <c r="R268" s="10" t="n">
        <f aca="false">IFERROR(L268/H268,"")</f>
        <v>0.000637755102040816</v>
      </c>
      <c r="S268" s="11" t="n">
        <f aca="false">IFERROR(M268/MEDIAN(INDEX($M$5:$M$665,MATCH($A268-90,$A$5:$A$665,1)):INDEX($M$5:$M$665,MATCH($A268+90,$A$5:$A$665,1))),"")</f>
        <v>0.810600462107843</v>
      </c>
      <c r="T268" s="11" t="n">
        <f aca="false">IFERROR(N268/MEDIAN(INDEX($N$5:$N$665,MATCH($A268-90,$A$5:$A$665,1)):INDEX($N$5:$N$665,MATCH($A268+90,$A$5:$A$665,1))),"")</f>
        <v>0.997769084644847</v>
      </c>
      <c r="U268" s="11" t="n">
        <f aca="false">IFERROR(Q268/MEDIAN(INDEX($Q$5:$Q$665,MATCH($A268-90,$A$5:$A$665,1)):INDEX($Q$5:$Q$665,MATCH($A268+90,$A$5:$A$665,1))),"")</f>
        <v>4.84855134219728</v>
      </c>
    </row>
    <row r="269" customFormat="false" ht="15" hidden="false" customHeight="false" outlineLevel="0" collapsed="false">
      <c r="A269" s="13" t="n">
        <v>45195.7407114352</v>
      </c>
      <c r="B269" s="8" t="n">
        <v>17</v>
      </c>
      <c r="C269" s="8" t="s">
        <v>64</v>
      </c>
      <c r="D269" s="8" t="s">
        <v>946</v>
      </c>
      <c r="E269" s="14" t="s">
        <v>66</v>
      </c>
      <c r="F269" s="9" t="n">
        <v>5227</v>
      </c>
      <c r="G269" s="9" t="n">
        <v>2245</v>
      </c>
      <c r="H269" s="9" t="n">
        <v>2239</v>
      </c>
      <c r="I269" s="9" t="n">
        <v>469</v>
      </c>
      <c r="J269" s="9" t="n">
        <v>202</v>
      </c>
      <c r="K269" s="9" t="n">
        <v>2</v>
      </c>
      <c r="L269" s="9" t="n">
        <v>1</v>
      </c>
      <c r="M269" s="10" t="n">
        <f aca="false">IFERROR(G269/F269,"")</f>
        <v>0.429500669600153</v>
      </c>
      <c r="N269" s="10" t="n">
        <f aca="false">IFERROR(H269/G269,"")</f>
        <v>0.997327394209354</v>
      </c>
      <c r="O269" s="11" t="n">
        <f aca="false">IFERROR(I269/H269,"")</f>
        <v>0.209468512728897</v>
      </c>
      <c r="P269" s="10" t="n">
        <f aca="false">IFERROR(J269/H269,"")</f>
        <v>0.090218847699866</v>
      </c>
      <c r="Q269" s="10" t="n">
        <f aca="false">IFERROR(K269/H269,"")</f>
        <v>0.000893255917820456</v>
      </c>
      <c r="R269" s="10" t="n">
        <f aca="false">IFERROR(L269/H269,"")</f>
        <v>0.000446627958910228</v>
      </c>
      <c r="S269" s="11" t="n">
        <f aca="false">IFERROR(M269/MEDIAN(INDEX($M$5:$M$665,MATCH($A269-90,$A$5:$A$665,1)):INDEX($M$5:$M$665,MATCH($A269+90,$A$5:$A$665,1))),"")</f>
        <v>1.04047383397519</v>
      </c>
      <c r="T269" s="11" t="n">
        <f aca="false">IFERROR(N269/MEDIAN(INDEX($N$5:$N$665,MATCH($A269-90,$A$5:$A$665,1)):INDEX($N$5:$N$665,MATCH($A269+90,$A$5:$A$665,1))),"")</f>
        <v>0.997640967847241</v>
      </c>
      <c r="U269" s="11" t="n">
        <f aca="false">IFERROR(Q269/MEDIAN(INDEX($Q$5:$Q$665,MATCH($A269-90,$A$5:$A$665,1)):INDEX($Q$5:$Q$665,MATCH($A269+90,$A$5:$A$665,1))),"")</f>
        <v>0.970143368157383</v>
      </c>
    </row>
    <row r="270" customFormat="false" ht="15" hidden="false" customHeight="false" outlineLevel="0" collapsed="false">
      <c r="A270" s="13" t="n">
        <v>45196.762958206</v>
      </c>
      <c r="B270" s="8" t="n">
        <v>18</v>
      </c>
      <c r="C270" s="8" t="s">
        <v>71</v>
      </c>
      <c r="D270" s="8" t="s">
        <v>947</v>
      </c>
      <c r="E270" s="14" t="s">
        <v>66</v>
      </c>
      <c r="F270" s="9" t="n">
        <v>63854</v>
      </c>
      <c r="G270" s="9" t="n">
        <v>25851</v>
      </c>
      <c r="H270" s="9" t="n">
        <v>25850</v>
      </c>
      <c r="I270" s="9" t="n">
        <v>4168</v>
      </c>
      <c r="J270" s="9" t="n">
        <v>524</v>
      </c>
      <c r="K270" s="9" t="n">
        <v>24</v>
      </c>
      <c r="L270" s="9" t="n">
        <v>23</v>
      </c>
      <c r="M270" s="10" t="n">
        <f aca="false">IFERROR(G270/F270,"")</f>
        <v>0.404845428634071</v>
      </c>
      <c r="N270" s="10" t="n">
        <f aca="false">IFERROR(H270/G270,"")</f>
        <v>0.999961316776914</v>
      </c>
      <c r="O270" s="11" t="n">
        <f aca="false">IFERROR(I270/H270,"")</f>
        <v>0.161237911025145</v>
      </c>
      <c r="P270" s="10" t="n">
        <f aca="false">IFERROR(J270/H270,"")</f>
        <v>0.0202707930367505</v>
      </c>
      <c r="Q270" s="10" t="n">
        <f aca="false">IFERROR(K270/H270,"")</f>
        <v>0.000928433268858801</v>
      </c>
      <c r="R270" s="10" t="n">
        <f aca="false">IFERROR(L270/H270,"")</f>
        <v>0.000889748549323017</v>
      </c>
      <c r="S270" s="11" t="n">
        <f aca="false">IFERROR(M270/MEDIAN(INDEX($M$5:$M$665,MATCH($A270-90,$A$5:$A$665,1)):INDEX($M$5:$M$665,MATCH($A270+90,$A$5:$A$665,1))),"")</f>
        <v>0.980746026986105</v>
      </c>
      <c r="T270" s="11" t="n">
        <f aca="false">IFERROR(N270/MEDIAN(INDEX($N$5:$N$665,MATCH($A270-90,$A$5:$A$665,1)):INDEX($N$5:$N$665,MATCH($A270+90,$A$5:$A$665,1))),"")</f>
        <v>1.00027571855678</v>
      </c>
      <c r="U270" s="11" t="n">
        <f aca="false">IFERROR(Q270/MEDIAN(INDEX($Q$5:$Q$665,MATCH($A270-90,$A$5:$A$665,1)):INDEX($Q$5:$Q$665,MATCH($A270+90,$A$5:$A$665,1))),"")</f>
        <v>1.00834862729797</v>
      </c>
    </row>
    <row r="271" customFormat="false" ht="15" hidden="false" customHeight="false" outlineLevel="0" collapsed="false">
      <c r="A271" s="13" t="n">
        <v>45197.8027865394</v>
      </c>
      <c r="B271" s="8" t="n">
        <v>19</v>
      </c>
      <c r="C271" s="8" t="s">
        <v>73</v>
      </c>
      <c r="D271" s="8" t="s">
        <v>948</v>
      </c>
      <c r="E271" s="14" t="s">
        <v>66</v>
      </c>
      <c r="F271" s="9" t="n">
        <v>9457</v>
      </c>
      <c r="G271" s="9" t="n">
        <v>5181</v>
      </c>
      <c r="H271" s="9" t="n">
        <v>5183</v>
      </c>
      <c r="I271" s="9" t="n">
        <v>875</v>
      </c>
      <c r="J271" s="9" t="n">
        <v>296</v>
      </c>
      <c r="K271" s="9" t="n">
        <v>6</v>
      </c>
      <c r="L271" s="9" t="n">
        <v>8</v>
      </c>
      <c r="M271" s="10" t="n">
        <f aca="false">IFERROR(G271/F271,"")</f>
        <v>0.547848154805964</v>
      </c>
      <c r="N271" s="10" t="n">
        <f aca="false">IFERROR(H271/G271,"")</f>
        <v>1.00038602586373</v>
      </c>
      <c r="O271" s="11" t="n">
        <f aca="false">IFERROR(I271/H271,"")</f>
        <v>0.168821146054409</v>
      </c>
      <c r="P271" s="10" t="n">
        <f aca="false">IFERROR(J271/H271,"")</f>
        <v>0.0571097819795485</v>
      </c>
      <c r="Q271" s="10" t="n">
        <f aca="false">IFERROR(K271/H271,"")</f>
        <v>0.00115763071580166</v>
      </c>
      <c r="R271" s="10" t="n">
        <f aca="false">IFERROR(L271/H271,"")</f>
        <v>0.00154350762106888</v>
      </c>
      <c r="S271" s="11" t="n">
        <f aca="false">IFERROR(M271/MEDIAN(INDEX($M$5:$M$665,MATCH($A271-90,$A$5:$A$665,1)):INDEX($M$5:$M$665,MATCH($A271+90,$A$5:$A$665,1))),"")</f>
        <v>1.32717294852616</v>
      </c>
      <c r="T271" s="11" t="n">
        <f aca="false">IFERROR(N271/MEDIAN(INDEX($N$5:$N$665,MATCH($A271-90,$A$5:$A$665,1)):INDEX($N$5:$N$665,MATCH($A271+90,$A$5:$A$665,1))),"")</f>
        <v>1.00070056117806</v>
      </c>
      <c r="U271" s="11" t="n">
        <f aca="false">IFERROR(Q271/MEDIAN(INDEX($Q$5:$Q$665,MATCH($A271-90,$A$5:$A$665,1)):INDEX($Q$5:$Q$665,MATCH($A271+90,$A$5:$A$665,1))),"")</f>
        <v>1.25727435923464</v>
      </c>
    </row>
    <row r="272" customFormat="false" ht="15" hidden="false" customHeight="false" outlineLevel="0" collapsed="false">
      <c r="A272" s="13" t="n">
        <v>45198.7998913542</v>
      </c>
      <c r="B272" s="8" t="n">
        <v>19</v>
      </c>
      <c r="C272" s="8" t="s">
        <v>84</v>
      </c>
      <c r="D272" s="8" t="s">
        <v>949</v>
      </c>
      <c r="E272" s="14" t="s">
        <v>66</v>
      </c>
      <c r="F272" s="9" t="n">
        <v>5217</v>
      </c>
      <c r="G272" s="9" t="n">
        <v>2573</v>
      </c>
      <c r="H272" s="9" t="n">
        <v>2577</v>
      </c>
      <c r="I272" s="9" t="n">
        <v>492</v>
      </c>
      <c r="J272" s="9" t="n">
        <v>163</v>
      </c>
      <c r="K272" s="9" t="n">
        <v>4</v>
      </c>
      <c r="L272" s="9" t="n">
        <v>2</v>
      </c>
      <c r="M272" s="10" t="n">
        <f aca="false">IFERROR(G272/F272,"")</f>
        <v>0.493195322982557</v>
      </c>
      <c r="N272" s="10" t="n">
        <f aca="false">IFERROR(H272/G272,"")</f>
        <v>1.00155460551885</v>
      </c>
      <c r="O272" s="11" t="n">
        <f aca="false">IFERROR(I272/H272,"")</f>
        <v>0.190919674039581</v>
      </c>
      <c r="P272" s="10" t="n">
        <f aca="false">IFERROR(J272/H272,"")</f>
        <v>0.0632518432285603</v>
      </c>
      <c r="Q272" s="10" t="n">
        <f aca="false">IFERROR(K272/H272,"")</f>
        <v>0.00155219247186651</v>
      </c>
      <c r="R272" s="10" t="n">
        <f aca="false">IFERROR(L272/H272,"")</f>
        <v>0.000776096235933256</v>
      </c>
      <c r="S272" s="11" t="n">
        <f aca="false">IFERROR(M272/MEDIAN(INDEX($M$5:$M$665,MATCH($A272-90,$A$5:$A$665,1)):INDEX($M$5:$M$665,MATCH($A272+90,$A$5:$A$665,1))),"")</f>
        <v>1.1873220738469</v>
      </c>
      <c r="T272" s="11" t="n">
        <f aca="false">IFERROR(N272/MEDIAN(INDEX($N$5:$N$665,MATCH($A272-90,$A$5:$A$665,1)):INDEX($N$5:$N$665,MATCH($A272+90,$A$5:$A$665,1))),"")</f>
        <v>1.00186117258512</v>
      </c>
      <c r="U272" s="11" t="n">
        <f aca="false">IFERROR(Q272/MEDIAN(INDEX($Q$5:$Q$665,MATCH($A272-90,$A$5:$A$665,1)):INDEX($Q$5:$Q$665,MATCH($A272+90,$A$5:$A$665,1))),"")</f>
        <v>1.69033760186263</v>
      </c>
    </row>
    <row r="273" customFormat="false" ht="15" hidden="false" customHeight="false" outlineLevel="0" collapsed="false">
      <c r="A273" s="13" t="n">
        <v>45199.7642441551</v>
      </c>
      <c r="B273" s="8" t="n">
        <v>18</v>
      </c>
      <c r="C273" s="8" t="s">
        <v>68</v>
      </c>
      <c r="D273" s="8" t="s">
        <v>950</v>
      </c>
      <c r="E273" s="14" t="s">
        <v>66</v>
      </c>
      <c r="F273" s="9" t="n">
        <v>183722</v>
      </c>
      <c r="G273" s="9" t="n">
        <v>41136</v>
      </c>
      <c r="H273" s="9" t="n">
        <v>41136</v>
      </c>
      <c r="I273" s="9" t="n">
        <v>5139</v>
      </c>
      <c r="J273" s="9" t="n">
        <v>382</v>
      </c>
      <c r="K273" s="9" t="n">
        <v>20</v>
      </c>
      <c r="L273" s="9" t="n">
        <v>21</v>
      </c>
      <c r="M273" s="10" t="n">
        <f aca="false">IFERROR(G273/F273,"")</f>
        <v>0.223903506384646</v>
      </c>
      <c r="N273" s="10" t="n">
        <f aca="false">IFERROR(H273/G273,"")</f>
        <v>1</v>
      </c>
      <c r="O273" s="11" t="n">
        <f aca="false">IFERROR(I273/H273,"")</f>
        <v>0.12492707117853</v>
      </c>
      <c r="P273" s="10" t="n">
        <f aca="false">IFERROR(J273/H273,"")</f>
        <v>0.00928626993387787</v>
      </c>
      <c r="Q273" s="10" t="n">
        <f aca="false">IFERROR(K273/H273,"")</f>
        <v>0.000486192143134967</v>
      </c>
      <c r="R273" s="10" t="n">
        <f aca="false">IFERROR(L273/H273,"")</f>
        <v>0.000510501750291715</v>
      </c>
      <c r="S273" s="11" t="n">
        <f aca="false">IFERROR(M273/MEDIAN(INDEX($M$5:$M$665,MATCH($A273-90,$A$5:$A$665,1)):INDEX($M$5:$M$665,MATCH($A273+90,$A$5:$A$665,1))),"")</f>
        <v>0.542410655483734</v>
      </c>
      <c r="T273" s="11" t="n">
        <f aca="false">IFERROR(N273/MEDIAN(INDEX($N$5:$N$665,MATCH($A273-90,$A$5:$A$665,1)):INDEX($N$5:$N$665,MATCH($A273+90,$A$5:$A$665,1))),"")</f>
        <v>1.00031441394241</v>
      </c>
      <c r="U273" s="11" t="n">
        <f aca="false">IFERROR(Q273/MEDIAN(INDEX($Q$5:$Q$665,MATCH($A273-90,$A$5:$A$665,1)):INDEX($Q$5:$Q$665,MATCH($A273+90,$A$5:$A$665,1))),"")</f>
        <v>0.53057221257433</v>
      </c>
    </row>
    <row r="274" customFormat="false" ht="15" hidden="false" customHeight="false" outlineLevel="0" collapsed="false">
      <c r="A274" s="13" t="n">
        <v>45200.8238287732</v>
      </c>
      <c r="B274" s="8" t="n">
        <v>19</v>
      </c>
      <c r="C274" s="8" t="s">
        <v>86</v>
      </c>
      <c r="D274" s="8" t="s">
        <v>951</v>
      </c>
      <c r="E274" s="14" t="s">
        <v>66</v>
      </c>
      <c r="F274" s="9" t="n">
        <v>51298</v>
      </c>
      <c r="G274" s="9" t="n">
        <v>15173</v>
      </c>
      <c r="H274" s="9" t="n">
        <v>15177</v>
      </c>
      <c r="I274" s="9" t="n">
        <v>1822</v>
      </c>
      <c r="J274" s="9" t="n">
        <v>295</v>
      </c>
      <c r="K274" s="9" t="n">
        <v>11</v>
      </c>
      <c r="L274" s="9" t="n">
        <v>6</v>
      </c>
      <c r="M274" s="10" t="n">
        <f aca="false">IFERROR(G274/F274,"")</f>
        <v>0.295781511949784</v>
      </c>
      <c r="N274" s="10" t="n">
        <f aca="false">IFERROR(H274/G274,"")</f>
        <v>1.00026362617808</v>
      </c>
      <c r="O274" s="11" t="n">
        <f aca="false">IFERROR(I274/H274,"")</f>
        <v>0.120050075772551</v>
      </c>
      <c r="P274" s="10" t="n">
        <f aca="false">IFERROR(J274/H274,"")</f>
        <v>0.0194373064505502</v>
      </c>
      <c r="Q274" s="10" t="n">
        <f aca="false">IFERROR(K274/H274,"")</f>
        <v>0.000724780918495091</v>
      </c>
      <c r="R274" s="10" t="n">
        <f aca="false">IFERROR(L274/H274,"")</f>
        <v>0.000395335046451868</v>
      </c>
      <c r="S274" s="11" t="n">
        <f aca="false">IFERROR(M274/MEDIAN(INDEX($M$5:$M$665,MATCH($A274-90,$A$5:$A$665,1)):INDEX($M$5:$M$665,MATCH($A274+90,$A$5:$A$665,1))),"")</f>
        <v>0.722022133488142</v>
      </c>
      <c r="T274" s="11" t="n">
        <f aca="false">IFERROR(N274/MEDIAN(INDEX($N$5:$N$665,MATCH($A274-90,$A$5:$A$665,1)):INDEX($N$5:$N$665,MATCH($A274+90,$A$5:$A$665,1))),"")</f>
        <v>1.00056385296599</v>
      </c>
      <c r="U274" s="11" t="n">
        <f aca="false">IFERROR(Q274/MEDIAN(INDEX($Q$5:$Q$665,MATCH($A274-90,$A$5:$A$665,1)):INDEX($Q$5:$Q$665,MATCH($A274+90,$A$5:$A$665,1))),"")</f>
        <v>0.790939592478863</v>
      </c>
    </row>
    <row r="275" customFormat="false" ht="15" hidden="false" customHeight="false" outlineLevel="0" collapsed="false">
      <c r="A275" s="13" t="n">
        <v>45201.8399393866</v>
      </c>
      <c r="B275" s="8" t="n">
        <v>20</v>
      </c>
      <c r="C275" s="8" t="s">
        <v>80</v>
      </c>
      <c r="D275" s="8" t="s">
        <v>872</v>
      </c>
      <c r="E275" s="14" t="s">
        <v>66</v>
      </c>
      <c r="F275" s="9" t="n">
        <v>296163</v>
      </c>
      <c r="G275" s="9" t="n">
        <v>64839</v>
      </c>
      <c r="H275" s="9" t="n">
        <v>64839</v>
      </c>
      <c r="I275" s="9" t="n">
        <v>5975</v>
      </c>
      <c r="J275" s="9" t="n">
        <v>525</v>
      </c>
      <c r="K275" s="9" t="n">
        <v>23</v>
      </c>
      <c r="L275" s="9" t="n">
        <v>48</v>
      </c>
      <c r="M275" s="10" t="n">
        <f aca="false">IFERROR(G275/F275,"")</f>
        <v>0.218930116186019</v>
      </c>
      <c r="N275" s="10" t="n">
        <f aca="false">IFERROR(H275/G275,"")</f>
        <v>1</v>
      </c>
      <c r="O275" s="11" t="n">
        <f aca="false">IFERROR(I275/H275,"")</f>
        <v>0.0921513286756427</v>
      </c>
      <c r="P275" s="10" t="n">
        <f aca="false">IFERROR(J275/H275,"")</f>
        <v>0.00809697867024476</v>
      </c>
      <c r="Q275" s="10" t="n">
        <f aca="false">IFERROR(K275/H275,"")</f>
        <v>0.000354724779839294</v>
      </c>
      <c r="R275" s="10" t="n">
        <f aca="false">IFERROR(L275/H275,"")</f>
        <v>0.000740295192708092</v>
      </c>
      <c r="S275" s="11" t="n">
        <f aca="false">IFERROR(M275/MEDIAN(INDEX($M$5:$M$665,MATCH($A275-90,$A$5:$A$665,1)):INDEX($M$5:$M$665,MATCH($A275+90,$A$5:$A$665,1))),"")</f>
        <v>0.533712856583616</v>
      </c>
      <c r="T275" s="11" t="n">
        <f aca="false">IFERROR(N275/MEDIAN(INDEX($N$5:$N$665,MATCH($A275-90,$A$5:$A$665,1)):INDEX($N$5:$N$665,MATCH($A275+90,$A$5:$A$665,1))),"")</f>
        <v>1.00030609121518</v>
      </c>
      <c r="U275" s="11" t="n">
        <f aca="false">IFERROR(Q275/MEDIAN(INDEX($Q$5:$Q$665,MATCH($A275-90,$A$5:$A$665,1)):INDEX($Q$5:$Q$665,MATCH($A275+90,$A$5:$A$665,1))),"")</f>
        <v>0.386295285244991</v>
      </c>
    </row>
    <row r="276" customFormat="false" ht="15" hidden="false" customHeight="false" outlineLevel="0" collapsed="false">
      <c r="A276" s="13" t="n">
        <v>45202.8149176389</v>
      </c>
      <c r="B276" s="8" t="n">
        <v>19</v>
      </c>
      <c r="C276" s="8" t="s">
        <v>64</v>
      </c>
      <c r="D276" s="8" t="s">
        <v>952</v>
      </c>
      <c r="E276" s="14" t="s">
        <v>66</v>
      </c>
      <c r="F276" s="9" t="n">
        <v>28490</v>
      </c>
      <c r="G276" s="9" t="n">
        <v>12378</v>
      </c>
      <c r="H276" s="9" t="n">
        <v>12381</v>
      </c>
      <c r="I276" s="9" t="n">
        <v>2518</v>
      </c>
      <c r="J276" s="9" t="n">
        <v>322</v>
      </c>
      <c r="K276" s="9" t="n">
        <v>10</v>
      </c>
      <c r="L276" s="9" t="n">
        <v>8</v>
      </c>
      <c r="M276" s="10" t="n">
        <f aca="false">IFERROR(G276/F276,"")</f>
        <v>0.434468234468234</v>
      </c>
      <c r="N276" s="10" t="n">
        <f aca="false">IFERROR(H276/G276,"")</f>
        <v>1.00024236548715</v>
      </c>
      <c r="O276" s="11" t="n">
        <f aca="false">IFERROR(I276/H276,"")</f>
        <v>0.203376140860997</v>
      </c>
      <c r="P276" s="10" t="n">
        <f aca="false">IFERROR(J276/H276,"")</f>
        <v>0.0260075922784912</v>
      </c>
      <c r="Q276" s="10" t="n">
        <f aca="false">IFERROR(K276/H276,"")</f>
        <v>0.00080768920119538</v>
      </c>
      <c r="R276" s="10" t="n">
        <f aca="false">IFERROR(L276/H276,"")</f>
        <v>0.000646151360956304</v>
      </c>
      <c r="S276" s="11" t="n">
        <f aca="false">IFERROR(M276/MEDIAN(INDEX($M$5:$M$665,MATCH($A276-90,$A$5:$A$665,1)):INDEX($M$5:$M$665,MATCH($A276+90,$A$5:$A$665,1))),"")</f>
        <v>1.05915662291002</v>
      </c>
      <c r="T276" s="11" t="n">
        <f aca="false">IFERROR(N276/MEDIAN(INDEX($N$5:$N$665,MATCH($A276-90,$A$5:$A$665,1)):INDEX($N$5:$N$665,MATCH($A276+90,$A$5:$A$665,1))),"")</f>
        <v>1.00054853088828</v>
      </c>
      <c r="U276" s="11" t="n">
        <f aca="false">IFERROR(Q276/MEDIAN(INDEX($Q$5:$Q$665,MATCH($A276-90,$A$5:$A$665,1)):INDEX($Q$5:$Q$665,MATCH($A276+90,$A$5:$A$665,1))),"")</f>
        <v>0.883265833592948</v>
      </c>
    </row>
    <row r="277" customFormat="false" ht="15" hidden="false" customHeight="false" outlineLevel="0" collapsed="false">
      <c r="A277" s="13" t="n">
        <v>45203.7987908796</v>
      </c>
      <c r="B277" s="8" t="n">
        <v>19</v>
      </c>
      <c r="C277" s="8" t="s">
        <v>71</v>
      </c>
      <c r="D277" s="8" t="s">
        <v>953</v>
      </c>
      <c r="E277" s="14" t="s">
        <v>66</v>
      </c>
      <c r="F277" s="9" t="n">
        <v>10606</v>
      </c>
      <c r="G277" s="9" t="n">
        <v>6590</v>
      </c>
      <c r="H277" s="9" t="n">
        <v>6590</v>
      </c>
      <c r="I277" s="9" t="n">
        <v>951</v>
      </c>
      <c r="J277" s="9" t="n">
        <v>294</v>
      </c>
      <c r="K277" s="9" t="n">
        <v>5</v>
      </c>
      <c r="L277" s="9" t="n">
        <v>6</v>
      </c>
      <c r="M277" s="10" t="n">
        <f aca="false">IFERROR(G277/F277,"")</f>
        <v>0.621346407693758</v>
      </c>
      <c r="N277" s="10" t="n">
        <f aca="false">IFERROR(H277/G277,"")</f>
        <v>1</v>
      </c>
      <c r="O277" s="11" t="n">
        <f aca="false">IFERROR(I277/H277,"")</f>
        <v>0.144309559939302</v>
      </c>
      <c r="P277" s="10" t="n">
        <f aca="false">IFERROR(J277/H277,"")</f>
        <v>0.0446130500758725</v>
      </c>
      <c r="Q277" s="10" t="n">
        <f aca="false">IFERROR(K277/H277,"")</f>
        <v>0.000758725341426404</v>
      </c>
      <c r="R277" s="10" t="n">
        <f aca="false">IFERROR(L277/H277,"")</f>
        <v>0.000910470409711684</v>
      </c>
      <c r="S277" s="11" t="n">
        <f aca="false">IFERROR(M277/MEDIAN(INDEX($M$5:$M$665,MATCH($A277-90,$A$5:$A$665,1)):INDEX($M$5:$M$665,MATCH($A277+90,$A$5:$A$665,1))),"")</f>
        <v>1.51674746660435</v>
      </c>
      <c r="T277" s="11" t="n">
        <f aca="false">IFERROR(N277/MEDIAN(INDEX($N$5:$N$665,MATCH($A277-90,$A$5:$A$665,1)):INDEX($N$5:$N$665,MATCH($A277+90,$A$5:$A$665,1))),"")</f>
        <v>1.00030014766113</v>
      </c>
      <c r="U277" s="11" t="n">
        <f aca="false">IFERROR(Q277/MEDIAN(INDEX($Q$5:$Q$665,MATCH($A277-90,$A$5:$A$665,1)):INDEX($Q$5:$Q$665,MATCH($A277+90,$A$5:$A$665,1))),"")</f>
        <v>0.827982493795814</v>
      </c>
    </row>
    <row r="278" customFormat="false" ht="15" hidden="false" customHeight="false" outlineLevel="0" collapsed="false">
      <c r="A278" s="13" t="n">
        <v>45204.8005842477</v>
      </c>
      <c r="B278" s="8" t="n">
        <v>19</v>
      </c>
      <c r="C278" s="8" t="s">
        <v>73</v>
      </c>
      <c r="D278" s="8" t="s">
        <v>954</v>
      </c>
      <c r="E278" s="14" t="s">
        <v>66</v>
      </c>
      <c r="F278" s="9" t="n">
        <v>24372</v>
      </c>
      <c r="G278" s="9" t="n">
        <v>7650</v>
      </c>
      <c r="H278" s="9" t="n">
        <v>7655</v>
      </c>
      <c r="I278" s="9" t="n">
        <v>1085</v>
      </c>
      <c r="J278" s="9" t="n">
        <v>327</v>
      </c>
      <c r="K278" s="9" t="n">
        <v>7</v>
      </c>
      <c r="L278" s="9" t="n">
        <v>8</v>
      </c>
      <c r="M278" s="10" t="n">
        <f aca="false">IFERROR(G278/F278,"")</f>
        <v>0.313884785819793</v>
      </c>
      <c r="N278" s="10" t="n">
        <f aca="false">IFERROR(H278/G278,"")</f>
        <v>1.00065359477124</v>
      </c>
      <c r="O278" s="11" t="n">
        <f aca="false">IFERROR(I278/H278,"")</f>
        <v>0.141737426518615</v>
      </c>
      <c r="P278" s="10" t="n">
        <f aca="false">IFERROR(J278/H278,"")</f>
        <v>0.0427171783148269</v>
      </c>
      <c r="Q278" s="10" t="n">
        <f aca="false">IFERROR(K278/H278,"")</f>
        <v>0.000914435009797518</v>
      </c>
      <c r="R278" s="10" t="n">
        <f aca="false">IFERROR(L278/H278,"")</f>
        <v>0.00104506858262574</v>
      </c>
      <c r="S278" s="11" t="n">
        <f aca="false">IFERROR(M278/MEDIAN(INDEX($M$5:$M$665,MATCH($A278-90,$A$5:$A$665,1)):INDEX($M$5:$M$665,MATCH($A278+90,$A$5:$A$665,1))),"")</f>
        <v>0.766213416224446</v>
      </c>
      <c r="T278" s="11" t="n">
        <f aca="false">IFERROR(N278/MEDIAN(INDEX($N$5:$N$665,MATCH($A278-90,$A$5:$A$665,1)):INDEX($N$5:$N$665,MATCH($A278+90,$A$5:$A$665,1))),"")</f>
        <v>1.00095393860731</v>
      </c>
      <c r="U278" s="11" t="n">
        <f aca="false">IFERROR(Q278/MEDIAN(INDEX($Q$5:$Q$665,MATCH($A278-90,$A$5:$A$665,1)):INDEX($Q$5:$Q$665,MATCH($A278+90,$A$5:$A$665,1))),"")</f>
        <v>0.997905485011127</v>
      </c>
    </row>
    <row r="279" customFormat="false" ht="15" hidden="false" customHeight="false" outlineLevel="0" collapsed="false">
      <c r="A279" s="13" t="n">
        <v>45205.8014754977</v>
      </c>
      <c r="B279" s="8" t="n">
        <v>19</v>
      </c>
      <c r="C279" s="8" t="s">
        <v>84</v>
      </c>
      <c r="D279" s="8" t="s">
        <v>955</v>
      </c>
      <c r="E279" s="14" t="s">
        <v>66</v>
      </c>
      <c r="F279" s="9" t="n">
        <v>7525</v>
      </c>
      <c r="G279" s="9" t="n">
        <v>3762</v>
      </c>
      <c r="H279" s="9" t="n">
        <v>3757</v>
      </c>
      <c r="I279" s="9" t="n">
        <v>647</v>
      </c>
      <c r="J279" s="9" t="n">
        <v>196</v>
      </c>
      <c r="K279" s="9" t="n">
        <v>8</v>
      </c>
      <c r="L279" s="9" t="n">
        <v>1</v>
      </c>
      <c r="M279" s="10" t="n">
        <f aca="false">IFERROR(G279/F279,"")</f>
        <v>0.499933554817276</v>
      </c>
      <c r="N279" s="10" t="n">
        <f aca="false">IFERROR(H279/G279,"")</f>
        <v>0.998670919723551</v>
      </c>
      <c r="O279" s="11" t="n">
        <f aca="false">IFERROR(I279/H279,"")</f>
        <v>0.172211871173809</v>
      </c>
      <c r="P279" s="10" t="n">
        <f aca="false">IFERROR(J279/H279,"")</f>
        <v>0.052169284003194</v>
      </c>
      <c r="Q279" s="10" t="n">
        <f aca="false">IFERROR(K279/H279,"")</f>
        <v>0.00212935853074261</v>
      </c>
      <c r="R279" s="10" t="n">
        <f aca="false">IFERROR(L279/H279,"")</f>
        <v>0.000266169816342827</v>
      </c>
      <c r="S279" s="11" t="n">
        <f aca="false">IFERROR(M279/MEDIAN(INDEX($M$5:$M$665,MATCH($A279-90,$A$5:$A$665,1)):INDEX($M$5:$M$665,MATCH($A279+90,$A$5:$A$665,1))),"")</f>
        <v>1.22037070360491</v>
      </c>
      <c r="T279" s="11" t="n">
        <f aca="false">IFERROR(N279/MEDIAN(INDEX($N$5:$N$665,MATCH($A279-90,$A$5:$A$665,1)):INDEX($N$5:$N$665,MATCH($A279+90,$A$5:$A$665,1))),"")</f>
        <v>0.998970668464341</v>
      </c>
      <c r="U279" s="11" t="n">
        <f aca="false">IFERROR(Q279/MEDIAN(INDEX($Q$5:$Q$665,MATCH($A279-90,$A$5:$A$665,1)):INDEX($Q$5:$Q$665,MATCH($A279+90,$A$5:$A$665,1))),"")</f>
        <v>2.32372835096701</v>
      </c>
    </row>
    <row r="280" customFormat="false" ht="15" hidden="false" customHeight="false" outlineLevel="0" collapsed="false">
      <c r="A280" s="13" t="n">
        <v>45206.7609935417</v>
      </c>
      <c r="B280" s="8" t="n">
        <v>18</v>
      </c>
      <c r="C280" s="8" t="s">
        <v>68</v>
      </c>
      <c r="D280" s="8" t="s">
        <v>956</v>
      </c>
      <c r="E280" s="14" t="s">
        <v>66</v>
      </c>
      <c r="F280" s="9" t="n">
        <v>120275</v>
      </c>
      <c r="G280" s="9" t="n">
        <v>55218</v>
      </c>
      <c r="H280" s="9" t="n">
        <v>55210</v>
      </c>
      <c r="I280" s="9" t="n">
        <v>10578</v>
      </c>
      <c r="J280" s="9" t="n">
        <v>519</v>
      </c>
      <c r="K280" s="9" t="n">
        <v>9</v>
      </c>
      <c r="L280" s="9" t="n">
        <v>33</v>
      </c>
      <c r="M280" s="10" t="n">
        <f aca="false">IFERROR(G280/F280,"")</f>
        <v>0.459097900644357</v>
      </c>
      <c r="N280" s="10" t="n">
        <f aca="false">IFERROR(H280/G280,"")</f>
        <v>0.999855119707342</v>
      </c>
      <c r="O280" s="11" t="n">
        <f aca="false">IFERROR(I280/H280,"")</f>
        <v>0.191595725412063</v>
      </c>
      <c r="P280" s="10" t="n">
        <f aca="false">IFERROR(J280/H280,"")</f>
        <v>0.0094004709291795</v>
      </c>
      <c r="Q280" s="10" t="n">
        <f aca="false">IFERROR(K280/H280,"")</f>
        <v>0.000163013946748777</v>
      </c>
      <c r="R280" s="10" t="n">
        <f aca="false">IFERROR(L280/H280,"")</f>
        <v>0.000597717804745517</v>
      </c>
      <c r="S280" s="11" t="n">
        <f aca="false">IFERROR(M280/MEDIAN(INDEX($M$5:$M$665,MATCH($A280-90,$A$5:$A$665,1)):INDEX($M$5:$M$665,MATCH($A280+90,$A$5:$A$665,1))),"")</f>
        <v>1.11919938779116</v>
      </c>
      <c r="T280" s="11" t="n">
        <f aca="false">IFERROR(N280/MEDIAN(INDEX($N$5:$N$665,MATCH($A280-90,$A$5:$A$665,1)):INDEX($N$5:$N$665,MATCH($A280+90,$A$5:$A$665,1))),"")</f>
        <v>1.00016116657594</v>
      </c>
      <c r="U280" s="11" t="n">
        <f aca="false">IFERROR(Q280/MEDIAN(INDEX($Q$5:$Q$665,MATCH($A280-90,$A$5:$A$665,1)):INDEX($Q$5:$Q$665,MATCH($A280+90,$A$5:$A$665,1))),"")</f>
        <v>0.177522188009419</v>
      </c>
    </row>
    <row r="281" customFormat="false" ht="15" hidden="false" customHeight="false" outlineLevel="0" collapsed="false">
      <c r="A281" s="13" t="n">
        <v>45207.7860535532</v>
      </c>
      <c r="B281" s="8" t="n">
        <v>18</v>
      </c>
      <c r="C281" s="8" t="s">
        <v>86</v>
      </c>
      <c r="D281" s="8" t="s">
        <v>957</v>
      </c>
      <c r="E281" s="14" t="s">
        <v>66</v>
      </c>
      <c r="F281" s="9" t="n">
        <v>78800</v>
      </c>
      <c r="G281" s="9" t="n">
        <v>26646</v>
      </c>
      <c r="H281" s="9" t="n">
        <v>26636</v>
      </c>
      <c r="I281" s="9" t="n">
        <v>3782</v>
      </c>
      <c r="J281" s="9" t="n">
        <v>261</v>
      </c>
      <c r="K281" s="9" t="n">
        <v>3</v>
      </c>
      <c r="L281" s="9" t="n">
        <v>9</v>
      </c>
      <c r="M281" s="10" t="n">
        <f aca="false">IFERROR(G281/F281,"")</f>
        <v>0.338147208121827</v>
      </c>
      <c r="N281" s="10" t="n">
        <f aca="false">IFERROR(H281/G281,"")</f>
        <v>0.999624709149591</v>
      </c>
      <c r="O281" s="11" t="n">
        <f aca="false">IFERROR(I281/H281,"")</f>
        <v>0.141988286529509</v>
      </c>
      <c r="P281" s="10" t="n">
        <f aca="false">IFERROR(J281/H281,"")</f>
        <v>0.00979876858387145</v>
      </c>
      <c r="Q281" s="10" t="n">
        <f aca="false">IFERROR(K281/H281,"")</f>
        <v>0.000112629523952545</v>
      </c>
      <c r="R281" s="10" t="n">
        <f aca="false">IFERROR(L281/H281,"")</f>
        <v>0.000337888571857636</v>
      </c>
      <c r="S281" s="11" t="n">
        <f aca="false">IFERROR(M281/MEDIAN(INDEX($M$5:$M$665,MATCH($A281-90,$A$5:$A$665,1)):INDEX($M$5:$M$665,MATCH($A281+90,$A$5:$A$665,1))),"")</f>
        <v>0.819168273730671</v>
      </c>
      <c r="T281" s="11" t="n">
        <f aca="false">IFERROR(N281/MEDIAN(INDEX($N$5:$N$665,MATCH($A281-90,$A$5:$A$665,1)):INDEX($N$5:$N$665,MATCH($A281+90,$A$5:$A$665,1))),"")</f>
        <v>0.999939005095325</v>
      </c>
      <c r="U281" s="11" t="n">
        <f aca="false">IFERROR(Q281/MEDIAN(INDEX($Q$5:$Q$665,MATCH($A281-90,$A$5:$A$665,1)):INDEX($Q$5:$Q$665,MATCH($A281+90,$A$5:$A$665,1))),"")</f>
        <v>0.122910451286554</v>
      </c>
    </row>
    <row r="282" customFormat="false" ht="15" hidden="false" customHeight="false" outlineLevel="0" collapsed="false">
      <c r="A282" s="13" t="n">
        <v>45208.8433587847</v>
      </c>
      <c r="B282" s="8" t="n">
        <v>20</v>
      </c>
      <c r="C282" s="8" t="s">
        <v>80</v>
      </c>
      <c r="D282" s="8" t="s">
        <v>958</v>
      </c>
      <c r="E282" s="14" t="s">
        <v>66</v>
      </c>
      <c r="F282" s="9" t="n">
        <v>31219</v>
      </c>
      <c r="G282" s="9" t="n">
        <v>13003</v>
      </c>
      <c r="H282" s="9" t="n">
        <v>12993</v>
      </c>
      <c r="I282" s="9" t="n">
        <v>2597</v>
      </c>
      <c r="J282" s="9" t="n">
        <v>229</v>
      </c>
      <c r="K282" s="9" t="n">
        <v>19</v>
      </c>
      <c r="L282" s="9" t="n">
        <v>9</v>
      </c>
      <c r="M282" s="10" t="n">
        <f aca="false">IFERROR(G282/F282,"")</f>
        <v>0.416509177103687</v>
      </c>
      <c r="N282" s="10" t="n">
        <f aca="false">IFERROR(H282/G282,"")</f>
        <v>0.999230946704607</v>
      </c>
      <c r="O282" s="11" t="n">
        <f aca="false">IFERROR(I282/H282,"")</f>
        <v>0.199876856769029</v>
      </c>
      <c r="P282" s="10" t="n">
        <f aca="false">IFERROR(J282/H282,"")</f>
        <v>0.017624874932656</v>
      </c>
      <c r="Q282" s="10" t="n">
        <f aca="false">IFERROR(K282/H282,"")</f>
        <v>0.00146232586777496</v>
      </c>
      <c r="R282" s="10" t="n">
        <f aca="false">IFERROR(L282/H282,"")</f>
        <v>0.00069268067420919</v>
      </c>
      <c r="S282" s="11" t="n">
        <f aca="false">IFERROR(M282/MEDIAN(INDEX($M$5:$M$665,MATCH($A282-90,$A$5:$A$665,1)):INDEX($M$5:$M$665,MATCH($A282+90,$A$5:$A$665,1))),"")</f>
        <v>1.00900168744876</v>
      </c>
      <c r="T282" s="11" t="n">
        <f aca="false">IFERROR(N282/MEDIAN(INDEX($N$5:$N$665,MATCH($A282-90,$A$5:$A$665,1)):INDEX($N$5:$N$665,MATCH($A282+90,$A$5:$A$665,1))),"")</f>
        <v>0.999557396822819</v>
      </c>
      <c r="U282" s="11" t="n">
        <f aca="false">IFERROR(Q282/MEDIAN(INDEX($Q$5:$Q$665,MATCH($A282-90,$A$5:$A$665,1)):INDEX($Q$5:$Q$665,MATCH($A282+90,$A$5:$A$665,1))),"")</f>
        <v>1.58819629896033</v>
      </c>
    </row>
    <row r="283" customFormat="false" ht="15" hidden="false" customHeight="false" outlineLevel="0" collapsed="false">
      <c r="A283" s="13" t="n">
        <v>45209.8517934954</v>
      </c>
      <c r="B283" s="8" t="n">
        <v>20</v>
      </c>
      <c r="C283" s="8" t="s">
        <v>64</v>
      </c>
      <c r="D283" s="8" t="s">
        <v>959</v>
      </c>
      <c r="E283" s="14" t="s">
        <v>66</v>
      </c>
      <c r="F283" s="9" t="n">
        <v>6097</v>
      </c>
      <c r="G283" s="9" t="n">
        <v>2686</v>
      </c>
      <c r="H283" s="9" t="n">
        <v>2687</v>
      </c>
      <c r="I283" s="9" t="n">
        <v>486</v>
      </c>
      <c r="J283" s="9" t="n">
        <v>214</v>
      </c>
      <c r="K283" s="9" t="n">
        <v>12</v>
      </c>
      <c r="L283" s="9" t="n">
        <v>1</v>
      </c>
      <c r="M283" s="10" t="n">
        <f aca="false">IFERROR(G283/F283,"")</f>
        <v>0.440544530096769</v>
      </c>
      <c r="N283" s="10" t="n">
        <f aca="false">IFERROR(H283/G283,"")</f>
        <v>1.00037230081906</v>
      </c>
      <c r="O283" s="11" t="n">
        <f aca="false">IFERROR(I283/H283,"")</f>
        <v>0.180870859694827</v>
      </c>
      <c r="P283" s="10" t="n">
        <f aca="false">IFERROR(J283/H283,"")</f>
        <v>0.0796427242277633</v>
      </c>
      <c r="Q283" s="10" t="n">
        <f aca="false">IFERROR(K283/H283,"")</f>
        <v>0.00446594715295869</v>
      </c>
      <c r="R283" s="10" t="n">
        <f aca="false">IFERROR(L283/H283,"")</f>
        <v>0.000372162262746558</v>
      </c>
      <c r="S283" s="11" t="n">
        <f aca="false">IFERROR(M283/MEDIAN(INDEX($M$5:$M$665,MATCH($A283-90,$A$5:$A$665,1)):INDEX($M$5:$M$665,MATCH($A283+90,$A$5:$A$665,1))),"")</f>
        <v>1.07396955570267</v>
      </c>
      <c r="T283" s="11" t="n">
        <f aca="false">IFERROR(N283/MEDIAN(INDEX($N$5:$N$665,MATCH($A283-90,$A$5:$A$665,1)):INDEX($N$5:$N$665,MATCH($A283+90,$A$5:$A$665,1))),"")</f>
        <v>1.00070308988752</v>
      </c>
      <c r="U283" s="11" t="n">
        <f aca="false">IFERROR(Q283/MEDIAN(INDEX($Q$5:$Q$665,MATCH($A283-90,$A$5:$A$665,1)):INDEX($Q$5:$Q$665,MATCH($A283+90,$A$5:$A$665,1))),"")</f>
        <v>4.86341644957201</v>
      </c>
    </row>
    <row r="284" customFormat="false" ht="15" hidden="false" customHeight="false" outlineLevel="0" collapsed="false">
      <c r="A284" s="13" t="n">
        <v>45210.7864018171</v>
      </c>
      <c r="B284" s="8" t="n">
        <v>18</v>
      </c>
      <c r="C284" s="8" t="s">
        <v>71</v>
      </c>
      <c r="D284" s="8" t="s">
        <v>960</v>
      </c>
      <c r="E284" s="14" t="s">
        <v>66</v>
      </c>
      <c r="F284" s="9" t="n">
        <v>7815</v>
      </c>
      <c r="G284" s="9" t="n">
        <v>4335</v>
      </c>
      <c r="H284" s="9" t="n">
        <v>4325</v>
      </c>
      <c r="I284" s="9" t="n">
        <v>1064</v>
      </c>
      <c r="J284" s="9" t="n">
        <v>217</v>
      </c>
      <c r="K284" s="9" t="n">
        <v>4</v>
      </c>
      <c r="L284" s="9" t="n">
        <v>2</v>
      </c>
      <c r="M284" s="10" t="n">
        <f aca="false">IFERROR(G284/F284,"")</f>
        <v>0.554702495201536</v>
      </c>
      <c r="N284" s="10" t="n">
        <f aca="false">IFERROR(H284/G284,"")</f>
        <v>0.997693194925029</v>
      </c>
      <c r="O284" s="11" t="n">
        <f aca="false">IFERROR(I284/H284,"")</f>
        <v>0.246011560693642</v>
      </c>
      <c r="P284" s="10" t="n">
        <f aca="false">IFERROR(J284/H284,"")</f>
        <v>0.0501734104046243</v>
      </c>
      <c r="Q284" s="10" t="n">
        <f aca="false">IFERROR(K284/H284,"")</f>
        <v>0.00092485549132948</v>
      </c>
      <c r="R284" s="10" t="n">
        <f aca="false">IFERROR(L284/H284,"")</f>
        <v>0.00046242774566474</v>
      </c>
      <c r="S284" s="11" t="n">
        <f aca="false">IFERROR(M284/MEDIAN(INDEX($M$5:$M$665,MATCH($A284-90,$A$5:$A$665,1)):INDEX($M$5:$M$665,MATCH($A284+90,$A$5:$A$665,1))),"")</f>
        <v>1.35586891370963</v>
      </c>
      <c r="T284" s="11" t="n">
        <f aca="false">IFERROR(N284/MEDIAN(INDEX($N$5:$N$665,MATCH($A284-90,$A$5:$A$665,1)):INDEX($N$5:$N$665,MATCH($A284+90,$A$5:$A$665,1))),"")</f>
        <v>0.998015187242255</v>
      </c>
      <c r="U284" s="11" t="n">
        <f aca="false">IFERROR(Q284/MEDIAN(INDEX($Q$5:$Q$665,MATCH($A284-90,$A$5:$A$665,1)):INDEX($Q$5:$Q$665,MATCH($A284+90,$A$5:$A$665,1))),"")</f>
        <v>1.01139554087531</v>
      </c>
    </row>
    <row r="285" customFormat="false" ht="15" hidden="false" customHeight="false" outlineLevel="0" collapsed="false">
      <c r="A285" s="13" t="n">
        <v>45211.7767893866</v>
      </c>
      <c r="B285" s="8" t="n">
        <v>18</v>
      </c>
      <c r="C285" s="8" t="s">
        <v>73</v>
      </c>
      <c r="D285" s="8" t="s">
        <v>961</v>
      </c>
      <c r="E285" s="14" t="s">
        <v>66</v>
      </c>
      <c r="F285" s="9" t="n">
        <v>47016</v>
      </c>
      <c r="G285" s="9" t="n">
        <v>10722</v>
      </c>
      <c r="H285" s="9" t="n">
        <v>10713</v>
      </c>
      <c r="I285" s="9" t="n">
        <v>1814</v>
      </c>
      <c r="J285" s="9" t="n">
        <v>223</v>
      </c>
      <c r="K285" s="9" t="n">
        <v>1</v>
      </c>
      <c r="L285" s="9" t="n">
        <v>7</v>
      </c>
      <c r="M285" s="10" t="n">
        <f aca="false">IFERROR(G285/F285,"")</f>
        <v>0.228050025523226</v>
      </c>
      <c r="N285" s="10" t="n">
        <f aca="false">IFERROR(H285/G285,"")</f>
        <v>0.999160604364857</v>
      </c>
      <c r="O285" s="11" t="n">
        <f aca="false">IFERROR(I285/H285,"")</f>
        <v>0.169326985904975</v>
      </c>
      <c r="P285" s="10" t="n">
        <f aca="false">IFERROR(J285/H285,"")</f>
        <v>0.0208158312330813</v>
      </c>
      <c r="Q285" s="10" t="n">
        <f aca="false">IFERROR(K285/H285,"")</f>
        <v>9.33445346774946E-005</v>
      </c>
      <c r="R285" s="10" t="n">
        <f aca="false">IFERROR(L285/H285,"")</f>
        <v>0.000653411742742462</v>
      </c>
      <c r="S285" s="11" t="n">
        <f aca="false">IFERROR(M285/MEDIAN(INDEX($M$5:$M$665,MATCH($A285-90,$A$5:$A$665,1)):INDEX($M$5:$M$665,MATCH($A285+90,$A$5:$A$665,1))),"")</f>
        <v>0.556685118298603</v>
      </c>
      <c r="T285" s="11" t="n">
        <f aca="false">IFERROR(N285/MEDIAN(INDEX($N$5:$N$665,MATCH($A285-90,$A$5:$A$665,1)):INDEX($N$5:$N$665,MATCH($A285+90,$A$5:$A$665,1))),"")</f>
        <v>0.999487031502131</v>
      </c>
      <c r="U285" s="11" t="n">
        <f aca="false">IFERROR(Q285/MEDIAN(INDEX($Q$5:$Q$665,MATCH($A285-90,$A$5:$A$665,1)):INDEX($Q$5:$Q$665,MATCH($A285+90,$A$5:$A$665,1))),"")</f>
        <v>0.101865110316707</v>
      </c>
    </row>
    <row r="286" customFormat="false" ht="15" hidden="false" customHeight="false" outlineLevel="0" collapsed="false">
      <c r="A286" s="13" t="n">
        <v>45212.8411445139</v>
      </c>
      <c r="B286" s="8" t="n">
        <v>20</v>
      </c>
      <c r="C286" s="8" t="s">
        <v>84</v>
      </c>
      <c r="D286" s="8" t="s">
        <v>962</v>
      </c>
      <c r="E286" s="14" t="s">
        <v>66</v>
      </c>
      <c r="F286" s="9" t="n">
        <v>10361</v>
      </c>
      <c r="G286" s="9" t="n">
        <v>6536</v>
      </c>
      <c r="H286" s="9" t="n">
        <v>6534</v>
      </c>
      <c r="I286" s="9" t="n">
        <v>1456</v>
      </c>
      <c r="J286" s="9" t="n">
        <v>288</v>
      </c>
      <c r="K286" s="9" t="n">
        <v>6</v>
      </c>
      <c r="L286" s="9" t="n">
        <v>3</v>
      </c>
      <c r="M286" s="10" t="n">
        <f aca="false">IFERROR(G286/F286,"")</f>
        <v>0.630827140237429</v>
      </c>
      <c r="N286" s="10" t="n">
        <f aca="false">IFERROR(H286/G286,"")</f>
        <v>0.999694002447981</v>
      </c>
      <c r="O286" s="11" t="n">
        <f aca="false">IFERROR(I286/H286,"")</f>
        <v>0.222834404652586</v>
      </c>
      <c r="P286" s="10" t="n">
        <f aca="false">IFERROR(J286/H286,"")</f>
        <v>0.0440771349862259</v>
      </c>
      <c r="Q286" s="10" t="n">
        <f aca="false">IFERROR(K286/H286,"")</f>
        <v>0.000918273645546373</v>
      </c>
      <c r="R286" s="10" t="n">
        <f aca="false">IFERROR(L286/H286,"")</f>
        <v>0.000459136822773186</v>
      </c>
      <c r="S286" s="11" t="n">
        <f aca="false">IFERROR(M286/MEDIAN(INDEX($M$5:$M$665,MATCH($A286-90,$A$5:$A$665,1)):INDEX($M$5:$M$665,MATCH($A286+90,$A$5:$A$665,1))),"")</f>
        <v>1.54773759960796</v>
      </c>
      <c r="T286" s="11" t="n">
        <f aca="false">IFERROR(N286/MEDIAN(INDEX($N$5:$N$665,MATCH($A286-90,$A$5:$A$665,1)):INDEX($N$5:$N$665,MATCH($A286+90,$A$5:$A$665,1))),"")</f>
        <v>1.00003387329443</v>
      </c>
      <c r="U286" s="11" t="n">
        <f aca="false">IFERROR(Q286/MEDIAN(INDEX($Q$5:$Q$665,MATCH($A286-90,$A$5:$A$665,1)):INDEX($Q$5:$Q$665,MATCH($A286+90,$A$5:$A$665,1))),"")</f>
        <v>1.00209451498887</v>
      </c>
    </row>
    <row r="287" customFormat="false" ht="15" hidden="false" customHeight="false" outlineLevel="0" collapsed="false">
      <c r="A287" s="13" t="n">
        <v>45214.4515409954</v>
      </c>
      <c r="B287" s="8" t="n">
        <v>10</v>
      </c>
      <c r="C287" s="8" t="s">
        <v>86</v>
      </c>
      <c r="D287" s="8" t="s">
        <v>963</v>
      </c>
      <c r="E287" s="14" t="s">
        <v>66</v>
      </c>
      <c r="F287" s="9" t="n">
        <v>11722</v>
      </c>
      <c r="G287" s="9" t="n">
        <v>5113</v>
      </c>
      <c r="H287" s="9" t="n">
        <v>5099</v>
      </c>
      <c r="I287" s="9" t="n">
        <v>1734</v>
      </c>
      <c r="J287" s="9" t="n">
        <v>216</v>
      </c>
      <c r="K287" s="9" t="n">
        <v>0</v>
      </c>
      <c r="L287" s="9" t="n">
        <v>7</v>
      </c>
      <c r="M287" s="10" t="n">
        <f aca="false">IFERROR(G287/F287,"")</f>
        <v>0.43618836376045</v>
      </c>
      <c r="N287" s="10" t="n">
        <f aca="false">IFERROR(H287/G287,"")</f>
        <v>0.997261881478584</v>
      </c>
      <c r="O287" s="11" t="n">
        <f aca="false">IFERROR(I287/H287,"")</f>
        <v>0.340066679741126</v>
      </c>
      <c r="P287" s="10" t="n">
        <f aca="false">IFERROR(J287/H287,"")</f>
        <v>0.0423612473033928</v>
      </c>
      <c r="Q287" s="10" t="n">
        <f aca="false">IFERROR(K287/H287,"")</f>
        <v>0</v>
      </c>
      <c r="R287" s="10" t="n">
        <f aca="false">IFERROR(L287/H287,"")</f>
        <v>0.00137281819964699</v>
      </c>
      <c r="S287" s="11" t="n">
        <f aca="false">IFERROR(M287/MEDIAN(INDEX($M$5:$M$665,MATCH($A287-90,$A$5:$A$665,1)):INDEX($M$5:$M$665,MATCH($A287+90,$A$5:$A$665,1))),"")</f>
        <v>1.07422821284818</v>
      </c>
      <c r="T287" s="11" t="n">
        <f aca="false">IFERROR(N287/MEDIAN(INDEX($N$5:$N$665,MATCH($A287-90,$A$5:$A$665,1)):INDEX($N$5:$N$665,MATCH($A287+90,$A$5:$A$665,1))),"")</f>
        <v>0.997591642037237</v>
      </c>
      <c r="U287" s="11" t="n">
        <f aca="false">IFERROR(Q287/MEDIAN(INDEX($Q$5:$Q$665,MATCH($A287-90,$A$5:$A$665,1)):INDEX($Q$5:$Q$665,MATCH($A287+90,$A$5:$A$665,1))),"")</f>
        <v>0</v>
      </c>
    </row>
    <row r="288" customFormat="false" ht="15" hidden="false" customHeight="false" outlineLevel="0" collapsed="false">
      <c r="A288" s="13" t="n">
        <v>45214.7980545486</v>
      </c>
      <c r="B288" s="8" t="n">
        <v>19</v>
      </c>
      <c r="C288" s="8" t="s">
        <v>86</v>
      </c>
      <c r="D288" s="8" t="s">
        <v>964</v>
      </c>
      <c r="E288" s="14" t="s">
        <v>66</v>
      </c>
      <c r="F288" s="9" t="n">
        <v>901077</v>
      </c>
      <c r="G288" s="9" t="n">
        <v>473336</v>
      </c>
      <c r="H288" s="9" t="n">
        <v>473336</v>
      </c>
      <c r="I288" s="9" t="n">
        <v>65015</v>
      </c>
      <c r="J288" s="9" t="n">
        <v>2724</v>
      </c>
      <c r="K288" s="9" t="n">
        <v>202</v>
      </c>
      <c r="L288" s="9" t="n">
        <v>242</v>
      </c>
      <c r="M288" s="10" t="n">
        <f aca="false">IFERROR(G288/F288,"")</f>
        <v>0.525300279554356</v>
      </c>
      <c r="N288" s="10" t="n">
        <f aca="false">IFERROR(H288/G288,"")</f>
        <v>1</v>
      </c>
      <c r="O288" s="11" t="n">
        <f aca="false">IFERROR(I288/H288,"")</f>
        <v>0.13735485997262</v>
      </c>
      <c r="P288" s="10" t="n">
        <f aca="false">IFERROR(J288/H288,"")</f>
        <v>0.00575489715550898</v>
      </c>
      <c r="Q288" s="10" t="n">
        <f aca="false">IFERROR(K288/H288,"")</f>
        <v>0.000426758159108963</v>
      </c>
      <c r="R288" s="10" t="n">
        <f aca="false">IFERROR(L288/H288,"")</f>
        <v>0.000511264725269153</v>
      </c>
      <c r="S288" s="11" t="n">
        <f aca="false">IFERROR(M288/MEDIAN(INDEX($M$5:$M$665,MATCH($A288-90,$A$5:$A$665,1)):INDEX($M$5:$M$665,MATCH($A288+90,$A$5:$A$665,1))),"")</f>
        <v>1.29368967032836</v>
      </c>
      <c r="T288" s="11" t="n">
        <f aca="false">IFERROR(N288/MEDIAN(INDEX($N$5:$N$665,MATCH($A288-90,$A$5:$A$665,1)):INDEX($N$5:$N$665,MATCH($A288+90,$A$5:$A$665,1))),"")</f>
        <v>1.00033066596125</v>
      </c>
      <c r="U288" s="11" t="n">
        <f aca="false">IFERROR(Q288/MEDIAN(INDEX($Q$5:$Q$665,MATCH($A288-90,$A$5:$A$665,1)):INDEX($Q$5:$Q$665,MATCH($A288+90,$A$5:$A$665,1))),"")</f>
        <v>0.46473963526966</v>
      </c>
    </row>
    <row r="289" customFormat="false" ht="15" hidden="false" customHeight="false" outlineLevel="0" collapsed="false">
      <c r="A289" s="13" t="n">
        <v>45215.9967787963</v>
      </c>
      <c r="B289" s="8" t="n">
        <v>23</v>
      </c>
      <c r="C289" s="8" t="s">
        <v>80</v>
      </c>
      <c r="D289" s="8" t="s">
        <v>965</v>
      </c>
      <c r="E289" s="14" t="s">
        <v>66</v>
      </c>
      <c r="F289" s="9" t="n">
        <v>65</v>
      </c>
      <c r="G289" s="9" t="n">
        <v>27</v>
      </c>
      <c r="H289" s="9" t="n">
        <v>27</v>
      </c>
      <c r="I289" s="9" t="n">
        <v>16</v>
      </c>
      <c r="J289" s="9" t="n">
        <v>0</v>
      </c>
      <c r="K289" s="9" t="n">
        <v>1</v>
      </c>
      <c r="L289" s="9" t="n">
        <v>0</v>
      </c>
      <c r="M289" s="10" t="n">
        <f aca="false">IFERROR(G289/F289,"")</f>
        <v>0.415384615384615</v>
      </c>
      <c r="N289" s="10" t="n">
        <f aca="false">IFERROR(H289/G289,"")</f>
        <v>1</v>
      </c>
      <c r="O289" s="11" t="n">
        <f aca="false">IFERROR(I289/H289,"")</f>
        <v>0.592592592592593</v>
      </c>
      <c r="P289" s="10" t="n">
        <f aca="false">IFERROR(J289/H289,"")</f>
        <v>0</v>
      </c>
      <c r="Q289" s="10" t="n">
        <f aca="false">IFERROR(K289/H289,"")</f>
        <v>0.037037037037037</v>
      </c>
      <c r="R289" s="10" t="n">
        <f aca="false">IFERROR(L289/H289,"")</f>
        <v>0</v>
      </c>
      <c r="S289" s="11" t="n">
        <f aca="false">IFERROR(M289/MEDIAN(INDEX($M$5:$M$665,MATCH($A289-90,$A$5:$A$665,1)):INDEX($M$5:$M$665,MATCH($A289+90,$A$5:$A$665,1))),"")</f>
        <v>1.01914826823634</v>
      </c>
      <c r="T289" s="11" t="n">
        <f aca="false">IFERROR(N289/MEDIAN(INDEX($N$5:$N$665,MATCH($A289-90,$A$5:$A$665,1)):INDEX($N$5:$N$665,MATCH($A289+90,$A$5:$A$665,1))),"")</f>
        <v>1.00032670136898</v>
      </c>
      <c r="U289" s="11" t="n">
        <f aca="false">IFERROR(Q289/MEDIAN(INDEX($Q$5:$Q$665,MATCH($A289-90,$A$5:$A$665,1)):INDEX($Q$5:$Q$665,MATCH($A289+90,$A$5:$A$665,1))),"")</f>
        <v>40.2250185426737</v>
      </c>
    </row>
    <row r="290" customFormat="false" ht="15" hidden="false" customHeight="false" outlineLevel="0" collapsed="false">
      <c r="A290" s="13" t="n">
        <v>45216.4959170486</v>
      </c>
      <c r="B290" s="8" t="n">
        <v>11</v>
      </c>
      <c r="C290" s="8" t="s">
        <v>64</v>
      </c>
      <c r="D290" s="8" t="s">
        <v>965</v>
      </c>
      <c r="E290" s="14" t="s">
        <v>66</v>
      </c>
      <c r="F290" s="9" t="n">
        <v>6</v>
      </c>
      <c r="G290" s="9" t="n">
        <v>4</v>
      </c>
      <c r="H290" s="9" t="n">
        <v>4</v>
      </c>
      <c r="I290" s="9" t="n">
        <v>3</v>
      </c>
      <c r="J290" s="9" t="n">
        <v>0</v>
      </c>
      <c r="K290" s="9" t="n">
        <v>0</v>
      </c>
      <c r="L290" s="9" t="n">
        <v>0</v>
      </c>
      <c r="M290" s="10" t="n">
        <f aca="false">IFERROR(G290/F290,"")</f>
        <v>0.666666666666667</v>
      </c>
      <c r="N290" s="10" t="n">
        <f aca="false">IFERROR(H290/G290,"")</f>
        <v>1</v>
      </c>
      <c r="O290" s="11" t="n">
        <f aca="false">IFERROR(I290/H290,"")</f>
        <v>0.75</v>
      </c>
      <c r="P290" s="10" t="n">
        <f aca="false">IFERROR(J290/H290,"")</f>
        <v>0</v>
      </c>
      <c r="Q290" s="10" t="n">
        <f aca="false">IFERROR(K290/H290,"")</f>
        <v>0</v>
      </c>
      <c r="R290" s="10" t="n">
        <f aca="false">IFERROR(L290/H290,"")</f>
        <v>0</v>
      </c>
      <c r="S290" s="11" t="n">
        <f aca="false">IFERROR(M290/MEDIAN(INDEX($M$5:$M$665,MATCH($A290-90,$A$5:$A$665,1)):INDEX($M$5:$M$665,MATCH($A290+90,$A$5:$A$665,1))),"")</f>
        <v>1.6356700601324</v>
      </c>
      <c r="T290" s="11" t="n">
        <f aca="false">IFERROR(N290/MEDIAN(INDEX($N$5:$N$665,MATCH($A290-90,$A$5:$A$665,1)):INDEX($N$5:$N$665,MATCH($A290+90,$A$5:$A$665,1))),"")</f>
        <v>1.00032670136898</v>
      </c>
      <c r="U290" s="11" t="n">
        <f aca="false">IFERROR(Q290/MEDIAN(INDEX($Q$5:$Q$665,MATCH($A290-90,$A$5:$A$665,1)):INDEX($Q$5:$Q$665,MATCH($A290+90,$A$5:$A$665,1))),"")</f>
        <v>0</v>
      </c>
    </row>
    <row r="291" customFormat="false" ht="15" hidden="false" customHeight="false" outlineLevel="0" collapsed="false">
      <c r="A291" s="13" t="n">
        <v>45216.5162997569</v>
      </c>
      <c r="B291" s="8" t="n">
        <v>12</v>
      </c>
      <c r="C291" s="8" t="s">
        <v>64</v>
      </c>
      <c r="D291" s="8" t="s">
        <v>965</v>
      </c>
      <c r="E291" s="14" t="s">
        <v>66</v>
      </c>
      <c r="F291" s="9" t="n">
        <v>4630</v>
      </c>
      <c r="G291" s="9" t="n">
        <v>1748</v>
      </c>
      <c r="H291" s="9" t="n">
        <v>1742</v>
      </c>
      <c r="I291" s="9" t="n">
        <v>0</v>
      </c>
      <c r="J291" s="9" t="n">
        <v>71</v>
      </c>
      <c r="K291" s="9" t="n">
        <v>1</v>
      </c>
      <c r="L291" s="9" t="n">
        <v>1</v>
      </c>
      <c r="M291" s="10" t="n">
        <f aca="false">IFERROR(G291/F291,"")</f>
        <v>0.377537796976242</v>
      </c>
      <c r="N291" s="10" t="n">
        <f aca="false">IFERROR(H291/G291,"")</f>
        <v>0.996567505720824</v>
      </c>
      <c r="O291" s="11" t="n">
        <f aca="false">IFERROR(I291/H291,"")</f>
        <v>0</v>
      </c>
      <c r="P291" s="10" t="n">
        <f aca="false">IFERROR(J291/H291,"")</f>
        <v>0.0407577497129736</v>
      </c>
      <c r="Q291" s="10" t="n">
        <f aca="false">IFERROR(K291/H291,"")</f>
        <v>0.000574052812858783</v>
      </c>
      <c r="R291" s="10" t="n">
        <f aca="false">IFERROR(L291/H291,"")</f>
        <v>0.000574052812858783</v>
      </c>
      <c r="S291" s="11" t="n">
        <f aca="false">IFERROR(M291/MEDIAN(INDEX($M$5:$M$665,MATCH($A291-90,$A$5:$A$665,1)):INDEX($M$5:$M$665,MATCH($A291+90,$A$5:$A$665,1))),"")</f>
        <v>0.926290906623576</v>
      </c>
      <c r="T291" s="11" t="n">
        <f aca="false">IFERROR(N291/MEDIAN(INDEX($N$5:$N$665,MATCH($A291-90,$A$5:$A$665,1)):INDEX($N$5:$N$665,MATCH($A291+90,$A$5:$A$665,1))),"")</f>
        <v>0.99689308568922</v>
      </c>
      <c r="U291" s="11" t="n">
        <f aca="false">IFERROR(Q291/MEDIAN(INDEX($Q$5:$Q$665,MATCH($A291-90,$A$5:$A$665,1)):INDEX($Q$5:$Q$665,MATCH($A291+90,$A$5:$A$665,1))),"")</f>
        <v>0.623464696126401</v>
      </c>
    </row>
    <row r="292" customFormat="false" ht="15" hidden="false" customHeight="false" outlineLevel="0" collapsed="false">
      <c r="A292" s="13" t="n">
        <v>45217.4351811574</v>
      </c>
      <c r="B292" s="8" t="n">
        <v>10</v>
      </c>
      <c r="C292" s="8" t="s">
        <v>71</v>
      </c>
      <c r="D292" s="8" t="s">
        <v>966</v>
      </c>
      <c r="E292" s="14" t="s">
        <v>66</v>
      </c>
      <c r="F292" s="9" t="n">
        <v>9303</v>
      </c>
      <c r="G292" s="9" t="n">
        <v>3735</v>
      </c>
      <c r="H292" s="9" t="n">
        <v>3736</v>
      </c>
      <c r="I292" s="9" t="n">
        <v>585</v>
      </c>
      <c r="J292" s="9" t="n">
        <v>215</v>
      </c>
      <c r="K292" s="9" t="n">
        <v>12</v>
      </c>
      <c r="L292" s="9" t="n">
        <v>5</v>
      </c>
      <c r="M292" s="10" t="n">
        <f aca="false">IFERROR(G292/F292,"")</f>
        <v>0.401483392454047</v>
      </c>
      <c r="N292" s="10" t="n">
        <f aca="false">IFERROR(H292/G292,"")</f>
        <v>1.00026773761714</v>
      </c>
      <c r="O292" s="11" t="n">
        <f aca="false">IFERROR(I292/H292,"")</f>
        <v>0.156584582441113</v>
      </c>
      <c r="P292" s="10" t="n">
        <f aca="false">IFERROR(J292/H292,"")</f>
        <v>0.0575481798715203</v>
      </c>
      <c r="Q292" s="10" t="n">
        <f aca="false">IFERROR(K292/H292,"")</f>
        <v>0.00321199143468951</v>
      </c>
      <c r="R292" s="10" t="n">
        <f aca="false">IFERROR(L292/H292,"")</f>
        <v>0.00133832976445396</v>
      </c>
      <c r="S292" s="11" t="n">
        <f aca="false">IFERROR(M292/MEDIAN(INDEX($M$5:$M$665,MATCH($A292-90,$A$5:$A$665,1)):INDEX($M$5:$M$665,MATCH($A292+90,$A$5:$A$665,1))),"")</f>
        <v>0.990224635706248</v>
      </c>
      <c r="T292" s="11" t="n">
        <f aca="false">IFERROR(N292/MEDIAN(INDEX($N$5:$N$665,MATCH($A292-90,$A$5:$A$665,1)):INDEX($N$5:$N$665,MATCH($A292+90,$A$5:$A$665,1))),"")</f>
        <v>1.00058223573999</v>
      </c>
      <c r="U292" s="11" t="n">
        <f aca="false">IFERROR(Q292/MEDIAN(INDEX($Q$5:$Q$665,MATCH($A292-90,$A$5:$A$665,1)):INDEX($Q$5:$Q$665,MATCH($A292+90,$A$5:$A$665,1))),"")</f>
        <v>3.47604117139929</v>
      </c>
    </row>
    <row r="293" customFormat="false" ht="15" hidden="false" customHeight="false" outlineLevel="0" collapsed="false">
      <c r="A293" s="13" t="n">
        <v>45218.6758551736</v>
      </c>
      <c r="B293" s="8" t="n">
        <v>16</v>
      </c>
      <c r="C293" s="8" t="s">
        <v>73</v>
      </c>
      <c r="D293" s="8" t="s">
        <v>967</v>
      </c>
      <c r="E293" s="14" t="s">
        <v>66</v>
      </c>
      <c r="F293" s="9" t="n">
        <v>5950</v>
      </c>
      <c r="G293" s="9" t="n">
        <v>2564</v>
      </c>
      <c r="H293" s="9" t="n">
        <v>2556</v>
      </c>
      <c r="I293" s="9" t="n">
        <v>492</v>
      </c>
      <c r="J293" s="9" t="n">
        <v>107</v>
      </c>
      <c r="K293" s="9" t="n">
        <v>2</v>
      </c>
      <c r="L293" s="9" t="n">
        <v>2</v>
      </c>
      <c r="M293" s="10" t="n">
        <f aca="false">IFERROR(G293/F293,"")</f>
        <v>0.430924369747899</v>
      </c>
      <c r="N293" s="10" t="n">
        <f aca="false">IFERROR(H293/G293,"")</f>
        <v>0.996879875195008</v>
      </c>
      <c r="O293" s="11" t="n">
        <f aca="false">IFERROR(I293/H293,"")</f>
        <v>0.192488262910798</v>
      </c>
      <c r="P293" s="10" t="n">
        <f aca="false">IFERROR(J293/H293,"")</f>
        <v>0.0418622848200313</v>
      </c>
      <c r="Q293" s="10" t="n">
        <f aca="false">IFERROR(K293/H293,"")</f>
        <v>0.000782472613458529</v>
      </c>
      <c r="R293" s="10" t="n">
        <f aca="false">IFERROR(L293/H293,"")</f>
        <v>0.000782472613458529</v>
      </c>
      <c r="S293" s="11" t="n">
        <f aca="false">IFERROR(M293/MEDIAN(INDEX($M$5:$M$665,MATCH($A293-90,$A$5:$A$665,1)):INDEX($M$5:$M$665,MATCH($A293+90,$A$5:$A$665,1))),"")</f>
        <v>1.06441703245067</v>
      </c>
      <c r="T293" s="11" t="n">
        <f aca="false">IFERROR(N293/MEDIAN(INDEX($N$5:$N$665,MATCH($A293-90,$A$5:$A$665,1)):INDEX($N$5:$N$665,MATCH($A293+90,$A$5:$A$665,1))),"")</f>
        <v>0.997185011367397</v>
      </c>
      <c r="U293" s="11" t="n">
        <f aca="false">IFERROR(Q293/MEDIAN(INDEX($Q$5:$Q$665,MATCH($A293-90,$A$5:$A$665,1)):INDEX($Q$5:$Q$665,MATCH($A293+90,$A$5:$A$665,1))),"")</f>
        <v>0.852112676056338</v>
      </c>
    </row>
    <row r="294" customFormat="false" ht="15" hidden="false" customHeight="false" outlineLevel="0" collapsed="false">
      <c r="A294" s="13" t="n">
        <v>45219.8533437616</v>
      </c>
      <c r="B294" s="8" t="n">
        <v>20</v>
      </c>
      <c r="C294" s="8" t="s">
        <v>84</v>
      </c>
      <c r="D294" s="8" t="s">
        <v>968</v>
      </c>
      <c r="E294" s="14" t="s">
        <v>66</v>
      </c>
      <c r="F294" s="9" t="n">
        <v>21279</v>
      </c>
      <c r="G294" s="9" t="n">
        <v>7426</v>
      </c>
      <c r="H294" s="9" t="n">
        <v>7419</v>
      </c>
      <c r="I294" s="9" t="n">
        <v>2238</v>
      </c>
      <c r="J294" s="9" t="n">
        <v>243</v>
      </c>
      <c r="K294" s="9" t="n">
        <v>6</v>
      </c>
      <c r="L294" s="9" t="n">
        <v>5</v>
      </c>
      <c r="M294" s="10" t="n">
        <f aca="false">IFERROR(G294/F294,"")</f>
        <v>0.348982564970158</v>
      </c>
      <c r="N294" s="10" t="n">
        <f aca="false">IFERROR(H294/G294,"")</f>
        <v>0.999057366011312</v>
      </c>
      <c r="O294" s="11" t="n">
        <f aca="false">IFERROR(I294/H294,"")</f>
        <v>0.301657905378083</v>
      </c>
      <c r="P294" s="10" t="n">
        <f aca="false">IFERROR(J294/H294,"")</f>
        <v>0.0327537403962798</v>
      </c>
      <c r="Q294" s="10" t="n">
        <f aca="false">IFERROR(K294/H294,"")</f>
        <v>0.000808734330772341</v>
      </c>
      <c r="R294" s="10" t="n">
        <f aca="false">IFERROR(L294/H294,"")</f>
        <v>0.000673945275643618</v>
      </c>
      <c r="S294" s="11" t="n">
        <f aca="false">IFERROR(M294/MEDIAN(INDEX($M$5:$M$665,MATCH($A294-90,$A$5:$A$665,1)):INDEX($M$5:$M$665,MATCH($A294+90,$A$5:$A$665,1))),"")</f>
        <v>0.862014340010232</v>
      </c>
      <c r="T294" s="11" t="n">
        <f aca="false">IFERROR(N294/MEDIAN(INDEX($N$5:$N$665,MATCH($A294-90,$A$5:$A$665,1)):INDEX($N$5:$N$665,MATCH($A294+90,$A$5:$A$665,1))),"")</f>
        <v>0.999363168694511</v>
      </c>
      <c r="U294" s="11" t="n">
        <f aca="false">IFERROR(Q294/MEDIAN(INDEX($Q$5:$Q$665,MATCH($A294-90,$A$5:$A$665,1)):INDEX($Q$5:$Q$665,MATCH($A294+90,$A$5:$A$665,1))),"")</f>
        <v>0.884408757437468</v>
      </c>
    </row>
    <row r="295" customFormat="false" ht="15" hidden="false" customHeight="false" outlineLevel="0" collapsed="false">
      <c r="A295" s="13" t="n">
        <v>45220.4821940509</v>
      </c>
      <c r="B295" s="8" t="n">
        <v>11</v>
      </c>
      <c r="C295" s="8" t="s">
        <v>68</v>
      </c>
      <c r="D295" s="8" t="s">
        <v>969</v>
      </c>
      <c r="E295" s="14" t="s">
        <v>66</v>
      </c>
      <c r="F295" s="9" t="n">
        <v>121276</v>
      </c>
      <c r="G295" s="9" t="n">
        <v>72055</v>
      </c>
      <c r="H295" s="9" t="n">
        <v>72049</v>
      </c>
      <c r="I295" s="9" t="n">
        <v>14067</v>
      </c>
      <c r="J295" s="9" t="n">
        <v>1585</v>
      </c>
      <c r="K295" s="9" t="n">
        <v>78</v>
      </c>
      <c r="L295" s="9" t="n">
        <v>283</v>
      </c>
      <c r="M295" s="10" t="n">
        <f aca="false">IFERROR(G295/F295,"")</f>
        <v>0.594140637883835</v>
      </c>
      <c r="N295" s="10" t="n">
        <f aca="false">IFERROR(H295/G295,"")</f>
        <v>0.999916730275484</v>
      </c>
      <c r="O295" s="11" t="n">
        <f aca="false">IFERROR(I295/H295,"")</f>
        <v>0.195242126885869</v>
      </c>
      <c r="P295" s="10" t="n">
        <f aca="false">IFERROR(J295/H295,"")</f>
        <v>0.0219989174034338</v>
      </c>
      <c r="Q295" s="10" t="n">
        <f aca="false">IFERROR(K295/H295,"")</f>
        <v>0.00108259656622576</v>
      </c>
      <c r="R295" s="10" t="n">
        <f aca="false">IFERROR(L295/H295,"")</f>
        <v>0.00392788241335758</v>
      </c>
      <c r="S295" s="11" t="n">
        <f aca="false">IFERROR(M295/MEDIAN(INDEX($M$5:$M$665,MATCH($A295-90,$A$5:$A$665,1)):INDEX($M$5:$M$665,MATCH($A295+90,$A$5:$A$665,1))),"")</f>
        <v>1.467574031621</v>
      </c>
      <c r="T295" s="11" t="n">
        <f aca="false">IFERROR(N295/MEDIAN(INDEX($N$5:$N$665,MATCH($A295-90,$A$5:$A$665,1)):INDEX($N$5:$N$665,MATCH($A295+90,$A$5:$A$665,1))),"")</f>
        <v>1.00022279600254</v>
      </c>
      <c r="U295" s="11" t="n">
        <f aca="false">IFERROR(Q295/MEDIAN(INDEX($Q$5:$Q$665,MATCH($A295-90,$A$5:$A$665,1)):INDEX($Q$5:$Q$665,MATCH($A295+90,$A$5:$A$665,1))),"")</f>
        <v>1.18389667349403</v>
      </c>
    </row>
    <row r="296" customFormat="false" ht="15" hidden="false" customHeight="false" outlineLevel="0" collapsed="false">
      <c r="A296" s="13" t="n">
        <v>45221.8766347107</v>
      </c>
      <c r="B296" s="8" t="n">
        <v>21</v>
      </c>
      <c r="C296" s="8" t="s">
        <v>86</v>
      </c>
      <c r="D296" s="8" t="s">
        <v>970</v>
      </c>
      <c r="E296" s="14" t="s">
        <v>66</v>
      </c>
      <c r="F296" s="9" t="n">
        <v>10608</v>
      </c>
      <c r="G296" s="9" t="n">
        <v>4056</v>
      </c>
      <c r="H296" s="9" t="n">
        <v>4054</v>
      </c>
      <c r="I296" s="9" t="n">
        <v>1113</v>
      </c>
      <c r="J296" s="9" t="n">
        <v>130</v>
      </c>
      <c r="K296" s="9" t="n">
        <v>5</v>
      </c>
      <c r="L296" s="9" t="n">
        <v>4</v>
      </c>
      <c r="M296" s="10" t="n">
        <f aca="false">IFERROR(G296/F296,"")</f>
        <v>0.382352941176471</v>
      </c>
      <c r="N296" s="10" t="n">
        <f aca="false">IFERROR(H296/G296,"")</f>
        <v>0.999506903353057</v>
      </c>
      <c r="O296" s="11" t="n">
        <f aca="false">IFERROR(I296/H296,"")</f>
        <v>0.274543660582141</v>
      </c>
      <c r="P296" s="10" t="n">
        <f aca="false">IFERROR(J296/H296,"")</f>
        <v>0.032067094227923</v>
      </c>
      <c r="Q296" s="10" t="n">
        <f aca="false">IFERROR(K296/H296,"")</f>
        <v>0.00123334977799704</v>
      </c>
      <c r="R296" s="10" t="n">
        <f aca="false">IFERROR(L296/H296,"")</f>
        <v>0.000986679822397632</v>
      </c>
      <c r="S296" s="11" t="n">
        <f aca="false">IFERROR(M296/MEDIAN(INDEX($M$5:$M$665,MATCH($A296-90,$A$5:$A$665,1)):INDEX($M$5:$M$665,MATCH($A296+90,$A$5:$A$665,1))),"")</f>
        <v>0.951074600197934</v>
      </c>
      <c r="T296" s="11" t="n">
        <f aca="false">IFERROR(N296/MEDIAN(INDEX($N$5:$N$665,MATCH($A296-90,$A$5:$A$665,1)):INDEX($N$5:$N$665,MATCH($A296+90,$A$5:$A$665,1))),"")</f>
        <v>0.999821162259007</v>
      </c>
      <c r="U296" s="11" t="n">
        <f aca="false">IFERROR(Q296/MEDIAN(INDEX($Q$5:$Q$665,MATCH($A296-90,$A$5:$A$665,1)):INDEX($Q$5:$Q$665,MATCH($A296+90,$A$5:$A$665,1))),"")</f>
        <v>1.3645582429539</v>
      </c>
    </row>
    <row r="297" customFormat="false" ht="15" hidden="false" customHeight="false" outlineLevel="0" collapsed="false">
      <c r="A297" s="13" t="n">
        <v>45222.4873261574</v>
      </c>
      <c r="B297" s="8" t="n">
        <v>11</v>
      </c>
      <c r="C297" s="8" t="s">
        <v>80</v>
      </c>
      <c r="D297" s="8" t="s">
        <v>971</v>
      </c>
      <c r="E297" s="14" t="s">
        <v>66</v>
      </c>
      <c r="F297" s="9" t="n">
        <v>7456</v>
      </c>
      <c r="G297" s="9" t="n">
        <v>3250</v>
      </c>
      <c r="H297" s="9" t="n">
        <v>3245</v>
      </c>
      <c r="I297" s="9" t="n">
        <v>452</v>
      </c>
      <c r="J297" s="9" t="n">
        <v>216</v>
      </c>
      <c r="K297" s="9" t="n">
        <v>8</v>
      </c>
      <c r="L297" s="9" t="n">
        <v>4</v>
      </c>
      <c r="M297" s="10" t="n">
        <f aca="false">IFERROR(G297/F297,"")</f>
        <v>0.435890557939914</v>
      </c>
      <c r="N297" s="10" t="n">
        <f aca="false">IFERROR(H297/G297,"")</f>
        <v>0.998461538461539</v>
      </c>
      <c r="O297" s="11" t="n">
        <f aca="false">IFERROR(I297/H297,"")</f>
        <v>0.139291217257319</v>
      </c>
      <c r="P297" s="10" t="n">
        <f aca="false">IFERROR(J297/H297,"")</f>
        <v>0.0665639445300462</v>
      </c>
      <c r="Q297" s="10" t="n">
        <f aca="false">IFERROR(K297/H297,"")</f>
        <v>0.0024653312788906</v>
      </c>
      <c r="R297" s="10" t="n">
        <f aca="false">IFERROR(L297/H297,"")</f>
        <v>0.0012326656394453</v>
      </c>
      <c r="S297" s="11" t="n">
        <f aca="false">IFERROR(M297/MEDIAN(INDEX($M$5:$M$665,MATCH($A297-90,$A$5:$A$665,1)):INDEX($M$5:$M$665,MATCH($A297+90,$A$5:$A$665,1))),"")</f>
        <v>1.08424545355183</v>
      </c>
      <c r="T297" s="11" t="n">
        <f aca="false">IFERROR(N297/MEDIAN(INDEX($N$5:$N$665,MATCH($A297-90,$A$5:$A$665,1)):INDEX($N$5:$N$665,MATCH($A297+90,$A$5:$A$665,1))),"")</f>
        <v>0.998775468690191</v>
      </c>
      <c r="U297" s="11" t="n">
        <f aca="false">IFERROR(Q297/MEDIAN(INDEX($Q$5:$Q$665,MATCH($A297-90,$A$5:$A$665,1)):INDEX($Q$5:$Q$665,MATCH($A297+90,$A$5:$A$665,1))),"")</f>
        <v>2.72760264625459</v>
      </c>
    </row>
    <row r="298" customFormat="false" ht="15" hidden="false" customHeight="false" outlineLevel="0" collapsed="false">
      <c r="A298" s="13" t="n">
        <v>45224.4646251157</v>
      </c>
      <c r="B298" s="8" t="n">
        <v>11</v>
      </c>
      <c r="C298" s="8" t="s">
        <v>71</v>
      </c>
      <c r="D298" s="8" t="s">
        <v>972</v>
      </c>
      <c r="E298" s="14" t="s">
        <v>66</v>
      </c>
      <c r="F298" s="9" t="n">
        <v>10956</v>
      </c>
      <c r="G298" s="9" t="n">
        <v>4712</v>
      </c>
      <c r="H298" s="9" t="n">
        <v>4745</v>
      </c>
      <c r="I298" s="9" t="n">
        <v>840</v>
      </c>
      <c r="J298" s="9" t="n">
        <v>99</v>
      </c>
      <c r="K298" s="9" t="n">
        <v>4</v>
      </c>
      <c r="L298" s="9" t="n">
        <v>1</v>
      </c>
      <c r="M298" s="10" t="n">
        <f aca="false">IFERROR(G298/F298,"")</f>
        <v>0.430083972252647</v>
      </c>
      <c r="N298" s="10" t="n">
        <f aca="false">IFERROR(H298/G298,"")</f>
        <v>1.00700339558574</v>
      </c>
      <c r="O298" s="11" t="n">
        <f aca="false">IFERROR(I298/H298,"")</f>
        <v>0.177028451001054</v>
      </c>
      <c r="P298" s="10" t="n">
        <f aca="false">IFERROR(J298/H298,"")</f>
        <v>0.0208640674394099</v>
      </c>
      <c r="Q298" s="10" t="n">
        <f aca="false">IFERROR(K298/H298,"")</f>
        <v>0.000842992623814542</v>
      </c>
      <c r="R298" s="10" t="n">
        <f aca="false">IFERROR(L298/H298,"")</f>
        <v>0.000210748155953635</v>
      </c>
      <c r="S298" s="11" t="n">
        <f aca="false">IFERROR(M298/MEDIAN(INDEX($M$5:$M$665,MATCH($A298-90,$A$5:$A$665,1)):INDEX($M$5:$M$665,MATCH($A298+90,$A$5:$A$665,1))),"")</f>
        <v>1.0712372674341</v>
      </c>
      <c r="T298" s="11" t="n">
        <f aca="false">IFERROR(N298/MEDIAN(INDEX($N$5:$N$665,MATCH($A298-90,$A$5:$A$665,1)):INDEX($N$5:$N$665,MATCH($A298+90,$A$5:$A$665,1))),"")</f>
        <v>1.00731163047879</v>
      </c>
      <c r="U298" s="11" t="n">
        <f aca="false">IFERROR(Q298/MEDIAN(INDEX($Q$5:$Q$665,MATCH($A298-90,$A$5:$A$665,1)):INDEX($Q$5:$Q$665,MATCH($A298+90,$A$5:$A$665,1))),"")</f>
        <v>0.94373024236038</v>
      </c>
    </row>
    <row r="299" customFormat="false" ht="15" hidden="false" customHeight="false" outlineLevel="0" collapsed="false">
      <c r="A299" s="13" t="n">
        <v>45224.560369213</v>
      </c>
      <c r="B299" s="8" t="n">
        <v>13</v>
      </c>
      <c r="C299" s="8" t="s">
        <v>71</v>
      </c>
      <c r="D299" s="8" t="s">
        <v>973</v>
      </c>
      <c r="E299" s="14" t="s">
        <v>66</v>
      </c>
      <c r="F299" s="9" t="n">
        <v>8280</v>
      </c>
      <c r="G299" s="9" t="n">
        <v>4111</v>
      </c>
      <c r="H299" s="9" t="n">
        <v>4109</v>
      </c>
      <c r="I299" s="9" t="n">
        <v>783</v>
      </c>
      <c r="J299" s="9" t="n">
        <v>145</v>
      </c>
      <c r="K299" s="9" t="n">
        <v>11</v>
      </c>
      <c r="L299" s="9" t="n">
        <v>3</v>
      </c>
      <c r="M299" s="10" t="n">
        <f aca="false">IFERROR(G299/F299,"")</f>
        <v>0.496497584541063</v>
      </c>
      <c r="N299" s="10" t="n">
        <f aca="false">IFERROR(H299/G299,"")</f>
        <v>0.999513500364875</v>
      </c>
      <c r="O299" s="11" t="n">
        <f aca="false">IFERROR(I299/H299,"")</f>
        <v>0.190557313214894</v>
      </c>
      <c r="P299" s="10" t="n">
        <f aca="false">IFERROR(J299/H299,"")</f>
        <v>0.0352883913360915</v>
      </c>
      <c r="Q299" s="10" t="n">
        <f aca="false">IFERROR(K299/H299,"")</f>
        <v>0.00267705037722074</v>
      </c>
      <c r="R299" s="10" t="n">
        <f aca="false">IFERROR(L299/H299,"")</f>
        <v>0.000730104648332928</v>
      </c>
      <c r="S299" s="11" t="n">
        <f aca="false">IFERROR(M299/MEDIAN(INDEX($M$5:$M$665,MATCH($A299-90,$A$5:$A$665,1)):INDEX($M$5:$M$665,MATCH($A299+90,$A$5:$A$665,1))),"")</f>
        <v>1.2582199769568</v>
      </c>
      <c r="T299" s="11" t="n">
        <f aca="false">IFERROR(N299/MEDIAN(INDEX($N$5:$N$665,MATCH($A299-90,$A$5:$A$665,1)):INDEX($N$5:$N$665,MATCH($A299+90,$A$5:$A$665,1))),"")</f>
        <v>0.999813502004273</v>
      </c>
      <c r="U299" s="11" t="n">
        <f aca="false">IFERROR(Q299/MEDIAN(INDEX($Q$5:$Q$665,MATCH($A299-90,$A$5:$A$665,1)):INDEX($Q$5:$Q$665,MATCH($A299+90,$A$5:$A$665,1))),"")</f>
        <v>3.05112713912242</v>
      </c>
    </row>
    <row r="300" customFormat="false" ht="15" hidden="false" customHeight="false" outlineLevel="0" collapsed="false">
      <c r="A300" s="13" t="n">
        <v>45225.8035945949</v>
      </c>
      <c r="B300" s="8" t="n">
        <v>19</v>
      </c>
      <c r="C300" s="8" t="s">
        <v>73</v>
      </c>
      <c r="D300" s="8" t="s">
        <v>974</v>
      </c>
      <c r="E300" s="14" t="s">
        <v>66</v>
      </c>
      <c r="F300" s="9" t="n">
        <v>10137</v>
      </c>
      <c r="G300" s="9" t="n">
        <v>4822</v>
      </c>
      <c r="H300" s="9" t="n">
        <v>4820</v>
      </c>
      <c r="I300" s="9" t="n">
        <v>834</v>
      </c>
      <c r="J300" s="9" t="n">
        <v>179</v>
      </c>
      <c r="K300" s="9" t="n">
        <v>7</v>
      </c>
      <c r="L300" s="9" t="n">
        <v>9</v>
      </c>
      <c r="M300" s="10" t="n">
        <f aca="false">IFERROR(G300/F300,"")</f>
        <v>0.475683140968728</v>
      </c>
      <c r="N300" s="10" t="n">
        <f aca="false">IFERROR(H300/G300,"")</f>
        <v>0.999585234342596</v>
      </c>
      <c r="O300" s="11" t="n">
        <f aca="false">IFERROR(I300/H300,"")</f>
        <v>0.173029045643154</v>
      </c>
      <c r="P300" s="10" t="n">
        <f aca="false">IFERROR(J300/H300,"")</f>
        <v>0.0371369294605809</v>
      </c>
      <c r="Q300" s="10" t="n">
        <f aca="false">IFERROR(K300/H300,"")</f>
        <v>0.00145228215767635</v>
      </c>
      <c r="R300" s="10" t="n">
        <f aca="false">IFERROR(L300/H300,"")</f>
        <v>0.00186721991701245</v>
      </c>
      <c r="S300" s="11" t="n">
        <f aca="false">IFERROR(M300/MEDIAN(INDEX($M$5:$M$665,MATCH($A300-90,$A$5:$A$665,1)):INDEX($M$5:$M$665,MATCH($A300+90,$A$5:$A$665,1))),"")</f>
        <v>1.20547219020541</v>
      </c>
      <c r="T300" s="11" t="n">
        <f aca="false">IFERROR(N300/MEDIAN(INDEX($N$5:$N$665,MATCH($A300-90,$A$5:$A$665,1)):INDEX($N$5:$N$665,MATCH($A300+90,$A$5:$A$665,1))),"")</f>
        <v>0.99988525751278</v>
      </c>
      <c r="U300" s="11" t="n">
        <f aca="false">IFERROR(Q300/MEDIAN(INDEX($Q$5:$Q$665,MATCH($A300-90,$A$5:$A$665,1)):INDEX($Q$5:$Q$665,MATCH($A300+90,$A$5:$A$665,1))),"")</f>
        <v>1.65521633162162</v>
      </c>
    </row>
    <row r="301" customFormat="false" ht="15" hidden="false" customHeight="false" outlineLevel="0" collapsed="false">
      <c r="A301" s="13" t="n">
        <v>45226.6581532639</v>
      </c>
      <c r="B301" s="8" t="n">
        <v>15</v>
      </c>
      <c r="C301" s="8" t="s">
        <v>84</v>
      </c>
      <c r="D301" s="8" t="s">
        <v>975</v>
      </c>
      <c r="E301" s="14" t="s">
        <v>66</v>
      </c>
      <c r="F301" s="9" t="n">
        <v>79583</v>
      </c>
      <c r="G301" s="9" t="n">
        <v>49757</v>
      </c>
      <c r="H301" s="9" t="n">
        <v>49761</v>
      </c>
      <c r="I301" s="9" t="n">
        <v>11970</v>
      </c>
      <c r="J301" s="9" t="n">
        <v>818</v>
      </c>
      <c r="K301" s="9" t="n">
        <v>72</v>
      </c>
      <c r="L301" s="9" t="n">
        <v>61</v>
      </c>
      <c r="M301" s="10" t="n">
        <f aca="false">IFERROR(G301/F301,"")</f>
        <v>0.625221466896196</v>
      </c>
      <c r="N301" s="10" t="n">
        <f aca="false">IFERROR(H301/G301,"")</f>
        <v>1.0000803906988</v>
      </c>
      <c r="O301" s="11" t="n">
        <f aca="false">IFERROR(I301/H301,"")</f>
        <v>0.240549828178694</v>
      </c>
      <c r="P301" s="10" t="n">
        <f aca="false">IFERROR(J301/H301,"")</f>
        <v>0.0164385763951689</v>
      </c>
      <c r="Q301" s="10" t="n">
        <f aca="false">IFERROR(K301/H301,"")</f>
        <v>0.00144691625972147</v>
      </c>
      <c r="R301" s="10" t="n">
        <f aca="false">IFERROR(L301/H301,"")</f>
        <v>0.00122585960893069</v>
      </c>
      <c r="S301" s="11" t="n">
        <f aca="false">IFERROR(M301/MEDIAN(INDEX($M$5:$M$665,MATCH($A301-90,$A$5:$A$665,1)):INDEX($M$5:$M$665,MATCH($A301+90,$A$5:$A$665,1))),"")</f>
        <v>1.5844309502496</v>
      </c>
      <c r="T301" s="11" t="n">
        <f aca="false">IFERROR(N301/MEDIAN(INDEX($N$5:$N$665,MATCH($A301-90,$A$5:$A$665,1)):INDEX($N$5:$N$665,MATCH($A301+90,$A$5:$A$665,1))),"")</f>
        <v>1.00036354517141</v>
      </c>
      <c r="U301" s="11" t="n">
        <f aca="false">IFERROR(Q301/MEDIAN(INDEX($Q$5:$Q$665,MATCH($A301-90,$A$5:$A$665,1)):INDEX($Q$5:$Q$665,MATCH($A301+90,$A$5:$A$665,1))),"")</f>
        <v>1.69737541396185</v>
      </c>
    </row>
    <row r="302" customFormat="false" ht="15" hidden="false" customHeight="false" outlineLevel="0" collapsed="false">
      <c r="A302" s="13" t="n">
        <v>45228.4859146875</v>
      </c>
      <c r="B302" s="8" t="n">
        <v>11</v>
      </c>
      <c r="C302" s="8" t="s">
        <v>86</v>
      </c>
      <c r="D302" s="8" t="s">
        <v>976</v>
      </c>
      <c r="E302" s="14" t="s">
        <v>66</v>
      </c>
      <c r="F302" s="9" t="n">
        <v>20899</v>
      </c>
      <c r="G302" s="9" t="n">
        <v>8486</v>
      </c>
      <c r="H302" s="9" t="n">
        <v>8488</v>
      </c>
      <c r="I302" s="9" t="n">
        <v>1424</v>
      </c>
      <c r="J302" s="9" t="n">
        <v>382</v>
      </c>
      <c r="K302" s="9" t="n">
        <v>11</v>
      </c>
      <c r="L302" s="9" t="n">
        <v>12</v>
      </c>
      <c r="M302" s="10" t="n">
        <f aca="false">IFERROR(G302/F302,"")</f>
        <v>0.406048136274463</v>
      </c>
      <c r="N302" s="10" t="n">
        <f aca="false">IFERROR(H302/G302,"")</f>
        <v>1.00023568230026</v>
      </c>
      <c r="O302" s="11" t="n">
        <f aca="false">IFERROR(I302/H302,"")</f>
        <v>0.167766258246937</v>
      </c>
      <c r="P302" s="10" t="n">
        <f aca="false">IFERROR(J302/H302,"")</f>
        <v>0.045004712535344</v>
      </c>
      <c r="Q302" s="10" t="n">
        <f aca="false">IFERROR(K302/H302,"")</f>
        <v>0.00129594721960415</v>
      </c>
      <c r="R302" s="10" t="n">
        <f aca="false">IFERROR(L302/H302,"")</f>
        <v>0.00141376060320452</v>
      </c>
      <c r="S302" s="11" t="n">
        <f aca="false">IFERROR(M302/MEDIAN(INDEX($M$5:$M$665,MATCH($A302-90,$A$5:$A$665,1)):INDEX($M$5:$M$665,MATCH($A302+90,$A$5:$A$665,1))),"")</f>
        <v>1.01136969525069</v>
      </c>
      <c r="T302" s="11" t="n">
        <f aca="false">IFERROR(N302/MEDIAN(INDEX($N$5:$N$665,MATCH($A302-90,$A$5:$A$665,1)):INDEX($N$5:$N$665,MATCH($A302+90,$A$5:$A$665,1))),"")</f>
        <v>1.00052995581668</v>
      </c>
      <c r="U302" s="11" t="n">
        <f aca="false">IFERROR(Q302/MEDIAN(INDEX($Q$5:$Q$665,MATCH($A302-90,$A$5:$A$665,1)):INDEX($Q$5:$Q$665,MATCH($A302+90,$A$5:$A$665,1))),"")</f>
        <v>1.50422445132624</v>
      </c>
    </row>
    <row r="303" customFormat="false" ht="15" hidden="false" customHeight="false" outlineLevel="0" collapsed="false">
      <c r="A303" s="13" t="n">
        <v>45230.5950178241</v>
      </c>
      <c r="B303" s="8" t="n">
        <v>14</v>
      </c>
      <c r="C303" s="8" t="s">
        <v>64</v>
      </c>
      <c r="D303" s="8" t="s">
        <v>977</v>
      </c>
      <c r="E303" s="14" t="s">
        <v>66</v>
      </c>
      <c r="F303" s="9" t="n">
        <v>1228065</v>
      </c>
      <c r="G303" s="9" t="n">
        <v>141142</v>
      </c>
      <c r="H303" s="9" t="n">
        <v>141138</v>
      </c>
      <c r="I303" s="9" t="n">
        <v>6292</v>
      </c>
      <c r="J303" s="9" t="n">
        <v>667</v>
      </c>
      <c r="K303" s="9" t="n">
        <v>64</v>
      </c>
      <c r="L303" s="9" t="n">
        <v>35</v>
      </c>
      <c r="M303" s="10" t="n">
        <f aca="false">IFERROR(G303/F303,"")</f>
        <v>0.114930398635251</v>
      </c>
      <c r="N303" s="10" t="n">
        <f aca="false">IFERROR(H303/G303,"")</f>
        <v>0.999971659746922</v>
      </c>
      <c r="O303" s="11" t="n">
        <f aca="false">IFERROR(I303/H303,"")</f>
        <v>0.0445804815145461</v>
      </c>
      <c r="P303" s="10" t="n">
        <f aca="false">IFERROR(J303/H303,"")</f>
        <v>0.00472587113321714</v>
      </c>
      <c r="Q303" s="10" t="n">
        <f aca="false">IFERROR(K303/H303,"")</f>
        <v>0.000453456900338676</v>
      </c>
      <c r="R303" s="10" t="n">
        <f aca="false">IFERROR(L303/H303,"")</f>
        <v>0.000247984242372713</v>
      </c>
      <c r="S303" s="11" t="n">
        <f aca="false">IFERROR(M303/MEDIAN(INDEX($M$5:$M$665,MATCH($A303-90,$A$5:$A$665,1)):INDEX($M$5:$M$665,MATCH($A303+90,$A$5:$A$665,1))),"")</f>
        <v>0.299904767998736</v>
      </c>
      <c r="T303" s="11" t="n">
        <f aca="false">IFERROR(N303/MEDIAN(INDEX($N$5:$N$665,MATCH($A303-90,$A$5:$A$665,1)):INDEX($N$5:$N$665,MATCH($A303+90,$A$5:$A$665,1))),"")</f>
        <v>1.00024371152703</v>
      </c>
      <c r="U303" s="11" t="n">
        <f aca="false">IFERROR(Q303/MEDIAN(INDEX($Q$5:$Q$665,MATCH($A303-90,$A$5:$A$665,1)):INDEX($Q$5:$Q$665,MATCH($A303+90,$A$5:$A$665,1))),"")</f>
        <v>0.537686519576585</v>
      </c>
    </row>
    <row r="304" customFormat="false" ht="15" hidden="false" customHeight="false" outlineLevel="0" collapsed="false">
      <c r="A304" s="13" t="n">
        <v>45232.5983555903</v>
      </c>
      <c r="B304" s="8" t="n">
        <v>14</v>
      </c>
      <c r="C304" s="8" t="s">
        <v>73</v>
      </c>
      <c r="D304" s="8" t="s">
        <v>978</v>
      </c>
      <c r="E304" s="14" t="s">
        <v>66</v>
      </c>
      <c r="F304" s="9" t="n">
        <v>859375</v>
      </c>
      <c r="G304" s="9" t="n">
        <v>91614</v>
      </c>
      <c r="H304" s="9" t="n">
        <v>91620</v>
      </c>
      <c r="I304" s="9" t="n">
        <v>7279</v>
      </c>
      <c r="J304" s="9" t="n">
        <v>738</v>
      </c>
      <c r="K304" s="9" t="n">
        <v>22</v>
      </c>
      <c r="L304" s="9" t="n">
        <v>63</v>
      </c>
      <c r="M304" s="10" t="n">
        <f aca="false">IFERROR(G304/F304,"")</f>
        <v>0.106605381818182</v>
      </c>
      <c r="N304" s="10" t="n">
        <f aca="false">IFERROR(H304/G304,"")</f>
        <v>1.00006549217369</v>
      </c>
      <c r="O304" s="11" t="n">
        <f aca="false">IFERROR(I304/H304,"")</f>
        <v>0.0794477188386815</v>
      </c>
      <c r="P304" s="10" t="n">
        <f aca="false">IFERROR(J304/H304,"")</f>
        <v>0.00805500982318271</v>
      </c>
      <c r="Q304" s="10" t="n">
        <f aca="false">IFERROR(K304/H304,"")</f>
        <v>0.000240122244051517</v>
      </c>
      <c r="R304" s="10" t="n">
        <f aca="false">IFERROR(L304/H304,"")</f>
        <v>0.00068762278978389</v>
      </c>
      <c r="S304" s="11" t="n">
        <f aca="false">IFERROR(M304/MEDIAN(INDEX($M$5:$M$665,MATCH($A304-90,$A$5:$A$665,1)):INDEX($M$5:$M$665,MATCH($A304+90,$A$5:$A$665,1))),"")</f>
        <v>0.27849721757528</v>
      </c>
      <c r="T304" s="11" t="n">
        <f aca="false">IFERROR(N304/MEDIAN(INDEX($N$5:$N$665,MATCH($A304-90,$A$5:$A$665,1)):INDEX($N$5:$N$665,MATCH($A304+90,$A$5:$A$665,1))),"")</f>
        <v>1.00032776974868</v>
      </c>
      <c r="U304" s="11" t="n">
        <f aca="false">IFERROR(Q304/MEDIAN(INDEX($Q$5:$Q$665,MATCH($A304-90,$A$5:$A$665,1)):INDEX($Q$5:$Q$665,MATCH($A304+90,$A$5:$A$665,1))),"")</f>
        <v>0.284784968791103</v>
      </c>
    </row>
    <row r="305" customFormat="false" ht="15" hidden="false" customHeight="false" outlineLevel="0" collapsed="false">
      <c r="A305" s="13" t="n">
        <v>45234.5566643171</v>
      </c>
      <c r="B305" s="8" t="n">
        <v>13</v>
      </c>
      <c r="C305" s="8" t="s">
        <v>68</v>
      </c>
      <c r="D305" s="8" t="s">
        <v>979</v>
      </c>
      <c r="E305" s="14" t="s">
        <v>66</v>
      </c>
      <c r="F305" s="9" t="n">
        <v>10152</v>
      </c>
      <c r="G305" s="9" t="n">
        <v>5515</v>
      </c>
      <c r="H305" s="9" t="n">
        <v>5509</v>
      </c>
      <c r="I305" s="9" t="n">
        <v>860</v>
      </c>
      <c r="J305" s="9" t="n">
        <v>256</v>
      </c>
      <c r="K305" s="9" t="n">
        <v>7</v>
      </c>
      <c r="L305" s="9" t="n">
        <v>7</v>
      </c>
      <c r="M305" s="10" t="n">
        <f aca="false">IFERROR(G305/F305,"")</f>
        <v>0.543242710795902</v>
      </c>
      <c r="N305" s="10" t="n">
        <f aca="false">IFERROR(H305/G305,"")</f>
        <v>0.998912058023572</v>
      </c>
      <c r="O305" s="11" t="n">
        <f aca="false">IFERROR(I305/H305,"")</f>
        <v>0.156108186603739</v>
      </c>
      <c r="P305" s="10" t="n">
        <f aca="false">IFERROR(J305/H305,"")</f>
        <v>0.0464694136866945</v>
      </c>
      <c r="Q305" s="10" t="n">
        <f aca="false">IFERROR(K305/H305,"")</f>
        <v>0.00127064803049555</v>
      </c>
      <c r="R305" s="10" t="n">
        <f aca="false">IFERROR(L305/H305,"")</f>
        <v>0.00127064803049555</v>
      </c>
      <c r="S305" s="11" t="n">
        <f aca="false">IFERROR(M305/MEDIAN(INDEX($M$5:$M$665,MATCH($A305-90,$A$5:$A$665,1)):INDEX($M$5:$M$665,MATCH($A305+90,$A$5:$A$665,1))),"")</f>
        <v>1.42979163587786</v>
      </c>
      <c r="T305" s="11" t="n">
        <f aca="false">IFERROR(N305/MEDIAN(INDEX($N$5:$N$665,MATCH($A305-90,$A$5:$A$665,1)):INDEX($N$5:$N$665,MATCH($A305+90,$A$5:$A$665,1))),"")</f>
        <v>0.999145032311049</v>
      </c>
      <c r="U305" s="11" t="n">
        <f aca="false">IFERROR(Q305/MEDIAN(INDEX($Q$5:$Q$665,MATCH($A305-90,$A$5:$A$665,1)):INDEX($Q$5:$Q$665,MATCH($A305+90,$A$5:$A$665,1))),"")</f>
        <v>1.50698849720693</v>
      </c>
    </row>
    <row r="306" customFormat="false" ht="15" hidden="false" customHeight="false" outlineLevel="0" collapsed="false">
      <c r="A306" s="13" t="n">
        <v>45236.5574640509</v>
      </c>
      <c r="B306" s="8" t="n">
        <v>13</v>
      </c>
      <c r="C306" s="8" t="s">
        <v>80</v>
      </c>
      <c r="D306" s="8" t="s">
        <v>980</v>
      </c>
      <c r="E306" s="14" t="s">
        <v>66</v>
      </c>
      <c r="F306" s="9" t="n">
        <v>9211</v>
      </c>
      <c r="G306" s="9" t="n">
        <v>3400</v>
      </c>
      <c r="H306" s="9" t="n">
        <v>3399</v>
      </c>
      <c r="I306" s="9" t="n">
        <v>494</v>
      </c>
      <c r="J306" s="9" t="n">
        <v>137</v>
      </c>
      <c r="K306" s="9" t="n">
        <v>4</v>
      </c>
      <c r="L306" s="9" t="n">
        <v>7</v>
      </c>
      <c r="M306" s="10" t="n">
        <f aca="false">IFERROR(G306/F306,"")</f>
        <v>0.369123873629356</v>
      </c>
      <c r="N306" s="10" t="n">
        <f aca="false">IFERROR(H306/G306,"")</f>
        <v>0.999705882352941</v>
      </c>
      <c r="O306" s="11" t="n">
        <f aca="false">IFERROR(I306/H306,"")</f>
        <v>0.145336863783466</v>
      </c>
      <c r="P306" s="10" t="n">
        <f aca="false">IFERROR(J306/H306,"")</f>
        <v>0.0403059723448073</v>
      </c>
      <c r="Q306" s="10" t="n">
        <f aca="false">IFERROR(K306/H306,"")</f>
        <v>0.00117681671079729</v>
      </c>
      <c r="R306" s="10" t="n">
        <f aca="false">IFERROR(L306/H306,"")</f>
        <v>0.00205942924389526</v>
      </c>
      <c r="S306" s="11" t="n">
        <f aca="false">IFERROR(M306/MEDIAN(INDEX($M$5:$M$665,MATCH($A306-90,$A$5:$A$665,1)):INDEX($M$5:$M$665,MATCH($A306+90,$A$5:$A$665,1))),"")</f>
        <v>1</v>
      </c>
      <c r="T306" s="11" t="n">
        <f aca="false">IFERROR(N306/MEDIAN(INDEX($N$5:$N$665,MATCH($A306-90,$A$5:$A$665,1)):INDEX($N$5:$N$665,MATCH($A306+90,$A$5:$A$665,1))),"")</f>
        <v>0.999915973955105</v>
      </c>
      <c r="U306" s="11" t="n">
        <f aca="false">IFERROR(Q306/MEDIAN(INDEX($Q$5:$Q$665,MATCH($A306-90,$A$5:$A$665,1)):INDEX($Q$5:$Q$665,MATCH($A306+90,$A$5:$A$665,1))),"")</f>
        <v>1.39688143571639</v>
      </c>
    </row>
    <row r="307" customFormat="false" ht="15" hidden="false" customHeight="false" outlineLevel="0" collapsed="false">
      <c r="A307" s="13" t="n">
        <v>45237.5667449884</v>
      </c>
      <c r="B307" s="8" t="n">
        <v>13</v>
      </c>
      <c r="C307" s="8" t="s">
        <v>64</v>
      </c>
      <c r="D307" s="8" t="s">
        <v>981</v>
      </c>
      <c r="E307" s="14" t="s">
        <v>66</v>
      </c>
      <c r="F307" s="9" t="n">
        <v>9720</v>
      </c>
      <c r="G307" s="9" t="n">
        <v>4107</v>
      </c>
      <c r="H307" s="9" t="n">
        <v>4108</v>
      </c>
      <c r="I307" s="9" t="n">
        <v>1010</v>
      </c>
      <c r="J307" s="9" t="n">
        <v>247</v>
      </c>
      <c r="K307" s="9" t="n">
        <v>28</v>
      </c>
      <c r="L307" s="9" t="n">
        <v>8</v>
      </c>
      <c r="M307" s="10" t="n">
        <f aca="false">IFERROR(G307/F307,"")</f>
        <v>0.422530864197531</v>
      </c>
      <c r="N307" s="10" t="n">
        <f aca="false">IFERROR(H307/G307,"")</f>
        <v>1.00024348672997</v>
      </c>
      <c r="O307" s="11" t="n">
        <f aca="false">IFERROR(I307/H307,"")</f>
        <v>0.245861733203505</v>
      </c>
      <c r="P307" s="10" t="n">
        <f aca="false">IFERROR(J307/H307,"")</f>
        <v>0.060126582278481</v>
      </c>
      <c r="Q307" s="10" t="n">
        <f aca="false">IFERROR(K307/H307,"")</f>
        <v>0.0068159688412853</v>
      </c>
      <c r="R307" s="10" t="n">
        <f aca="false">IFERROR(L307/H307,"")</f>
        <v>0.00194741966893866</v>
      </c>
      <c r="S307" s="11" t="n">
        <f aca="false">IFERROR(M307/MEDIAN(INDEX($M$5:$M$665,MATCH($A307-90,$A$5:$A$665,1)):INDEX($M$5:$M$665,MATCH($A307+90,$A$5:$A$665,1))),"")</f>
        <v>1.15085834906031</v>
      </c>
      <c r="T307" s="11" t="n">
        <f aca="false">IFERROR(N307/MEDIAN(INDEX($N$5:$N$665,MATCH($A307-90,$A$5:$A$665,1)):INDEX($N$5:$N$665,MATCH($A307+90,$A$5:$A$665,1))),"")</f>
        <v>1.00041870675042</v>
      </c>
      <c r="U307" s="11" t="n">
        <f aca="false">IFERROR(Q307/MEDIAN(INDEX($Q$5:$Q$665,MATCH($A307-90,$A$5:$A$665,1)):INDEX($Q$5:$Q$665,MATCH($A307+90,$A$5:$A$665,1))),"")</f>
        <v>8.09055501460565</v>
      </c>
    </row>
    <row r="308" customFormat="false" ht="15" hidden="false" customHeight="false" outlineLevel="0" collapsed="false">
      <c r="A308" s="13" t="n">
        <v>45238.616317581</v>
      </c>
      <c r="B308" s="8" t="n">
        <v>14</v>
      </c>
      <c r="C308" s="8" t="s">
        <v>71</v>
      </c>
      <c r="D308" s="8" t="s">
        <v>982</v>
      </c>
      <c r="E308" s="14" t="s">
        <v>66</v>
      </c>
      <c r="F308" s="9" t="n">
        <v>685437</v>
      </c>
      <c r="G308" s="9" t="n">
        <v>81491</v>
      </c>
      <c r="H308" s="9" t="n">
        <v>81489</v>
      </c>
      <c r="I308" s="9" t="n">
        <v>7266</v>
      </c>
      <c r="J308" s="9" t="n">
        <v>963</v>
      </c>
      <c r="K308" s="9" t="n">
        <v>23</v>
      </c>
      <c r="L308" s="9" t="n">
        <v>79</v>
      </c>
      <c r="M308" s="10" t="n">
        <f aca="false">IFERROR(G308/F308,"")</f>
        <v>0.118889117453537</v>
      </c>
      <c r="N308" s="10" t="n">
        <f aca="false">IFERROR(H308/G308,"")</f>
        <v>0.999975457412475</v>
      </c>
      <c r="O308" s="11" t="n">
        <f aca="false">IFERROR(I308/H308,"")</f>
        <v>0.0891654088281854</v>
      </c>
      <c r="P308" s="10" t="n">
        <f aca="false">IFERROR(J308/H308,"")</f>
        <v>0.0118175459264441</v>
      </c>
      <c r="Q308" s="10" t="n">
        <f aca="false">IFERROR(K308/H308,"")</f>
        <v>0.000282246683601468</v>
      </c>
      <c r="R308" s="10" t="n">
        <f aca="false">IFERROR(L308/H308,"")</f>
        <v>0.000969456000196346</v>
      </c>
      <c r="S308" s="11" t="n">
        <f aca="false">IFERROR(M308/MEDIAN(INDEX($M$5:$M$665,MATCH($A308-90,$A$5:$A$665,1)):INDEX($M$5:$M$665,MATCH($A308+90,$A$5:$A$665,1))),"")</f>
        <v>0.325637292705238</v>
      </c>
      <c r="T308" s="11" t="n">
        <f aca="false">IFERROR(N308/MEDIAN(INDEX($N$5:$N$665,MATCH($A308-90,$A$5:$A$665,1)):INDEX($N$5:$N$665,MATCH($A308+90,$A$5:$A$665,1))),"")</f>
        <v>1.00012035514222</v>
      </c>
      <c r="U308" s="11" t="n">
        <f aca="false">IFERROR(Q308/MEDIAN(INDEX($Q$5:$Q$665,MATCH($A308-90,$A$5:$A$665,1)):INDEX($Q$5:$Q$665,MATCH($A308+90,$A$5:$A$665,1))),"")</f>
        <v>0.335842192743124</v>
      </c>
    </row>
    <row r="309" customFormat="false" ht="15" hidden="false" customHeight="false" outlineLevel="0" collapsed="false">
      <c r="A309" s="13" t="n">
        <v>45240.7251776736</v>
      </c>
      <c r="B309" s="8" t="n">
        <v>17</v>
      </c>
      <c r="C309" s="8" t="s">
        <v>84</v>
      </c>
      <c r="D309" s="8" t="s">
        <v>983</v>
      </c>
      <c r="E309" s="14" t="s">
        <v>66</v>
      </c>
      <c r="F309" s="9" t="n">
        <v>295762</v>
      </c>
      <c r="G309" s="9" t="n">
        <v>28994</v>
      </c>
      <c r="H309" s="9" t="n">
        <v>29020</v>
      </c>
      <c r="I309" s="9" t="n">
        <v>1868</v>
      </c>
      <c r="J309" s="9" t="n">
        <v>246</v>
      </c>
      <c r="K309" s="9" t="n">
        <v>2</v>
      </c>
      <c r="L309" s="9" t="n">
        <v>16</v>
      </c>
      <c r="M309" s="10" t="n">
        <f aca="false">IFERROR(G309/F309,"")</f>
        <v>0.0980315253480839</v>
      </c>
      <c r="N309" s="10" t="n">
        <f aca="false">IFERROR(H309/G309,"")</f>
        <v>1.00089673725598</v>
      </c>
      <c r="O309" s="11" t="n">
        <f aca="false">IFERROR(I309/H309,"")</f>
        <v>0.0643694004135079</v>
      </c>
      <c r="P309" s="10" t="n">
        <f aca="false">IFERROR(J309/H309,"")</f>
        <v>0.00847691247415575</v>
      </c>
      <c r="Q309" s="10" t="n">
        <f aca="false">IFERROR(K309/H309,"")</f>
        <v>6.89179875947622E-005</v>
      </c>
      <c r="R309" s="10" t="n">
        <f aca="false">IFERROR(L309/H309,"")</f>
        <v>0.000551343900758098</v>
      </c>
      <c r="S309" s="11" t="n">
        <f aca="false">IFERROR(M309/MEDIAN(INDEX($M$5:$M$665,MATCH($A309-90,$A$5:$A$665,1)):INDEX($M$5:$M$665,MATCH($A309+90,$A$5:$A$665,1))),"")</f>
        <v>0.270423344676366</v>
      </c>
      <c r="T309" s="11" t="n">
        <f aca="false">IFERROR(N309/MEDIAN(INDEX($N$5:$N$665,MATCH($A309-90,$A$5:$A$665,1)):INDEX($N$5:$N$665,MATCH($A309+90,$A$5:$A$665,1))),"")</f>
        <v>1.00101092758614</v>
      </c>
      <c r="U309" s="11" t="n">
        <f aca="false">IFERROR(Q309/MEDIAN(INDEX($Q$5:$Q$665,MATCH($A309-90,$A$5:$A$665,1)):INDEX($Q$5:$Q$665,MATCH($A309+90,$A$5:$A$665,1))),"")</f>
        <v>0.085272190402804</v>
      </c>
    </row>
    <row r="310" customFormat="false" ht="15" hidden="false" customHeight="false" outlineLevel="0" collapsed="false">
      <c r="A310" s="13" t="n">
        <v>45242.630901794</v>
      </c>
      <c r="B310" s="8" t="n">
        <v>15</v>
      </c>
      <c r="C310" s="8" t="s">
        <v>86</v>
      </c>
      <c r="D310" s="8" t="s">
        <v>984</v>
      </c>
      <c r="E310" s="14" t="s">
        <v>66</v>
      </c>
      <c r="F310" s="9" t="n">
        <v>4764</v>
      </c>
      <c r="G310" s="9" t="n">
        <v>1553</v>
      </c>
      <c r="H310" s="9" t="n">
        <v>1547</v>
      </c>
      <c r="I310" s="9" t="n">
        <v>116</v>
      </c>
      <c r="J310" s="9" t="n">
        <v>58</v>
      </c>
      <c r="K310" s="9" t="n">
        <v>0</v>
      </c>
      <c r="L310" s="9" t="n">
        <v>3</v>
      </c>
      <c r="M310" s="10" t="n">
        <f aca="false">IFERROR(G310/F310,"")</f>
        <v>0.325986565910999</v>
      </c>
      <c r="N310" s="10" t="n">
        <f aca="false">IFERROR(H310/G310,"")</f>
        <v>0.996136509980683</v>
      </c>
      <c r="O310" s="11" t="n">
        <f aca="false">IFERROR(I310/H310,"")</f>
        <v>0.074983839689722</v>
      </c>
      <c r="P310" s="10" t="n">
        <f aca="false">IFERROR(J310/H310,"")</f>
        <v>0.037491919844861</v>
      </c>
      <c r="Q310" s="10" t="n">
        <f aca="false">IFERROR(K310/H310,"")</f>
        <v>0</v>
      </c>
      <c r="R310" s="10" t="n">
        <f aca="false">IFERROR(L310/H310,"")</f>
        <v>0.00193923723335488</v>
      </c>
      <c r="S310" s="11" t="n">
        <f aca="false">IFERROR(M310/MEDIAN(INDEX($M$5:$M$665,MATCH($A310-90,$A$5:$A$665,1)):INDEX($M$5:$M$665,MATCH($A310+90,$A$5:$A$665,1))),"")</f>
        <v>0.900093196187441</v>
      </c>
      <c r="T310" s="11" t="n">
        <f aca="false">IFERROR(N310/MEDIAN(INDEX($N$5:$N$665,MATCH($A310-90,$A$5:$A$665,1)):INDEX($N$5:$N$665,MATCH($A310+90,$A$5:$A$665,1))),"")</f>
        <v>0.996219464901082</v>
      </c>
      <c r="U310" s="11" t="n">
        <f aca="false">IFERROR(Q310/MEDIAN(INDEX($Q$5:$Q$665,MATCH($A310-90,$A$5:$A$665,1)):INDEX($Q$5:$Q$665,MATCH($A310+90,$A$5:$A$665,1))),"")</f>
        <v>0</v>
      </c>
    </row>
    <row r="311" customFormat="false" ht="15" hidden="false" customHeight="false" outlineLevel="0" collapsed="false">
      <c r="A311" s="13" t="n">
        <v>45244.6233017477</v>
      </c>
      <c r="B311" s="8" t="n">
        <v>14</v>
      </c>
      <c r="C311" s="8" t="s">
        <v>64</v>
      </c>
      <c r="D311" s="8" t="s">
        <v>985</v>
      </c>
      <c r="E311" s="14" t="s">
        <v>66</v>
      </c>
      <c r="F311" s="9" t="n">
        <v>176774</v>
      </c>
      <c r="G311" s="9" t="n">
        <v>33316</v>
      </c>
      <c r="H311" s="9" t="n">
        <v>33309</v>
      </c>
      <c r="I311" s="9" t="n">
        <v>5236</v>
      </c>
      <c r="J311" s="9" t="n">
        <v>473</v>
      </c>
      <c r="K311" s="9" t="n">
        <v>36</v>
      </c>
      <c r="L311" s="9" t="n">
        <v>41</v>
      </c>
      <c r="M311" s="10" t="n">
        <f aca="false">IFERROR(G311/F311,"")</f>
        <v>0.188466629707989</v>
      </c>
      <c r="N311" s="10" t="n">
        <f aca="false">IFERROR(H311/G311,"")</f>
        <v>0.999789890743187</v>
      </c>
      <c r="O311" s="11" t="n">
        <f aca="false">IFERROR(I311/H311,"")</f>
        <v>0.157194752169083</v>
      </c>
      <c r="P311" s="10" t="n">
        <f aca="false">IFERROR(J311/H311,"")</f>
        <v>0.0142003662673752</v>
      </c>
      <c r="Q311" s="10" t="n">
        <f aca="false">IFERROR(K311/H311,"")</f>
        <v>0.00108078897595245</v>
      </c>
      <c r="R311" s="10" t="n">
        <f aca="false">IFERROR(L311/H311,"")</f>
        <v>0.00123089855594584</v>
      </c>
      <c r="S311" s="11" t="n">
        <f aca="false">IFERROR(M311/MEDIAN(INDEX($M$5:$M$665,MATCH($A311-90,$A$5:$A$665,1)):INDEX($M$5:$M$665,MATCH($A311+90,$A$5:$A$665,1))),"")</f>
        <v>0.521921973078383</v>
      </c>
      <c r="T311" s="11" t="n">
        <f aca="false">IFERROR(N311/MEDIAN(INDEX($N$5:$N$665,MATCH($A311-90,$A$5:$A$665,1)):INDEX($N$5:$N$665,MATCH($A311+90,$A$5:$A$665,1))),"")</f>
        <v>0.99985741197801</v>
      </c>
      <c r="U311" s="11" t="n">
        <f aca="false">IFERROR(Q311/MEDIAN(INDEX($Q$5:$Q$665,MATCH($A311-90,$A$5:$A$665,1)):INDEX($Q$5:$Q$665,MATCH($A311+90,$A$5:$A$665,1))),"")</f>
        <v>1.35320996990681</v>
      </c>
    </row>
    <row r="312" customFormat="false" ht="15" hidden="false" customHeight="false" outlineLevel="0" collapsed="false">
      <c r="A312" s="13" t="n">
        <v>45246.7813437963</v>
      </c>
      <c r="B312" s="8" t="n">
        <v>18</v>
      </c>
      <c r="C312" s="8" t="s">
        <v>73</v>
      </c>
      <c r="D312" s="8" t="s">
        <v>986</v>
      </c>
      <c r="E312" s="14" t="s">
        <v>66</v>
      </c>
      <c r="F312" s="9" t="n">
        <v>461213</v>
      </c>
      <c r="G312" s="9" t="n">
        <v>50886</v>
      </c>
      <c r="H312" s="9" t="n">
        <v>50888</v>
      </c>
      <c r="I312" s="9" t="n">
        <v>1098</v>
      </c>
      <c r="J312" s="9" t="n">
        <v>378</v>
      </c>
      <c r="K312" s="9" t="n">
        <v>23</v>
      </c>
      <c r="L312" s="9" t="n">
        <v>17</v>
      </c>
      <c r="M312" s="10" t="n">
        <f aca="false">IFERROR(G312/F312,"")</f>
        <v>0.110330801603597</v>
      </c>
      <c r="N312" s="10" t="n">
        <f aca="false">IFERROR(H312/G312,"")</f>
        <v>1.00003930354125</v>
      </c>
      <c r="O312" s="11" t="n">
        <f aca="false">IFERROR(I312/H312,"")</f>
        <v>0.0215767961012419</v>
      </c>
      <c r="P312" s="10" t="n">
        <f aca="false">IFERROR(J312/H312,"")</f>
        <v>0.00742807734632919</v>
      </c>
      <c r="Q312" s="10" t="n">
        <f aca="false">IFERROR(K312/H312,"")</f>
        <v>0.00045197296022638</v>
      </c>
      <c r="R312" s="10" t="n">
        <f aca="false">IFERROR(L312/H312,"")</f>
        <v>0.000334066970602107</v>
      </c>
      <c r="S312" s="11" t="n">
        <f aca="false">IFERROR(M312/MEDIAN(INDEX($M$5:$M$665,MATCH($A312-90,$A$5:$A$665,1)):INDEX($M$5:$M$665,MATCH($A312+90,$A$5:$A$665,1))),"")</f>
        <v>0.305539870657688</v>
      </c>
      <c r="T312" s="11" t="n">
        <f aca="false">IFERROR(N312/MEDIAN(INDEX($N$5:$N$665,MATCH($A312-90,$A$5:$A$665,1)):INDEX($N$5:$N$665,MATCH($A312+90,$A$5:$A$665,1))),"")</f>
        <v>1.00008540019525</v>
      </c>
      <c r="U312" s="11" t="n">
        <f aca="false">IFERROR(Q312/MEDIAN(INDEX($Q$5:$Q$665,MATCH($A312-90,$A$5:$A$665,1)):INDEX($Q$5:$Q$665,MATCH($A312+90,$A$5:$A$665,1))),"")</f>
        <v>0.56589614579261</v>
      </c>
    </row>
    <row r="313" customFormat="false" ht="15" hidden="false" customHeight="false" outlineLevel="0" collapsed="false">
      <c r="A313" s="13" t="n">
        <v>45248.7596622107</v>
      </c>
      <c r="B313" s="8" t="n">
        <v>18</v>
      </c>
      <c r="C313" s="8" t="s">
        <v>68</v>
      </c>
      <c r="D313" s="8" t="s">
        <v>987</v>
      </c>
      <c r="E313" s="14" t="s">
        <v>66</v>
      </c>
      <c r="F313" s="9" t="n">
        <v>5773</v>
      </c>
      <c r="G313" s="9" t="n">
        <v>1956</v>
      </c>
      <c r="H313" s="9" t="n">
        <v>1955</v>
      </c>
      <c r="I313" s="9" t="n">
        <v>378</v>
      </c>
      <c r="J313" s="9" t="n">
        <v>107</v>
      </c>
      <c r="K313" s="9" t="n">
        <v>2</v>
      </c>
      <c r="L313" s="9" t="n">
        <v>6</v>
      </c>
      <c r="M313" s="10" t="n">
        <f aca="false">IFERROR(G313/F313,"")</f>
        <v>0.33881863848952</v>
      </c>
      <c r="N313" s="10" t="n">
        <f aca="false">IFERROR(H313/G313,"")</f>
        <v>0.999488752556237</v>
      </c>
      <c r="O313" s="11" t="n">
        <f aca="false">IFERROR(I313/H313,"")</f>
        <v>0.193350383631714</v>
      </c>
      <c r="P313" s="10" t="n">
        <f aca="false">IFERROR(J313/H313,"")</f>
        <v>0.0547314578005115</v>
      </c>
      <c r="Q313" s="10" t="n">
        <f aca="false">IFERROR(K313/H313,"")</f>
        <v>0.0010230179028133</v>
      </c>
      <c r="R313" s="10" t="n">
        <f aca="false">IFERROR(L313/H313,"")</f>
        <v>0.0030690537084399</v>
      </c>
      <c r="S313" s="11" t="n">
        <f aca="false">IFERROR(M313/MEDIAN(INDEX($M$5:$M$665,MATCH($A313-90,$A$5:$A$665,1)):INDEX($M$5:$M$665,MATCH($A313+90,$A$5:$A$665,1))),"")</f>
        <v>0.970875546514746</v>
      </c>
      <c r="T313" s="11" t="n">
        <f aca="false">IFERROR(N313/MEDIAN(INDEX($N$5:$N$665,MATCH($A313-90,$A$5:$A$665,1)):INDEX($N$5:$N$665,MATCH($A313+90,$A$5:$A$665,1))),"")</f>
        <v>0.999527417498309</v>
      </c>
      <c r="U313" s="11" t="n">
        <f aca="false">IFERROR(Q313/MEDIAN(INDEX($Q$5:$Q$665,MATCH($A313-90,$A$5:$A$665,1)):INDEX($Q$5:$Q$665,MATCH($A313+90,$A$5:$A$665,1))),"")</f>
        <v>1.26496163682864</v>
      </c>
    </row>
    <row r="314" customFormat="false" ht="15" hidden="false" customHeight="false" outlineLevel="0" collapsed="false">
      <c r="A314" s="13" t="n">
        <v>45250.6298107407</v>
      </c>
      <c r="B314" s="8" t="n">
        <v>15</v>
      </c>
      <c r="C314" s="8" t="s">
        <v>80</v>
      </c>
      <c r="D314" s="8" t="s">
        <v>988</v>
      </c>
      <c r="E314" s="14" t="s">
        <v>66</v>
      </c>
      <c r="F314" s="9" t="n">
        <v>9315740</v>
      </c>
      <c r="G314" s="9" t="n">
        <v>1081343</v>
      </c>
      <c r="H314" s="9" t="n">
        <v>1081352</v>
      </c>
      <c r="I314" s="9" t="n">
        <v>10917</v>
      </c>
      <c r="J314" s="9" t="n">
        <v>1716</v>
      </c>
      <c r="K314" s="9" t="n">
        <v>92</v>
      </c>
      <c r="L314" s="9" t="n">
        <v>167</v>
      </c>
      <c r="M314" s="10" t="n">
        <f aca="false">IFERROR(G314/F314,"")</f>
        <v>0.116076983685676</v>
      </c>
      <c r="N314" s="10" t="n">
        <f aca="false">IFERROR(H314/G314,"")</f>
        <v>1.00000832298355</v>
      </c>
      <c r="O314" s="11" t="n">
        <f aca="false">IFERROR(I314/H314,"")</f>
        <v>0.0100956950188283</v>
      </c>
      <c r="P314" s="10" t="n">
        <f aca="false">IFERROR(J314/H314,"")</f>
        <v>0.00158690232227804</v>
      </c>
      <c r="Q314" s="10" t="n">
        <f aca="false">IFERROR(K314/H314,"")</f>
        <v>8.50786792829717E-005</v>
      </c>
      <c r="R314" s="10" t="n">
        <f aca="false">IFERROR(L314/H314,"")</f>
        <v>0.000154436298263655</v>
      </c>
      <c r="S314" s="11" t="n">
        <f aca="false">IFERROR(M314/MEDIAN(INDEX($M$5:$M$665,MATCH($A314-90,$A$5:$A$665,1)):INDEX($M$5:$M$665,MATCH($A314+90,$A$5:$A$665,1))),"")</f>
        <v>0.342593265244074</v>
      </c>
      <c r="T314" s="11" t="n">
        <f aca="false">IFERROR(N314/MEDIAN(INDEX($N$5:$N$665,MATCH($A314-90,$A$5:$A$665,1)):INDEX($N$5:$N$665,MATCH($A314+90,$A$5:$A$665,1))),"")</f>
        <v>1.00004233571519</v>
      </c>
      <c r="U314" s="11" t="n">
        <f aca="false">IFERROR(Q314/MEDIAN(INDEX($Q$5:$Q$665,MATCH($A314-90,$A$5:$A$665,1)):INDEX($Q$5:$Q$665,MATCH($A314+90,$A$5:$A$665,1))),"")</f>
        <v>0.105335912820247</v>
      </c>
    </row>
    <row r="315" customFormat="false" ht="15" hidden="false" customHeight="false" outlineLevel="0" collapsed="false">
      <c r="A315" s="13" t="n">
        <v>45252.7890502431</v>
      </c>
      <c r="B315" s="8" t="n">
        <v>18</v>
      </c>
      <c r="C315" s="8" t="s">
        <v>71</v>
      </c>
      <c r="D315" s="8" t="s">
        <v>989</v>
      </c>
      <c r="E315" s="14" t="s">
        <v>66</v>
      </c>
      <c r="F315" s="9" t="n">
        <v>4919</v>
      </c>
      <c r="G315" s="9" t="n">
        <v>1771</v>
      </c>
      <c r="H315" s="9" t="n">
        <v>1763</v>
      </c>
      <c r="I315" s="9" t="n">
        <v>160</v>
      </c>
      <c r="J315" s="9" t="n">
        <v>72</v>
      </c>
      <c r="K315" s="9" t="n">
        <v>2</v>
      </c>
      <c r="L315" s="9" t="n">
        <v>4</v>
      </c>
      <c r="M315" s="10" t="n">
        <f aca="false">IFERROR(G315/F315,"")</f>
        <v>0.360032526936369</v>
      </c>
      <c r="N315" s="10" t="n">
        <f aca="false">IFERROR(H315/G315,"")</f>
        <v>0.995482778091474</v>
      </c>
      <c r="O315" s="11" t="n">
        <f aca="false">IFERROR(I315/H315,"")</f>
        <v>0.0907543959160522</v>
      </c>
      <c r="P315" s="10" t="n">
        <f aca="false">IFERROR(J315/H315,"")</f>
        <v>0.0408394781622235</v>
      </c>
      <c r="Q315" s="10" t="n">
        <f aca="false">IFERROR(K315/H315,"")</f>
        <v>0.00113442994895065</v>
      </c>
      <c r="R315" s="10" t="n">
        <f aca="false">IFERROR(L315/H315,"")</f>
        <v>0.0022688598979013</v>
      </c>
      <c r="S315" s="11" t="n">
        <f aca="false">IFERROR(M315/MEDIAN(INDEX($M$5:$M$665,MATCH($A315-90,$A$5:$A$665,1)):INDEX($M$5:$M$665,MATCH($A315+90,$A$5:$A$665,1))),"")</f>
        <v>1.06472127608594</v>
      </c>
      <c r="T315" s="11" t="n">
        <f aca="false">IFERROR(N315/MEDIAN(INDEX($N$5:$N$665,MATCH($A315-90,$A$5:$A$665,1)):INDEX($N$5:$N$665,MATCH($A315+90,$A$5:$A$665,1))),"")</f>
        <v>0.995507210414317</v>
      </c>
      <c r="U315" s="11" t="n">
        <f aca="false">IFERROR(Q315/MEDIAN(INDEX($Q$5:$Q$665,MATCH($A315-90,$A$5:$A$665,1)):INDEX($Q$5:$Q$665,MATCH($A315+90,$A$5:$A$665,1))),"")</f>
        <v>1.43908741412996</v>
      </c>
    </row>
    <row r="316" customFormat="false" ht="15" hidden="false" customHeight="false" outlineLevel="0" collapsed="false">
      <c r="A316" s="13" t="n">
        <v>45254.8400766551</v>
      </c>
      <c r="B316" s="8" t="n">
        <v>20</v>
      </c>
      <c r="C316" s="8" t="s">
        <v>84</v>
      </c>
      <c r="D316" s="8" t="s">
        <v>990</v>
      </c>
      <c r="E316" s="14" t="s">
        <v>66</v>
      </c>
      <c r="F316" s="9" t="n">
        <v>5478</v>
      </c>
      <c r="G316" s="9" t="n">
        <v>2000</v>
      </c>
      <c r="H316" s="9" t="n">
        <v>2000</v>
      </c>
      <c r="I316" s="9" t="n">
        <v>167</v>
      </c>
      <c r="J316" s="9" t="n">
        <v>62</v>
      </c>
      <c r="K316" s="9" t="n">
        <v>8</v>
      </c>
      <c r="L316" s="9" t="n">
        <v>8</v>
      </c>
      <c r="M316" s="10" t="n">
        <f aca="false">IFERROR(G316/F316,"")</f>
        <v>0.365096750638919</v>
      </c>
      <c r="N316" s="10" t="n">
        <f aca="false">IFERROR(H316/G316,"")</f>
        <v>1</v>
      </c>
      <c r="O316" s="11" t="n">
        <f aca="false">IFERROR(I316/H316,"")</f>
        <v>0.0835</v>
      </c>
      <c r="P316" s="10" t="n">
        <f aca="false">IFERROR(J316/H316,"")</f>
        <v>0.031</v>
      </c>
      <c r="Q316" s="10" t="n">
        <f aca="false">IFERROR(K316/H316,"")</f>
        <v>0.004</v>
      </c>
      <c r="R316" s="10" t="n">
        <f aca="false">IFERROR(L316/H316,"")</f>
        <v>0.004</v>
      </c>
      <c r="S316" s="11" t="n">
        <f aca="false">IFERROR(M316/MEDIAN(INDEX($M$5:$M$665,MATCH($A316-90,$A$5:$A$665,1)):INDEX($M$5:$M$665,MATCH($A316+90,$A$5:$A$665,1))),"")</f>
        <v>1.08774922444016</v>
      </c>
      <c r="T316" s="11" t="n">
        <f aca="false">IFERROR(N316/MEDIAN(INDEX($N$5:$N$665,MATCH($A316-90,$A$5:$A$665,1)):INDEX($N$5:$N$665,MATCH($A316+90,$A$5:$A$665,1))),"")</f>
        <v>1.00000525610875</v>
      </c>
      <c r="U316" s="11" t="n">
        <f aca="false">IFERROR(Q316/MEDIAN(INDEX($Q$5:$Q$665,MATCH($A316-90,$A$5:$A$665,1)):INDEX($Q$5:$Q$665,MATCH($A316+90,$A$5:$A$665,1))),"")</f>
        <v>5.16249622312609</v>
      </c>
    </row>
    <row r="317" customFormat="false" ht="15" hidden="false" customHeight="false" outlineLevel="0" collapsed="false">
      <c r="A317" s="13" t="n">
        <v>45256.6551824306</v>
      </c>
      <c r="B317" s="8" t="n">
        <v>15</v>
      </c>
      <c r="C317" s="8" t="s">
        <v>86</v>
      </c>
      <c r="D317" s="8" t="s">
        <v>991</v>
      </c>
      <c r="E317" s="14" t="s">
        <v>66</v>
      </c>
      <c r="F317" s="9" t="n">
        <v>2381821</v>
      </c>
      <c r="G317" s="9" t="n">
        <v>486590</v>
      </c>
      <c r="H317" s="9" t="n">
        <v>486588</v>
      </c>
      <c r="I317" s="9" t="n">
        <v>40768</v>
      </c>
      <c r="J317" s="9" t="n">
        <v>2093</v>
      </c>
      <c r="K317" s="9" t="n">
        <v>103</v>
      </c>
      <c r="L317" s="9" t="n">
        <v>317</v>
      </c>
      <c r="M317" s="10" t="n">
        <f aca="false">IFERROR(G317/F317,"")</f>
        <v>0.204293269729337</v>
      </c>
      <c r="N317" s="10" t="n">
        <f aca="false">IFERROR(H317/G317,"")</f>
        <v>0.999995889763456</v>
      </c>
      <c r="O317" s="11" t="n">
        <f aca="false">IFERROR(I317/H317,"")</f>
        <v>0.0837834060848192</v>
      </c>
      <c r="P317" s="10" t="n">
        <f aca="false">IFERROR(J317/H317,"")</f>
        <v>0.00430138022310456</v>
      </c>
      <c r="Q317" s="10" t="n">
        <f aca="false">IFERROR(K317/H317,"")</f>
        <v>0.000211678052068691</v>
      </c>
      <c r="R317" s="10" t="n">
        <f aca="false">IFERROR(L317/H317,"")</f>
        <v>0.00065147516995898</v>
      </c>
      <c r="S317" s="11" t="n">
        <f aca="false">IFERROR(M317/MEDIAN(INDEX($M$5:$M$665,MATCH($A317-90,$A$5:$A$665,1)):INDEX($M$5:$M$665,MATCH($A317+90,$A$5:$A$665,1))),"")</f>
        <v>0.61098377717957</v>
      </c>
      <c r="T317" s="11" t="n">
        <f aca="false">IFERROR(N317/MEDIAN(INDEX($N$5:$N$665,MATCH($A317-90,$A$5:$A$665,1)):INDEX($N$5:$N$665,MATCH($A317+90,$A$5:$A$665,1))),"")</f>
        <v>0.999999685421564</v>
      </c>
      <c r="U317" s="11" t="n">
        <f aca="false">IFERROR(Q317/MEDIAN(INDEX($Q$5:$Q$665,MATCH($A317-90,$A$5:$A$665,1)):INDEX($Q$5:$Q$665,MATCH($A317+90,$A$5:$A$665,1))),"")</f>
        <v>0.27744851822902</v>
      </c>
    </row>
    <row r="318" customFormat="false" ht="15" hidden="false" customHeight="false" outlineLevel="0" collapsed="false">
      <c r="A318" s="13" t="n">
        <v>45258.6020979051</v>
      </c>
      <c r="B318" s="8" t="n">
        <v>14</v>
      </c>
      <c r="C318" s="8" t="s">
        <v>64</v>
      </c>
      <c r="D318" s="8" t="s">
        <v>992</v>
      </c>
      <c r="E318" s="14" t="s">
        <v>66</v>
      </c>
      <c r="F318" s="9" t="n">
        <v>23019</v>
      </c>
      <c r="G318" s="9" t="n">
        <v>6218</v>
      </c>
      <c r="H318" s="9" t="n">
        <v>6215</v>
      </c>
      <c r="I318" s="9" t="n">
        <v>807</v>
      </c>
      <c r="J318" s="9" t="n">
        <v>161</v>
      </c>
      <c r="K318" s="9" t="n">
        <v>10</v>
      </c>
      <c r="L318" s="9" t="n">
        <v>9</v>
      </c>
      <c r="M318" s="10" t="n">
        <f aca="false">IFERROR(G318/F318,"")</f>
        <v>0.270124679612494</v>
      </c>
      <c r="N318" s="10" t="n">
        <f aca="false">IFERROR(H318/G318,"")</f>
        <v>0.999517529752332</v>
      </c>
      <c r="O318" s="11" t="n">
        <f aca="false">IFERROR(I318/H318,"")</f>
        <v>0.129847144006436</v>
      </c>
      <c r="P318" s="10" t="n">
        <f aca="false">IFERROR(J318/H318,"")</f>
        <v>0.0259050683829445</v>
      </c>
      <c r="Q318" s="10" t="n">
        <f aca="false">IFERROR(K318/H318,"")</f>
        <v>0.00160901045856798</v>
      </c>
      <c r="R318" s="10" t="n">
        <f aca="false">IFERROR(L318/H318,"")</f>
        <v>0.00144810941271118</v>
      </c>
      <c r="S318" s="11" t="n">
        <f aca="false">IFERROR(M318/MEDIAN(INDEX($M$5:$M$665,MATCH($A318-90,$A$5:$A$665,1)):INDEX($M$5:$M$665,MATCH($A318+90,$A$5:$A$665,1))),"")</f>
        <v>0.807281008154896</v>
      </c>
      <c r="T318" s="11" t="n">
        <f aca="false">IFERROR(N318/MEDIAN(INDEX($N$5:$N$665,MATCH($A318-90,$A$5:$A$665,1)):INDEX($N$5:$N$665,MATCH($A318+90,$A$5:$A$665,1))),"")</f>
        <v>0.999521009166985</v>
      </c>
      <c r="U318" s="11" t="n">
        <f aca="false">IFERROR(Q318/MEDIAN(INDEX($Q$5:$Q$665,MATCH($A318-90,$A$5:$A$665,1)):INDEX($Q$5:$Q$665,MATCH($A318+90,$A$5:$A$665,1))),"")</f>
        <v>2.13032984714401</v>
      </c>
    </row>
    <row r="319" customFormat="false" ht="15" hidden="false" customHeight="false" outlineLevel="0" collapsed="false">
      <c r="A319" s="13" t="n">
        <v>45260.6870716435</v>
      </c>
      <c r="B319" s="8" t="n">
        <v>16</v>
      </c>
      <c r="C319" s="8" t="s">
        <v>73</v>
      </c>
      <c r="D319" s="8" t="s">
        <v>993</v>
      </c>
      <c r="E319" s="14" t="s">
        <v>66</v>
      </c>
      <c r="F319" s="9" t="n">
        <v>97225</v>
      </c>
      <c r="G319" s="9" t="n">
        <v>14283</v>
      </c>
      <c r="H319" s="9" t="n">
        <v>14283</v>
      </c>
      <c r="I319" s="9" t="n">
        <v>944</v>
      </c>
      <c r="J319" s="9" t="n">
        <v>184</v>
      </c>
      <c r="K319" s="9" t="n">
        <v>8</v>
      </c>
      <c r="L319" s="9" t="n">
        <v>18</v>
      </c>
      <c r="M319" s="10" t="n">
        <f aca="false">IFERROR(G319/F319,"")</f>
        <v>0.14690665980972</v>
      </c>
      <c r="N319" s="10" t="n">
        <f aca="false">IFERROR(H319/G319,"")</f>
        <v>1</v>
      </c>
      <c r="O319" s="11" t="n">
        <f aca="false">IFERROR(I319/H319,"")</f>
        <v>0.0660925575859413</v>
      </c>
      <c r="P319" s="10" t="n">
        <f aca="false">IFERROR(J319/H319,"")</f>
        <v>0.0128824476650564</v>
      </c>
      <c r="Q319" s="10" t="n">
        <f aca="false">IFERROR(K319/H319,"")</f>
        <v>0.000560106420219842</v>
      </c>
      <c r="R319" s="10" t="n">
        <f aca="false">IFERROR(L319/H319,"")</f>
        <v>0.00126023944549464</v>
      </c>
      <c r="S319" s="11" t="n">
        <f aca="false">IFERROR(M319/MEDIAN(INDEX($M$5:$M$665,MATCH($A319-90,$A$5:$A$665,1)):INDEX($M$5:$M$665,MATCH($A319+90,$A$5:$A$665,1))),"")</f>
        <v>0.439356548663077</v>
      </c>
      <c r="T319" s="11" t="n">
        <f aca="false">IFERROR(N319/MEDIAN(INDEX($N$5:$N$665,MATCH($A319-90,$A$5:$A$665,1)):INDEX($N$5:$N$665,MATCH($A319+90,$A$5:$A$665,1))),"")</f>
        <v>1</v>
      </c>
      <c r="U319" s="11" t="n">
        <f aca="false">IFERROR(Q319/MEDIAN(INDEX($Q$5:$Q$665,MATCH($A319-90,$A$5:$A$665,1)):INDEX($Q$5:$Q$665,MATCH($A319+90,$A$5:$A$665,1))),"")</f>
        <v>0.739896765093922</v>
      </c>
    </row>
    <row r="320" customFormat="false" ht="15" hidden="false" customHeight="false" outlineLevel="0" collapsed="false">
      <c r="A320" s="13" t="n">
        <v>45262.6331911458</v>
      </c>
      <c r="B320" s="8" t="n">
        <v>15</v>
      </c>
      <c r="C320" s="8" t="s">
        <v>68</v>
      </c>
      <c r="D320" s="8" t="s">
        <v>994</v>
      </c>
      <c r="E320" s="14" t="s">
        <v>66</v>
      </c>
      <c r="F320" s="9" t="n">
        <v>2593223</v>
      </c>
      <c r="G320" s="9" t="n">
        <v>241120</v>
      </c>
      <c r="H320" s="9" t="n">
        <v>241120</v>
      </c>
      <c r="I320" s="9" t="n">
        <v>8193</v>
      </c>
      <c r="J320" s="9" t="n">
        <v>799</v>
      </c>
      <c r="K320" s="9" t="n">
        <v>42</v>
      </c>
      <c r="L320" s="9" t="n">
        <v>66</v>
      </c>
      <c r="M320" s="10" t="n">
        <f aca="false">IFERROR(G320/F320,"")</f>
        <v>0.092980819620989</v>
      </c>
      <c r="N320" s="10" t="n">
        <f aca="false">IFERROR(H320/G320,"")</f>
        <v>1</v>
      </c>
      <c r="O320" s="11" t="n">
        <f aca="false">IFERROR(I320/H320,"")</f>
        <v>0.0339789316522893</v>
      </c>
      <c r="P320" s="10" t="n">
        <f aca="false">IFERROR(J320/H320,"")</f>
        <v>0.00331370272063703</v>
      </c>
      <c r="Q320" s="10" t="n">
        <f aca="false">IFERROR(K320/H320,"")</f>
        <v>0.000174187126741871</v>
      </c>
      <c r="R320" s="10" t="n">
        <f aca="false">IFERROR(L320/H320,"")</f>
        <v>0.000273722627737226</v>
      </c>
      <c r="S320" s="11" t="n">
        <f aca="false">IFERROR(M320/MEDIAN(INDEX($M$5:$M$665,MATCH($A320-90,$A$5:$A$665,1)):INDEX($M$5:$M$665,MATCH($A320+90,$A$5:$A$665,1))),"")</f>
        <v>0.277021951725253</v>
      </c>
      <c r="T320" s="11" t="n">
        <f aca="false">IFERROR(N320/MEDIAN(INDEX($N$5:$N$665,MATCH($A320-90,$A$5:$A$665,1)):INDEX($N$5:$N$665,MATCH($A320+90,$A$5:$A$665,1))),"")</f>
        <v>1</v>
      </c>
      <c r="U320" s="11" t="n">
        <f aca="false">IFERROR(Q320/MEDIAN(INDEX($Q$5:$Q$665,MATCH($A320-90,$A$5:$A$665,1)):INDEX($Q$5:$Q$665,MATCH($A320+90,$A$5:$A$665,1))),"")</f>
        <v>0.230100007685557</v>
      </c>
    </row>
    <row r="321" customFormat="false" ht="15" hidden="false" customHeight="false" outlineLevel="0" collapsed="false">
      <c r="A321" s="13" t="n">
        <v>45264.5223499074</v>
      </c>
      <c r="B321" s="8" t="n">
        <v>12</v>
      </c>
      <c r="C321" s="8" t="s">
        <v>80</v>
      </c>
      <c r="D321" s="8" t="s">
        <v>995</v>
      </c>
      <c r="E321" s="14" t="s">
        <v>66</v>
      </c>
      <c r="F321" s="9" t="n">
        <v>10322</v>
      </c>
      <c r="G321" s="9" t="n">
        <v>4833</v>
      </c>
      <c r="H321" s="9" t="n">
        <v>4833</v>
      </c>
      <c r="I321" s="9" t="n">
        <v>551</v>
      </c>
      <c r="J321" s="9" t="n">
        <v>114</v>
      </c>
      <c r="K321" s="9" t="n">
        <v>9</v>
      </c>
      <c r="L321" s="9" t="n">
        <v>5</v>
      </c>
      <c r="M321" s="10" t="n">
        <f aca="false">IFERROR(G321/F321,"")</f>
        <v>0.468223212555706</v>
      </c>
      <c r="N321" s="10" t="n">
        <f aca="false">IFERROR(H321/G321,"")</f>
        <v>1</v>
      </c>
      <c r="O321" s="11" t="n">
        <f aca="false">IFERROR(I321/H321,"")</f>
        <v>0.114007862611215</v>
      </c>
      <c r="P321" s="10" t="n">
        <f aca="false">IFERROR(J321/H321,"")</f>
        <v>0.0235878336436996</v>
      </c>
      <c r="Q321" s="10" t="n">
        <f aca="false">IFERROR(K321/H321,"")</f>
        <v>0.00186219739292365</v>
      </c>
      <c r="R321" s="10" t="n">
        <f aca="false">IFERROR(L321/H321,"")</f>
        <v>0.00103455410717981</v>
      </c>
      <c r="S321" s="11" t="n">
        <f aca="false">IFERROR(M321/MEDIAN(INDEX($M$5:$M$665,MATCH($A321-90,$A$5:$A$665,1)):INDEX($M$5:$M$665,MATCH($A321+90,$A$5:$A$665,1))),"")</f>
        <v>1.4013413521073</v>
      </c>
      <c r="T321" s="11" t="n">
        <f aca="false">IFERROR(N321/MEDIAN(INDEX($N$5:$N$665,MATCH($A321-90,$A$5:$A$665,1)):INDEX($N$5:$N$665,MATCH($A321+90,$A$5:$A$665,1))),"")</f>
        <v>1</v>
      </c>
      <c r="U321" s="11" t="n">
        <f aca="false">IFERROR(Q321/MEDIAN(INDEX($Q$5:$Q$665,MATCH($A321-90,$A$5:$A$665,1)):INDEX($Q$5:$Q$665,MATCH($A321+90,$A$5:$A$665,1))),"")</f>
        <v>2.46554934823091</v>
      </c>
    </row>
    <row r="322" customFormat="false" ht="15" hidden="false" customHeight="false" outlineLevel="0" collapsed="false">
      <c r="A322" s="13" t="n">
        <v>45266.8207943866</v>
      </c>
      <c r="B322" s="8" t="n">
        <v>19</v>
      </c>
      <c r="C322" s="8" t="s">
        <v>71</v>
      </c>
      <c r="D322" s="8" t="s">
        <v>996</v>
      </c>
      <c r="E322" s="14" t="s">
        <v>66</v>
      </c>
      <c r="F322" s="9" t="n">
        <v>12055</v>
      </c>
      <c r="G322" s="9" t="n">
        <v>4674</v>
      </c>
      <c r="H322" s="9" t="n">
        <v>4673</v>
      </c>
      <c r="I322" s="9" t="n">
        <v>576</v>
      </c>
      <c r="J322" s="9" t="n">
        <v>87</v>
      </c>
      <c r="K322" s="9" t="n">
        <v>3</v>
      </c>
      <c r="L322" s="9" t="n">
        <v>5</v>
      </c>
      <c r="M322" s="10" t="n">
        <f aca="false">IFERROR(G322/F322,"")</f>
        <v>0.387722936540854</v>
      </c>
      <c r="N322" s="10" t="n">
        <f aca="false">IFERROR(H322/G322,"")</f>
        <v>0.999786050492084</v>
      </c>
      <c r="O322" s="11" t="n">
        <f aca="false">IFERROR(I322/H322,"")</f>
        <v>0.123261288251658</v>
      </c>
      <c r="P322" s="10" t="n">
        <f aca="false">IFERROR(J322/H322,"")</f>
        <v>0.0186175904130109</v>
      </c>
      <c r="Q322" s="10" t="n">
        <f aca="false">IFERROR(K322/H322,"")</f>
        <v>0.000641985876310721</v>
      </c>
      <c r="R322" s="10" t="n">
        <f aca="false">IFERROR(L322/H322,"")</f>
        <v>0.00106997646051787</v>
      </c>
      <c r="S322" s="11" t="n">
        <f aca="false">IFERROR(M322/MEDIAN(INDEX($M$5:$M$665,MATCH($A322-90,$A$5:$A$665,1)):INDEX($M$5:$M$665,MATCH($A322+90,$A$5:$A$665,1))),"")</f>
        <v>1.15957037929217</v>
      </c>
      <c r="T322" s="11" t="n">
        <f aca="false">IFERROR(N322/MEDIAN(INDEX($N$5:$N$665,MATCH($A322-90,$A$5:$A$665,1)):INDEX($N$5:$N$665,MATCH($A322+90,$A$5:$A$665,1))),"")</f>
        <v>0.999786050492084</v>
      </c>
      <c r="U322" s="11" t="n">
        <f aca="false">IFERROR(Q322/MEDIAN(INDEX($Q$5:$Q$665,MATCH($A322-90,$A$5:$A$665,1)):INDEX($Q$5:$Q$665,MATCH($A322+90,$A$5:$A$665,1))),"")</f>
        <v>0.858411329196411</v>
      </c>
    </row>
    <row r="323" customFormat="false" ht="15" hidden="false" customHeight="false" outlineLevel="0" collapsed="false">
      <c r="A323" s="13" t="n">
        <v>45268.5077701157</v>
      </c>
      <c r="B323" s="8" t="n">
        <v>12</v>
      </c>
      <c r="C323" s="8" t="s">
        <v>84</v>
      </c>
      <c r="D323" s="8" t="s">
        <v>997</v>
      </c>
      <c r="E323" s="14" t="s">
        <v>66</v>
      </c>
      <c r="F323" s="9" t="n">
        <v>6107</v>
      </c>
      <c r="G323" s="9" t="n">
        <v>2614</v>
      </c>
      <c r="H323" s="9" t="n">
        <v>2607</v>
      </c>
      <c r="I323" s="9" t="n">
        <v>307</v>
      </c>
      <c r="J323" s="9" t="n">
        <v>48</v>
      </c>
      <c r="K323" s="9" t="n">
        <v>2</v>
      </c>
      <c r="L323" s="9" t="n">
        <v>1</v>
      </c>
      <c r="M323" s="10" t="n">
        <f aca="false">IFERROR(G323/F323,"")</f>
        <v>0.428033404290159</v>
      </c>
      <c r="N323" s="10" t="n">
        <f aca="false">IFERROR(H323/G323,"")</f>
        <v>0.997322111706197</v>
      </c>
      <c r="O323" s="11" t="n">
        <f aca="false">IFERROR(I323/H323,"")</f>
        <v>0.117759877253548</v>
      </c>
      <c r="P323" s="10" t="n">
        <f aca="false">IFERROR(J323/H323,"")</f>
        <v>0.0184119677790564</v>
      </c>
      <c r="Q323" s="10" t="n">
        <f aca="false">IFERROR(K323/H323,"")</f>
        <v>0.000767165324127349</v>
      </c>
      <c r="R323" s="10" t="n">
        <f aca="false">IFERROR(L323/H323,"")</f>
        <v>0.000383582662063675</v>
      </c>
      <c r="S323" s="11" t="n">
        <f aca="false">IFERROR(M323/MEDIAN(INDEX($M$5:$M$665,MATCH($A323-90,$A$5:$A$665,1)):INDEX($M$5:$M$665,MATCH($A323+90,$A$5:$A$665,1))),"")</f>
        <v>1.28105760976918</v>
      </c>
      <c r="T323" s="11" t="n">
        <f aca="false">IFERROR(N323/MEDIAN(INDEX($N$5:$N$665,MATCH($A323-90,$A$5:$A$665,1)):INDEX($N$5:$N$665,MATCH($A323+90,$A$5:$A$665,1))),"")</f>
        <v>0.997322111706197</v>
      </c>
      <c r="U323" s="11" t="n">
        <f aca="false">IFERROR(Q323/MEDIAN(INDEX($Q$5:$Q$665,MATCH($A323-90,$A$5:$A$665,1)):INDEX($Q$5:$Q$665,MATCH($A323+90,$A$5:$A$665,1))),"")</f>
        <v>1.01572688914461</v>
      </c>
    </row>
    <row r="324" customFormat="false" ht="15" hidden="false" customHeight="false" outlineLevel="0" collapsed="false">
      <c r="A324" s="13" t="n">
        <v>45270.7298932755</v>
      </c>
      <c r="B324" s="8" t="n">
        <v>17</v>
      </c>
      <c r="C324" s="8" t="s">
        <v>86</v>
      </c>
      <c r="D324" s="8" t="s">
        <v>998</v>
      </c>
      <c r="E324" s="14" t="s">
        <v>66</v>
      </c>
      <c r="F324" s="9" t="n">
        <v>5872923</v>
      </c>
      <c r="G324" s="9" t="n">
        <v>574534</v>
      </c>
      <c r="H324" s="9" t="n">
        <v>574532</v>
      </c>
      <c r="I324" s="9" t="n">
        <v>11420</v>
      </c>
      <c r="J324" s="9" t="n">
        <v>1183</v>
      </c>
      <c r="K324" s="9" t="n">
        <v>33</v>
      </c>
      <c r="L324" s="9" t="n">
        <v>92</v>
      </c>
      <c r="M324" s="10" t="n">
        <f aca="false">IFERROR(G324/F324,"")</f>
        <v>0.0978276064576362</v>
      </c>
      <c r="N324" s="10" t="n">
        <f aca="false">IFERROR(H324/G324,"")</f>
        <v>0.999996518917941</v>
      </c>
      <c r="O324" s="11" t="n">
        <f aca="false">IFERROR(I324/H324,"")</f>
        <v>0.0198770477536499</v>
      </c>
      <c r="P324" s="10" t="n">
        <f aca="false">IFERROR(J324/H324,"")</f>
        <v>0.00205906720600419</v>
      </c>
      <c r="Q324" s="10" t="n">
        <f aca="false">IFERROR(K324/H324,"")</f>
        <v>5.7438053929111E-005</v>
      </c>
      <c r="R324" s="10" t="n">
        <f aca="false">IFERROR(L324/H324,"")</f>
        <v>0.000160130332166006</v>
      </c>
      <c r="S324" s="11" t="n">
        <f aca="false">IFERROR(M324/MEDIAN(INDEX($M$5:$M$665,MATCH($A324-90,$A$5:$A$665,1)):INDEX($M$5:$M$665,MATCH($A324+90,$A$5:$A$665,1))),"")</f>
        <v>0.295971071745994</v>
      </c>
      <c r="T324" s="11" t="n">
        <f aca="false">IFERROR(N324/MEDIAN(INDEX($N$5:$N$665,MATCH($A324-90,$A$5:$A$665,1)):INDEX($N$5:$N$665,MATCH($A324+90,$A$5:$A$665,1))),"")</f>
        <v>0.999996518917941</v>
      </c>
      <c r="U324" s="11" t="n">
        <f aca="false">IFERROR(Q324/MEDIAN(INDEX($Q$5:$Q$665,MATCH($A324-90,$A$5:$A$665,1)):INDEX($Q$5:$Q$665,MATCH($A324+90,$A$5:$A$665,1))),"")</f>
        <v>0.076047983402143</v>
      </c>
    </row>
    <row r="325" customFormat="false" ht="15" hidden="false" customHeight="false" outlineLevel="0" collapsed="false">
      <c r="A325" s="13" t="n">
        <v>45272.6385518982</v>
      </c>
      <c r="B325" s="8" t="n">
        <v>15</v>
      </c>
      <c r="C325" s="8" t="s">
        <v>64</v>
      </c>
      <c r="D325" s="8" t="s">
        <v>999</v>
      </c>
      <c r="E325" s="14" t="s">
        <v>66</v>
      </c>
      <c r="F325" s="9" t="n">
        <v>892221</v>
      </c>
      <c r="G325" s="9" t="n">
        <v>152306</v>
      </c>
      <c r="H325" s="9" t="n">
        <v>152314</v>
      </c>
      <c r="I325" s="9" t="n">
        <v>10696</v>
      </c>
      <c r="J325" s="9" t="n">
        <v>615</v>
      </c>
      <c r="K325" s="9" t="n">
        <v>67</v>
      </c>
      <c r="L325" s="9" t="n">
        <v>37</v>
      </c>
      <c r="M325" s="10" t="n">
        <f aca="false">IFERROR(G325/F325,"")</f>
        <v>0.170704343430607</v>
      </c>
      <c r="N325" s="10" t="n">
        <f aca="false">IFERROR(H325/G325,"")</f>
        <v>1.00005252583615</v>
      </c>
      <c r="O325" s="11" t="n">
        <f aca="false">IFERROR(I325/H325,"")</f>
        <v>0.0702233543863335</v>
      </c>
      <c r="P325" s="10" t="n">
        <f aca="false">IFERROR(J325/H325,"")</f>
        <v>0.00403771156952086</v>
      </c>
      <c r="Q325" s="10" t="n">
        <f aca="false">IFERROR(K325/H325,"")</f>
        <v>0.000439880772614468</v>
      </c>
      <c r="R325" s="10" t="n">
        <f aca="false">IFERROR(L325/H325,"")</f>
        <v>0.00024291923263784</v>
      </c>
      <c r="S325" s="11" t="n">
        <f aca="false">IFERROR(M325/MEDIAN(INDEX($M$5:$M$665,MATCH($A325-90,$A$5:$A$665,1)):INDEX($M$5:$M$665,MATCH($A325+90,$A$5:$A$665,1))),"")</f>
        <v>0.526862179193162</v>
      </c>
      <c r="T325" s="11" t="n">
        <f aca="false">IFERROR(N325/MEDIAN(INDEX($N$5:$N$665,MATCH($A325-90,$A$5:$A$665,1)):INDEX($N$5:$N$665,MATCH($A325+90,$A$5:$A$665,1))),"")</f>
        <v>1.00005252583615</v>
      </c>
      <c r="U325" s="11" t="n">
        <f aca="false">IFERROR(Q325/MEDIAN(INDEX($Q$5:$Q$665,MATCH($A325-90,$A$5:$A$665,1)):INDEX($Q$5:$Q$665,MATCH($A325+90,$A$5:$A$665,1))),"")</f>
        <v>0.588172812894051</v>
      </c>
    </row>
    <row r="326" customFormat="false" ht="15" hidden="false" customHeight="false" outlineLevel="0" collapsed="false">
      <c r="A326" s="13" t="n">
        <v>45274.5546055556</v>
      </c>
      <c r="B326" s="8" t="n">
        <v>13</v>
      </c>
      <c r="C326" s="8" t="s">
        <v>73</v>
      </c>
      <c r="D326" s="8" t="s">
        <v>1000</v>
      </c>
      <c r="E326" s="14" t="s">
        <v>66</v>
      </c>
      <c r="F326" s="9" t="n">
        <v>436440</v>
      </c>
      <c r="G326" s="9" t="n">
        <v>58969</v>
      </c>
      <c r="H326" s="9" t="n">
        <v>58972</v>
      </c>
      <c r="I326" s="9" t="n">
        <v>2303</v>
      </c>
      <c r="J326" s="9" t="n">
        <v>305</v>
      </c>
      <c r="K326" s="9" t="n">
        <v>16</v>
      </c>
      <c r="L326" s="9" t="n">
        <v>19</v>
      </c>
      <c r="M326" s="10" t="n">
        <f aca="false">IFERROR(G326/F326,"")</f>
        <v>0.13511364677848</v>
      </c>
      <c r="N326" s="10" t="n">
        <f aca="false">IFERROR(H326/G326,"")</f>
        <v>1.00005087418813</v>
      </c>
      <c r="O326" s="11" t="n">
        <f aca="false">IFERROR(I326/H326,"")</f>
        <v>0.0390524316624839</v>
      </c>
      <c r="P326" s="10" t="n">
        <f aca="false">IFERROR(J326/H326,"")</f>
        <v>0.00517194600827511</v>
      </c>
      <c r="Q326" s="10" t="n">
        <f aca="false">IFERROR(K326/H326,"")</f>
        <v>0.000271315200434104</v>
      </c>
      <c r="R326" s="10" t="n">
        <f aca="false">IFERROR(L326/H326,"")</f>
        <v>0.000322186800515499</v>
      </c>
      <c r="S326" s="11" t="n">
        <f aca="false">IFERROR(M326/MEDIAN(INDEX($M$5:$M$665,MATCH($A326-90,$A$5:$A$665,1)):INDEX($M$5:$M$665,MATCH($A326+90,$A$5:$A$665,1))),"")</f>
        <v>0.42357513445336</v>
      </c>
      <c r="T326" s="11" t="n">
        <f aca="false">IFERROR(N326/MEDIAN(INDEX($N$5:$N$665,MATCH($A326-90,$A$5:$A$665,1)):INDEX($N$5:$N$665,MATCH($A326+90,$A$5:$A$665,1))),"")</f>
        <v>1.00005087418813</v>
      </c>
      <c r="U326" s="11" t="n">
        <f aca="false">IFERROR(Q326/MEDIAN(INDEX($Q$5:$Q$665,MATCH($A326-90,$A$5:$A$665,1)):INDEX($Q$5:$Q$665,MATCH($A326+90,$A$5:$A$665,1))),"")</f>
        <v>0.362780631832945</v>
      </c>
    </row>
    <row r="327" customFormat="false" ht="15" hidden="false" customHeight="false" outlineLevel="0" collapsed="false">
      <c r="A327" s="13" t="n">
        <v>45276.4784329167</v>
      </c>
      <c r="B327" s="8" t="n">
        <v>11</v>
      </c>
      <c r="C327" s="8" t="s">
        <v>68</v>
      </c>
      <c r="D327" s="8" t="s">
        <v>1001</v>
      </c>
      <c r="E327" s="14" t="s">
        <v>66</v>
      </c>
      <c r="F327" s="9" t="n">
        <v>4959</v>
      </c>
      <c r="G327" s="9" t="n">
        <v>1796</v>
      </c>
      <c r="H327" s="9" t="n">
        <v>1802</v>
      </c>
      <c r="I327" s="9" t="n">
        <v>168</v>
      </c>
      <c r="J327" s="9" t="n">
        <v>72</v>
      </c>
      <c r="K327" s="9" t="n">
        <v>4</v>
      </c>
      <c r="L327" s="9" t="n">
        <v>1</v>
      </c>
      <c r="M327" s="10" t="n">
        <f aca="false">IFERROR(G327/F327,"")</f>
        <v>0.362169792296834</v>
      </c>
      <c r="N327" s="10" t="n">
        <f aca="false">IFERROR(H327/G327,"")</f>
        <v>1.00334075723831</v>
      </c>
      <c r="O327" s="11" t="n">
        <f aca="false">IFERROR(I327/H327,"")</f>
        <v>0.0932297447280799</v>
      </c>
      <c r="P327" s="10" t="n">
        <f aca="false">IFERROR(J327/H327,"")</f>
        <v>0.0399556048834628</v>
      </c>
      <c r="Q327" s="10" t="n">
        <f aca="false">IFERROR(K327/H327,"")</f>
        <v>0.00221975582685905</v>
      </c>
      <c r="R327" s="10" t="n">
        <f aca="false">IFERROR(L327/H327,"")</f>
        <v>0.000554938956714761</v>
      </c>
      <c r="S327" s="11" t="n">
        <f aca="false">IFERROR(M327/MEDIAN(INDEX($M$5:$M$665,MATCH($A327-90,$A$5:$A$665,1)):INDEX($M$5:$M$665,MATCH($A327+90,$A$5:$A$665,1))),"")</f>
        <v>1.15383035004685</v>
      </c>
      <c r="T327" s="11" t="n">
        <f aca="false">IFERROR(N327/MEDIAN(INDEX($N$5:$N$665,MATCH($A327-90,$A$5:$A$665,1)):INDEX($N$5:$N$665,MATCH($A327+90,$A$5:$A$665,1))),"")</f>
        <v>1.00334075723831</v>
      </c>
      <c r="U327" s="11" t="n">
        <f aca="false">IFERROR(Q327/MEDIAN(INDEX($Q$5:$Q$665,MATCH($A327-90,$A$5:$A$665,1)):INDEX($Q$5:$Q$665,MATCH($A327+90,$A$5:$A$665,1))),"")</f>
        <v>3.0626576531127</v>
      </c>
    </row>
    <row r="328" customFormat="false" ht="15" hidden="false" customHeight="false" outlineLevel="0" collapsed="false">
      <c r="A328" s="13" t="n">
        <v>45278.5935126968</v>
      </c>
      <c r="B328" s="8" t="n">
        <v>14</v>
      </c>
      <c r="C328" s="8" t="s">
        <v>80</v>
      </c>
      <c r="D328" s="8" t="s">
        <v>1002</v>
      </c>
      <c r="E328" s="14" t="s">
        <v>66</v>
      </c>
      <c r="F328" s="9" t="n">
        <v>20993</v>
      </c>
      <c r="G328" s="9" t="n">
        <v>8045</v>
      </c>
      <c r="H328" s="9" t="n">
        <v>8046</v>
      </c>
      <c r="I328" s="9" t="n">
        <v>1000</v>
      </c>
      <c r="J328" s="9" t="n">
        <v>131</v>
      </c>
      <c r="K328" s="9" t="n">
        <v>5</v>
      </c>
      <c r="L328" s="9" t="n">
        <v>9</v>
      </c>
      <c r="M328" s="10" t="n">
        <f aca="false">IFERROR(G328/F328,"")</f>
        <v>0.383222979088268</v>
      </c>
      <c r="N328" s="10" t="n">
        <f aca="false">IFERROR(H328/G328,"")</f>
        <v>1.00012430080796</v>
      </c>
      <c r="O328" s="11" t="n">
        <f aca="false">IFERROR(I328/H328,"")</f>
        <v>0.124285359184688</v>
      </c>
      <c r="P328" s="10" t="n">
        <f aca="false">IFERROR(J328/H328,"")</f>
        <v>0.0162813820531941</v>
      </c>
      <c r="Q328" s="10" t="n">
        <f aca="false">IFERROR(K328/H328,"")</f>
        <v>0.00062142679592344</v>
      </c>
      <c r="R328" s="10" t="n">
        <f aca="false">IFERROR(L328/H328,"")</f>
        <v>0.00111856823266219</v>
      </c>
      <c r="S328" s="11" t="n">
        <f aca="false">IFERROR(M328/MEDIAN(INDEX($M$5:$M$665,MATCH($A328-90,$A$5:$A$665,1)):INDEX($M$5:$M$665,MATCH($A328+90,$A$5:$A$665,1))),"")</f>
        <v>1.23669199385653</v>
      </c>
      <c r="T328" s="11" t="n">
        <f aca="false">IFERROR(N328/MEDIAN(INDEX($N$5:$N$665,MATCH($A328-90,$A$5:$A$665,1)):INDEX($N$5:$N$665,MATCH($A328+90,$A$5:$A$665,1))),"")</f>
        <v>1.00012430080796</v>
      </c>
      <c r="U328" s="11" t="n">
        <f aca="false">IFERROR(Q328/MEDIAN(INDEX($Q$5:$Q$665,MATCH($A328-90,$A$5:$A$665,1)):INDEX($Q$5:$Q$665,MATCH($A328+90,$A$5:$A$665,1))),"")</f>
        <v>0.881183196619438</v>
      </c>
    </row>
    <row r="329" customFormat="false" ht="15" hidden="false" customHeight="false" outlineLevel="0" collapsed="false">
      <c r="A329" s="13" t="n">
        <v>45280.6157947107</v>
      </c>
      <c r="B329" s="8" t="n">
        <v>14</v>
      </c>
      <c r="C329" s="8" t="s">
        <v>71</v>
      </c>
      <c r="D329" s="8" t="s">
        <v>1003</v>
      </c>
      <c r="E329" s="14" t="s">
        <v>66</v>
      </c>
      <c r="F329" s="9" t="n">
        <v>4213</v>
      </c>
      <c r="G329" s="9" t="n">
        <v>1426</v>
      </c>
      <c r="H329" s="9" t="n">
        <v>1418</v>
      </c>
      <c r="I329" s="9" t="n">
        <v>90</v>
      </c>
      <c r="J329" s="9" t="n">
        <v>48</v>
      </c>
      <c r="K329" s="9" t="n">
        <v>1</v>
      </c>
      <c r="L329" s="9" t="n">
        <v>3</v>
      </c>
      <c r="M329" s="10" t="n">
        <f aca="false">IFERROR(G329/F329,"")</f>
        <v>0.338476145264657</v>
      </c>
      <c r="N329" s="10" t="n">
        <f aca="false">IFERROR(H329/G329,"")</f>
        <v>0.994389901823282</v>
      </c>
      <c r="O329" s="11" t="n">
        <f aca="false">IFERROR(I329/H329,"")</f>
        <v>0.0634696755994358</v>
      </c>
      <c r="P329" s="10" t="n">
        <f aca="false">IFERROR(J329/H329,"")</f>
        <v>0.0338504936530324</v>
      </c>
      <c r="Q329" s="10" t="n">
        <f aca="false">IFERROR(K329/H329,"")</f>
        <v>0.000705218617771509</v>
      </c>
      <c r="R329" s="10" t="n">
        <f aca="false">IFERROR(L329/H329,"")</f>
        <v>0.00211565585331453</v>
      </c>
      <c r="S329" s="11" t="n">
        <f aca="false">IFERROR(M329/MEDIAN(INDEX($M$5:$M$665,MATCH($A329-90,$A$5:$A$665,1)):INDEX($M$5:$M$665,MATCH($A329+90,$A$5:$A$665,1))),"")</f>
        <v>1.09944298162872</v>
      </c>
      <c r="T329" s="11" t="n">
        <f aca="false">IFERROR(N329/MEDIAN(INDEX($N$5:$N$665,MATCH($A329-90,$A$5:$A$665,1)):INDEX($N$5:$N$665,MATCH($A329+90,$A$5:$A$665,1))),"")</f>
        <v>0.994386078752468</v>
      </c>
      <c r="U329" s="11" t="n">
        <f aca="false">IFERROR(Q329/MEDIAN(INDEX($Q$5:$Q$665,MATCH($A329-90,$A$5:$A$665,1)):INDEX($Q$5:$Q$665,MATCH($A329+90,$A$5:$A$665,1))),"")</f>
        <v>1.01201881205365</v>
      </c>
    </row>
    <row r="330" customFormat="false" ht="15" hidden="false" customHeight="false" outlineLevel="0" collapsed="false">
      <c r="A330" s="13" t="n">
        <v>45282.5343896759</v>
      </c>
      <c r="B330" s="8" t="n">
        <v>12</v>
      </c>
      <c r="C330" s="8" t="s">
        <v>84</v>
      </c>
      <c r="D330" s="8" t="s">
        <v>1004</v>
      </c>
      <c r="E330" s="14" t="s">
        <v>66</v>
      </c>
      <c r="F330" s="9" t="n">
        <v>4606</v>
      </c>
      <c r="G330" s="9" t="n">
        <v>1335</v>
      </c>
      <c r="H330" s="9" t="n">
        <v>1324</v>
      </c>
      <c r="I330" s="9" t="n">
        <v>85</v>
      </c>
      <c r="J330" s="9" t="n">
        <v>58</v>
      </c>
      <c r="K330" s="9" t="n">
        <v>1</v>
      </c>
      <c r="L330" s="9" t="n">
        <v>2</v>
      </c>
      <c r="M330" s="10" t="n">
        <f aca="false">IFERROR(G330/F330,"")</f>
        <v>0.289839339991316</v>
      </c>
      <c r="N330" s="10" t="n">
        <f aca="false">IFERROR(H330/G330,"")</f>
        <v>0.991760299625468</v>
      </c>
      <c r="O330" s="11" t="n">
        <f aca="false">IFERROR(I330/H330,"")</f>
        <v>0.0641993957703928</v>
      </c>
      <c r="P330" s="10" t="n">
        <f aca="false">IFERROR(J330/H330,"")</f>
        <v>0.0438066465256798</v>
      </c>
      <c r="Q330" s="10" t="n">
        <f aca="false">IFERROR(K330/H330,"")</f>
        <v>0.000755287009063444</v>
      </c>
      <c r="R330" s="10" t="n">
        <f aca="false">IFERROR(L330/H330,"")</f>
        <v>0.00151057401812689</v>
      </c>
      <c r="S330" s="11" t="n">
        <f aca="false">IFERROR(M330/MEDIAN(INDEX($M$5:$M$665,MATCH($A330-90,$A$5:$A$665,1)):INDEX($M$5:$M$665,MATCH($A330+90,$A$5:$A$665,1))),"")</f>
        <v>0.979910265792824</v>
      </c>
      <c r="T330" s="11" t="n">
        <f aca="false">IFERROR(N330/MEDIAN(INDEX($N$5:$N$665,MATCH($A330-90,$A$5:$A$665,1)):INDEX($N$5:$N$665,MATCH($A330+90,$A$5:$A$665,1))),"")</f>
        <v>0.991753966747848</v>
      </c>
      <c r="U330" s="11" t="n">
        <f aca="false">IFERROR(Q330/MEDIAN(INDEX($Q$5:$Q$665,MATCH($A330-90,$A$5:$A$665,1)):INDEX($Q$5:$Q$665,MATCH($A330+90,$A$5:$A$665,1))),"")</f>
        <v>1.17648539778449</v>
      </c>
    </row>
    <row r="331" customFormat="false" ht="15" hidden="false" customHeight="false" outlineLevel="0" collapsed="false">
      <c r="A331" s="13" t="n">
        <v>45284.5489953935</v>
      </c>
      <c r="B331" s="8" t="n">
        <v>13</v>
      </c>
      <c r="C331" s="8" t="s">
        <v>86</v>
      </c>
      <c r="D331" s="8" t="s">
        <v>1005</v>
      </c>
      <c r="E331" s="14" t="s">
        <v>66</v>
      </c>
      <c r="F331" s="9" t="n">
        <v>8006</v>
      </c>
      <c r="G331" s="9" t="n">
        <v>2905</v>
      </c>
      <c r="H331" s="9" t="n">
        <v>2905</v>
      </c>
      <c r="I331" s="9" t="n">
        <v>255</v>
      </c>
      <c r="J331" s="9" t="n">
        <v>77</v>
      </c>
      <c r="K331" s="9" t="n">
        <v>2</v>
      </c>
      <c r="L331" s="9" t="n">
        <v>4</v>
      </c>
      <c r="M331" s="10" t="n">
        <f aca="false">IFERROR(G331/F331,"")</f>
        <v>0.362852860354734</v>
      </c>
      <c r="N331" s="10" t="n">
        <f aca="false">IFERROR(H331/G331,"")</f>
        <v>1</v>
      </c>
      <c r="O331" s="11" t="n">
        <f aca="false">IFERROR(I331/H331,"")</f>
        <v>0.0877796901893287</v>
      </c>
      <c r="P331" s="10" t="n">
        <f aca="false">IFERROR(J331/H331,"")</f>
        <v>0.0265060240963855</v>
      </c>
      <c r="Q331" s="10" t="n">
        <f aca="false">IFERROR(K331/H331,"")</f>
        <v>0.000688468158347677</v>
      </c>
      <c r="R331" s="10" t="n">
        <f aca="false">IFERROR(L331/H331,"")</f>
        <v>0.00137693631669535</v>
      </c>
      <c r="S331" s="11" t="n">
        <f aca="false">IFERROR(M331/MEDIAN(INDEX($M$5:$M$665,MATCH($A331-90,$A$5:$A$665,1)):INDEX($M$5:$M$665,MATCH($A331+90,$A$5:$A$665,1))),"")</f>
        <v>1.22675977265387</v>
      </c>
      <c r="T331" s="11" t="n">
        <f aca="false">IFERROR(N331/MEDIAN(INDEX($N$5:$N$665,MATCH($A331-90,$A$5:$A$665,1)):INDEX($N$5:$N$665,MATCH($A331+90,$A$5:$A$665,1))),"")</f>
        <v>0.999998696225835</v>
      </c>
      <c r="U331" s="11" t="n">
        <f aca="false">IFERROR(Q331/MEDIAN(INDEX($Q$5:$Q$665,MATCH($A331-90,$A$5:$A$665,1)):INDEX($Q$5:$Q$665,MATCH($A331+90,$A$5:$A$665,1))),"")</f>
        <v>1.07240390131956</v>
      </c>
    </row>
    <row r="332" customFormat="false" ht="15" hidden="false" customHeight="false" outlineLevel="0" collapsed="false">
      <c r="A332" s="13" t="n">
        <v>45286.5461264236</v>
      </c>
      <c r="B332" s="8" t="n">
        <v>13</v>
      </c>
      <c r="C332" s="8" t="s">
        <v>64</v>
      </c>
      <c r="D332" s="8" t="s">
        <v>1006</v>
      </c>
      <c r="E332" s="14" t="s">
        <v>66</v>
      </c>
      <c r="F332" s="9" t="n">
        <v>17380</v>
      </c>
      <c r="G332" s="9" t="n">
        <v>4641</v>
      </c>
      <c r="H332" s="9" t="n">
        <v>4645</v>
      </c>
      <c r="I332" s="9" t="n">
        <v>581</v>
      </c>
      <c r="J332" s="9" t="n">
        <v>303</v>
      </c>
      <c r="K332" s="9" t="n">
        <v>8</v>
      </c>
      <c r="L332" s="9" t="n">
        <v>6</v>
      </c>
      <c r="M332" s="10" t="n">
        <f aca="false">IFERROR(G332/F332,"")</f>
        <v>0.267031070195627</v>
      </c>
      <c r="N332" s="10" t="n">
        <f aca="false">IFERROR(H332/G332,"")</f>
        <v>1.00086188321482</v>
      </c>
      <c r="O332" s="11" t="n">
        <f aca="false">IFERROR(I332/H332,"")</f>
        <v>0.12508073196986</v>
      </c>
      <c r="P332" s="10" t="n">
        <f aca="false">IFERROR(J332/H332,"")</f>
        <v>0.0652314316469322</v>
      </c>
      <c r="Q332" s="10" t="n">
        <f aca="false">IFERROR(K332/H332,"")</f>
        <v>0.00172228202368138</v>
      </c>
      <c r="R332" s="10" t="n">
        <f aca="false">IFERROR(L332/H332,"")</f>
        <v>0.00129171151776103</v>
      </c>
      <c r="S332" s="11" t="n">
        <f aca="false">IFERROR(M332/MEDIAN(INDEX($M$5:$M$665,MATCH($A332-90,$A$5:$A$665,1)):INDEX($M$5:$M$665,MATCH($A332+90,$A$5:$A$665,1))),"")</f>
        <v>0.910873484538326</v>
      </c>
      <c r="T332" s="11" t="n">
        <f aca="false">IFERROR(N332/MEDIAN(INDEX($N$5:$N$665,MATCH($A332-90,$A$5:$A$665,1)):INDEX($N$5:$N$665,MATCH($A332+90,$A$5:$A$665,1))),"")</f>
        <v>1.0008545226722</v>
      </c>
      <c r="U332" s="11" t="n">
        <f aca="false">IFERROR(Q332/MEDIAN(INDEX($Q$5:$Q$665,MATCH($A332-90,$A$5:$A$665,1)):INDEX($Q$5:$Q$665,MATCH($A332+90,$A$5:$A$665,1))),"")</f>
        <v>2.81922055947481</v>
      </c>
    </row>
    <row r="333" customFormat="false" ht="15" hidden="false" customHeight="false" outlineLevel="0" collapsed="false">
      <c r="A333" s="13" t="n">
        <v>45288.8069952199</v>
      </c>
      <c r="B333" s="8" t="n">
        <v>19</v>
      </c>
      <c r="C333" s="8" t="s">
        <v>73</v>
      </c>
      <c r="D333" s="8" t="s">
        <v>1007</v>
      </c>
      <c r="E333" s="14" t="s">
        <v>66</v>
      </c>
      <c r="F333" s="9" t="n">
        <v>3817910</v>
      </c>
      <c r="G333" s="9" t="n">
        <v>1081656</v>
      </c>
      <c r="H333" s="9" t="n">
        <v>1081723</v>
      </c>
      <c r="I333" s="9" t="n">
        <v>112322</v>
      </c>
      <c r="J333" s="9" t="n">
        <v>4725</v>
      </c>
      <c r="K333" s="9" t="n">
        <v>201</v>
      </c>
      <c r="L333" s="9" t="n">
        <v>562</v>
      </c>
      <c r="M333" s="10" t="n">
        <f aca="false">IFERROR(G333/F333,"")</f>
        <v>0.283311026189722</v>
      </c>
      <c r="N333" s="10" t="n">
        <f aca="false">IFERROR(H333/G333,"")</f>
        <v>1.00006194205921</v>
      </c>
      <c r="O333" s="11" t="n">
        <f aca="false">IFERROR(I333/H333,"")</f>
        <v>0.103836194663514</v>
      </c>
      <c r="P333" s="10" t="n">
        <f aca="false">IFERROR(J333/H333,"")</f>
        <v>0.00436803137217199</v>
      </c>
      <c r="Q333" s="10" t="n">
        <f aca="false">IFERROR(K333/H333,"")</f>
        <v>0.00018581466789557</v>
      </c>
      <c r="R333" s="10" t="n">
        <f aca="false">IFERROR(L333/H333,"")</f>
        <v>0.000519541509240351</v>
      </c>
      <c r="S333" s="11" t="n">
        <f aca="false">IFERROR(M333/MEDIAN(INDEX($M$5:$M$665,MATCH($A333-90,$A$5:$A$665,1)):INDEX($M$5:$M$665,MATCH($A333+90,$A$5:$A$665,1))),"")</f>
        <v>0.980977039835407</v>
      </c>
      <c r="T333" s="11" t="n">
        <f aca="false">IFERROR(N333/MEDIAN(INDEX($N$5:$N$665,MATCH($A333-90,$A$5:$A$665,1)):INDEX($N$5:$N$665,MATCH($A333+90,$A$5:$A$665,1))),"")</f>
        <v>1.00005158549963</v>
      </c>
      <c r="U333" s="11" t="n">
        <f aca="false">IFERROR(Q333/MEDIAN(INDEX($Q$5:$Q$665,MATCH($A333-90,$A$5:$A$665,1)):INDEX($Q$5:$Q$665,MATCH($A333+90,$A$5:$A$665,1))),"")</f>
        <v>0.323689151474083</v>
      </c>
    </row>
    <row r="334" customFormat="false" ht="15" hidden="false" customHeight="false" outlineLevel="0" collapsed="false">
      <c r="A334" s="13" t="n">
        <v>45290.5374111806</v>
      </c>
      <c r="B334" s="8" t="n">
        <v>12</v>
      </c>
      <c r="C334" s="8" t="s">
        <v>68</v>
      </c>
      <c r="D334" s="8" t="s">
        <v>1008</v>
      </c>
      <c r="E334" s="14" t="s">
        <v>66</v>
      </c>
      <c r="F334" s="9" t="n">
        <v>839624</v>
      </c>
      <c r="G334" s="9" t="n">
        <v>182402</v>
      </c>
      <c r="H334" s="9" t="n">
        <v>182416</v>
      </c>
      <c r="I334" s="9" t="n">
        <v>20401</v>
      </c>
      <c r="J334" s="9" t="n">
        <v>1866</v>
      </c>
      <c r="K334" s="9" t="n">
        <v>226</v>
      </c>
      <c r="L334" s="9" t="n">
        <v>308</v>
      </c>
      <c r="M334" s="10" t="n">
        <f aca="false">IFERROR(G334/F334,"")</f>
        <v>0.217242479967223</v>
      </c>
      <c r="N334" s="10" t="n">
        <f aca="false">IFERROR(H334/G334,"")</f>
        <v>1.00007675354437</v>
      </c>
      <c r="O334" s="11" t="n">
        <f aca="false">IFERROR(I334/H334,"")</f>
        <v>0.111837777387948</v>
      </c>
      <c r="P334" s="10" t="n">
        <f aca="false">IFERROR(J334/H334,"")</f>
        <v>0.0102293658451013</v>
      </c>
      <c r="Q334" s="10" t="n">
        <f aca="false">IFERROR(K334/H334,"")</f>
        <v>0.00123892640996404</v>
      </c>
      <c r="R334" s="10" t="n">
        <f aca="false">IFERROR(L334/H334,"")</f>
        <v>0.0016884483817209</v>
      </c>
      <c r="S334" s="11" t="n">
        <f aca="false">IFERROR(M334/MEDIAN(INDEX($M$5:$M$665,MATCH($A334-90,$A$5:$A$665,1)):INDEX($M$5:$M$665,MATCH($A334+90,$A$5:$A$665,1))),"")</f>
        <v>0.76679853547862</v>
      </c>
      <c r="T334" s="11" t="n">
        <f aca="false">IFERROR(N334/MEDIAN(INDEX($N$5:$N$665,MATCH($A334-90,$A$5:$A$665,1)):INDEX($N$5:$N$665,MATCH($A334+90,$A$5:$A$665,1))),"")</f>
        <v>1.0000663968314</v>
      </c>
      <c r="U334" s="11" t="n">
        <f aca="false">IFERROR(Q334/MEDIAN(INDEX($Q$5:$Q$665,MATCH($A334-90,$A$5:$A$665,1)):INDEX($Q$5:$Q$665,MATCH($A334+90,$A$5:$A$665,1))),"")</f>
        <v>2.20343062012104</v>
      </c>
    </row>
    <row r="335" customFormat="false" ht="15" hidden="false" customHeight="false" outlineLevel="0" collapsed="false">
      <c r="A335" s="13" t="n">
        <v>45292.6441058449</v>
      </c>
      <c r="B335" s="8" t="n">
        <v>15</v>
      </c>
      <c r="C335" s="8" t="s">
        <v>80</v>
      </c>
      <c r="D335" s="8" t="s">
        <v>1009</v>
      </c>
      <c r="E335" s="14" t="s">
        <v>66</v>
      </c>
      <c r="F335" s="9" t="n">
        <v>289075</v>
      </c>
      <c r="G335" s="9" t="n">
        <v>73274</v>
      </c>
      <c r="H335" s="9" t="n">
        <v>73286</v>
      </c>
      <c r="I335" s="9" t="n">
        <v>8187</v>
      </c>
      <c r="J335" s="9" t="n">
        <v>1210</v>
      </c>
      <c r="K335" s="9" t="n">
        <v>44</v>
      </c>
      <c r="L335" s="9" t="n">
        <v>149</v>
      </c>
      <c r="M335" s="10" t="n">
        <f aca="false">IFERROR(G335/F335,"")</f>
        <v>0.253477471244487</v>
      </c>
      <c r="N335" s="10" t="n">
        <f aca="false">IFERROR(H335/G335,"")</f>
        <v>1.00016376886754</v>
      </c>
      <c r="O335" s="11" t="n">
        <f aca="false">IFERROR(I335/H335,"")</f>
        <v>0.111713014764075</v>
      </c>
      <c r="P335" s="10" t="n">
        <f aca="false">IFERROR(J335/H335,"")</f>
        <v>0.0165106568785307</v>
      </c>
      <c r="Q335" s="10" t="n">
        <f aca="false">IFERROR(K335/H335,"")</f>
        <v>0.000600387522855661</v>
      </c>
      <c r="R335" s="10" t="n">
        <f aca="false">IFERROR(L335/H335,"")</f>
        <v>0.00203313047512485</v>
      </c>
      <c r="S335" s="11" t="n">
        <f aca="false">IFERROR(M335/MEDIAN(INDEX($M$5:$M$665,MATCH($A335-90,$A$5:$A$665,1)):INDEX($M$5:$M$665,MATCH($A335+90,$A$5:$A$665,1))),"")</f>
        <v>0.89653904156231</v>
      </c>
      <c r="T335" s="11" t="n">
        <f aca="false">IFERROR(N335/MEDIAN(INDEX($N$5:$N$665,MATCH($A335-90,$A$5:$A$665,1)):INDEX($N$5:$N$665,MATCH($A335+90,$A$5:$A$665,1))),"")</f>
        <v>1.00015247772245</v>
      </c>
      <c r="U335" s="11" t="n">
        <f aca="false">IFERROR(Q335/MEDIAN(INDEX($Q$5:$Q$665,MATCH($A335-90,$A$5:$A$665,1)):INDEX($Q$5:$Q$665,MATCH($A335+90,$A$5:$A$665,1))),"")</f>
        <v>1.06984906021136</v>
      </c>
    </row>
    <row r="336" customFormat="false" ht="15" hidden="false" customHeight="false" outlineLevel="0" collapsed="false">
      <c r="A336" s="13" t="n">
        <v>45294.7019623958</v>
      </c>
      <c r="B336" s="8" t="n">
        <v>16</v>
      </c>
      <c r="C336" s="8" t="s">
        <v>71</v>
      </c>
      <c r="D336" s="8" t="s">
        <v>1010</v>
      </c>
      <c r="E336" s="14" t="s">
        <v>66</v>
      </c>
      <c r="F336" s="9" t="n">
        <v>5866477</v>
      </c>
      <c r="G336" s="9" t="n">
        <v>767003</v>
      </c>
      <c r="H336" s="9" t="n">
        <v>767004</v>
      </c>
      <c r="I336" s="9" t="n">
        <v>24671</v>
      </c>
      <c r="J336" s="9" t="n">
        <v>2460</v>
      </c>
      <c r="K336" s="9" t="n">
        <v>77</v>
      </c>
      <c r="L336" s="9" t="n">
        <v>290</v>
      </c>
      <c r="M336" s="10" t="n">
        <f aca="false">IFERROR(G336/F336,"")</f>
        <v>0.130743374601145</v>
      </c>
      <c r="N336" s="10" t="n">
        <f aca="false">IFERROR(H336/G336,"")</f>
        <v>1.00000130377587</v>
      </c>
      <c r="O336" s="11" t="n">
        <f aca="false">IFERROR(I336/H336,"")</f>
        <v>0.0321654124359195</v>
      </c>
      <c r="P336" s="10" t="n">
        <f aca="false">IFERROR(J336/H336,"")</f>
        <v>0.00320728444701723</v>
      </c>
      <c r="Q336" s="10" t="n">
        <f aca="false">IFERROR(K336/H336,"")</f>
        <v>0.00010039061073997</v>
      </c>
      <c r="R336" s="10" t="n">
        <f aca="false">IFERROR(L336/H336,"")</f>
        <v>0.000378094507981705</v>
      </c>
      <c r="S336" s="11" t="n">
        <f aca="false">IFERROR(M336/MEDIAN(INDEX($M$5:$M$665,MATCH($A336-90,$A$5:$A$665,1)):INDEX($M$5:$M$665,MATCH($A336+90,$A$5:$A$665,1))),"")</f>
        <v>0.463387900873589</v>
      </c>
      <c r="T336" s="11" t="n">
        <f aca="false">IFERROR(N336/MEDIAN(INDEX($N$5:$N$665,MATCH($A336-90,$A$5:$A$665,1)):INDEX($N$5:$N$665,MATCH($A336+90,$A$5:$A$665,1))),"")</f>
        <v>0.999989081087279</v>
      </c>
      <c r="U336" s="11" t="n">
        <f aca="false">IFERROR(Q336/MEDIAN(INDEX($Q$5:$Q$665,MATCH($A336-90,$A$5:$A$665,1)):INDEX($Q$5:$Q$665,MATCH($A336+90,$A$5:$A$665,1))),"")</f>
        <v>0.178544701201037</v>
      </c>
    </row>
    <row r="337" customFormat="false" ht="15" hidden="false" customHeight="false" outlineLevel="0" collapsed="false">
      <c r="A337" s="13" t="n">
        <v>45296.6741784838</v>
      </c>
      <c r="B337" s="8" t="n">
        <v>16</v>
      </c>
      <c r="C337" s="8" t="s">
        <v>84</v>
      </c>
      <c r="D337" s="8" t="s">
        <v>1011</v>
      </c>
      <c r="E337" s="14" t="s">
        <v>66</v>
      </c>
      <c r="F337" s="9" t="n">
        <v>6013</v>
      </c>
      <c r="G337" s="9" t="n">
        <v>1747</v>
      </c>
      <c r="H337" s="9" t="n">
        <v>1751</v>
      </c>
      <c r="I337" s="9" t="n">
        <v>133</v>
      </c>
      <c r="J337" s="9" t="n">
        <v>97</v>
      </c>
      <c r="K337" s="9" t="n">
        <v>2</v>
      </c>
      <c r="L337" s="9" t="n">
        <v>3</v>
      </c>
      <c r="M337" s="10" t="n">
        <f aca="false">IFERROR(G337/F337,"")</f>
        <v>0.290537169466157</v>
      </c>
      <c r="N337" s="10" t="n">
        <f aca="false">IFERROR(H337/G337,"")</f>
        <v>1.0022896393818</v>
      </c>
      <c r="O337" s="11" t="n">
        <f aca="false">IFERROR(I337/H337,"")</f>
        <v>0.0759565962307253</v>
      </c>
      <c r="P337" s="10" t="n">
        <f aca="false">IFERROR(J337/H337,"")</f>
        <v>0.0553969160479726</v>
      </c>
      <c r="Q337" s="10" t="n">
        <f aca="false">IFERROR(K337/H337,"")</f>
        <v>0.00114220445459737</v>
      </c>
      <c r="R337" s="10" t="n">
        <f aca="false">IFERROR(L337/H337,"")</f>
        <v>0.00171330668189606</v>
      </c>
      <c r="S337" s="11" t="n">
        <f aca="false">IFERROR(M337/MEDIAN(INDEX($M$5:$M$665,MATCH($A337-90,$A$5:$A$665,1)):INDEX($M$5:$M$665,MATCH($A337+90,$A$5:$A$665,1))),"")</f>
        <v>1.06645837948953</v>
      </c>
      <c r="T337" s="11" t="n">
        <f aca="false">IFERROR(N337/MEDIAN(INDEX($N$5:$N$665,MATCH($A337-90,$A$5:$A$665,1)):INDEX($N$5:$N$665,MATCH($A337+90,$A$5:$A$665,1))),"")</f>
        <v>1.00227582660098</v>
      </c>
      <c r="U337" s="11" t="n">
        <f aca="false">IFERROR(Q337/MEDIAN(INDEX($Q$5:$Q$665,MATCH($A337-90,$A$5:$A$665,1)):INDEX($Q$5:$Q$665,MATCH($A337+90,$A$5:$A$665,1))),"")</f>
        <v>2.25383936342126</v>
      </c>
    </row>
    <row r="338" customFormat="false" ht="15" hidden="false" customHeight="false" outlineLevel="0" collapsed="false">
      <c r="A338" s="13" t="n">
        <v>45298.6981670486</v>
      </c>
      <c r="B338" s="8" t="n">
        <v>16</v>
      </c>
      <c r="C338" s="8" t="s">
        <v>86</v>
      </c>
      <c r="D338" s="8" t="s">
        <v>1012</v>
      </c>
      <c r="E338" s="14" t="s">
        <v>66</v>
      </c>
      <c r="F338" s="9" t="n">
        <v>10526</v>
      </c>
      <c r="G338" s="9" t="n">
        <v>3517</v>
      </c>
      <c r="H338" s="9" t="n">
        <v>3453</v>
      </c>
      <c r="I338" s="9" t="n">
        <v>306</v>
      </c>
      <c r="J338" s="9" t="n">
        <v>104</v>
      </c>
      <c r="K338" s="9" t="n">
        <v>5</v>
      </c>
      <c r="L338" s="9" t="n">
        <v>8</v>
      </c>
      <c r="M338" s="10" t="n">
        <f aca="false">IFERROR(G338/F338,"")</f>
        <v>0.334125023750713</v>
      </c>
      <c r="N338" s="10" t="n">
        <f aca="false">IFERROR(H338/G338,"")</f>
        <v>0.981802672732442</v>
      </c>
      <c r="O338" s="11" t="n">
        <f aca="false">IFERROR(I338/H338,"")</f>
        <v>0.0886185925282363</v>
      </c>
      <c r="P338" s="10" t="n">
        <f aca="false">IFERROR(J338/H338,"")</f>
        <v>0.0301187373298581</v>
      </c>
      <c r="Q338" s="10" t="n">
        <f aca="false">IFERROR(K338/H338,"")</f>
        <v>0.00144801621778164</v>
      </c>
      <c r="R338" s="10" t="n">
        <f aca="false">IFERROR(L338/H338,"")</f>
        <v>0.00231682594845062</v>
      </c>
      <c r="S338" s="11" t="n">
        <f aca="false">IFERROR(M338/MEDIAN(INDEX($M$5:$M$665,MATCH($A338-90,$A$5:$A$665,1)):INDEX($M$5:$M$665,MATCH($A338+90,$A$5:$A$665,1))),"")</f>
        <v>1.25125897711428</v>
      </c>
      <c r="T338" s="11" t="n">
        <f aca="false">IFERROR(N338/MEDIAN(INDEX($N$5:$N$665,MATCH($A338-90,$A$5:$A$665,1)):INDEX($N$5:$N$665,MATCH($A338+90,$A$5:$A$665,1))),"")</f>
        <v>0.981787553189004</v>
      </c>
      <c r="U338" s="11" t="n">
        <f aca="false">IFERROR(Q338/MEDIAN(INDEX($Q$5:$Q$665,MATCH($A338-90,$A$5:$A$665,1)):INDEX($Q$5:$Q$665,MATCH($A338+90,$A$5:$A$665,1))),"")</f>
        <v>3.19328301476977</v>
      </c>
    </row>
    <row r="339" customFormat="false" ht="15" hidden="false" customHeight="false" outlineLevel="0" collapsed="false">
      <c r="A339" s="13" t="n">
        <v>45300.5757057755</v>
      </c>
      <c r="B339" s="8" t="n">
        <v>13</v>
      </c>
      <c r="C339" s="8" t="s">
        <v>64</v>
      </c>
      <c r="D339" s="8" t="s">
        <v>1013</v>
      </c>
      <c r="E339" s="14" t="s">
        <v>66</v>
      </c>
      <c r="F339" s="9" t="n">
        <v>751440</v>
      </c>
      <c r="G339" s="9" t="n">
        <v>81267</v>
      </c>
      <c r="H339" s="9" t="n">
        <v>81282</v>
      </c>
      <c r="I339" s="9" t="n">
        <v>1068</v>
      </c>
      <c r="J339" s="9" t="n">
        <v>385</v>
      </c>
      <c r="K339" s="9" t="n">
        <v>9</v>
      </c>
      <c r="L339" s="9" t="n">
        <v>20</v>
      </c>
      <c r="M339" s="10" t="n">
        <f aca="false">IFERROR(G339/F339,"")</f>
        <v>0.108148355158096</v>
      </c>
      <c r="N339" s="10" t="n">
        <f aca="false">IFERROR(H339/G339,"")</f>
        <v>1.00018457676548</v>
      </c>
      <c r="O339" s="11" t="n">
        <f aca="false">IFERROR(I339/H339,"")</f>
        <v>0.013139440466524</v>
      </c>
      <c r="P339" s="10" t="n">
        <f aca="false">IFERROR(J339/H339,"")</f>
        <v>0.00473659604832558</v>
      </c>
      <c r="Q339" s="10" t="n">
        <f aca="false">IFERROR(K339/H339,"")</f>
        <v>0.00011072562190891</v>
      </c>
      <c r="R339" s="10" t="n">
        <f aca="false">IFERROR(L339/H339,"")</f>
        <v>0.000246056937575355</v>
      </c>
      <c r="S339" s="11" t="n">
        <f aca="false">IFERROR(M339/MEDIAN(INDEX($M$5:$M$665,MATCH($A339-90,$A$5:$A$665,1)):INDEX($M$5:$M$665,MATCH($A339+90,$A$5:$A$665,1))),"")</f>
        <v>0.410768939398811</v>
      </c>
      <c r="T339" s="11" t="n">
        <f aca="false">IFERROR(N339/MEDIAN(INDEX($N$5:$N$665,MATCH($A339-90,$A$5:$A$665,1)):INDEX($N$5:$N$665,MATCH($A339+90,$A$5:$A$665,1))),"")</f>
        <v>1.00016443649351</v>
      </c>
      <c r="U339" s="11" t="n">
        <f aca="false">IFERROR(Q339/MEDIAN(INDEX($Q$5:$Q$665,MATCH($A339-90,$A$5:$A$665,1)):INDEX($Q$5:$Q$665,MATCH($A339+90,$A$5:$A$665,1))),"")</f>
        <v>0.218487823430499</v>
      </c>
    </row>
    <row r="340" customFormat="false" ht="15" hidden="false" customHeight="false" outlineLevel="0" collapsed="false">
      <c r="A340" s="13" t="n">
        <v>45302.5409479398</v>
      </c>
      <c r="B340" s="8" t="n">
        <v>12</v>
      </c>
      <c r="C340" s="8" t="s">
        <v>73</v>
      </c>
      <c r="D340" s="8" t="s">
        <v>1014</v>
      </c>
      <c r="E340" s="14" t="s">
        <v>66</v>
      </c>
      <c r="F340" s="9" t="n">
        <v>11524</v>
      </c>
      <c r="G340" s="9" t="n">
        <v>3567</v>
      </c>
      <c r="H340" s="9" t="n">
        <v>3561</v>
      </c>
      <c r="I340" s="9" t="n">
        <v>334</v>
      </c>
      <c r="J340" s="9" t="n">
        <v>105</v>
      </c>
      <c r="K340" s="9" t="n">
        <v>3</v>
      </c>
      <c r="L340" s="9" t="n">
        <v>5</v>
      </c>
      <c r="M340" s="10" t="n">
        <f aca="false">IFERROR(G340/F340,"")</f>
        <v>0.309527941686914</v>
      </c>
      <c r="N340" s="10" t="n">
        <f aca="false">IFERROR(H340/G340,"")</f>
        <v>0.998317914213625</v>
      </c>
      <c r="O340" s="11" t="n">
        <f aca="false">IFERROR(I340/H340,"")</f>
        <v>0.0937938781241224</v>
      </c>
      <c r="P340" s="10" t="n">
        <f aca="false">IFERROR(J340/H340,"")</f>
        <v>0.029486099410278</v>
      </c>
      <c r="Q340" s="10" t="n">
        <f aca="false">IFERROR(K340/H340,"")</f>
        <v>0.0008424599831508</v>
      </c>
      <c r="R340" s="10" t="n">
        <f aca="false">IFERROR(L340/H340,"")</f>
        <v>0.001404099971918</v>
      </c>
      <c r="S340" s="11" t="n">
        <f aca="false">IFERROR(M340/MEDIAN(INDEX($M$5:$M$665,MATCH($A340-90,$A$5:$A$665,1)):INDEX($M$5:$M$665,MATCH($A340+90,$A$5:$A$665,1))),"")</f>
        <v>1.21150344595849</v>
      </c>
      <c r="T340" s="11" t="n">
        <f aca="false">IFERROR(N340/MEDIAN(INDEX($N$5:$N$665,MATCH($A340-90,$A$5:$A$665,1)):INDEX($N$5:$N$665,MATCH($A340+90,$A$5:$A$665,1))),"")</f>
        <v>0.998296363210048</v>
      </c>
      <c r="U340" s="11" t="n">
        <f aca="false">IFERROR(Q340/MEDIAN(INDEX($Q$5:$Q$665,MATCH($A340-90,$A$5:$A$665,1)):INDEX($Q$5:$Q$665,MATCH($A340+90,$A$5:$A$665,1))),"")</f>
        <v>1.86396102706861</v>
      </c>
    </row>
    <row r="341" customFormat="false" ht="15" hidden="false" customHeight="false" outlineLevel="0" collapsed="false">
      <c r="A341" s="13" t="n">
        <v>45304.5273061227</v>
      </c>
      <c r="B341" s="8" t="n">
        <v>12</v>
      </c>
      <c r="C341" s="8" t="s">
        <v>68</v>
      </c>
      <c r="D341" s="8" t="s">
        <v>1015</v>
      </c>
      <c r="E341" s="14" t="s">
        <v>66</v>
      </c>
      <c r="F341" s="9" t="n">
        <v>6780</v>
      </c>
      <c r="G341" s="9" t="n">
        <v>2241</v>
      </c>
      <c r="H341" s="9" t="n">
        <v>2254</v>
      </c>
      <c r="I341" s="9" t="n">
        <v>187</v>
      </c>
      <c r="J341" s="9" t="n">
        <v>64</v>
      </c>
      <c r="K341" s="9" t="n">
        <v>12</v>
      </c>
      <c r="L341" s="9" t="n">
        <v>4</v>
      </c>
      <c r="M341" s="10" t="n">
        <f aca="false">IFERROR(G341/F341,"")</f>
        <v>0.330530973451327</v>
      </c>
      <c r="N341" s="10" t="n">
        <f aca="false">IFERROR(H341/G341,"")</f>
        <v>1.0058009817046</v>
      </c>
      <c r="O341" s="11" t="n">
        <f aca="false">IFERROR(I341/H341,"")</f>
        <v>0.082963620230701</v>
      </c>
      <c r="P341" s="10" t="n">
        <f aca="false">IFERROR(J341/H341,"")</f>
        <v>0.028393966282165</v>
      </c>
      <c r="Q341" s="10" t="n">
        <f aca="false">IFERROR(K341/H341,"")</f>
        <v>0.00532386867790595</v>
      </c>
      <c r="R341" s="10" t="n">
        <f aca="false">IFERROR(L341/H341,"")</f>
        <v>0.00177462289263532</v>
      </c>
      <c r="S341" s="11" t="n">
        <f aca="false">IFERROR(M341/MEDIAN(INDEX($M$5:$M$665,MATCH($A341-90,$A$5:$A$665,1)):INDEX($M$5:$M$665,MATCH($A341+90,$A$5:$A$665,1))),"")</f>
        <v>1.29882751100371</v>
      </c>
      <c r="T341" s="11" t="n">
        <f aca="false">IFERROR(N341/MEDIAN(INDEX($N$5:$N$665,MATCH($A341-90,$A$5:$A$665,1)):INDEX($N$5:$N$665,MATCH($A341+90,$A$5:$A$665,1))),"")</f>
        <v>1.00577609206674</v>
      </c>
      <c r="U341" s="11" t="n">
        <f aca="false">IFERROR(Q341/MEDIAN(INDEX($Q$5:$Q$665,MATCH($A341-90,$A$5:$A$665,1)):INDEX($Q$5:$Q$665,MATCH($A341+90,$A$5:$A$665,1))),"")</f>
        <v>11.9388829846519</v>
      </c>
    </row>
    <row r="342" customFormat="false" ht="15" hidden="false" customHeight="false" outlineLevel="0" collapsed="false">
      <c r="A342" s="13" t="n">
        <v>45306.5521720949</v>
      </c>
      <c r="B342" s="8" t="n">
        <v>13</v>
      </c>
      <c r="C342" s="8" t="s">
        <v>80</v>
      </c>
      <c r="D342" s="8" t="s">
        <v>1016</v>
      </c>
      <c r="E342" s="14" t="s">
        <v>66</v>
      </c>
      <c r="F342" s="9" t="n">
        <v>6478</v>
      </c>
      <c r="G342" s="9" t="n">
        <v>2181</v>
      </c>
      <c r="H342" s="9" t="n">
        <v>2185</v>
      </c>
      <c r="I342" s="9" t="n">
        <v>197</v>
      </c>
      <c r="J342" s="9" t="n">
        <v>76</v>
      </c>
      <c r="K342" s="9" t="n">
        <v>4</v>
      </c>
      <c r="L342" s="9" t="n">
        <v>6</v>
      </c>
      <c r="M342" s="10" t="n">
        <f aca="false">IFERROR(G342/F342,"")</f>
        <v>0.336677987033035</v>
      </c>
      <c r="N342" s="10" t="n">
        <f aca="false">IFERROR(H342/G342,"")</f>
        <v>1.00183402109124</v>
      </c>
      <c r="O342" s="11" t="n">
        <f aca="false">IFERROR(I342/H342,"")</f>
        <v>0.0901601830663616</v>
      </c>
      <c r="P342" s="10" t="n">
        <f aca="false">IFERROR(J342/H342,"")</f>
        <v>0.0347826086956522</v>
      </c>
      <c r="Q342" s="10" t="n">
        <f aca="false">IFERROR(K342/H342,"")</f>
        <v>0.00183066361556064</v>
      </c>
      <c r="R342" s="10" t="n">
        <f aca="false">IFERROR(L342/H342,"")</f>
        <v>0.00274599542334096</v>
      </c>
      <c r="S342" s="11" t="n">
        <f aca="false">IFERROR(M342/MEDIAN(INDEX($M$5:$M$665,MATCH($A342-90,$A$5:$A$665,1)):INDEX($M$5:$M$665,MATCH($A342+90,$A$5:$A$665,1))),"")</f>
        <v>1.36025407013532</v>
      </c>
      <c r="T342" s="11" t="n">
        <f aca="false">IFERROR(N342/MEDIAN(INDEX($N$5:$N$665,MATCH($A342-90,$A$5:$A$665,1)):INDEX($N$5:$N$665,MATCH($A342+90,$A$5:$A$665,1))),"")</f>
        <v>1.00180455137599</v>
      </c>
      <c r="U342" s="11" t="n">
        <f aca="false">IFERROR(Q342/MEDIAN(INDEX($Q$5:$Q$665,MATCH($A342-90,$A$5:$A$665,1)):INDEX($Q$5:$Q$665,MATCH($A342+90,$A$5:$A$665,1))),"")</f>
        <v>4.05038304646304</v>
      </c>
    </row>
    <row r="343" customFormat="false" ht="15" hidden="false" customHeight="false" outlineLevel="0" collapsed="false">
      <c r="A343" s="13" t="n">
        <v>45308.5529924769</v>
      </c>
      <c r="B343" s="8" t="n">
        <v>13</v>
      </c>
      <c r="C343" s="8" t="s">
        <v>71</v>
      </c>
      <c r="D343" s="8" t="s">
        <v>1017</v>
      </c>
      <c r="E343" s="14" t="s">
        <v>66</v>
      </c>
      <c r="F343" s="9" t="n">
        <v>110235</v>
      </c>
      <c r="G343" s="9" t="n">
        <v>19308</v>
      </c>
      <c r="H343" s="9" t="n">
        <v>19307</v>
      </c>
      <c r="I343" s="9" t="n">
        <v>1156</v>
      </c>
      <c r="J343" s="9" t="n">
        <v>149</v>
      </c>
      <c r="K343" s="9" t="n">
        <v>7</v>
      </c>
      <c r="L343" s="9" t="n">
        <v>7</v>
      </c>
      <c r="M343" s="10" t="n">
        <f aca="false">IFERROR(G343/F343,"")</f>
        <v>0.17515308205198</v>
      </c>
      <c r="N343" s="10" t="n">
        <f aca="false">IFERROR(H343/G343,"")</f>
        <v>0.999948207996685</v>
      </c>
      <c r="O343" s="11" t="n">
        <f aca="false">IFERROR(I343/H343,"")</f>
        <v>0.0598746568602061</v>
      </c>
      <c r="P343" s="10" t="n">
        <f aca="false">IFERROR(J343/H343,"")</f>
        <v>0.0077174081939193</v>
      </c>
      <c r="Q343" s="10" t="n">
        <f aca="false">IFERROR(K343/H343,"")</f>
        <v>0.000362562801056612</v>
      </c>
      <c r="R343" s="10" t="n">
        <f aca="false">IFERROR(L343/H343,"")</f>
        <v>0.000362562801056612</v>
      </c>
      <c r="S343" s="11" t="n">
        <f aca="false">IFERROR(M343/MEDIAN(INDEX($M$5:$M$665,MATCH($A343-90,$A$5:$A$665,1)):INDEX($M$5:$M$665,MATCH($A343+90,$A$5:$A$665,1))),"")</f>
        <v>0.707657470740951</v>
      </c>
      <c r="T343" s="11" t="n">
        <f aca="false">IFERROR(N343/MEDIAN(INDEX($N$5:$N$665,MATCH($A343-90,$A$5:$A$665,1)):INDEX($N$5:$N$665,MATCH($A343+90,$A$5:$A$665,1))),"")</f>
        <v>0.999918793754071</v>
      </c>
      <c r="U343" s="11" t="n">
        <f aca="false">IFERROR(Q343/MEDIAN(INDEX($Q$5:$Q$665,MATCH($A343-90,$A$5:$A$665,1)):INDEX($Q$5:$Q$665,MATCH($A343+90,$A$5:$A$665,1))),"")</f>
        <v>0.824229708658757</v>
      </c>
    </row>
    <row r="344" customFormat="false" ht="15" hidden="false" customHeight="false" outlineLevel="0" collapsed="false">
      <c r="A344" s="13" t="n">
        <v>45310.592393912</v>
      </c>
      <c r="B344" s="8" t="n">
        <v>14</v>
      </c>
      <c r="C344" s="8" t="s">
        <v>84</v>
      </c>
      <c r="D344" s="8" t="s">
        <v>1018</v>
      </c>
      <c r="E344" s="14" t="s">
        <v>66</v>
      </c>
      <c r="F344" s="9" t="n">
        <v>13476</v>
      </c>
      <c r="G344" s="9" t="n">
        <v>3559</v>
      </c>
      <c r="H344" s="9" t="n">
        <v>3557</v>
      </c>
      <c r="I344" s="9" t="n">
        <v>348</v>
      </c>
      <c r="J344" s="9" t="n">
        <v>195</v>
      </c>
      <c r="K344" s="9" t="n">
        <v>2</v>
      </c>
      <c r="L344" s="9" t="n">
        <v>8</v>
      </c>
      <c r="M344" s="10" t="n">
        <f aca="false">IFERROR(G344/F344,"")</f>
        <v>0.264099139210448</v>
      </c>
      <c r="N344" s="10" t="n">
        <f aca="false">IFERROR(H344/G344,"")</f>
        <v>0.999438044394493</v>
      </c>
      <c r="O344" s="11" t="n">
        <f aca="false">IFERROR(I344/H344,"")</f>
        <v>0.0978352544278887</v>
      </c>
      <c r="P344" s="10" t="n">
        <f aca="false">IFERROR(J344/H344,"")</f>
        <v>0.054821478774248</v>
      </c>
      <c r="Q344" s="10" t="n">
        <f aca="false">IFERROR(K344/H344,"")</f>
        <v>0.000562271577171774</v>
      </c>
      <c r="R344" s="10" t="n">
        <f aca="false">IFERROR(L344/H344,"")</f>
        <v>0.0022490863086871</v>
      </c>
      <c r="S344" s="11" t="n">
        <f aca="false">IFERROR(M344/MEDIAN(INDEX($M$5:$M$665,MATCH($A344-90,$A$5:$A$665,1)):INDEX($M$5:$M$665,MATCH($A344+90,$A$5:$A$665,1))),"")</f>
        <v>1.16537724254838</v>
      </c>
      <c r="T344" s="11" t="n">
        <f aca="false">IFERROR(N344/MEDIAN(INDEX($N$5:$N$665,MATCH($A344-90,$A$5:$A$665,1)):INDEX($N$5:$N$665,MATCH($A344+90,$A$5:$A$665,1))),"")</f>
        <v>0.999407027379876</v>
      </c>
      <c r="U344" s="11" t="n">
        <f aca="false">IFERROR(Q344/MEDIAN(INDEX($Q$5:$Q$665,MATCH($A344-90,$A$5:$A$665,1)):INDEX($Q$5:$Q$665,MATCH($A344+90,$A$5:$A$665,1))),"")</f>
        <v>1.49355755000711</v>
      </c>
    </row>
    <row r="345" customFormat="false" ht="15" hidden="false" customHeight="false" outlineLevel="0" collapsed="false">
      <c r="A345" s="13" t="n">
        <v>45312.5404718519</v>
      </c>
      <c r="B345" s="8" t="n">
        <v>12</v>
      </c>
      <c r="C345" s="8" t="s">
        <v>86</v>
      </c>
      <c r="D345" s="8" t="s">
        <v>1019</v>
      </c>
      <c r="E345" s="14" t="s">
        <v>66</v>
      </c>
      <c r="F345" s="9" t="n">
        <v>2125854</v>
      </c>
      <c r="G345" s="9" t="n">
        <v>468609</v>
      </c>
      <c r="H345" s="9" t="n">
        <v>468606</v>
      </c>
      <c r="I345" s="9" t="n">
        <v>36786</v>
      </c>
      <c r="J345" s="9" t="n">
        <v>1977</v>
      </c>
      <c r="K345" s="9" t="n">
        <v>148</v>
      </c>
      <c r="L345" s="9" t="n">
        <v>218</v>
      </c>
      <c r="M345" s="10" t="n">
        <f aca="false">IFERROR(G345/F345,"")</f>
        <v>0.220433294102041</v>
      </c>
      <c r="N345" s="10" t="n">
        <f aca="false">IFERROR(H345/G345,"")</f>
        <v>0.999993598074301</v>
      </c>
      <c r="O345" s="11" t="n">
        <f aca="false">IFERROR(I345/H345,"")</f>
        <v>0.0785009154812358</v>
      </c>
      <c r="P345" s="10" t="n">
        <f aca="false">IFERROR(J345/H345,"")</f>
        <v>0.00421889604486498</v>
      </c>
      <c r="Q345" s="10" t="n">
        <f aca="false">IFERROR(K345/H345,"")</f>
        <v>0.000315830356418825</v>
      </c>
      <c r="R345" s="10" t="n">
        <f aca="false">IFERROR(L345/H345,"")</f>
        <v>0.000465209579049351</v>
      </c>
      <c r="S345" s="11" t="n">
        <f aca="false">IFERROR(M345/MEDIAN(INDEX($M$5:$M$665,MATCH($A345-90,$A$5:$A$665,1)):INDEX($M$5:$M$665,MATCH($A345+90,$A$5:$A$665,1))),"")</f>
        <v>0.99153614517123</v>
      </c>
      <c r="T345" s="11" t="n">
        <f aca="false">IFERROR(N345/MEDIAN(INDEX($N$5:$N$665,MATCH($A345-90,$A$5:$A$665,1)):INDEX($N$5:$N$665,MATCH($A345+90,$A$5:$A$665,1))),"")</f>
        <v>0.99996245241765</v>
      </c>
      <c r="U345" s="11" t="n">
        <f aca="false">IFERROR(Q345/MEDIAN(INDEX($Q$5:$Q$665,MATCH($A345-90,$A$5:$A$665,1)):INDEX($Q$5:$Q$665,MATCH($A345+90,$A$5:$A$665,1))),"")</f>
        <v>0.871105241625465</v>
      </c>
    </row>
    <row r="346" customFormat="false" ht="15" hidden="false" customHeight="false" outlineLevel="0" collapsed="false">
      <c r="A346" s="13" t="n">
        <v>45314.4990134607</v>
      </c>
      <c r="B346" s="8" t="n">
        <v>11</v>
      </c>
      <c r="C346" s="8" t="s">
        <v>64</v>
      </c>
      <c r="D346" s="8" t="s">
        <v>1020</v>
      </c>
      <c r="E346" s="14" t="s">
        <v>66</v>
      </c>
      <c r="F346" s="9" t="n">
        <v>54004</v>
      </c>
      <c r="G346" s="9" t="n">
        <v>14837</v>
      </c>
      <c r="H346" s="9" t="n">
        <v>14841</v>
      </c>
      <c r="I346" s="9" t="n">
        <v>1653</v>
      </c>
      <c r="J346" s="9" t="n">
        <v>280</v>
      </c>
      <c r="K346" s="9" t="n">
        <v>5</v>
      </c>
      <c r="L346" s="9" t="n">
        <v>27</v>
      </c>
      <c r="M346" s="10" t="n">
        <f aca="false">IFERROR(G346/F346,"")</f>
        <v>0.27473890822902</v>
      </c>
      <c r="N346" s="10" t="n">
        <f aca="false">IFERROR(H346/G346,"")</f>
        <v>1.00026959627957</v>
      </c>
      <c r="O346" s="11" t="n">
        <f aca="false">IFERROR(I346/H346,"")</f>
        <v>0.111380634728118</v>
      </c>
      <c r="P346" s="10" t="n">
        <f aca="false">IFERROR(J346/H346,"")</f>
        <v>0.0188666531904858</v>
      </c>
      <c r="Q346" s="10" t="n">
        <f aca="false">IFERROR(K346/H346,"")</f>
        <v>0.000336904521258675</v>
      </c>
      <c r="R346" s="10" t="n">
        <f aca="false">IFERROR(L346/H346,"")</f>
        <v>0.00181928441479685</v>
      </c>
      <c r="S346" s="11" t="n">
        <f aca="false">IFERROR(M346/MEDIAN(INDEX($M$5:$M$665,MATCH($A346-90,$A$5:$A$665,1)):INDEX($M$5:$M$665,MATCH($A346+90,$A$5:$A$665,1))),"")</f>
        <v>1.24106157809835</v>
      </c>
      <c r="T346" s="11" t="n">
        <f aca="false">IFERROR(N346/MEDIAN(INDEX($N$5:$N$665,MATCH($A346-90,$A$5:$A$665,1)):INDEX($N$5:$N$665,MATCH($A346+90,$A$5:$A$665,1))),"")</f>
        <v>1.00023825831303</v>
      </c>
      <c r="U346" s="11" t="n">
        <f aca="false">IFERROR(Q346/MEDIAN(INDEX($Q$5:$Q$665,MATCH($A346-90,$A$5:$A$665,1)):INDEX($Q$5:$Q$665,MATCH($A346+90,$A$5:$A$665,1))),"")</f>
        <v>0.929375164068664</v>
      </c>
    </row>
    <row r="347" customFormat="false" ht="15" hidden="false" customHeight="false" outlineLevel="0" collapsed="false">
      <c r="A347" s="13" t="n">
        <v>45316.581389919</v>
      </c>
      <c r="B347" s="8" t="n">
        <v>13</v>
      </c>
      <c r="C347" s="8" t="s">
        <v>73</v>
      </c>
      <c r="D347" s="8" t="s">
        <v>1021</v>
      </c>
      <c r="E347" s="14" t="s">
        <v>66</v>
      </c>
      <c r="F347" s="9" t="n">
        <v>3956674</v>
      </c>
      <c r="G347" s="9" t="n">
        <v>455713</v>
      </c>
      <c r="H347" s="9" t="n">
        <v>455724</v>
      </c>
      <c r="I347" s="9" t="n">
        <v>6557</v>
      </c>
      <c r="J347" s="9" t="n">
        <v>627</v>
      </c>
      <c r="K347" s="9" t="n">
        <v>31</v>
      </c>
      <c r="L347" s="9" t="n">
        <v>35</v>
      </c>
      <c r="M347" s="10" t="n">
        <f aca="false">IFERROR(G347/F347,"")</f>
        <v>0.115175776422318</v>
      </c>
      <c r="N347" s="10" t="n">
        <f aca="false">IFERROR(H347/G347,"")</f>
        <v>1.00002413799914</v>
      </c>
      <c r="O347" s="11" t="n">
        <f aca="false">IFERROR(I347/H347,"")</f>
        <v>0.0143880945484548</v>
      </c>
      <c r="P347" s="10" t="n">
        <f aca="false">IFERROR(J347/H347,"")</f>
        <v>0.00137583274086947</v>
      </c>
      <c r="Q347" s="10" t="n">
        <f aca="false">IFERROR(K347/H347,"")</f>
        <v>6.80236283364493E-005</v>
      </c>
      <c r="R347" s="10" t="n">
        <f aca="false">IFERROR(L347/H347,"")</f>
        <v>7.68008707024427E-005</v>
      </c>
      <c r="S347" s="11" t="n">
        <f aca="false">IFERROR(M347/MEDIAN(INDEX($M$5:$M$665,MATCH($A347-90,$A$5:$A$665,1)):INDEX($M$5:$M$665,MATCH($A347+90,$A$5:$A$665,1))),"")</f>
        <v>0.532566588449492</v>
      </c>
      <c r="T347" s="11" t="n">
        <f aca="false">IFERROR(N347/MEDIAN(INDEX($N$5:$N$665,MATCH($A347-90,$A$5:$A$665,1)):INDEX($N$5:$N$665,MATCH($A347+90,$A$5:$A$665,1))),"")</f>
        <v>0.999990361139978</v>
      </c>
      <c r="U347" s="11" t="n">
        <f aca="false">IFERROR(Q347/MEDIAN(INDEX($Q$5:$Q$665,MATCH($A347-90,$A$5:$A$665,1)):INDEX($Q$5:$Q$665,MATCH($A347+90,$A$5:$A$665,1))),"")</f>
        <v>0.188921652133813</v>
      </c>
    </row>
    <row r="348" customFormat="false" ht="15" hidden="false" customHeight="false" outlineLevel="0" collapsed="false">
      <c r="A348" s="13" t="n">
        <v>45318.5132891782</v>
      </c>
      <c r="B348" s="8" t="n">
        <v>12</v>
      </c>
      <c r="C348" s="8" t="s">
        <v>68</v>
      </c>
      <c r="D348" s="8" t="s">
        <v>978</v>
      </c>
      <c r="E348" s="14" t="s">
        <v>66</v>
      </c>
      <c r="F348" s="9" t="n">
        <v>16658</v>
      </c>
      <c r="G348" s="9" t="n">
        <v>4700</v>
      </c>
      <c r="H348" s="9" t="n">
        <v>4690</v>
      </c>
      <c r="I348" s="9" t="n">
        <v>686</v>
      </c>
      <c r="J348" s="9" t="n">
        <v>227</v>
      </c>
      <c r="K348" s="9" t="n">
        <v>4</v>
      </c>
      <c r="L348" s="9" t="n">
        <v>11</v>
      </c>
      <c r="M348" s="10" t="n">
        <f aca="false">IFERROR(G348/F348,"")</f>
        <v>0.282146716292472</v>
      </c>
      <c r="N348" s="10" t="n">
        <f aca="false">IFERROR(H348/G348,"")</f>
        <v>0.997872340425532</v>
      </c>
      <c r="O348" s="11" t="n">
        <f aca="false">IFERROR(I348/H348,"")</f>
        <v>0.146268656716418</v>
      </c>
      <c r="P348" s="10" t="n">
        <f aca="false">IFERROR(J348/H348,"")</f>
        <v>0.0484008528784648</v>
      </c>
      <c r="Q348" s="10" t="n">
        <f aca="false">IFERROR(K348/H348,"")</f>
        <v>0.000852878464818763</v>
      </c>
      <c r="R348" s="10" t="n">
        <f aca="false">IFERROR(L348/H348,"")</f>
        <v>0.0023454157782516</v>
      </c>
      <c r="S348" s="11" t="n">
        <f aca="false">IFERROR(M348/MEDIAN(INDEX($M$5:$M$665,MATCH($A348-90,$A$5:$A$665,1)):INDEX($M$5:$M$665,MATCH($A348+90,$A$5:$A$665,1))),"")</f>
        <v>1.38108669299914</v>
      </c>
      <c r="T348" s="11" t="n">
        <f aca="false">IFERROR(N348/MEDIAN(INDEX($N$5:$N$665,MATCH($A348-90,$A$5:$A$665,1)):INDEX($N$5:$N$665,MATCH($A348+90,$A$5:$A$665,1))),"")</f>
        <v>0.997840894290532</v>
      </c>
      <c r="U348" s="11" t="n">
        <f aca="false">IFERROR(Q348/MEDIAN(INDEX($Q$5:$Q$665,MATCH($A348-90,$A$5:$A$665,1)):INDEX($Q$5:$Q$665,MATCH($A348+90,$A$5:$A$665,1))),"")</f>
        <v>2.53151385927505</v>
      </c>
    </row>
    <row r="349" customFormat="false" ht="15" hidden="false" customHeight="false" outlineLevel="0" collapsed="false">
      <c r="A349" s="13" t="n">
        <v>45320.5721025694</v>
      </c>
      <c r="B349" s="8" t="n">
        <v>13</v>
      </c>
      <c r="C349" s="8" t="s">
        <v>80</v>
      </c>
      <c r="D349" s="8" t="s">
        <v>1022</v>
      </c>
      <c r="E349" s="14" t="s">
        <v>66</v>
      </c>
      <c r="F349" s="9" t="n">
        <v>506789</v>
      </c>
      <c r="G349" s="9" t="n">
        <v>64935</v>
      </c>
      <c r="H349" s="9" t="n">
        <v>64936</v>
      </c>
      <c r="I349" s="9" t="n">
        <v>939</v>
      </c>
      <c r="J349" s="9" t="n">
        <v>173</v>
      </c>
      <c r="K349" s="9" t="n">
        <v>11</v>
      </c>
      <c r="L349" s="9" t="n">
        <v>9</v>
      </c>
      <c r="M349" s="10" t="n">
        <f aca="false">IFERROR(G349/F349,"")</f>
        <v>0.128130247499452</v>
      </c>
      <c r="N349" s="10" t="n">
        <f aca="false">IFERROR(H349/G349,"")</f>
        <v>1.0000154000154</v>
      </c>
      <c r="O349" s="11" t="n">
        <f aca="false">IFERROR(I349/H349,"")</f>
        <v>0.0144603917703585</v>
      </c>
      <c r="P349" s="10" t="n">
        <f aca="false">IFERROR(J349/H349,"")</f>
        <v>0.00266416163607244</v>
      </c>
      <c r="Q349" s="10" t="n">
        <f aca="false">IFERROR(K349/H349,"")</f>
        <v>0.000169397560675126</v>
      </c>
      <c r="R349" s="10" t="n">
        <f aca="false">IFERROR(L349/H349,"")</f>
        <v>0.00013859800418874</v>
      </c>
      <c r="S349" s="11" t="n">
        <f aca="false">IFERROR(M349/MEDIAN(INDEX($M$5:$M$665,MATCH($A349-90,$A$5:$A$665,1)):INDEX($M$5:$M$665,MATCH($A349+90,$A$5:$A$665,1))),"")</f>
        <v>0.652460944628073</v>
      </c>
      <c r="T349" s="11" t="n">
        <f aca="false">IFERROR(N349/MEDIAN(INDEX($N$5:$N$665,MATCH($A349-90,$A$5:$A$665,1)):INDEX($N$5:$N$665,MATCH($A349+90,$A$5:$A$665,1))),"")</f>
        <v>0.999981623451377</v>
      </c>
      <c r="U349" s="11" t="n">
        <f aca="false">IFERROR(Q349/MEDIAN(INDEX($Q$5:$Q$665,MATCH($A349-90,$A$5:$A$665,1)):INDEX($Q$5:$Q$665,MATCH($A349+90,$A$5:$A$665,1))),"")</f>
        <v>0.50507319604876</v>
      </c>
    </row>
    <row r="350" customFormat="false" ht="15" hidden="false" customHeight="false" outlineLevel="0" collapsed="false">
      <c r="A350" s="13" t="n">
        <v>45322.7766319907</v>
      </c>
      <c r="B350" s="8" t="n">
        <v>18</v>
      </c>
      <c r="C350" s="8" t="s">
        <v>71</v>
      </c>
      <c r="D350" s="8" t="s">
        <v>1023</v>
      </c>
      <c r="E350" s="14" t="s">
        <v>66</v>
      </c>
      <c r="F350" s="9" t="n">
        <v>2052670</v>
      </c>
      <c r="G350" s="9" t="n">
        <v>291036</v>
      </c>
      <c r="H350" s="9" t="n">
        <v>291045</v>
      </c>
      <c r="I350" s="9" t="n">
        <v>10750</v>
      </c>
      <c r="J350" s="9" t="n">
        <v>655</v>
      </c>
      <c r="K350" s="9" t="n">
        <v>66</v>
      </c>
      <c r="L350" s="9" t="n">
        <v>106</v>
      </c>
      <c r="M350" s="10" t="n">
        <f aca="false">IFERROR(G350/F350,"")</f>
        <v>0.14178411532297</v>
      </c>
      <c r="N350" s="10" t="n">
        <f aca="false">IFERROR(H350/G350,"")</f>
        <v>1.0000309240094</v>
      </c>
      <c r="O350" s="11" t="n">
        <f aca="false">IFERROR(I350/H350,"")</f>
        <v>0.0369358690236905</v>
      </c>
      <c r="P350" s="10" t="n">
        <f aca="false">IFERROR(J350/H350,"")</f>
        <v>0.00225051108935044</v>
      </c>
      <c r="Q350" s="10" t="n">
        <f aca="false">IFERROR(K350/H350,"")</f>
        <v>0.000226769056331495</v>
      </c>
      <c r="R350" s="10" t="n">
        <f aca="false">IFERROR(L350/H350,"")</f>
        <v>0.000364204848047553</v>
      </c>
      <c r="S350" s="11" t="n">
        <f aca="false">IFERROR(M350/MEDIAN(INDEX($M$5:$M$665,MATCH($A350-90,$A$5:$A$665,1)):INDEX($M$5:$M$665,MATCH($A350+90,$A$5:$A$665,1))),"")</f>
        <v>0.752303553911113</v>
      </c>
      <c r="T350" s="11" t="n">
        <f aca="false">IFERROR(N350/MEDIAN(INDEX($N$5:$N$665,MATCH($A350-90,$A$5:$A$665,1)):INDEX($N$5:$N$665,MATCH($A350+90,$A$5:$A$665,1))),"")</f>
        <v>0.99999488400176</v>
      </c>
      <c r="U350" s="11" t="n">
        <f aca="false">IFERROR(Q350/MEDIAN(INDEX($Q$5:$Q$665,MATCH($A350-90,$A$5:$A$665,1)):INDEX($Q$5:$Q$665,MATCH($A350+90,$A$5:$A$665,1))),"")</f>
        <v>0.71800905683295</v>
      </c>
    </row>
    <row r="351" customFormat="false" ht="15" hidden="false" customHeight="false" outlineLevel="0" collapsed="false">
      <c r="A351" s="13" t="n">
        <v>45324.6521788194</v>
      </c>
      <c r="B351" s="8" t="n">
        <v>15</v>
      </c>
      <c r="C351" s="8" t="s">
        <v>84</v>
      </c>
      <c r="D351" s="8" t="s">
        <v>1024</v>
      </c>
      <c r="E351" s="14" t="s">
        <v>66</v>
      </c>
      <c r="F351" s="9" t="n">
        <v>2680747</v>
      </c>
      <c r="G351" s="9" t="n">
        <v>469812</v>
      </c>
      <c r="H351" s="9" t="n">
        <v>469815</v>
      </c>
      <c r="I351" s="9" t="n">
        <v>11779</v>
      </c>
      <c r="J351" s="9" t="n">
        <v>651</v>
      </c>
      <c r="K351" s="9" t="n">
        <v>61</v>
      </c>
      <c r="L351" s="9" t="n">
        <v>51</v>
      </c>
      <c r="M351" s="10" t="n">
        <f aca="false">IFERROR(G351/F351,"")</f>
        <v>0.175254136253813</v>
      </c>
      <c r="N351" s="10" t="n">
        <f aca="false">IFERROR(H351/G351,"")</f>
        <v>1.00000638553294</v>
      </c>
      <c r="O351" s="11" t="n">
        <f aca="false">IFERROR(I351/H351,"")</f>
        <v>0.0250715707246469</v>
      </c>
      <c r="P351" s="10" t="n">
        <f aca="false">IFERROR(J351/H351,"")</f>
        <v>0.00138565179911242</v>
      </c>
      <c r="Q351" s="10" t="n">
        <f aca="false">IFERROR(K351/H351,"")</f>
        <v>0.000129838340623437</v>
      </c>
      <c r="R351" s="10" t="n">
        <f aca="false">IFERROR(L351/H351,"")</f>
        <v>0.000108553366750742</v>
      </c>
      <c r="S351" s="11" t="n">
        <f aca="false">IFERROR(M351/MEDIAN(INDEX($M$5:$M$665,MATCH($A351-90,$A$5:$A$665,1)):INDEX($M$5:$M$665,MATCH($A351+90,$A$5:$A$665,1))),"")</f>
        <v>0.929894785752537</v>
      </c>
      <c r="T351" s="11" t="n">
        <f aca="false">IFERROR(N351/MEDIAN(INDEX($N$5:$N$665,MATCH($A351-90,$A$5:$A$665,1)):INDEX($N$5:$N$665,MATCH($A351+90,$A$5:$A$665,1))),"")</f>
        <v>0.999974010817896</v>
      </c>
      <c r="U351" s="11" t="n">
        <f aca="false">IFERROR(Q351/MEDIAN(INDEX($Q$5:$Q$665,MATCH($A351-90,$A$5:$A$665,1)):INDEX($Q$5:$Q$665,MATCH($A351+90,$A$5:$A$665,1))),"")</f>
        <v>0.411101523285042</v>
      </c>
    </row>
    <row r="352" customFormat="false" ht="15" hidden="false" customHeight="false" outlineLevel="0" collapsed="false">
      <c r="A352" s="13" t="n">
        <v>45326.5962776389</v>
      </c>
      <c r="B352" s="8" t="n">
        <v>14</v>
      </c>
      <c r="C352" s="8" t="s">
        <v>86</v>
      </c>
      <c r="D352" s="8" t="s">
        <v>1025</v>
      </c>
      <c r="E352" s="14" t="s">
        <v>66</v>
      </c>
      <c r="F352" s="9" t="n">
        <v>3040439</v>
      </c>
      <c r="G352" s="9" t="n">
        <v>675935</v>
      </c>
      <c r="H352" s="9" t="n">
        <v>675942</v>
      </c>
      <c r="I352" s="9" t="n">
        <v>28821</v>
      </c>
      <c r="J352" s="9" t="n">
        <v>1109</v>
      </c>
      <c r="K352" s="9" t="n">
        <v>90</v>
      </c>
      <c r="L352" s="9" t="n">
        <v>128</v>
      </c>
      <c r="M352" s="10" t="n">
        <f aca="false">IFERROR(G352/F352,"")</f>
        <v>0.222314935441889</v>
      </c>
      <c r="N352" s="10" t="n">
        <f aca="false">IFERROR(H352/G352,"")</f>
        <v>1.00001035602536</v>
      </c>
      <c r="O352" s="11" t="n">
        <f aca="false">IFERROR(I352/H352,"")</f>
        <v>0.0426382736980392</v>
      </c>
      <c r="P352" s="10" t="n">
        <f aca="false">IFERROR(J352/H352,"")</f>
        <v>0.00164067331220726</v>
      </c>
      <c r="Q352" s="10" t="n">
        <f aca="false">IFERROR(K352/H352,"")</f>
        <v>0.000133147518574079</v>
      </c>
      <c r="R352" s="10" t="n">
        <f aca="false">IFERROR(L352/H352,"")</f>
        <v>0.000189365359749801</v>
      </c>
      <c r="S352" s="11" t="n">
        <f aca="false">IFERROR(M352/MEDIAN(INDEX($M$5:$M$665,MATCH($A352-90,$A$5:$A$665,1)):INDEX($M$5:$M$665,MATCH($A352+90,$A$5:$A$665,1))),"")</f>
        <v>1.20826414341834</v>
      </c>
      <c r="T352" s="11" t="n">
        <f aca="false">IFERROR(N352/MEDIAN(INDEX($N$5:$N$665,MATCH($A352-90,$A$5:$A$665,1)):INDEX($N$5:$N$665,MATCH($A352+90,$A$5:$A$665,1))),"")</f>
        <v>0.999974316758964</v>
      </c>
      <c r="U352" s="11" t="n">
        <f aca="false">IFERROR(Q352/MEDIAN(INDEX($Q$5:$Q$665,MATCH($A352-90,$A$5:$A$665,1)):INDEX($Q$5:$Q$665,MATCH($A352+90,$A$5:$A$665,1))),"")</f>
        <v>0.421579230330573</v>
      </c>
    </row>
    <row r="353" customFormat="false" ht="15" hidden="false" customHeight="false" outlineLevel="0" collapsed="false">
      <c r="A353" s="13" t="n">
        <v>45328.610688669</v>
      </c>
      <c r="B353" s="8" t="n">
        <v>14</v>
      </c>
      <c r="C353" s="8" t="s">
        <v>64</v>
      </c>
      <c r="D353" s="8" t="s">
        <v>1026</v>
      </c>
      <c r="E353" s="14" t="s">
        <v>66</v>
      </c>
      <c r="F353" s="9" t="n">
        <v>8130</v>
      </c>
      <c r="G353" s="9" t="n">
        <v>2618</v>
      </c>
      <c r="H353" s="9" t="n">
        <v>2628</v>
      </c>
      <c r="I353" s="9" t="n">
        <v>170</v>
      </c>
      <c r="J353" s="9" t="n">
        <v>86</v>
      </c>
      <c r="K353" s="9" t="n">
        <v>1</v>
      </c>
      <c r="L353" s="9" t="n">
        <v>6</v>
      </c>
      <c r="M353" s="10" t="n">
        <f aca="false">IFERROR(G353/F353,"")</f>
        <v>0.322017220172202</v>
      </c>
      <c r="N353" s="10" t="n">
        <f aca="false">IFERROR(H353/G353,"")</f>
        <v>1.00381970970206</v>
      </c>
      <c r="O353" s="11" t="n">
        <f aca="false">IFERROR(I353/H353,"")</f>
        <v>0.0646879756468798</v>
      </c>
      <c r="P353" s="10" t="n">
        <f aca="false">IFERROR(J353/H353,"")</f>
        <v>0.0327245053272451</v>
      </c>
      <c r="Q353" s="10" t="n">
        <f aca="false">IFERROR(K353/H353,"")</f>
        <v>0.000380517503805175</v>
      </c>
      <c r="R353" s="10" t="n">
        <f aca="false">IFERROR(L353/H353,"")</f>
        <v>0.00228310502283105</v>
      </c>
      <c r="S353" s="11" t="n">
        <f aca="false">IFERROR(M353/MEDIAN(INDEX($M$5:$M$665,MATCH($A353-90,$A$5:$A$665,1)):INDEX($M$5:$M$665,MATCH($A353+90,$A$5:$A$665,1))),"")</f>
        <v>1.78406345320698</v>
      </c>
      <c r="T353" s="11" t="n">
        <f aca="false">IFERROR(N353/MEDIAN(INDEX($N$5:$N$665,MATCH($A353-90,$A$5:$A$665,1)):INDEX($N$5:$N$665,MATCH($A353+90,$A$5:$A$665,1))),"")</f>
        <v>1.00378353315078</v>
      </c>
      <c r="U353" s="11" t="n">
        <f aca="false">IFERROR(Q353/MEDIAN(INDEX($Q$5:$Q$665,MATCH($A353-90,$A$5:$A$665,1)):INDEX($Q$5:$Q$665,MATCH($A353+90,$A$5:$A$665,1))),"")</f>
        <v>1.2794901065449</v>
      </c>
    </row>
    <row r="354" customFormat="false" ht="15" hidden="false" customHeight="false" outlineLevel="0" collapsed="false">
      <c r="A354" s="13" t="n">
        <v>45330.5164282523</v>
      </c>
      <c r="B354" s="8" t="n">
        <v>12</v>
      </c>
      <c r="C354" s="8" t="s">
        <v>73</v>
      </c>
      <c r="D354" s="8" t="s">
        <v>1027</v>
      </c>
      <c r="E354" s="14" t="s">
        <v>66</v>
      </c>
      <c r="F354" s="9" t="n">
        <v>6795747</v>
      </c>
      <c r="G354" s="9" t="n">
        <v>912646</v>
      </c>
      <c r="H354" s="9" t="n">
        <v>912660</v>
      </c>
      <c r="I354" s="9" t="n">
        <v>14013</v>
      </c>
      <c r="J354" s="9" t="n">
        <v>1220</v>
      </c>
      <c r="K354" s="9" t="n">
        <v>63</v>
      </c>
      <c r="L354" s="9" t="n">
        <v>105</v>
      </c>
      <c r="M354" s="10" t="n">
        <f aca="false">IFERROR(G354/F354,"")</f>
        <v>0.13429664170841</v>
      </c>
      <c r="N354" s="10" t="n">
        <f aca="false">IFERROR(H354/G354,"")</f>
        <v>1.00001534001135</v>
      </c>
      <c r="O354" s="11" t="n">
        <f aca="false">IFERROR(I354/H354,"")</f>
        <v>0.0153540201170206</v>
      </c>
      <c r="P354" s="10" t="n">
        <f aca="false">IFERROR(J354/H354,"")</f>
        <v>0.00133675191199351</v>
      </c>
      <c r="Q354" s="10" t="n">
        <f aca="false">IFERROR(K354/H354,"")</f>
        <v>6.90289921767142E-005</v>
      </c>
      <c r="R354" s="10" t="n">
        <f aca="false">IFERROR(L354/H354,"")</f>
        <v>0.000115048320294524</v>
      </c>
      <c r="S354" s="11" t="n">
        <f aca="false">IFERROR(M354/MEDIAN(INDEX($M$5:$M$665,MATCH($A354-90,$A$5:$A$665,1)):INDEX($M$5:$M$665,MATCH($A354+90,$A$5:$A$665,1))),"")</f>
        <v>0.747720777359226</v>
      </c>
      <c r="T354" s="11" t="n">
        <f aca="false">IFERROR(N354/MEDIAN(INDEX($N$5:$N$665,MATCH($A354-90,$A$5:$A$665,1)):INDEX($N$5:$N$665,MATCH($A354+90,$A$5:$A$665,1))),"")</f>
        <v>0.999982965006414</v>
      </c>
      <c r="U354" s="11" t="n">
        <f aca="false">IFERROR(Q354/MEDIAN(INDEX($Q$5:$Q$665,MATCH($A354-90,$A$5:$A$665,1)):INDEX($Q$5:$Q$665,MATCH($A354+90,$A$5:$A$665,1))),"")</f>
        <v>0.232109986194202</v>
      </c>
    </row>
    <row r="355" customFormat="false" ht="15" hidden="false" customHeight="false" outlineLevel="0" collapsed="false">
      <c r="A355" s="13" t="n">
        <v>45332.5529094329</v>
      </c>
      <c r="B355" s="8" t="n">
        <v>13</v>
      </c>
      <c r="C355" s="8" t="s">
        <v>68</v>
      </c>
      <c r="D355" s="8" t="s">
        <v>1028</v>
      </c>
      <c r="E355" s="14" t="s">
        <v>66</v>
      </c>
      <c r="F355" s="9" t="n">
        <v>552262</v>
      </c>
      <c r="G355" s="9" t="n">
        <v>159496</v>
      </c>
      <c r="H355" s="9" t="n">
        <v>159509</v>
      </c>
      <c r="I355" s="9" t="n">
        <v>12098</v>
      </c>
      <c r="J355" s="9" t="n">
        <v>880</v>
      </c>
      <c r="K355" s="9" t="n">
        <v>27</v>
      </c>
      <c r="L355" s="9" t="n">
        <v>25</v>
      </c>
      <c r="M355" s="10" t="n">
        <f aca="false">IFERROR(G355/F355,"")</f>
        <v>0.288804951273128</v>
      </c>
      <c r="N355" s="10" t="n">
        <f aca="false">IFERROR(H355/G355,"")</f>
        <v>1.00008150674625</v>
      </c>
      <c r="O355" s="11" t="n">
        <f aca="false">IFERROR(I355/H355,"")</f>
        <v>0.075845250111279</v>
      </c>
      <c r="P355" s="10" t="n">
        <f aca="false">IFERROR(J355/H355,"")</f>
        <v>0.00551693007918049</v>
      </c>
      <c r="Q355" s="10" t="n">
        <f aca="false">IFERROR(K355/H355,"")</f>
        <v>0.000169269445611219</v>
      </c>
      <c r="R355" s="10" t="n">
        <f aca="false">IFERROR(L355/H355,"")</f>
        <v>0.000156730968158537</v>
      </c>
      <c r="S355" s="11" t="n">
        <f aca="false">IFERROR(M355/MEDIAN(INDEX($M$5:$M$665,MATCH($A355-90,$A$5:$A$665,1)):INDEX($M$5:$M$665,MATCH($A355+90,$A$5:$A$665,1))),"")</f>
        <v>1.60797366132212</v>
      </c>
      <c r="T355" s="11" t="n">
        <f aca="false">IFERROR(N355/MEDIAN(INDEX($N$5:$N$665,MATCH($A355-90,$A$5:$A$665,1)):INDEX($N$5:$N$665,MATCH($A355+90,$A$5:$A$665,1))),"")</f>
        <v>1.00004546491566</v>
      </c>
      <c r="U355" s="11" t="n">
        <f aca="false">IFERROR(Q355/MEDIAN(INDEX($Q$5:$Q$665,MATCH($A355-90,$A$5:$A$665,1)):INDEX($Q$5:$Q$665,MATCH($A355+90,$A$5:$A$665,1))),"")</f>
        <v>0.569168510867725</v>
      </c>
    </row>
    <row r="356" customFormat="false" ht="15" hidden="false" customHeight="false" outlineLevel="0" collapsed="false">
      <c r="A356" s="13" t="n">
        <v>45334.503745544</v>
      </c>
      <c r="B356" s="8" t="n">
        <v>12</v>
      </c>
      <c r="C356" s="8" t="s">
        <v>80</v>
      </c>
      <c r="D356" s="8" t="s">
        <v>1029</v>
      </c>
      <c r="E356" s="14" t="s">
        <v>66</v>
      </c>
      <c r="F356" s="9" t="n">
        <v>1852642</v>
      </c>
      <c r="G356" s="9" t="n">
        <v>256848</v>
      </c>
      <c r="H356" s="9" t="n">
        <v>256856</v>
      </c>
      <c r="I356" s="9" t="n">
        <v>6603</v>
      </c>
      <c r="J356" s="9" t="n">
        <v>418</v>
      </c>
      <c r="K356" s="9" t="n">
        <v>17</v>
      </c>
      <c r="L356" s="9" t="n">
        <v>27</v>
      </c>
      <c r="M356" s="10" t="n">
        <f aca="false">IFERROR(G356/F356,"")</f>
        <v>0.138638765611489</v>
      </c>
      <c r="N356" s="10" t="n">
        <f aca="false">IFERROR(H356/G356,"")</f>
        <v>1.00003114682614</v>
      </c>
      <c r="O356" s="11" t="n">
        <f aca="false">IFERROR(I356/H356,"")</f>
        <v>0.0257070109321955</v>
      </c>
      <c r="P356" s="10" t="n">
        <f aca="false">IFERROR(J356/H356,"")</f>
        <v>0.00162737097829134</v>
      </c>
      <c r="Q356" s="10" t="n">
        <f aca="false">IFERROR(K356/H356,"")</f>
        <v>6.61849440931884E-005</v>
      </c>
      <c r="R356" s="10" t="n">
        <f aca="false">IFERROR(L356/H356,"")</f>
        <v>0.000105117264148005</v>
      </c>
      <c r="S356" s="11" t="n">
        <f aca="false">IFERROR(M356/MEDIAN(INDEX($M$5:$M$665,MATCH($A356-90,$A$5:$A$665,1)):INDEX($M$5:$M$665,MATCH($A356+90,$A$5:$A$665,1))),"")</f>
        <v>0.771896335429023</v>
      </c>
      <c r="T356" s="11" t="n">
        <f aca="false">IFERROR(N356/MEDIAN(INDEX($N$5:$N$665,MATCH($A356-90,$A$5:$A$665,1)):INDEX($N$5:$N$665,MATCH($A356+90,$A$5:$A$665,1))),"")</f>
        <v>0.999995106810468</v>
      </c>
      <c r="U356" s="11" t="n">
        <f aca="false">IFERROR(Q356/MEDIAN(INDEX($Q$5:$Q$665,MATCH($A356-90,$A$5:$A$665,1)):INDEX($Q$5:$Q$665,MATCH($A356+90,$A$5:$A$665,1))),"")</f>
        <v>0.222546874513346</v>
      </c>
    </row>
    <row r="357" customFormat="false" ht="15" hidden="false" customHeight="false" outlineLevel="0" collapsed="false">
      <c r="A357" s="13" t="n">
        <v>45336.595496169</v>
      </c>
      <c r="B357" s="8" t="n">
        <v>14</v>
      </c>
      <c r="C357" s="8" t="s">
        <v>71</v>
      </c>
      <c r="D357" s="8" t="s">
        <v>1030</v>
      </c>
      <c r="E357" s="14" t="s">
        <v>66</v>
      </c>
      <c r="F357" s="9" t="n">
        <v>153485</v>
      </c>
      <c r="G357" s="9" t="n">
        <v>39214</v>
      </c>
      <c r="H357" s="9" t="n">
        <v>39240</v>
      </c>
      <c r="I357" s="9" t="n">
        <v>3294</v>
      </c>
      <c r="J357" s="9" t="n">
        <v>702</v>
      </c>
      <c r="K357" s="9" t="n">
        <v>32</v>
      </c>
      <c r="L357" s="9" t="n">
        <v>37</v>
      </c>
      <c r="M357" s="10" t="n">
        <f aca="false">IFERROR(G357/F357,"")</f>
        <v>0.255490764569828</v>
      </c>
      <c r="N357" s="10" t="n">
        <f aca="false">IFERROR(H357/G357,"")</f>
        <v>1.00066302851023</v>
      </c>
      <c r="O357" s="11" t="n">
        <f aca="false">IFERROR(I357/H357,"")</f>
        <v>0.0839449541284404</v>
      </c>
      <c r="P357" s="10" t="n">
        <f aca="false">IFERROR(J357/H357,"")</f>
        <v>0.0178899082568807</v>
      </c>
      <c r="Q357" s="10" t="n">
        <f aca="false">IFERROR(K357/H357,"")</f>
        <v>0.000815494393476045</v>
      </c>
      <c r="R357" s="10" t="n">
        <f aca="false">IFERROR(L357/H357,"")</f>
        <v>0.000942915392456677</v>
      </c>
      <c r="S357" s="11" t="n">
        <f aca="false">IFERROR(M357/MEDIAN(INDEX($M$5:$M$665,MATCH($A357-90,$A$5:$A$665,1)):INDEX($M$5:$M$665,MATCH($A357+90,$A$5:$A$665,1))),"")</f>
        <v>1.42249091758407</v>
      </c>
      <c r="T357" s="11" t="n">
        <f aca="false">IFERROR(N357/MEDIAN(INDEX($N$5:$N$665,MATCH($A357-90,$A$5:$A$665,1)):INDEX($N$5:$N$665,MATCH($A357+90,$A$5:$A$665,1))),"")</f>
        <v>1.00062370045534</v>
      </c>
      <c r="U357" s="11" t="n">
        <f aca="false">IFERROR(Q357/MEDIAN(INDEX($Q$5:$Q$665,MATCH($A357-90,$A$5:$A$665,1)):INDEX($Q$5:$Q$665,MATCH($A357+90,$A$5:$A$665,1))),"")</f>
        <v>2.58206463344078</v>
      </c>
    </row>
    <row r="358" customFormat="false" ht="15" hidden="false" customHeight="false" outlineLevel="0" collapsed="false">
      <c r="A358" s="13" t="n">
        <v>45338.5458249537</v>
      </c>
      <c r="B358" s="8" t="n">
        <v>13</v>
      </c>
      <c r="C358" s="8" t="s">
        <v>84</v>
      </c>
      <c r="D358" s="8" t="s">
        <v>1031</v>
      </c>
      <c r="E358" s="14" t="s">
        <v>66</v>
      </c>
      <c r="F358" s="9" t="n">
        <v>447706</v>
      </c>
      <c r="G358" s="9" t="n">
        <v>138734</v>
      </c>
      <c r="H358" s="9" t="n">
        <v>138739</v>
      </c>
      <c r="I358" s="9" t="n">
        <v>11789</v>
      </c>
      <c r="J358" s="9" t="n">
        <v>962</v>
      </c>
      <c r="K358" s="9" t="n">
        <v>187</v>
      </c>
      <c r="L358" s="9" t="n">
        <v>62</v>
      </c>
      <c r="M358" s="10" t="n">
        <f aca="false">IFERROR(G358/F358,"")</f>
        <v>0.309877464228757</v>
      </c>
      <c r="N358" s="10" t="n">
        <f aca="false">IFERROR(H358/G358,"")</f>
        <v>1.00003604019202</v>
      </c>
      <c r="O358" s="11" t="n">
        <f aca="false">IFERROR(I358/H358,"")</f>
        <v>0.0849725023245086</v>
      </c>
      <c r="P358" s="10" t="n">
        <f aca="false">IFERROR(J358/H358,"")</f>
        <v>0.00693388304658387</v>
      </c>
      <c r="Q358" s="10" t="n">
        <f aca="false">IFERROR(K358/H358,"")</f>
        <v>0.00134785460468938</v>
      </c>
      <c r="R358" s="10" t="n">
        <f aca="false">IFERROR(L358/H358,"")</f>
        <v>0.000446882275351559</v>
      </c>
      <c r="S358" s="11" t="n">
        <f aca="false">IFERROR(M358/MEDIAN(INDEX($M$5:$M$665,MATCH($A358-90,$A$5:$A$665,1)):INDEX($M$5:$M$665,MATCH($A358+90,$A$5:$A$665,1))),"")</f>
        <v>1.76532759299784</v>
      </c>
      <c r="T358" s="11" t="n">
        <f aca="false">IFERROR(N358/MEDIAN(INDEX($N$5:$N$665,MATCH($A358-90,$A$5:$A$665,1)):INDEX($N$5:$N$665,MATCH($A358+90,$A$5:$A$665,1))),"")</f>
        <v>0.999985859411897</v>
      </c>
      <c r="U358" s="11" t="n">
        <f aca="false">IFERROR(Q358/MEDIAN(INDEX($Q$5:$Q$665,MATCH($A358-90,$A$5:$A$665,1)):INDEX($Q$5:$Q$665,MATCH($A358+90,$A$5:$A$665,1))),"")</f>
        <v>4.53216110826804</v>
      </c>
    </row>
    <row r="359" customFormat="false" ht="15" hidden="false" customHeight="false" outlineLevel="0" collapsed="false">
      <c r="A359" s="13" t="n">
        <v>45340.5516930556</v>
      </c>
      <c r="B359" s="8" t="n">
        <v>13</v>
      </c>
      <c r="C359" s="8" t="s">
        <v>86</v>
      </c>
      <c r="D359" s="8" t="s">
        <v>1032</v>
      </c>
      <c r="E359" s="14" t="s">
        <v>66</v>
      </c>
      <c r="F359" s="9" t="n">
        <v>3313160</v>
      </c>
      <c r="G359" s="9" t="n">
        <v>490885</v>
      </c>
      <c r="H359" s="9" t="n">
        <v>490891</v>
      </c>
      <c r="I359" s="9" t="n">
        <v>27767</v>
      </c>
      <c r="J359" s="9" t="n">
        <v>1175</v>
      </c>
      <c r="K359" s="9" t="n">
        <v>85</v>
      </c>
      <c r="L359" s="9" t="n">
        <v>183</v>
      </c>
      <c r="M359" s="10" t="n">
        <f aca="false">IFERROR(G359/F359,"")</f>
        <v>0.148162177498219</v>
      </c>
      <c r="N359" s="10" t="n">
        <f aca="false">IFERROR(H359/G359,"")</f>
        <v>1.00001222282205</v>
      </c>
      <c r="O359" s="11" t="n">
        <f aca="false">IFERROR(I359/H359,"")</f>
        <v>0.0565644919136835</v>
      </c>
      <c r="P359" s="10" t="n">
        <f aca="false">IFERROR(J359/H359,"")</f>
        <v>0.00239360672735903</v>
      </c>
      <c r="Q359" s="10" t="n">
        <f aca="false">IFERROR(K359/H359,"")</f>
        <v>0.000173154529213206</v>
      </c>
      <c r="R359" s="10" t="n">
        <f aca="false">IFERROR(L359/H359,"")</f>
        <v>0.000372791515835491</v>
      </c>
      <c r="S359" s="11" t="n">
        <f aca="false">IFERROR(M359/MEDIAN(INDEX($M$5:$M$665,MATCH($A359-90,$A$5:$A$665,1)):INDEX($M$5:$M$665,MATCH($A359+90,$A$5:$A$665,1))),"")</f>
        <v>0.844058734078081</v>
      </c>
      <c r="T359" s="11" t="n">
        <f aca="false">IFERROR(N359/MEDIAN(INDEX($N$5:$N$665,MATCH($A359-90,$A$5:$A$665,1)):INDEX($N$5:$N$665,MATCH($A359+90,$A$5:$A$665,1))),"")</f>
        <v>0.99996135060017</v>
      </c>
      <c r="U359" s="11" t="n">
        <f aca="false">IFERROR(Q359/MEDIAN(INDEX($Q$5:$Q$665,MATCH($A359-90,$A$5:$A$665,1)):INDEX($Q$5:$Q$665,MATCH($A359+90,$A$5:$A$665,1))),"")</f>
        <v>0.584546603353222</v>
      </c>
    </row>
    <row r="360" customFormat="false" ht="15" hidden="false" customHeight="false" outlineLevel="0" collapsed="false">
      <c r="A360" s="13" t="n">
        <v>45342.5425492245</v>
      </c>
      <c r="B360" s="8" t="n">
        <v>13</v>
      </c>
      <c r="C360" s="8" t="s">
        <v>64</v>
      </c>
      <c r="D360" s="8" t="s">
        <v>1033</v>
      </c>
      <c r="E360" s="14" t="s">
        <v>66</v>
      </c>
      <c r="F360" s="9" t="n">
        <v>603540</v>
      </c>
      <c r="G360" s="9" t="n">
        <v>67090</v>
      </c>
      <c r="H360" s="9" t="n">
        <v>67100</v>
      </c>
      <c r="I360" s="9" t="n">
        <v>2346</v>
      </c>
      <c r="J360" s="9" t="n">
        <v>231</v>
      </c>
      <c r="K360" s="9" t="n">
        <v>24</v>
      </c>
      <c r="L360" s="9" t="n">
        <v>9</v>
      </c>
      <c r="M360" s="10" t="n">
        <f aca="false">IFERROR(G360/F360,"")</f>
        <v>0.111160817841402</v>
      </c>
      <c r="N360" s="10" t="n">
        <f aca="false">IFERROR(H360/G360,"")</f>
        <v>1.00014905351021</v>
      </c>
      <c r="O360" s="11" t="n">
        <f aca="false">IFERROR(I360/H360,"")</f>
        <v>0.0349627421758569</v>
      </c>
      <c r="P360" s="10" t="n">
        <f aca="false">IFERROR(J360/H360,"")</f>
        <v>0.00344262295081967</v>
      </c>
      <c r="Q360" s="10" t="n">
        <f aca="false">IFERROR(K360/H360,"")</f>
        <v>0.000357675111773472</v>
      </c>
      <c r="R360" s="10" t="n">
        <f aca="false">IFERROR(L360/H360,"")</f>
        <v>0.000134128166915052</v>
      </c>
      <c r="S360" s="11" t="n">
        <f aca="false">IFERROR(M360/MEDIAN(INDEX($M$5:$M$665,MATCH($A360-90,$A$5:$A$665,1)):INDEX($M$5:$M$665,MATCH($A360+90,$A$5:$A$665,1))),"")</f>
        <v>0.634283562245932</v>
      </c>
      <c r="T360" s="11" t="n">
        <f aca="false">IFERROR(N360/MEDIAN(INDEX($N$5:$N$665,MATCH($A360-90,$A$5:$A$665,1)):INDEX($N$5:$N$665,MATCH($A360+90,$A$5:$A$665,1))),"")</f>
        <v>1.00009652260413</v>
      </c>
      <c r="U360" s="11" t="n">
        <f aca="false">IFERROR(Q360/MEDIAN(INDEX($Q$5:$Q$665,MATCH($A360-90,$A$5:$A$665,1)):INDEX($Q$5:$Q$665,MATCH($A360+90,$A$5:$A$665,1))),"")</f>
        <v>1.31830104321908</v>
      </c>
    </row>
    <row r="361" customFormat="false" ht="15" hidden="false" customHeight="false" outlineLevel="0" collapsed="false">
      <c r="A361" s="13" t="n">
        <v>45344.598479919</v>
      </c>
      <c r="B361" s="8" t="n">
        <v>14</v>
      </c>
      <c r="C361" s="8" t="s">
        <v>73</v>
      </c>
      <c r="D361" s="8" t="s">
        <v>1034</v>
      </c>
      <c r="E361" s="14" t="s">
        <v>66</v>
      </c>
      <c r="F361" s="9" t="n">
        <v>643049</v>
      </c>
      <c r="G361" s="9" t="n">
        <v>118318</v>
      </c>
      <c r="H361" s="9" t="n">
        <v>118321</v>
      </c>
      <c r="I361" s="9" t="n">
        <v>4205</v>
      </c>
      <c r="J361" s="9" t="n">
        <v>427</v>
      </c>
      <c r="K361" s="9" t="n">
        <v>31</v>
      </c>
      <c r="L361" s="9" t="n">
        <v>10</v>
      </c>
      <c r="M361" s="10" t="n">
        <f aca="false">IFERROR(G361/F361,"")</f>
        <v>0.183995309844195</v>
      </c>
      <c r="N361" s="10" t="n">
        <f aca="false">IFERROR(H361/G361,"")</f>
        <v>1.00002535539816</v>
      </c>
      <c r="O361" s="11" t="n">
        <f aca="false">IFERROR(I361/H361,"")</f>
        <v>0.0355389153235689</v>
      </c>
      <c r="P361" s="10" t="n">
        <f aca="false">IFERROR(J361/H361,"")</f>
        <v>0.00360882683547299</v>
      </c>
      <c r="Q361" s="10" t="n">
        <f aca="false">IFERROR(K361/H361,"")</f>
        <v>0.00026199913793832</v>
      </c>
      <c r="R361" s="10" t="n">
        <f aca="false">IFERROR(L361/H361,"")</f>
        <v>8.45158509478453E-005</v>
      </c>
      <c r="S361" s="11" t="n">
        <f aca="false">IFERROR(M361/MEDIAN(INDEX($M$5:$M$665,MATCH($A361-90,$A$5:$A$665,1)):INDEX($M$5:$M$665,MATCH($A361+90,$A$5:$A$665,1))),"")</f>
        <v>1.04987713144598</v>
      </c>
      <c r="T361" s="11" t="n">
        <f aca="false">IFERROR(N361/MEDIAN(INDEX($N$5:$N$665,MATCH($A361-90,$A$5:$A$665,1)):INDEX($N$5:$N$665,MATCH($A361+90,$A$5:$A$665,1))),"")</f>
        <v>0.999969719100736</v>
      </c>
      <c r="U361" s="11" t="n">
        <f aca="false">IFERROR(Q361/MEDIAN(INDEX($Q$5:$Q$665,MATCH($A361-90,$A$5:$A$665,1)):INDEX($Q$5:$Q$665,MATCH($A361+90,$A$5:$A$665,1))),"")</f>
        <v>0.965663322656164</v>
      </c>
    </row>
    <row r="362" customFormat="false" ht="15" hidden="false" customHeight="false" outlineLevel="0" collapsed="false">
      <c r="A362" s="13" t="n">
        <v>45346.5776764352</v>
      </c>
      <c r="B362" s="8" t="n">
        <v>13</v>
      </c>
      <c r="C362" s="8" t="s">
        <v>68</v>
      </c>
      <c r="D362" s="8" t="s">
        <v>1035</v>
      </c>
      <c r="E362" s="14" t="s">
        <v>66</v>
      </c>
      <c r="F362" s="9" t="n">
        <v>691809</v>
      </c>
      <c r="G362" s="9" t="n">
        <v>85083</v>
      </c>
      <c r="H362" s="9" t="n">
        <v>85088</v>
      </c>
      <c r="I362" s="9" t="n">
        <v>1507</v>
      </c>
      <c r="J362" s="9" t="n">
        <v>150</v>
      </c>
      <c r="K362" s="9" t="n">
        <v>6</v>
      </c>
      <c r="L362" s="9" t="n">
        <v>8</v>
      </c>
      <c r="M362" s="10" t="n">
        <f aca="false">IFERROR(G362/F362,"")</f>
        <v>0.122986257767679</v>
      </c>
      <c r="N362" s="10" t="n">
        <f aca="false">IFERROR(H362/G362,"")</f>
        <v>1.000058766146</v>
      </c>
      <c r="O362" s="11" t="n">
        <f aca="false">IFERROR(I362/H362,"")</f>
        <v>0.0177110755923279</v>
      </c>
      <c r="P362" s="10" t="n">
        <f aca="false">IFERROR(J362/H362,"")</f>
        <v>0.00176288078224897</v>
      </c>
      <c r="Q362" s="10" t="n">
        <f aca="false">IFERROR(K362/H362,"")</f>
        <v>7.05152312899586E-005</v>
      </c>
      <c r="R362" s="10" t="n">
        <f aca="false">IFERROR(L362/H362,"")</f>
        <v>9.40203083866115E-005</v>
      </c>
      <c r="S362" s="11" t="n">
        <f aca="false">IFERROR(M362/MEDIAN(INDEX($M$5:$M$665,MATCH($A362-90,$A$5:$A$665,1)):INDEX($M$5:$M$665,MATCH($A362+90,$A$5:$A$665,1))),"")</f>
        <v>0.70216439429356</v>
      </c>
      <c r="T362" s="11" t="n">
        <f aca="false">IFERROR(N362/MEDIAN(INDEX($N$5:$N$665,MATCH($A362-90,$A$5:$A$665,1)):INDEX($N$5:$N$665,MATCH($A362+90,$A$5:$A$665,1))),"")</f>
        <v>1.00000216423327</v>
      </c>
      <c r="U362" s="11" t="n">
        <f aca="false">IFERROR(Q362/MEDIAN(INDEX($Q$5:$Q$665,MATCH($A362-90,$A$5:$A$665,1)):INDEX($Q$5:$Q$665,MATCH($A362+90,$A$5:$A$665,1))),"")</f>
        <v>0.26914298972449</v>
      </c>
    </row>
    <row r="363" customFormat="false" ht="15" hidden="false" customHeight="false" outlineLevel="0" collapsed="false">
      <c r="A363" s="13" t="n">
        <v>45348.5275647338</v>
      </c>
      <c r="B363" s="8" t="n">
        <v>12</v>
      </c>
      <c r="C363" s="8" t="s">
        <v>80</v>
      </c>
      <c r="D363" s="8" t="s">
        <v>1036</v>
      </c>
      <c r="E363" s="14" t="s">
        <v>66</v>
      </c>
      <c r="F363" s="9" t="n">
        <v>1036950</v>
      </c>
      <c r="G363" s="9" t="n">
        <v>107840</v>
      </c>
      <c r="H363" s="9" t="n">
        <v>107846</v>
      </c>
      <c r="I363" s="9" t="n">
        <v>794</v>
      </c>
      <c r="J363" s="9" t="n">
        <v>171</v>
      </c>
      <c r="K363" s="9" t="n">
        <v>4</v>
      </c>
      <c r="L363" s="9" t="n">
        <v>10</v>
      </c>
      <c r="M363" s="10" t="n">
        <f aca="false">IFERROR(G363/F363,"")</f>
        <v>0.103997299773374</v>
      </c>
      <c r="N363" s="10" t="n">
        <f aca="false">IFERROR(H363/G363,"")</f>
        <v>1.0000556379822</v>
      </c>
      <c r="O363" s="11" t="n">
        <f aca="false">IFERROR(I363/H363,"")</f>
        <v>0.00736235001761771</v>
      </c>
      <c r="P363" s="10" t="n">
        <f aca="false">IFERROR(J363/H363,"")</f>
        <v>0.00158559427331565</v>
      </c>
      <c r="Q363" s="10" t="n">
        <f aca="false">IFERROR(K363/H363,"")</f>
        <v>3.70899245220036E-005</v>
      </c>
      <c r="R363" s="10" t="n">
        <f aca="false">IFERROR(L363/H363,"")</f>
        <v>9.2724811305009E-005</v>
      </c>
      <c r="S363" s="11" t="n">
        <f aca="false">IFERROR(M363/MEDIAN(INDEX($M$5:$M$665,MATCH($A363-90,$A$5:$A$665,1)):INDEX($M$5:$M$665,MATCH($A363+90,$A$5:$A$665,1))),"")</f>
        <v>0.593750898100159</v>
      </c>
      <c r="T363" s="11" t="n">
        <f aca="false">IFERROR(N363/MEDIAN(INDEX($N$5:$N$665,MATCH($A363-90,$A$5:$A$665,1)):INDEX($N$5:$N$665,MATCH($A363+90,$A$5:$A$665,1))),"")</f>
        <v>0.999996872020017</v>
      </c>
      <c r="U363" s="11" t="n">
        <f aca="false">IFERROR(Q363/MEDIAN(INDEX($Q$5:$Q$665,MATCH($A363-90,$A$5:$A$665,1)):INDEX($Q$5:$Q$665,MATCH($A363+90,$A$5:$A$665,1))),"")</f>
        <v>0.141565063205419</v>
      </c>
    </row>
    <row r="364" customFormat="false" ht="15" hidden="false" customHeight="false" outlineLevel="0" collapsed="false">
      <c r="A364" s="13" t="n">
        <v>45350.5480175</v>
      </c>
      <c r="B364" s="8" t="n">
        <v>13</v>
      </c>
      <c r="C364" s="8" t="s">
        <v>71</v>
      </c>
      <c r="D364" s="8" t="s">
        <v>1037</v>
      </c>
      <c r="E364" s="14" t="s">
        <v>66</v>
      </c>
      <c r="F364" s="9" t="n">
        <v>11268</v>
      </c>
      <c r="G364" s="9" t="n">
        <v>4435</v>
      </c>
      <c r="H364" s="9" t="n">
        <v>4454</v>
      </c>
      <c r="I364" s="9" t="n">
        <v>467</v>
      </c>
      <c r="J364" s="9" t="n">
        <v>126</v>
      </c>
      <c r="K364" s="9" t="n">
        <v>11</v>
      </c>
      <c r="L364" s="9" t="n">
        <v>5</v>
      </c>
      <c r="M364" s="10" t="n">
        <f aca="false">IFERROR(G364/F364,"")</f>
        <v>0.393592474263401</v>
      </c>
      <c r="N364" s="10" t="n">
        <f aca="false">IFERROR(H364/G364,"")</f>
        <v>1.00428410372041</v>
      </c>
      <c r="O364" s="11" t="n">
        <f aca="false">IFERROR(I364/H364,"")</f>
        <v>0.104849573417153</v>
      </c>
      <c r="P364" s="10" t="n">
        <f aca="false">IFERROR(J364/H364,"")</f>
        <v>0.0282891782667265</v>
      </c>
      <c r="Q364" s="10" t="n">
        <f aca="false">IFERROR(K364/H364,"")</f>
        <v>0.00246969016614279</v>
      </c>
      <c r="R364" s="10" t="n">
        <f aca="false">IFERROR(L364/H364,"")</f>
        <v>0.00112258643915582</v>
      </c>
      <c r="S364" s="11" t="n">
        <f aca="false">IFERROR(M364/MEDIAN(INDEX($M$5:$M$665,MATCH($A364-90,$A$5:$A$665,1)):INDEX($M$5:$M$665,MATCH($A364+90,$A$5:$A$665,1))),"")</f>
        <v>2.25429118497249</v>
      </c>
      <c r="T364" s="11" t="n">
        <f aca="false">IFERROR(N364/MEDIAN(INDEX($N$5:$N$665,MATCH($A364-90,$A$5:$A$665,1)):INDEX($N$5:$N$665,MATCH($A364+90,$A$5:$A$665,1))),"")</f>
        <v>1.004221900148</v>
      </c>
      <c r="U364" s="11" t="n">
        <f aca="false">IFERROR(Q364/MEDIAN(INDEX($Q$5:$Q$665,MATCH($A364-90,$A$5:$A$665,1)):INDEX($Q$5:$Q$665,MATCH($A364+90,$A$5:$A$665,1))),"")</f>
        <v>9.1026605298608</v>
      </c>
    </row>
    <row r="365" customFormat="false" ht="15" hidden="false" customHeight="false" outlineLevel="0" collapsed="false">
      <c r="A365" s="13" t="n">
        <v>45352.6612669329</v>
      </c>
      <c r="B365" s="8" t="n">
        <v>15</v>
      </c>
      <c r="C365" s="8" t="s">
        <v>84</v>
      </c>
      <c r="D365" s="8" t="s">
        <v>1038</v>
      </c>
      <c r="E365" s="14" t="s">
        <v>66</v>
      </c>
      <c r="F365" s="9" t="n">
        <v>2170068</v>
      </c>
      <c r="G365" s="9" t="n">
        <v>271955</v>
      </c>
      <c r="H365" s="9" t="n">
        <v>271963</v>
      </c>
      <c r="I365" s="9" t="n">
        <v>4975</v>
      </c>
      <c r="J365" s="9" t="n">
        <v>332</v>
      </c>
      <c r="K365" s="9" t="n">
        <v>14</v>
      </c>
      <c r="L365" s="9" t="n">
        <v>22</v>
      </c>
      <c r="M365" s="10" t="n">
        <f aca="false">IFERROR(G365/F365,"")</f>
        <v>0.125320957684275</v>
      </c>
      <c r="N365" s="10" t="n">
        <f aca="false">IFERROR(H365/G365,"")</f>
        <v>1.00002941663143</v>
      </c>
      <c r="O365" s="11" t="n">
        <f aca="false">IFERROR(I365/H365,"")</f>
        <v>0.0182929295529171</v>
      </c>
      <c r="P365" s="10" t="n">
        <f aca="false">IFERROR(J365/H365,"")</f>
        <v>0.00122075429378261</v>
      </c>
      <c r="Q365" s="10" t="n">
        <f aca="false">IFERROR(K365/H365,"")</f>
        <v>5.14775907016763E-005</v>
      </c>
      <c r="R365" s="10" t="n">
        <f aca="false">IFERROR(L365/H365,"")</f>
        <v>8.089335681692E-005</v>
      </c>
      <c r="S365" s="11" t="n">
        <f aca="false">IFERROR(M365/MEDIAN(INDEX($M$5:$M$665,MATCH($A365-90,$A$5:$A$665,1)):INDEX($M$5:$M$665,MATCH($A365+90,$A$5:$A$665,1))),"")</f>
        <v>0.725864296063379</v>
      </c>
      <c r="T365" s="11" t="n">
        <f aca="false">IFERROR(N365/MEDIAN(INDEX($N$5:$N$665,MATCH($A365-90,$A$5:$A$665,1)):INDEX($N$5:$N$665,MATCH($A365+90,$A$5:$A$665,1))),"")</f>
        <v>0.99996278728685</v>
      </c>
      <c r="U365" s="11" t="n">
        <f aca="false">IFERROR(Q365/MEDIAN(INDEX($Q$5:$Q$665,MATCH($A365-90,$A$5:$A$665,1)):INDEX($Q$5:$Q$665,MATCH($A365+90,$A$5:$A$665,1))),"")</f>
        <v>0.198389782720795</v>
      </c>
    </row>
    <row r="366" customFormat="false" ht="15" hidden="false" customHeight="false" outlineLevel="0" collapsed="false">
      <c r="A366" s="13" t="n">
        <v>45354.5938159259</v>
      </c>
      <c r="B366" s="8" t="n">
        <v>14</v>
      </c>
      <c r="C366" s="8" t="s">
        <v>86</v>
      </c>
      <c r="D366" s="8" t="s">
        <v>1039</v>
      </c>
      <c r="E366" s="14" t="s">
        <v>66</v>
      </c>
      <c r="F366" s="9" t="n">
        <v>13163</v>
      </c>
      <c r="G366" s="9" t="n">
        <v>5514</v>
      </c>
      <c r="H366" s="9" t="n">
        <v>5518</v>
      </c>
      <c r="I366" s="9" t="n">
        <v>589</v>
      </c>
      <c r="J366" s="9" t="n">
        <v>129</v>
      </c>
      <c r="K366" s="9" t="n">
        <v>2</v>
      </c>
      <c r="L366" s="9" t="n">
        <v>9</v>
      </c>
      <c r="M366" s="10" t="n">
        <f aca="false">IFERROR(G366/F366,"")</f>
        <v>0.418901466231102</v>
      </c>
      <c r="N366" s="10" t="n">
        <f aca="false">IFERROR(H366/G366,"")</f>
        <v>1.00072542618789</v>
      </c>
      <c r="O366" s="11" t="n">
        <f aca="false">IFERROR(I366/H366,"")</f>
        <v>0.106741573033708</v>
      </c>
      <c r="P366" s="10" t="n">
        <f aca="false">IFERROR(J366/H366,"")</f>
        <v>0.023378035520116</v>
      </c>
      <c r="Q366" s="10" t="n">
        <f aca="false">IFERROR(K366/H366,"")</f>
        <v>0.000362450163102573</v>
      </c>
      <c r="R366" s="10" t="n">
        <f aca="false">IFERROR(L366/H366,"")</f>
        <v>0.00163102573396158</v>
      </c>
      <c r="S366" s="11" t="n">
        <f aca="false">IFERROR(M366/MEDIAN(INDEX($M$5:$M$665,MATCH($A366-90,$A$5:$A$665,1)):INDEX($M$5:$M$665,MATCH($A366+90,$A$5:$A$665,1))),"")</f>
        <v>2.42629503894949</v>
      </c>
      <c r="T366" s="11" t="n">
        <f aca="false">IFERROR(N366/MEDIAN(INDEX($N$5:$N$665,MATCH($A366-90,$A$5:$A$665,1)):INDEX($N$5:$N$665,MATCH($A366+90,$A$5:$A$665,1))),"")</f>
        <v>1.00065875047001</v>
      </c>
      <c r="U366" s="11" t="n">
        <f aca="false">IFERROR(Q366/MEDIAN(INDEX($Q$5:$Q$665,MATCH($A366-90,$A$5:$A$665,1)):INDEX($Q$5:$Q$665,MATCH($A366+90,$A$5:$A$665,1))),"")</f>
        <v>1.39684876710236</v>
      </c>
    </row>
    <row r="367" customFormat="false" ht="15" hidden="false" customHeight="false" outlineLevel="0" collapsed="false">
      <c r="A367" s="13" t="n">
        <v>45356.715565162</v>
      </c>
      <c r="B367" s="8" t="n">
        <v>17</v>
      </c>
      <c r="C367" s="8" t="s">
        <v>64</v>
      </c>
      <c r="D367" s="8" t="s">
        <v>1040</v>
      </c>
      <c r="E367" s="14" t="s">
        <v>66</v>
      </c>
      <c r="F367" s="9" t="n">
        <v>1248702</v>
      </c>
      <c r="G367" s="9" t="n">
        <v>179349</v>
      </c>
      <c r="H367" s="9" t="n">
        <v>179358</v>
      </c>
      <c r="I367" s="9" t="n">
        <v>1688</v>
      </c>
      <c r="J367" s="9" t="n">
        <v>333</v>
      </c>
      <c r="K367" s="9" t="n">
        <v>15</v>
      </c>
      <c r="L367" s="9" t="n">
        <v>14</v>
      </c>
      <c r="M367" s="10" t="n">
        <f aca="false">IFERROR(G367/F367,"")</f>
        <v>0.143628343672069</v>
      </c>
      <c r="N367" s="10" t="n">
        <f aca="false">IFERROR(H367/G367,"")</f>
        <v>1.00005018148972</v>
      </c>
      <c r="O367" s="11" t="n">
        <f aca="false">IFERROR(I367/H367,"")</f>
        <v>0.00941134490794946</v>
      </c>
      <c r="P367" s="10" t="n">
        <f aca="false">IFERROR(J367/H367,"")</f>
        <v>0.00185662195162747</v>
      </c>
      <c r="Q367" s="10" t="n">
        <f aca="false">IFERROR(K367/H367,"")</f>
        <v>8.36316194426789E-005</v>
      </c>
      <c r="R367" s="10" t="n">
        <f aca="false">IFERROR(L367/H367,"")</f>
        <v>7.80561781465003E-005</v>
      </c>
      <c r="S367" s="11" t="n">
        <f aca="false">IFERROR(M367/MEDIAN(INDEX($M$5:$M$665,MATCH($A367-90,$A$5:$A$665,1)):INDEX($M$5:$M$665,MATCH($A367+90,$A$5:$A$665,1))),"")</f>
        <v>0.844549360592703</v>
      </c>
      <c r="T367" s="11" t="n">
        <f aca="false">IFERROR(N367/MEDIAN(INDEX($N$5:$N$665,MATCH($A367-90,$A$5:$A$665,1)):INDEX($N$5:$N$665,MATCH($A367+90,$A$5:$A$665,1))),"")</f>
        <v>0.999983550761635</v>
      </c>
      <c r="U367" s="11" t="n">
        <f aca="false">IFERROR(Q367/MEDIAN(INDEX($Q$5:$Q$665,MATCH($A367-90,$A$5:$A$665,1)):INDEX($Q$5:$Q$665,MATCH($A367+90,$A$5:$A$665,1))),"")</f>
        <v>0.322308378921102</v>
      </c>
    </row>
    <row r="368" customFormat="false" ht="15" hidden="false" customHeight="false" outlineLevel="0" collapsed="false">
      <c r="A368" s="13" t="n">
        <v>45358.5772878704</v>
      </c>
      <c r="B368" s="8" t="n">
        <v>13</v>
      </c>
      <c r="C368" s="8" t="s">
        <v>73</v>
      </c>
      <c r="D368" s="8" t="s">
        <v>1041</v>
      </c>
      <c r="E368" s="14" t="s">
        <v>66</v>
      </c>
      <c r="F368" s="9" t="n">
        <v>2355450</v>
      </c>
      <c r="G368" s="9" t="n">
        <v>267578</v>
      </c>
      <c r="H368" s="9" t="n">
        <v>267583</v>
      </c>
      <c r="I368" s="9" t="n">
        <v>3613</v>
      </c>
      <c r="J368" s="9" t="n">
        <v>399</v>
      </c>
      <c r="K368" s="9" t="n">
        <v>10</v>
      </c>
      <c r="L368" s="9" t="n">
        <v>29</v>
      </c>
      <c r="M368" s="10" t="n">
        <f aca="false">IFERROR(G368/F368,"")</f>
        <v>0.113599524506994</v>
      </c>
      <c r="N368" s="10" t="n">
        <f aca="false">IFERROR(H368/G368,"")</f>
        <v>1.00001868614012</v>
      </c>
      <c r="O368" s="11" t="n">
        <f aca="false">IFERROR(I368/H368,"")</f>
        <v>0.0135023525410807</v>
      </c>
      <c r="P368" s="10" t="n">
        <f aca="false">IFERROR(J368/H368,"")</f>
        <v>0.00149112611787744</v>
      </c>
      <c r="Q368" s="10" t="n">
        <f aca="false">IFERROR(K368/H368,"")</f>
        <v>3.73715819016903E-005</v>
      </c>
      <c r="R368" s="10" t="n">
        <f aca="false">IFERROR(L368/H368,"")</f>
        <v>0.000108377587514902</v>
      </c>
      <c r="S368" s="11" t="n">
        <f aca="false">IFERROR(M368/MEDIAN(INDEX($M$5:$M$665,MATCH($A368-90,$A$5:$A$665,1)):INDEX($M$5:$M$665,MATCH($A368+90,$A$5:$A$665,1))),"")</f>
        <v>0.677113378053341</v>
      </c>
      <c r="T368" s="11" t="n">
        <f aca="false">IFERROR(N368/MEDIAN(INDEX($N$5:$N$665,MATCH($A368-90,$A$5:$A$665,1)):INDEX($N$5:$N$665,MATCH($A368+90,$A$5:$A$665,1))),"")</f>
        <v>0.999944652671191</v>
      </c>
      <c r="U368" s="11" t="n">
        <f aca="false">IFERROR(Q368/MEDIAN(INDEX($Q$5:$Q$665,MATCH($A368-90,$A$5:$A$665,1)):INDEX($Q$5:$Q$665,MATCH($A368+90,$A$5:$A$665,1))),"")</f>
        <v>0.146825731530396</v>
      </c>
    </row>
    <row r="369" customFormat="false" ht="15" hidden="false" customHeight="false" outlineLevel="0" collapsed="false">
      <c r="A369" s="13" t="n">
        <v>45360.596547037</v>
      </c>
      <c r="B369" s="8" t="n">
        <v>14</v>
      </c>
      <c r="C369" s="8" t="s">
        <v>68</v>
      </c>
      <c r="D369" s="8" t="s">
        <v>1042</v>
      </c>
      <c r="E369" s="14" t="s">
        <v>66</v>
      </c>
      <c r="F369" s="9" t="n">
        <v>3216701</v>
      </c>
      <c r="G369" s="9" t="n">
        <v>432681</v>
      </c>
      <c r="H369" s="9" t="n">
        <v>432693</v>
      </c>
      <c r="I369" s="9" t="n">
        <v>8629</v>
      </c>
      <c r="J369" s="9" t="n">
        <v>554</v>
      </c>
      <c r="K369" s="9" t="n">
        <v>38</v>
      </c>
      <c r="L369" s="9" t="n">
        <v>37</v>
      </c>
      <c r="M369" s="10" t="n">
        <f aca="false">IFERROR(G369/F369,"")</f>
        <v>0.134510792268228</v>
      </c>
      <c r="N369" s="10" t="n">
        <f aca="false">IFERROR(H369/G369,"")</f>
        <v>1.00002773405812</v>
      </c>
      <c r="O369" s="11" t="n">
        <f aca="false">IFERROR(I369/H369,"")</f>
        <v>0.0199425458697044</v>
      </c>
      <c r="P369" s="10" t="n">
        <f aca="false">IFERROR(J369/H369,"")</f>
        <v>0.00128035350698994</v>
      </c>
      <c r="Q369" s="10" t="n">
        <f aca="false">IFERROR(K369/H369,"")</f>
        <v>8.78220817068915E-005</v>
      </c>
      <c r="R369" s="10" t="n">
        <f aca="false">IFERROR(L369/H369,"")</f>
        <v>8.55109742935522E-005</v>
      </c>
      <c r="S369" s="11" t="n">
        <f aca="false">IFERROR(M369/MEDIAN(INDEX($M$5:$M$665,MATCH($A369-90,$A$5:$A$665,1)):INDEX($M$5:$M$665,MATCH($A369+90,$A$5:$A$665,1))),"")</f>
        <v>0.798611303619476</v>
      </c>
      <c r="T369" s="11" t="n">
        <f aca="false">IFERROR(N369/MEDIAN(INDEX($N$5:$N$665,MATCH($A369-90,$A$5:$A$665,1)):INDEX($N$5:$N$665,MATCH($A369+90,$A$5:$A$665,1))),"")</f>
        <v>0.999949387291655</v>
      </c>
      <c r="U369" s="11" t="n">
        <f aca="false">IFERROR(Q369/MEDIAN(INDEX($Q$5:$Q$665,MATCH($A369-90,$A$5:$A$665,1)):INDEX($Q$5:$Q$665,MATCH($A369+90,$A$5:$A$665,1))),"")</f>
        <v>0.345036006906449</v>
      </c>
    </row>
    <row r="370" customFormat="false" ht="15" hidden="false" customHeight="false" outlineLevel="0" collapsed="false">
      <c r="A370" s="13" t="n">
        <v>45362.4711054977</v>
      </c>
      <c r="B370" s="8" t="n">
        <v>11</v>
      </c>
      <c r="C370" s="8" t="s">
        <v>80</v>
      </c>
      <c r="D370" s="8" t="s">
        <v>1043</v>
      </c>
      <c r="E370" s="14" t="s">
        <v>66</v>
      </c>
      <c r="F370" s="9" t="n">
        <v>5343</v>
      </c>
      <c r="G370" s="9" t="n">
        <v>1636</v>
      </c>
      <c r="H370" s="9" t="n">
        <v>1655</v>
      </c>
      <c r="I370" s="9" t="n">
        <v>296</v>
      </c>
      <c r="J370" s="9" t="n">
        <v>98</v>
      </c>
      <c r="K370" s="9" t="n">
        <v>4</v>
      </c>
      <c r="L370" s="9" t="n">
        <v>1</v>
      </c>
      <c r="M370" s="10" t="n">
        <f aca="false">IFERROR(G370/F370,"")</f>
        <v>0.306195021523489</v>
      </c>
      <c r="N370" s="10" t="n">
        <f aca="false">IFERROR(H370/G370,"")</f>
        <v>1.01161369193154</v>
      </c>
      <c r="O370" s="11" t="n">
        <f aca="false">IFERROR(I370/H370,"")</f>
        <v>0.178851963746224</v>
      </c>
      <c r="P370" s="10" t="n">
        <f aca="false">IFERROR(J370/H370,"")</f>
        <v>0.059214501510574</v>
      </c>
      <c r="Q370" s="10" t="n">
        <f aca="false">IFERROR(K370/H370,"")</f>
        <v>0.00241691842900302</v>
      </c>
      <c r="R370" s="10" t="n">
        <f aca="false">IFERROR(L370/H370,"")</f>
        <v>0.000604229607250755</v>
      </c>
      <c r="S370" s="11" t="n">
        <f aca="false">IFERROR(M370/MEDIAN(INDEX($M$5:$M$665,MATCH($A370-90,$A$5:$A$665,1)):INDEX($M$5:$M$665,MATCH($A370+90,$A$5:$A$665,1))),"")</f>
        <v>1.82872939185559</v>
      </c>
      <c r="T370" s="11" t="n">
        <f aca="false">IFERROR(N370/MEDIAN(INDEX($N$5:$N$665,MATCH($A370-90,$A$5:$A$665,1)):INDEX($N$5:$N$665,MATCH($A370+90,$A$5:$A$665,1))),"")</f>
        <v>1.01153282198677</v>
      </c>
      <c r="U370" s="11" t="n">
        <f aca="false">IFERROR(Q370/MEDIAN(INDEX($Q$5:$Q$665,MATCH($A370-90,$A$5:$A$665,1)):INDEX($Q$5:$Q$665,MATCH($A370+90,$A$5:$A$665,1))),"")</f>
        <v>9.5869335347432</v>
      </c>
    </row>
    <row r="371" customFormat="false" ht="15" hidden="false" customHeight="false" outlineLevel="0" collapsed="false">
      <c r="A371" s="13" t="n">
        <v>45364.5835002083</v>
      </c>
      <c r="B371" s="8" t="n">
        <v>14</v>
      </c>
      <c r="C371" s="8" t="s">
        <v>71</v>
      </c>
      <c r="D371" s="8" t="s">
        <v>1044</v>
      </c>
      <c r="E371" s="14" t="s">
        <v>66</v>
      </c>
      <c r="F371" s="9" t="n">
        <v>478654</v>
      </c>
      <c r="G371" s="9" t="n">
        <v>59302</v>
      </c>
      <c r="H371" s="9" t="n">
        <v>59294</v>
      </c>
      <c r="I371" s="9" t="n">
        <v>1090</v>
      </c>
      <c r="J371" s="9" t="n">
        <v>149</v>
      </c>
      <c r="K371" s="9" t="n">
        <v>10</v>
      </c>
      <c r="L371" s="9" t="n">
        <v>7</v>
      </c>
      <c r="M371" s="10" t="n">
        <f aca="false">IFERROR(G371/F371,"")</f>
        <v>0.123893250657051</v>
      </c>
      <c r="N371" s="10" t="n">
        <f aca="false">IFERROR(H371/G371,"")</f>
        <v>0.999865097298573</v>
      </c>
      <c r="O371" s="11" t="n">
        <f aca="false">IFERROR(I371/H371,"")</f>
        <v>0.0183829729820893</v>
      </c>
      <c r="P371" s="10" t="n">
        <f aca="false">IFERROR(J371/H371,"")</f>
        <v>0.00251290181131312</v>
      </c>
      <c r="Q371" s="10" t="n">
        <f aca="false">IFERROR(K371/H371,"")</f>
        <v>0.000168651128276048</v>
      </c>
      <c r="R371" s="10" t="n">
        <f aca="false">IFERROR(L371/H371,"")</f>
        <v>0.000118055789793234</v>
      </c>
      <c r="S371" s="11" t="n">
        <f aca="false">IFERROR(M371/MEDIAN(INDEX($M$5:$M$665,MATCH($A371-90,$A$5:$A$665,1)):INDEX($M$5:$M$665,MATCH($A371+90,$A$5:$A$665,1))),"")</f>
        <v>0.745828919942692</v>
      </c>
      <c r="T371" s="11" t="n">
        <f aca="false">IFERROR(N371/MEDIAN(INDEX($N$5:$N$665,MATCH($A371-90,$A$5:$A$665,1)):INDEX($N$5:$N$665,MATCH($A371+90,$A$5:$A$665,1))),"")</f>
        <v>0.999783608189715</v>
      </c>
      <c r="U371" s="11" t="n">
        <f aca="false">IFERROR(Q371/MEDIAN(INDEX($Q$5:$Q$665,MATCH($A371-90,$A$5:$A$665,1)):INDEX($Q$5:$Q$665,MATCH($A371+90,$A$5:$A$665,1))),"")</f>
        <v>0.656345217616173</v>
      </c>
    </row>
    <row r="372" customFormat="false" ht="15" hidden="false" customHeight="false" outlineLevel="0" collapsed="false">
      <c r="A372" s="13" t="n">
        <v>45366.5835738657</v>
      </c>
      <c r="B372" s="8" t="n">
        <v>14</v>
      </c>
      <c r="C372" s="8" t="s">
        <v>84</v>
      </c>
      <c r="D372" s="8" t="s">
        <v>1045</v>
      </c>
      <c r="E372" s="14" t="s">
        <v>66</v>
      </c>
      <c r="F372" s="9" t="n">
        <v>1057228</v>
      </c>
      <c r="G372" s="9" t="n">
        <v>175114</v>
      </c>
      <c r="H372" s="9" t="n">
        <v>175128</v>
      </c>
      <c r="I372" s="9" t="n">
        <v>10872</v>
      </c>
      <c r="J372" s="9" t="n">
        <v>371</v>
      </c>
      <c r="K372" s="9" t="n">
        <v>45</v>
      </c>
      <c r="L372" s="9" t="n">
        <v>18</v>
      </c>
      <c r="M372" s="10" t="n">
        <f aca="false">IFERROR(G372/F372,"")</f>
        <v>0.165635038042882</v>
      </c>
      <c r="N372" s="10" t="n">
        <f aca="false">IFERROR(H372/G372,"")</f>
        <v>1.00007994791964</v>
      </c>
      <c r="O372" s="11" t="n">
        <f aca="false">IFERROR(I372/H372,"")</f>
        <v>0.0620803069754694</v>
      </c>
      <c r="P372" s="10" t="n">
        <f aca="false">IFERROR(J372/H372,"")</f>
        <v>0.00211845050477365</v>
      </c>
      <c r="Q372" s="10" t="n">
        <f aca="false">IFERROR(K372/H372,"")</f>
        <v>0.000256954912977936</v>
      </c>
      <c r="R372" s="10" t="n">
        <f aca="false">IFERROR(L372/H372,"")</f>
        <v>0.000102781965191174</v>
      </c>
      <c r="S372" s="11" t="n">
        <f aca="false">IFERROR(M372/MEDIAN(INDEX($M$5:$M$665,MATCH($A372-90,$A$5:$A$665,1)):INDEX($M$5:$M$665,MATCH($A372+90,$A$5:$A$665,1))),"")</f>
        <v>0.989244243368277</v>
      </c>
      <c r="T372" s="11" t="n">
        <f aca="false">IFERROR(N372/MEDIAN(INDEX($N$5:$N$665,MATCH($A372-90,$A$5:$A$665,1)):INDEX($N$5:$N$665,MATCH($A372+90,$A$5:$A$665,1))),"")</f>
        <v>0.999994175094766</v>
      </c>
      <c r="U372" s="11" t="n">
        <f aca="false">IFERROR(Q372/MEDIAN(INDEX($Q$5:$Q$665,MATCH($A372-90,$A$5:$A$665,1)):INDEX($Q$5:$Q$665,MATCH($A372+90,$A$5:$A$665,1))),"")</f>
        <v>1</v>
      </c>
    </row>
    <row r="373" customFormat="false" ht="15" hidden="false" customHeight="false" outlineLevel="0" collapsed="false">
      <c r="A373" s="13" t="n">
        <v>45368.5000775116</v>
      </c>
      <c r="B373" s="8" t="n">
        <v>12</v>
      </c>
      <c r="C373" s="8" t="s">
        <v>86</v>
      </c>
      <c r="D373" s="8" t="s">
        <v>1046</v>
      </c>
      <c r="E373" s="14" t="s">
        <v>66</v>
      </c>
      <c r="F373" s="9" t="n">
        <v>631170</v>
      </c>
      <c r="G373" s="9" t="n">
        <v>88474</v>
      </c>
      <c r="H373" s="9" t="n">
        <v>88462</v>
      </c>
      <c r="I373" s="9" t="n">
        <v>966</v>
      </c>
      <c r="J373" s="9" t="n">
        <v>231</v>
      </c>
      <c r="K373" s="9" t="n">
        <v>12</v>
      </c>
      <c r="L373" s="9" t="n">
        <v>6</v>
      </c>
      <c r="M373" s="10" t="n">
        <f aca="false">IFERROR(G373/F373,"")</f>
        <v>0.140174596384492</v>
      </c>
      <c r="N373" s="10" t="n">
        <f aca="false">IFERROR(H373/G373,"")</f>
        <v>0.999864366932658</v>
      </c>
      <c r="O373" s="11" t="n">
        <f aca="false">IFERROR(I373/H373,"")</f>
        <v>0.0109199430263842</v>
      </c>
      <c r="P373" s="10" t="n">
        <f aca="false">IFERROR(J373/H373,"")</f>
        <v>0.00261129072370057</v>
      </c>
      <c r="Q373" s="10" t="n">
        <f aca="false">IFERROR(K373/H373,"")</f>
        <v>0.000135651466166263</v>
      </c>
      <c r="R373" s="10" t="n">
        <f aca="false">IFERROR(L373/H373,"")</f>
        <v>6.78257330831317E-005</v>
      </c>
      <c r="S373" s="11" t="n">
        <f aca="false">IFERROR(M373/MEDIAN(INDEX($M$5:$M$665,MATCH($A373-90,$A$5:$A$665,1)):INDEX($M$5:$M$665,MATCH($A373+90,$A$5:$A$665,1))),"")</f>
        <v>0.837183449699397</v>
      </c>
      <c r="T373" s="11" t="n">
        <f aca="false">IFERROR(N373/MEDIAN(INDEX($N$5:$N$665,MATCH($A373-90,$A$5:$A$665,1)):INDEX($N$5:$N$665,MATCH($A373+90,$A$5:$A$665,1))),"")</f>
        <v>0.999778612597296</v>
      </c>
      <c r="U373" s="11" t="n">
        <f aca="false">IFERROR(Q373/MEDIAN(INDEX($Q$5:$Q$665,MATCH($A373-90,$A$5:$A$665,1)):INDEX($Q$5:$Q$665,MATCH($A373+90,$A$5:$A$665,1))),"")</f>
        <v>0.527919332594786</v>
      </c>
    </row>
    <row r="374" customFormat="false" ht="15" hidden="false" customHeight="false" outlineLevel="0" collapsed="false">
      <c r="A374" s="13" t="n">
        <v>45370.5001029514</v>
      </c>
      <c r="B374" s="8" t="n">
        <v>12</v>
      </c>
      <c r="C374" s="8" t="s">
        <v>64</v>
      </c>
      <c r="D374" s="8" t="s">
        <v>1047</v>
      </c>
      <c r="E374" s="14" t="s">
        <v>66</v>
      </c>
      <c r="F374" s="9" t="n">
        <v>81861</v>
      </c>
      <c r="G374" s="9" t="n">
        <v>10785</v>
      </c>
      <c r="H374" s="9" t="n">
        <v>10791</v>
      </c>
      <c r="I374" s="9" t="n">
        <v>941</v>
      </c>
      <c r="J374" s="9" t="n">
        <v>195</v>
      </c>
      <c r="K374" s="9" t="n">
        <v>9</v>
      </c>
      <c r="L374" s="9" t="n">
        <v>2</v>
      </c>
      <c r="M374" s="10" t="n">
        <f aca="false">IFERROR(G374/F374,"")</f>
        <v>0.131747718693884</v>
      </c>
      <c r="N374" s="10" t="n">
        <f aca="false">IFERROR(H374/G374,"")</f>
        <v>1.00055632823366</v>
      </c>
      <c r="O374" s="11" t="n">
        <f aca="false">IFERROR(I374/H374,"")</f>
        <v>0.0872022982114725</v>
      </c>
      <c r="P374" s="10" t="n">
        <f aca="false">IFERROR(J374/H374,"")</f>
        <v>0.0180706144008896</v>
      </c>
      <c r="Q374" s="10" t="n">
        <f aca="false">IFERROR(K374/H374,"")</f>
        <v>0.000834028356964137</v>
      </c>
      <c r="R374" s="10" t="n">
        <f aca="false">IFERROR(L374/H374,"")</f>
        <v>0.000185339634880919</v>
      </c>
      <c r="S374" s="11" t="n">
        <f aca="false">IFERROR(M374/MEDIAN(INDEX($M$5:$M$665,MATCH($A374-90,$A$5:$A$665,1)):INDEX($M$5:$M$665,MATCH($A374+90,$A$5:$A$665,1))),"")</f>
        <v>0.794259337959036</v>
      </c>
      <c r="T374" s="11" t="n">
        <f aca="false">IFERROR(N374/MEDIAN(INDEX($N$5:$N$665,MATCH($A374-90,$A$5:$A$665,1)):INDEX($N$5:$N$665,MATCH($A374+90,$A$5:$A$665,1))),"")</f>
        <v>1.00047264866593</v>
      </c>
      <c r="U374" s="11" t="n">
        <f aca="false">IFERROR(Q374/MEDIAN(INDEX($Q$5:$Q$665,MATCH($A374-90,$A$5:$A$665,1)):INDEX($Q$5:$Q$665,MATCH($A374+90,$A$5:$A$665,1))),"")</f>
        <v>3.27673642369457</v>
      </c>
    </row>
    <row r="375" customFormat="false" ht="15" hidden="false" customHeight="false" outlineLevel="0" collapsed="false">
      <c r="A375" s="13" t="n">
        <v>45372.4998492824</v>
      </c>
      <c r="B375" s="8" t="n">
        <v>11</v>
      </c>
      <c r="C375" s="8" t="s">
        <v>73</v>
      </c>
      <c r="D375" s="8" t="s">
        <v>1048</v>
      </c>
      <c r="E375" s="14" t="s">
        <v>66</v>
      </c>
      <c r="F375" s="9" t="n">
        <v>1073253</v>
      </c>
      <c r="G375" s="9" t="n">
        <v>115432</v>
      </c>
      <c r="H375" s="9" t="n">
        <v>115444</v>
      </c>
      <c r="I375" s="9" t="n">
        <v>1810</v>
      </c>
      <c r="J375" s="9" t="n">
        <v>168</v>
      </c>
      <c r="K375" s="9" t="n">
        <v>9</v>
      </c>
      <c r="L375" s="9" t="n">
        <v>10</v>
      </c>
      <c r="M375" s="10" t="n">
        <f aca="false">IFERROR(G375/F375,"")</f>
        <v>0.107553391418426</v>
      </c>
      <c r="N375" s="10" t="n">
        <f aca="false">IFERROR(H375/G375,"")</f>
        <v>1.0001039573082</v>
      </c>
      <c r="O375" s="11" t="n">
        <f aca="false">IFERROR(I375/H375,"")</f>
        <v>0.015678597415197</v>
      </c>
      <c r="P375" s="10" t="n">
        <f aca="false">IFERROR(J375/H375,"")</f>
        <v>0.00145525103080281</v>
      </c>
      <c r="Q375" s="10" t="n">
        <f aca="false">IFERROR(K375/H375,"")</f>
        <v>7.79598766501507E-005</v>
      </c>
      <c r="R375" s="10" t="n">
        <f aca="false">IFERROR(L375/H375,"")</f>
        <v>8.66220851668341E-005</v>
      </c>
      <c r="S375" s="11" t="n">
        <f aca="false">IFERROR(M375/MEDIAN(INDEX($M$5:$M$665,MATCH($A375-90,$A$5:$A$665,1)):INDEX($M$5:$M$665,MATCH($A375+90,$A$5:$A$665,1))),"")</f>
        <v>0.660478880186979</v>
      </c>
      <c r="T375" s="11" t="n">
        <f aca="false">IFERROR(N375/MEDIAN(INDEX($N$5:$N$665,MATCH($A375-90,$A$5:$A$665,1)):INDEX($N$5:$N$665,MATCH($A375+90,$A$5:$A$665,1))),"")</f>
        <v>1.00002031557363</v>
      </c>
      <c r="U375" s="11" t="n">
        <f aca="false">IFERROR(Q375/MEDIAN(INDEX($Q$5:$Q$665,MATCH($A375-90,$A$5:$A$665,1)):INDEX($Q$5:$Q$665,MATCH($A375+90,$A$5:$A$665,1))),"")</f>
        <v>0.323648874268006</v>
      </c>
    </row>
    <row r="376" customFormat="false" ht="15" hidden="false" customHeight="false" outlineLevel="0" collapsed="false">
      <c r="A376" s="13" t="n">
        <v>45374.5836858449</v>
      </c>
      <c r="B376" s="8" t="n">
        <v>14</v>
      </c>
      <c r="C376" s="8" t="s">
        <v>68</v>
      </c>
      <c r="D376" s="8" t="s">
        <v>1049</v>
      </c>
      <c r="E376" s="14" t="s">
        <v>66</v>
      </c>
      <c r="F376" s="9" t="n">
        <v>783940</v>
      </c>
      <c r="G376" s="9" t="n">
        <v>89725</v>
      </c>
      <c r="H376" s="9" t="n">
        <v>89750</v>
      </c>
      <c r="I376" s="9" t="n">
        <v>1794</v>
      </c>
      <c r="J376" s="9" t="n">
        <v>173</v>
      </c>
      <c r="K376" s="9" t="n">
        <v>7</v>
      </c>
      <c r="L376" s="9" t="n">
        <v>5</v>
      </c>
      <c r="M376" s="10" t="n">
        <f aca="false">IFERROR(G376/F376,"")</f>
        <v>0.114453912289206</v>
      </c>
      <c r="N376" s="10" t="n">
        <f aca="false">IFERROR(H376/G376,"")</f>
        <v>1.00027862914461</v>
      </c>
      <c r="O376" s="11" t="n">
        <f aca="false">IFERROR(I376/H376,"")</f>
        <v>0.0199888579387187</v>
      </c>
      <c r="P376" s="10" t="n">
        <f aca="false">IFERROR(J376/H376,"")</f>
        <v>0.00192757660167131</v>
      </c>
      <c r="Q376" s="10" t="n">
        <f aca="false">IFERROR(K376/H376,"")</f>
        <v>7.79944289693593E-005</v>
      </c>
      <c r="R376" s="10" t="n">
        <f aca="false">IFERROR(L376/H376,"")</f>
        <v>5.57103064066852E-005</v>
      </c>
      <c r="S376" s="11" t="n">
        <f aca="false">IFERROR(M376/MEDIAN(INDEX($M$5:$M$665,MATCH($A376-90,$A$5:$A$665,1)):INDEX($M$5:$M$665,MATCH($A376+90,$A$5:$A$665,1))),"")</f>
        <v>0.748165560771224</v>
      </c>
      <c r="T376" s="11" t="n">
        <f aca="false">IFERROR(N376/MEDIAN(INDEX($N$5:$N$665,MATCH($A376-90,$A$5:$A$665,1)):INDEX($N$5:$N$665,MATCH($A376+90,$A$5:$A$665,1))),"")</f>
        <v>1.00017465367988</v>
      </c>
      <c r="U376" s="11" t="n">
        <f aca="false">IFERROR(Q376/MEDIAN(INDEX($Q$5:$Q$665,MATCH($A376-90,$A$5:$A$665,1)):INDEX($Q$5:$Q$665,MATCH($A376+90,$A$5:$A$665,1))),"")</f>
        <v>0.343937705748291</v>
      </c>
    </row>
    <row r="377" customFormat="false" ht="15" hidden="false" customHeight="false" outlineLevel="0" collapsed="false">
      <c r="A377" s="13" t="n">
        <v>45376.583561088</v>
      </c>
      <c r="B377" s="8" t="n">
        <v>14</v>
      </c>
      <c r="C377" s="8" t="s">
        <v>80</v>
      </c>
      <c r="D377" s="8" t="s">
        <v>1050</v>
      </c>
      <c r="E377" s="14" t="s">
        <v>66</v>
      </c>
      <c r="F377" s="9" t="n">
        <v>1026674</v>
      </c>
      <c r="G377" s="9" t="n">
        <v>128245</v>
      </c>
      <c r="H377" s="9" t="n">
        <v>128256</v>
      </c>
      <c r="I377" s="9" t="n">
        <v>2169</v>
      </c>
      <c r="J377" s="9" t="n">
        <v>299</v>
      </c>
      <c r="K377" s="9" t="n">
        <v>17</v>
      </c>
      <c r="L377" s="9" t="n">
        <v>25</v>
      </c>
      <c r="M377" s="10" t="n">
        <f aca="false">IFERROR(G377/F377,"")</f>
        <v>0.124913068802755</v>
      </c>
      <c r="N377" s="10" t="n">
        <f aca="false">IFERROR(H377/G377,"")</f>
        <v>1.0000857733245</v>
      </c>
      <c r="O377" s="11" t="n">
        <f aca="false">IFERROR(I377/H377,"")</f>
        <v>0.0169114895209581</v>
      </c>
      <c r="P377" s="10" t="n">
        <f aca="false">IFERROR(J377/H377,"")</f>
        <v>0.0023312749500998</v>
      </c>
      <c r="Q377" s="10" t="n">
        <f aca="false">IFERROR(K377/H377,"")</f>
        <v>0.000132547405189621</v>
      </c>
      <c r="R377" s="10" t="n">
        <f aca="false">IFERROR(L377/H377,"")</f>
        <v>0.000194922654690619</v>
      </c>
      <c r="S377" s="11" t="n">
        <f aca="false">IFERROR(M377/MEDIAN(INDEX($M$5:$M$665,MATCH($A377-90,$A$5:$A$665,1)):INDEX($M$5:$M$665,MATCH($A377+90,$A$5:$A$665,1))),"")</f>
        <v>0.831099907121964</v>
      </c>
      <c r="T377" s="11" t="n">
        <f aca="false">IFERROR(N377/MEDIAN(INDEX($N$5:$N$665,MATCH($A377-90,$A$5:$A$665,1)):INDEX($N$5:$N$665,MATCH($A377+90,$A$5:$A$665,1))),"")</f>
        <v>0.999962677427889</v>
      </c>
      <c r="U377" s="11" t="n">
        <f aca="false">IFERROR(Q377/MEDIAN(INDEX($Q$5:$Q$665,MATCH($A377-90,$A$5:$A$665,1)):INDEX($Q$5:$Q$665,MATCH($A377+90,$A$5:$A$665,1))),"")</f>
        <v>0.584503932475957</v>
      </c>
    </row>
    <row r="378" customFormat="false" ht="15" hidden="false" customHeight="false" outlineLevel="0" collapsed="false">
      <c r="A378" s="13" t="n">
        <v>45378.4959926505</v>
      </c>
      <c r="B378" s="8" t="n">
        <v>11</v>
      </c>
      <c r="C378" s="8" t="s">
        <v>71</v>
      </c>
      <c r="D378" s="8" t="s">
        <v>1051</v>
      </c>
      <c r="E378" s="14" t="s">
        <v>66</v>
      </c>
      <c r="F378" s="9" t="n">
        <v>6529</v>
      </c>
      <c r="G378" s="9" t="n">
        <v>1616</v>
      </c>
      <c r="H378" s="9" t="n">
        <v>1645</v>
      </c>
      <c r="I378" s="9" t="n">
        <v>180</v>
      </c>
      <c r="J378" s="9" t="n">
        <v>90</v>
      </c>
      <c r="K378" s="9" t="n">
        <v>4</v>
      </c>
      <c r="L378" s="9" t="n">
        <v>0</v>
      </c>
      <c r="M378" s="10" t="n">
        <f aca="false">IFERROR(G378/F378,"")</f>
        <v>0.247511104303875</v>
      </c>
      <c r="N378" s="10" t="n">
        <f aca="false">IFERROR(H378/G378,"")</f>
        <v>1.01794554455446</v>
      </c>
      <c r="O378" s="11" t="n">
        <f aca="false">IFERROR(I378/H378,"")</f>
        <v>0.109422492401216</v>
      </c>
      <c r="P378" s="10" t="n">
        <f aca="false">IFERROR(J378/H378,"")</f>
        <v>0.0547112462006079</v>
      </c>
      <c r="Q378" s="10" t="n">
        <f aca="false">IFERROR(K378/H378,"")</f>
        <v>0.00243161094224924</v>
      </c>
      <c r="R378" s="10" t="n">
        <f aca="false">IFERROR(L378/H378,"")</f>
        <v>0</v>
      </c>
      <c r="S378" s="11" t="n">
        <f aca="false">IFERROR(M378/MEDIAN(INDEX($M$5:$M$665,MATCH($A378-90,$A$5:$A$665,1)):INDEX($M$5:$M$665,MATCH($A378+90,$A$5:$A$665,1))),"")</f>
        <v>1.67054175689912</v>
      </c>
      <c r="T378" s="11" t="n">
        <f aca="false">IFERROR(N378/MEDIAN(INDEX($N$5:$N$665,MATCH($A378-90,$A$5:$A$665,1)):INDEX($N$5:$N$665,MATCH($A378+90,$A$5:$A$665,1))),"")</f>
        <v>1.017816010957</v>
      </c>
      <c r="U378" s="11" t="n">
        <f aca="false">IFERROR(Q378/MEDIAN(INDEX($Q$5:$Q$665,MATCH($A378-90,$A$5:$A$665,1)):INDEX($Q$5:$Q$665,MATCH($A378+90,$A$5:$A$665,1))),"")</f>
        <v>10.6551585235959</v>
      </c>
    </row>
    <row r="379" customFormat="false" ht="15" hidden="false" customHeight="false" outlineLevel="0" collapsed="false">
      <c r="A379" s="13" t="n">
        <v>45380.500491007</v>
      </c>
      <c r="B379" s="8" t="n">
        <v>12</v>
      </c>
      <c r="C379" s="8" t="s">
        <v>84</v>
      </c>
      <c r="D379" s="8" t="s">
        <v>1052</v>
      </c>
      <c r="E379" s="14" t="s">
        <v>66</v>
      </c>
      <c r="F379" s="9" t="n">
        <v>589567</v>
      </c>
      <c r="G379" s="9" t="n">
        <v>126927</v>
      </c>
      <c r="H379" s="9" t="n">
        <v>126931</v>
      </c>
      <c r="I379" s="9" t="n">
        <v>8243</v>
      </c>
      <c r="J379" s="9" t="n">
        <v>513</v>
      </c>
      <c r="K379" s="9" t="n">
        <v>32</v>
      </c>
      <c r="L379" s="9" t="n">
        <v>9</v>
      </c>
      <c r="M379" s="10" t="n">
        <f aca="false">IFERROR(G379/F379,"")</f>
        <v>0.215288508345956</v>
      </c>
      <c r="N379" s="10" t="n">
        <f aca="false">IFERROR(H379/G379,"")</f>
        <v>1.00003151417744</v>
      </c>
      <c r="O379" s="11" t="n">
        <f aca="false">IFERROR(I379/H379,"")</f>
        <v>0.0649407946049428</v>
      </c>
      <c r="P379" s="10" t="n">
        <f aca="false">IFERROR(J379/H379,"")</f>
        <v>0.00404156589012928</v>
      </c>
      <c r="Q379" s="10" t="n">
        <f aca="false">IFERROR(K379/H379,"")</f>
        <v>0.000252105474627948</v>
      </c>
      <c r="R379" s="10" t="n">
        <f aca="false">IFERROR(L379/H379,"")</f>
        <v>7.09046647391102E-005</v>
      </c>
      <c r="S379" s="11" t="n">
        <f aca="false">IFERROR(M379/MEDIAN(INDEX($M$5:$M$665,MATCH($A379-90,$A$5:$A$665,1)):INDEX($M$5:$M$665,MATCH($A379+90,$A$5:$A$665,1))),"")</f>
        <v>1.45305982931132</v>
      </c>
      <c r="T379" s="11" t="n">
        <f aca="false">IFERROR(N379/MEDIAN(INDEX($N$5:$N$665,MATCH($A379-90,$A$5:$A$665,1)):INDEX($N$5:$N$665,MATCH($A379+90,$A$5:$A$665,1))),"")</f>
        <v>0.99990426014082</v>
      </c>
      <c r="U379" s="11" t="n">
        <f aca="false">IFERROR(Q379/MEDIAN(INDEX($Q$5:$Q$665,MATCH($A379-90,$A$5:$A$665,1)):INDEX($Q$5:$Q$665,MATCH($A379+90,$A$5:$A$665,1))),"")</f>
        <v>1.10470953644517</v>
      </c>
    </row>
    <row r="380" customFormat="false" ht="15" hidden="false" customHeight="false" outlineLevel="0" collapsed="false">
      <c r="A380" s="13" t="n">
        <v>45382.4884795023</v>
      </c>
      <c r="B380" s="8" t="n">
        <v>11</v>
      </c>
      <c r="C380" s="8" t="s">
        <v>86</v>
      </c>
      <c r="D380" s="8" t="s">
        <v>1053</v>
      </c>
      <c r="E380" s="14" t="s">
        <v>66</v>
      </c>
      <c r="F380" s="9" t="n">
        <v>782029</v>
      </c>
      <c r="G380" s="9" t="n">
        <v>92645</v>
      </c>
      <c r="H380" s="9" t="n">
        <v>92647</v>
      </c>
      <c r="I380" s="9" t="n">
        <v>2806</v>
      </c>
      <c r="J380" s="9" t="n">
        <v>166</v>
      </c>
      <c r="K380" s="9" t="n">
        <v>4</v>
      </c>
      <c r="L380" s="9" t="n">
        <v>6</v>
      </c>
      <c r="M380" s="10" t="n">
        <f aca="false">IFERROR(G380/F380,"")</f>
        <v>0.118467473712612</v>
      </c>
      <c r="N380" s="10" t="n">
        <f aca="false">IFERROR(H380/G380,"")</f>
        <v>1.00002158778132</v>
      </c>
      <c r="O380" s="11" t="n">
        <f aca="false">IFERROR(I380/H380,"")</f>
        <v>0.0302870033568275</v>
      </c>
      <c r="P380" s="10" t="n">
        <f aca="false">IFERROR(J380/H380,"")</f>
        <v>0.00179174716936328</v>
      </c>
      <c r="Q380" s="10" t="n">
        <f aca="false">IFERROR(K380/H380,"")</f>
        <v>4.3174630587067E-005</v>
      </c>
      <c r="R380" s="10" t="n">
        <f aca="false">IFERROR(L380/H380,"")</f>
        <v>6.47619458806006E-005</v>
      </c>
      <c r="S380" s="11" t="n">
        <f aca="false">IFERROR(M380/MEDIAN(INDEX($M$5:$M$665,MATCH($A380-90,$A$5:$A$665,1)):INDEX($M$5:$M$665,MATCH($A380+90,$A$5:$A$665,1))),"")</f>
        <v>0.816117861036522</v>
      </c>
      <c r="T380" s="11" t="n">
        <f aca="false">IFERROR(N380/MEDIAN(INDEX($N$5:$N$665,MATCH($A380-90,$A$5:$A$665,1)):INDEX($N$5:$N$665,MATCH($A380+90,$A$5:$A$665,1))),"")</f>
        <v>0.999881361688818</v>
      </c>
      <c r="U380" s="11" t="n">
        <f aca="false">IFERROR(Q380/MEDIAN(INDEX($Q$5:$Q$665,MATCH($A380-90,$A$5:$A$665,1)):INDEX($Q$5:$Q$665,MATCH($A380+90,$A$5:$A$665,1))),"")</f>
        <v>0.189188379238565</v>
      </c>
    </row>
    <row r="381" customFormat="false" ht="15" hidden="false" customHeight="false" outlineLevel="0" collapsed="false">
      <c r="A381" s="13" t="n">
        <v>45384.5224493982</v>
      </c>
      <c r="B381" s="8" t="n">
        <v>12</v>
      </c>
      <c r="C381" s="8" t="s">
        <v>64</v>
      </c>
      <c r="D381" s="8" t="s">
        <v>1054</v>
      </c>
      <c r="E381" s="14" t="s">
        <v>66</v>
      </c>
      <c r="F381" s="9" t="n">
        <v>14078</v>
      </c>
      <c r="G381" s="9" t="n">
        <v>3695</v>
      </c>
      <c r="H381" s="9" t="n">
        <v>3709</v>
      </c>
      <c r="I381" s="9" t="n">
        <v>391</v>
      </c>
      <c r="J381" s="9" t="n">
        <v>117</v>
      </c>
      <c r="K381" s="9" t="n">
        <v>3</v>
      </c>
      <c r="L381" s="9" t="n">
        <v>6</v>
      </c>
      <c r="M381" s="10" t="n">
        <f aca="false">IFERROR(G381/F381,"")</f>
        <v>0.262466259411848</v>
      </c>
      <c r="N381" s="10" t="n">
        <f aca="false">IFERROR(H381/G381,"")</f>
        <v>1.00378890392422</v>
      </c>
      <c r="O381" s="11" t="n">
        <f aca="false">IFERROR(I381/H381,"")</f>
        <v>0.105419250471825</v>
      </c>
      <c r="P381" s="10" t="n">
        <f aca="false">IFERROR(J381/H381,"")</f>
        <v>0.0315448908061472</v>
      </c>
      <c r="Q381" s="10" t="n">
        <f aca="false">IFERROR(K381/H381,"")</f>
        <v>0.000808843354003775</v>
      </c>
      <c r="R381" s="10" t="n">
        <f aca="false">IFERROR(L381/H381,"")</f>
        <v>0.00161768670800755</v>
      </c>
      <c r="S381" s="11" t="n">
        <f aca="false">IFERROR(M381/MEDIAN(INDEX($M$5:$M$665,MATCH($A381-90,$A$5:$A$665,1)):INDEX($M$5:$M$665,MATCH($A381+90,$A$5:$A$665,1))),"")</f>
        <v>1.82739877590672</v>
      </c>
      <c r="T381" s="11" t="n">
        <f aca="false">IFERROR(N381/MEDIAN(INDEX($N$5:$N$665,MATCH($A381-90,$A$5:$A$665,1)):INDEX($N$5:$N$665,MATCH($A381+90,$A$5:$A$665,1))),"")</f>
        <v>1.00363192466169</v>
      </c>
      <c r="U381" s="11" t="n">
        <f aca="false">IFERROR(Q381/MEDIAN(INDEX($Q$5:$Q$665,MATCH($A381-90,$A$5:$A$665,1)):INDEX($Q$5:$Q$665,MATCH($A381+90,$A$5:$A$665,1))),"")</f>
        <v>3.54429814734065</v>
      </c>
    </row>
    <row r="382" customFormat="false" ht="15" hidden="false" customHeight="false" outlineLevel="0" collapsed="false">
      <c r="A382" s="13" t="n">
        <v>45386.4999979514</v>
      </c>
      <c r="B382" s="8" t="n">
        <v>11</v>
      </c>
      <c r="C382" s="8" t="s">
        <v>73</v>
      </c>
      <c r="D382" s="8" t="s">
        <v>1055</v>
      </c>
      <c r="E382" s="14" t="s">
        <v>66</v>
      </c>
      <c r="F382" s="9" t="n">
        <v>37348</v>
      </c>
      <c r="G382" s="9" t="n">
        <v>6708</v>
      </c>
      <c r="H382" s="9" t="n">
        <v>6725</v>
      </c>
      <c r="I382" s="9" t="n">
        <v>635</v>
      </c>
      <c r="J382" s="9" t="n">
        <v>117</v>
      </c>
      <c r="K382" s="9" t="n">
        <v>2</v>
      </c>
      <c r="L382" s="9" t="n">
        <v>6</v>
      </c>
      <c r="M382" s="10" t="n">
        <f aca="false">IFERROR(G382/F382,"")</f>
        <v>0.179608011138481</v>
      </c>
      <c r="N382" s="10" t="n">
        <f aca="false">IFERROR(H382/G382,"")</f>
        <v>1.00253428741801</v>
      </c>
      <c r="O382" s="11" t="n">
        <f aca="false">IFERROR(I382/H382,"")</f>
        <v>0.0944237918215613</v>
      </c>
      <c r="P382" s="10" t="n">
        <f aca="false">IFERROR(J382/H382,"")</f>
        <v>0.0173977695167286</v>
      </c>
      <c r="Q382" s="10" t="n">
        <f aca="false">IFERROR(K382/H382,"")</f>
        <v>0.000297397769516729</v>
      </c>
      <c r="R382" s="10" t="n">
        <f aca="false">IFERROR(L382/H382,"")</f>
        <v>0.000892193308550186</v>
      </c>
      <c r="S382" s="11" t="n">
        <f aca="false">IFERROR(M382/MEDIAN(INDEX($M$5:$M$665,MATCH($A382-90,$A$5:$A$665,1)):INDEX($M$5:$M$665,MATCH($A382+90,$A$5:$A$665,1))),"")</f>
        <v>1.26677103940278</v>
      </c>
      <c r="T382" s="11" t="n">
        <f aca="false">IFERROR(N382/MEDIAN(INDEX($N$5:$N$665,MATCH($A382-90,$A$5:$A$665,1)):INDEX($N$5:$N$665,MATCH($A382+90,$A$5:$A$665,1))),"")</f>
        <v>1.00237616345502</v>
      </c>
      <c r="U382" s="11" t="n">
        <f aca="false">IFERROR(Q382/MEDIAN(INDEX($Q$5:$Q$665,MATCH($A382-90,$A$5:$A$665,1)):INDEX($Q$5:$Q$665,MATCH($A382+90,$A$5:$A$665,1))),"")</f>
        <v>1.36495939409347</v>
      </c>
    </row>
    <row r="383" customFormat="false" ht="15" hidden="false" customHeight="false" outlineLevel="0" collapsed="false">
      <c r="A383" s="13" t="n">
        <v>45388.5000765741</v>
      </c>
      <c r="B383" s="8" t="n">
        <v>12</v>
      </c>
      <c r="C383" s="8" t="s">
        <v>68</v>
      </c>
      <c r="D383" s="8" t="s">
        <v>1056</v>
      </c>
      <c r="E383" s="14" t="s">
        <v>66</v>
      </c>
      <c r="F383" s="9" t="n">
        <v>194203</v>
      </c>
      <c r="G383" s="9" t="n">
        <v>32260</v>
      </c>
      <c r="H383" s="9" t="n">
        <v>32267</v>
      </c>
      <c r="I383" s="9" t="n">
        <v>2328</v>
      </c>
      <c r="J383" s="9" t="n">
        <v>243</v>
      </c>
      <c r="K383" s="9" t="n">
        <v>5</v>
      </c>
      <c r="L383" s="9" t="n">
        <v>16</v>
      </c>
      <c r="M383" s="10" t="n">
        <f aca="false">IFERROR(G383/F383,"")</f>
        <v>0.166114838596726</v>
      </c>
      <c r="N383" s="10" t="n">
        <f aca="false">IFERROR(H383/G383,"")</f>
        <v>1.00021698698078</v>
      </c>
      <c r="O383" s="11" t="n">
        <f aca="false">IFERROR(I383/H383,"")</f>
        <v>0.072148014999845</v>
      </c>
      <c r="P383" s="10" t="n">
        <f aca="false">IFERROR(J383/H383,"")</f>
        <v>0.0075309139368395</v>
      </c>
      <c r="Q383" s="10" t="n">
        <f aca="false">IFERROR(K383/H383,"")</f>
        <v>0.000154957076889702</v>
      </c>
      <c r="R383" s="10" t="n">
        <f aca="false">IFERROR(L383/H383,"")</f>
        <v>0.000495862646047045</v>
      </c>
      <c r="S383" s="11" t="n">
        <f aca="false">IFERROR(M383/MEDIAN(INDEX($M$5:$M$665,MATCH($A383-90,$A$5:$A$665,1)):INDEX($M$5:$M$665,MATCH($A383+90,$A$5:$A$665,1))),"")</f>
        <v>1.17160401373831</v>
      </c>
      <c r="T383" s="11" t="n">
        <f aca="false">IFERROR(N383/MEDIAN(INDEX($N$5:$N$665,MATCH($A383-90,$A$5:$A$665,1)):INDEX($N$5:$N$665,MATCH($A383+90,$A$5:$A$665,1))),"")</f>
        <v>1.00005922851226</v>
      </c>
      <c r="U383" s="11" t="n">
        <f aca="false">IFERROR(Q383/MEDIAN(INDEX($Q$5:$Q$665,MATCH($A383-90,$A$5:$A$665,1)):INDEX($Q$5:$Q$665,MATCH($A383+90,$A$5:$A$665,1))),"")</f>
        <v>0.679011674904519</v>
      </c>
    </row>
    <row r="384" customFormat="false" ht="15" hidden="false" customHeight="false" outlineLevel="0" collapsed="false">
      <c r="A384" s="13" t="n">
        <v>45390.4998354282</v>
      </c>
      <c r="B384" s="8" t="n">
        <v>11</v>
      </c>
      <c r="C384" s="8" t="s">
        <v>80</v>
      </c>
      <c r="D384" s="8" t="s">
        <v>1057</v>
      </c>
      <c r="E384" s="14" t="s">
        <v>66</v>
      </c>
      <c r="F384" s="9" t="n">
        <v>105671</v>
      </c>
      <c r="G384" s="9" t="n">
        <v>18549</v>
      </c>
      <c r="H384" s="9" t="n">
        <v>18554</v>
      </c>
      <c r="I384" s="9" t="n">
        <v>1133</v>
      </c>
      <c r="J384" s="9" t="n">
        <v>125</v>
      </c>
      <c r="K384" s="9" t="n">
        <v>11</v>
      </c>
      <c r="L384" s="9" t="n">
        <v>4</v>
      </c>
      <c r="M384" s="10" t="n">
        <f aca="false">IFERROR(G384/F384,"")</f>
        <v>0.175535388138657</v>
      </c>
      <c r="N384" s="10" t="n">
        <f aca="false">IFERROR(H384/G384,"")</f>
        <v>1.00026955631031</v>
      </c>
      <c r="O384" s="11" t="n">
        <f aca="false">IFERROR(I384/H384,"")</f>
        <v>0.0610649994610327</v>
      </c>
      <c r="P384" s="10" t="n">
        <f aca="false">IFERROR(J384/H384,"")</f>
        <v>0.00673709173224103</v>
      </c>
      <c r="Q384" s="10" t="n">
        <f aca="false">IFERROR(K384/H384,"")</f>
        <v>0.00059286407243721</v>
      </c>
      <c r="R384" s="10" t="n">
        <f aca="false">IFERROR(L384/H384,"")</f>
        <v>0.000215586935431713</v>
      </c>
      <c r="S384" s="11" t="n">
        <f aca="false">IFERROR(M384/MEDIAN(INDEX($M$5:$M$665,MATCH($A384-90,$A$5:$A$665,1)):INDEX($M$5:$M$665,MATCH($A384+90,$A$5:$A$665,1))),"")</f>
        <v>1.23804692605237</v>
      </c>
      <c r="T384" s="11" t="n">
        <f aca="false">IFERROR(N384/MEDIAN(INDEX($N$5:$N$665,MATCH($A384-90,$A$5:$A$665,1)):INDEX($N$5:$N$665,MATCH($A384+90,$A$5:$A$665,1))),"")</f>
        <v>1.00011178955033</v>
      </c>
      <c r="U384" s="11" t="n">
        <f aca="false">IFERROR(Q384/MEDIAN(INDEX($Q$5:$Q$665,MATCH($A384-90,$A$5:$A$665,1)):INDEX($Q$5:$Q$665,MATCH($A384+90,$A$5:$A$665,1))),"")</f>
        <v>2.59789120249634</v>
      </c>
    </row>
    <row r="385" customFormat="false" ht="15" hidden="false" customHeight="false" outlineLevel="0" collapsed="false">
      <c r="A385" s="13" t="n">
        <v>45392.5000240625</v>
      </c>
      <c r="B385" s="8" t="n">
        <v>12</v>
      </c>
      <c r="C385" s="8" t="s">
        <v>71</v>
      </c>
      <c r="D385" s="8" t="s">
        <v>1058</v>
      </c>
      <c r="E385" s="14" t="s">
        <v>66</v>
      </c>
      <c r="F385" s="9" t="n">
        <v>147822</v>
      </c>
      <c r="G385" s="9" t="n">
        <v>32940</v>
      </c>
      <c r="H385" s="9" t="n">
        <v>32946</v>
      </c>
      <c r="I385" s="9" t="n">
        <v>1750</v>
      </c>
      <c r="J385" s="9" t="n">
        <v>354</v>
      </c>
      <c r="K385" s="9" t="n">
        <v>11</v>
      </c>
      <c r="L385" s="9" t="n">
        <v>26</v>
      </c>
      <c r="M385" s="10" t="n">
        <f aca="false">IFERROR(G385/F385,"")</f>
        <v>0.222835572512887</v>
      </c>
      <c r="N385" s="10" t="n">
        <f aca="false">IFERROR(H385/G385,"")</f>
        <v>1.00018214936248</v>
      </c>
      <c r="O385" s="11" t="n">
        <f aca="false">IFERROR(I385/H385,"")</f>
        <v>0.0531172221210466</v>
      </c>
      <c r="P385" s="10" t="n">
        <f aca="false">IFERROR(J385/H385,"")</f>
        <v>0.0107448552176288</v>
      </c>
      <c r="Q385" s="10" t="n">
        <f aca="false">IFERROR(K385/H385,"")</f>
        <v>0.000333879681903721</v>
      </c>
      <c r="R385" s="10" t="n">
        <f aca="false">IFERROR(L385/H385,"")</f>
        <v>0.000789170157226978</v>
      </c>
      <c r="S385" s="11" t="n">
        <f aca="false">IFERROR(M385/MEDIAN(INDEX($M$5:$M$665,MATCH($A385-90,$A$5:$A$665,1)):INDEX($M$5:$M$665,MATCH($A385+90,$A$5:$A$665,1))),"")</f>
        <v>1.58970011871238</v>
      </c>
      <c r="T385" s="11" t="n">
        <f aca="false">IFERROR(N385/MEDIAN(INDEX($N$5:$N$665,MATCH($A385-90,$A$5:$A$665,1)):INDEX($N$5:$N$665,MATCH($A385+90,$A$5:$A$665,1))),"")</f>
        <v>1.00002439638869</v>
      </c>
      <c r="U385" s="11" t="n">
        <f aca="false">IFERROR(Q385/MEDIAN(INDEX($Q$5:$Q$665,MATCH($A385-90,$A$5:$A$665,1)):INDEX($Q$5:$Q$665,MATCH($A385+90,$A$5:$A$665,1))),"")</f>
        <v>1.53239955044717</v>
      </c>
    </row>
    <row r="386" customFormat="false" ht="15" hidden="false" customHeight="false" outlineLevel="0" collapsed="false">
      <c r="A386" s="13" t="n">
        <v>45394.5007359954</v>
      </c>
      <c r="B386" s="8" t="n">
        <v>12</v>
      </c>
      <c r="C386" s="8" t="s">
        <v>84</v>
      </c>
      <c r="D386" s="8" t="s">
        <v>1059</v>
      </c>
      <c r="E386" s="14" t="s">
        <v>66</v>
      </c>
      <c r="F386" s="9" t="n">
        <v>58145</v>
      </c>
      <c r="G386" s="9" t="n">
        <v>13397</v>
      </c>
      <c r="H386" s="9" t="n">
        <v>13426</v>
      </c>
      <c r="I386" s="9" t="n">
        <v>987</v>
      </c>
      <c r="J386" s="9" t="n">
        <v>195</v>
      </c>
      <c r="K386" s="9" t="n">
        <v>5</v>
      </c>
      <c r="L386" s="9" t="n">
        <v>14</v>
      </c>
      <c r="M386" s="10" t="n">
        <f aca="false">IFERROR(G386/F386,"")</f>
        <v>0.230406741766274</v>
      </c>
      <c r="N386" s="10" t="n">
        <f aca="false">IFERROR(H386/G386,"")</f>
        <v>1.00216466373069</v>
      </c>
      <c r="O386" s="11" t="n">
        <f aca="false">IFERROR(I386/H386,"")</f>
        <v>0.0735140771637122</v>
      </c>
      <c r="P386" s="10" t="n">
        <f aca="false">IFERROR(J386/H386,"")</f>
        <v>0.0145240577983018</v>
      </c>
      <c r="Q386" s="10" t="n">
        <f aca="false">IFERROR(K386/H386,"")</f>
        <v>0.000372411738417995</v>
      </c>
      <c r="R386" s="10" t="n">
        <f aca="false">IFERROR(L386/H386,"")</f>
        <v>0.00104275286757039</v>
      </c>
      <c r="S386" s="11" t="n">
        <f aca="false">IFERROR(M386/MEDIAN(INDEX($M$5:$M$665,MATCH($A386-90,$A$5:$A$665,1)):INDEX($M$5:$M$665,MATCH($A386+90,$A$5:$A$665,1))),"")</f>
        <v>1.62505328076725</v>
      </c>
      <c r="T386" s="11" t="n">
        <f aca="false">IFERROR(N386/MEDIAN(INDEX($N$5:$N$665,MATCH($A386-90,$A$5:$A$665,1)):INDEX($N$5:$N$665,MATCH($A386+90,$A$5:$A$665,1))),"")</f>
        <v>1.00202413712951</v>
      </c>
      <c r="U386" s="11" t="n">
        <f aca="false">IFERROR(Q386/MEDIAN(INDEX($Q$5:$Q$665,MATCH($A386-90,$A$5:$A$665,1)):INDEX($Q$5:$Q$665,MATCH($A386+90,$A$5:$A$665,1))),"")</f>
        <v>1.6318836372817</v>
      </c>
    </row>
    <row r="387" customFormat="false" ht="15" hidden="false" customHeight="false" outlineLevel="0" collapsed="false">
      <c r="A387" s="13" t="n">
        <v>45396.5001951852</v>
      </c>
      <c r="B387" s="8" t="n">
        <v>12</v>
      </c>
      <c r="C387" s="8" t="s">
        <v>86</v>
      </c>
      <c r="D387" s="8" t="s">
        <v>1060</v>
      </c>
      <c r="E387" s="14" t="s">
        <v>66</v>
      </c>
      <c r="F387" s="9" t="n">
        <v>21528</v>
      </c>
      <c r="G387" s="9" t="n">
        <v>5510</v>
      </c>
      <c r="H387" s="9" t="n">
        <v>5526</v>
      </c>
      <c r="I387" s="9" t="n">
        <v>502</v>
      </c>
      <c r="J387" s="9" t="n">
        <v>104</v>
      </c>
      <c r="K387" s="9" t="n">
        <v>1</v>
      </c>
      <c r="L387" s="9" t="n">
        <v>4</v>
      </c>
      <c r="M387" s="10" t="n">
        <f aca="false">IFERROR(G387/F387,"")</f>
        <v>0.25594574507618</v>
      </c>
      <c r="N387" s="10" t="n">
        <f aca="false">IFERROR(H387/G387,"")</f>
        <v>1.00290381125227</v>
      </c>
      <c r="O387" s="11" t="n">
        <f aca="false">IFERROR(I387/H387,"")</f>
        <v>0.0908432862830257</v>
      </c>
      <c r="P387" s="10" t="n">
        <f aca="false">IFERROR(J387/H387,"")</f>
        <v>0.0188201230546507</v>
      </c>
      <c r="Q387" s="10" t="n">
        <f aca="false">IFERROR(K387/H387,"")</f>
        <v>0.000180962721679334</v>
      </c>
      <c r="R387" s="10" t="n">
        <f aca="false">IFERROR(L387/H387,"")</f>
        <v>0.000723850886717336</v>
      </c>
      <c r="S387" s="11" t="n">
        <f aca="false">IFERROR(M387/MEDIAN(INDEX($M$5:$M$665,MATCH($A387-90,$A$5:$A$665,1)):INDEX($M$5:$M$665,MATCH($A387+90,$A$5:$A$665,1))),"")</f>
        <v>1.80517926492091</v>
      </c>
      <c r="T387" s="11" t="n">
        <f aca="false">IFERROR(N387/MEDIAN(INDEX($N$5:$N$665,MATCH($A387-90,$A$5:$A$665,1)):INDEX($N$5:$N$665,MATCH($A387+90,$A$5:$A$665,1))),"")</f>
        <v>1.00274562900642</v>
      </c>
      <c r="U387" s="11" t="n">
        <f aca="false">IFERROR(Q387/MEDIAN(INDEX($Q$5:$Q$665,MATCH($A387-90,$A$5:$A$665,1)):INDEX($Q$5:$Q$665,MATCH($A387+90,$A$5:$A$665,1))),"")</f>
        <v>0.792966692513359</v>
      </c>
    </row>
    <row r="388" customFormat="false" ht="15" hidden="false" customHeight="false" outlineLevel="0" collapsed="false">
      <c r="A388" s="13" t="n">
        <v>45398.5002869329</v>
      </c>
      <c r="B388" s="8" t="n">
        <v>12</v>
      </c>
      <c r="C388" s="8" t="s">
        <v>64</v>
      </c>
      <c r="D388" s="8" t="s">
        <v>1061</v>
      </c>
      <c r="E388" s="14" t="s">
        <v>66</v>
      </c>
      <c r="F388" s="9" t="n">
        <v>299</v>
      </c>
      <c r="G388" s="9" t="n">
        <v>89</v>
      </c>
      <c r="H388" s="9" t="n">
        <v>89</v>
      </c>
      <c r="I388" s="9" t="n">
        <v>7</v>
      </c>
      <c r="J388" s="9" t="n">
        <v>2</v>
      </c>
      <c r="K388" s="9" t="n">
        <v>0</v>
      </c>
      <c r="L388" s="9" t="n">
        <v>0</v>
      </c>
      <c r="M388" s="10" t="n">
        <f aca="false">IFERROR(G388/F388,"")</f>
        <v>0.297658862876254</v>
      </c>
      <c r="N388" s="10" t="n">
        <f aca="false">IFERROR(H388/G388,"")</f>
        <v>1</v>
      </c>
      <c r="O388" s="11" t="n">
        <f aca="false">IFERROR(I388/H388,"")</f>
        <v>0.0786516853932584</v>
      </c>
      <c r="P388" s="10" t="n">
        <f aca="false">IFERROR(J388/H388,"")</f>
        <v>0.0224719101123596</v>
      </c>
      <c r="Q388" s="10" t="n">
        <f aca="false">IFERROR(K388/H388,"")</f>
        <v>0</v>
      </c>
      <c r="R388" s="10" t="n">
        <f aca="false">IFERROR(L388/H388,"")</f>
        <v>0</v>
      </c>
      <c r="S388" s="11" t="n">
        <f aca="false">IFERROR(M388/MEDIAN(INDEX($M$5:$M$665,MATCH($A388-90,$A$5:$A$665,1)):INDEX($M$5:$M$665,MATCH($A388+90,$A$5:$A$665,1))),"")</f>
        <v>2.09938089466664</v>
      </c>
      <c r="T388" s="11" t="n">
        <f aca="false">IFERROR(N388/MEDIAN(INDEX($N$5:$N$665,MATCH($A388-90,$A$5:$A$665,1)):INDEX($N$5:$N$665,MATCH($A388+90,$A$5:$A$665,1))),"")</f>
        <v>0.999842275755583</v>
      </c>
      <c r="U388" s="11" t="n">
        <f aca="false">IFERROR(Q388/MEDIAN(INDEX($Q$5:$Q$665,MATCH($A388-90,$A$5:$A$665,1)):INDEX($Q$5:$Q$665,MATCH($A388+90,$A$5:$A$665,1))),"")</f>
        <v>0</v>
      </c>
    </row>
    <row r="389" customFormat="false" ht="15" hidden="false" customHeight="false" outlineLevel="0" collapsed="false">
      <c r="A389" s="13" t="n">
        <v>45398.5588150232</v>
      </c>
      <c r="B389" s="8" t="n">
        <v>13</v>
      </c>
      <c r="C389" s="8" t="s">
        <v>64</v>
      </c>
      <c r="D389" s="8" t="s">
        <v>1061</v>
      </c>
      <c r="E389" s="14" t="s">
        <v>66</v>
      </c>
      <c r="F389" s="9" t="n">
        <v>48785</v>
      </c>
      <c r="G389" s="9" t="n">
        <v>15607</v>
      </c>
      <c r="H389" s="9" t="n">
        <v>15648</v>
      </c>
      <c r="I389" s="9" t="n">
        <v>1755</v>
      </c>
      <c r="J389" s="9" t="n">
        <v>207</v>
      </c>
      <c r="K389" s="9" t="n">
        <v>20</v>
      </c>
      <c r="L389" s="9" t="n">
        <v>14</v>
      </c>
      <c r="M389" s="10" t="n">
        <f aca="false">IFERROR(G389/F389,"")</f>
        <v>0.319913907963513</v>
      </c>
      <c r="N389" s="10" t="n">
        <f aca="false">IFERROR(H389/G389,"")</f>
        <v>1.00262702633434</v>
      </c>
      <c r="O389" s="11" t="n">
        <f aca="false">IFERROR(I389/H389,"")</f>
        <v>0.11215490797546</v>
      </c>
      <c r="P389" s="10" t="n">
        <f aca="false">IFERROR(J389/H389,"")</f>
        <v>0.013228527607362</v>
      </c>
      <c r="Q389" s="10" t="n">
        <f aca="false">IFERROR(K389/H389,"")</f>
        <v>0.00127811860940695</v>
      </c>
      <c r="R389" s="10" t="n">
        <f aca="false">IFERROR(L389/H389,"")</f>
        <v>0.000894683026584867</v>
      </c>
      <c r="S389" s="11" t="n">
        <f aca="false">IFERROR(M389/MEDIAN(INDEX($M$5:$M$665,MATCH($A389-90,$A$5:$A$665,1)):INDEX($M$5:$M$665,MATCH($A389+90,$A$5:$A$665,1))),"")</f>
        <v>2.26922520695463</v>
      </c>
      <c r="T389" s="11" t="n">
        <f aca="false">IFERROR(N389/MEDIAN(INDEX($N$5:$N$665,MATCH($A389-90,$A$5:$A$665,1)):INDEX($N$5:$N$665,MATCH($A389+90,$A$5:$A$665,1))),"")</f>
        <v>1.00247760352862</v>
      </c>
      <c r="U389" s="11" t="n">
        <f aca="false">IFERROR(Q389/MEDIAN(INDEX($Q$5:$Q$665,MATCH($A389-90,$A$5:$A$665,1)):INDEX($Q$5:$Q$665,MATCH($A389+90,$A$5:$A$665,1))),"")</f>
        <v>5.63621258598252</v>
      </c>
    </row>
    <row r="390" customFormat="false" ht="15" hidden="false" customHeight="false" outlineLevel="0" collapsed="false">
      <c r="A390" s="13" t="n">
        <v>45400.4953915162</v>
      </c>
      <c r="B390" s="8" t="n">
        <v>11</v>
      </c>
      <c r="C390" s="8" t="s">
        <v>73</v>
      </c>
      <c r="D390" s="8" t="s">
        <v>1062</v>
      </c>
      <c r="E390" s="14" t="s">
        <v>66</v>
      </c>
      <c r="F390" s="9" t="n">
        <v>205500</v>
      </c>
      <c r="G390" s="9" t="n">
        <v>34817</v>
      </c>
      <c r="H390" s="9" t="n">
        <v>34825</v>
      </c>
      <c r="I390" s="9" t="n">
        <v>3147</v>
      </c>
      <c r="J390" s="9" t="n">
        <v>265</v>
      </c>
      <c r="K390" s="9" t="n">
        <v>5</v>
      </c>
      <c r="L390" s="9" t="n">
        <v>12</v>
      </c>
      <c r="M390" s="10" t="n">
        <f aca="false">IFERROR(G390/F390,"")</f>
        <v>0.169425790754258</v>
      </c>
      <c r="N390" s="10" t="n">
        <f aca="false">IFERROR(H390/G390,"")</f>
        <v>1.00022977281213</v>
      </c>
      <c r="O390" s="11" t="n">
        <f aca="false">IFERROR(I390/H390,"")</f>
        <v>0.0903661162957645</v>
      </c>
      <c r="P390" s="10" t="n">
        <f aca="false">IFERROR(J390/H390,"")</f>
        <v>0.00760947595118449</v>
      </c>
      <c r="Q390" s="10" t="n">
        <f aca="false">IFERROR(K390/H390,"")</f>
        <v>0.000143575017946877</v>
      </c>
      <c r="R390" s="10" t="n">
        <f aca="false">IFERROR(L390/H390,"")</f>
        <v>0.000344580043072505</v>
      </c>
      <c r="S390" s="11" t="n">
        <f aca="false">IFERROR(M390/MEDIAN(INDEX($M$5:$M$665,MATCH($A390-90,$A$5:$A$665,1)):INDEX($M$5:$M$665,MATCH($A390+90,$A$5:$A$665,1))),"")</f>
        <v>1.20867685817715</v>
      </c>
      <c r="T390" s="11" t="n">
        <f aca="false">IFERROR(N390/MEDIAN(INDEX($N$5:$N$665,MATCH($A390-90,$A$5:$A$665,1)):INDEX($N$5:$N$665,MATCH($A390+90,$A$5:$A$665,1))),"")</f>
        <v>1.00007201232697</v>
      </c>
      <c r="U390" s="11" t="n">
        <f aca="false">IFERROR(Q390/MEDIAN(INDEX($Q$5:$Q$665,MATCH($A390-90,$A$5:$A$665,1)):INDEX($Q$5:$Q$665,MATCH($A390+90,$A$5:$A$665,1))),"")</f>
        <v>0.629136244483679</v>
      </c>
    </row>
    <row r="391" customFormat="false" ht="15" hidden="false" customHeight="false" outlineLevel="0" collapsed="false">
      <c r="A391" s="13" t="n">
        <v>45402.4969814005</v>
      </c>
      <c r="B391" s="8" t="n">
        <v>11</v>
      </c>
      <c r="C391" s="8" t="s">
        <v>68</v>
      </c>
      <c r="D391" s="8" t="s">
        <v>668</v>
      </c>
      <c r="E391" s="14" t="s">
        <v>66</v>
      </c>
      <c r="F391" s="9" t="n">
        <v>724913</v>
      </c>
      <c r="G391" s="9" t="n">
        <v>81344</v>
      </c>
      <c r="H391" s="9" t="n">
        <v>81343</v>
      </c>
      <c r="I391" s="9" t="n">
        <v>2106</v>
      </c>
      <c r="J391" s="9" t="n">
        <v>235</v>
      </c>
      <c r="K391" s="9" t="n">
        <v>17</v>
      </c>
      <c r="L391" s="9" t="n">
        <v>18</v>
      </c>
      <c r="M391" s="10" t="n">
        <f aca="false">IFERROR(G391/F391,"")</f>
        <v>0.112212086139992</v>
      </c>
      <c r="N391" s="10" t="n">
        <f aca="false">IFERROR(H391/G391,"")</f>
        <v>0.999987706530291</v>
      </c>
      <c r="O391" s="11" t="n">
        <f aca="false">IFERROR(I391/H391,"")</f>
        <v>0.0258903654893476</v>
      </c>
      <c r="P391" s="10" t="n">
        <f aca="false">IFERROR(J391/H391,"")</f>
        <v>0.00288900089743432</v>
      </c>
      <c r="Q391" s="10" t="n">
        <f aca="false">IFERROR(K391/H391,"")</f>
        <v>0.000208991554282483</v>
      </c>
      <c r="R391" s="10" t="n">
        <f aca="false">IFERROR(L391/H391,"")</f>
        <v>0.000221285175122629</v>
      </c>
      <c r="S391" s="11" t="n">
        <f aca="false">IFERROR(M391/MEDIAN(INDEX($M$5:$M$665,MATCH($A391-90,$A$5:$A$665,1)):INDEX($M$5:$M$665,MATCH($A391+90,$A$5:$A$665,1))),"")</f>
        <v>0.800516563159558</v>
      </c>
      <c r="T391" s="11" t="n">
        <f aca="false">IFERROR(N391/MEDIAN(INDEX($N$5:$N$665,MATCH($A391-90,$A$5:$A$665,1)):INDEX($N$5:$N$665,MATCH($A391+90,$A$5:$A$665,1))),"")</f>
        <v>0.99981344199539</v>
      </c>
      <c r="U391" s="11" t="n">
        <f aca="false">IFERROR(Q391/MEDIAN(INDEX($Q$5:$Q$665,MATCH($A391-90,$A$5:$A$665,1)):INDEX($Q$5:$Q$665,MATCH($A391+90,$A$5:$A$665,1))),"")</f>
        <v>0.959203513084939</v>
      </c>
    </row>
    <row r="392" customFormat="false" ht="15" hidden="false" customHeight="false" outlineLevel="0" collapsed="false">
      <c r="A392" s="13" t="n">
        <v>45404.5057044907</v>
      </c>
      <c r="B392" s="8" t="n">
        <v>12</v>
      </c>
      <c r="C392" s="8" t="s">
        <v>80</v>
      </c>
      <c r="D392" s="8" t="s">
        <v>1063</v>
      </c>
      <c r="E392" s="14" t="s">
        <v>66</v>
      </c>
      <c r="F392" s="9" t="n">
        <v>92396</v>
      </c>
      <c r="G392" s="9" t="n">
        <v>14185</v>
      </c>
      <c r="H392" s="9" t="n">
        <v>14216</v>
      </c>
      <c r="I392" s="9" t="n">
        <v>1325</v>
      </c>
      <c r="J392" s="9" t="n">
        <v>153</v>
      </c>
      <c r="K392" s="9" t="n">
        <v>6</v>
      </c>
      <c r="L392" s="9" t="n">
        <v>11</v>
      </c>
      <c r="M392" s="10" t="n">
        <f aca="false">IFERROR(G392/F392,"")</f>
        <v>0.15352396207628</v>
      </c>
      <c r="N392" s="10" t="n">
        <f aca="false">IFERROR(H392/G392,"")</f>
        <v>1.0021854071202</v>
      </c>
      <c r="O392" s="11" t="n">
        <f aca="false">IFERROR(I392/H392,"")</f>
        <v>0.0932048396173326</v>
      </c>
      <c r="P392" s="10" t="n">
        <f aca="false">IFERROR(J392/H392,"")</f>
        <v>0.0107625211029826</v>
      </c>
      <c r="Q392" s="10" t="n">
        <f aca="false">IFERROR(K392/H392,"")</f>
        <v>0.000422059651097355</v>
      </c>
      <c r="R392" s="10" t="n">
        <f aca="false">IFERROR(L392/H392,"")</f>
        <v>0.000773776027011818</v>
      </c>
      <c r="S392" s="11" t="n">
        <f aca="false">IFERROR(M392/MEDIAN(INDEX($M$5:$M$665,MATCH($A392-90,$A$5:$A$665,1)):INDEX($M$5:$M$665,MATCH($A392+90,$A$5:$A$665,1))),"")</f>
        <v>1.12400346743407</v>
      </c>
      <c r="T392" s="11" t="n">
        <f aca="false">IFERROR(N392/MEDIAN(INDEX($N$5:$N$665,MATCH($A392-90,$A$5:$A$665,1)):INDEX($N$5:$N$665,MATCH($A392+90,$A$5:$A$665,1))),"")</f>
        <v>1.00196799311053</v>
      </c>
      <c r="U392" s="11" t="n">
        <f aca="false">IFERROR(Q392/MEDIAN(INDEX($Q$5:$Q$665,MATCH($A392-90,$A$5:$A$665,1)):INDEX($Q$5:$Q$665,MATCH($A392+90,$A$5:$A$665,1))),"")</f>
        <v>2.03342310475119</v>
      </c>
    </row>
    <row r="393" customFormat="false" ht="15" hidden="false" customHeight="false" outlineLevel="0" collapsed="false">
      <c r="A393" s="13" t="n">
        <v>45406.5017128704</v>
      </c>
      <c r="B393" s="8" t="n">
        <v>12</v>
      </c>
      <c r="C393" s="8" t="s">
        <v>71</v>
      </c>
      <c r="D393" s="8" t="s">
        <v>1064</v>
      </c>
      <c r="E393" s="14" t="s">
        <v>66</v>
      </c>
      <c r="F393" s="9" t="n">
        <v>187284</v>
      </c>
      <c r="G393" s="9" t="n">
        <v>17898</v>
      </c>
      <c r="H393" s="9" t="n">
        <v>17911</v>
      </c>
      <c r="I393" s="9" t="n">
        <v>480</v>
      </c>
      <c r="J393" s="9" t="n">
        <v>98</v>
      </c>
      <c r="K393" s="9" t="n">
        <v>2</v>
      </c>
      <c r="L393" s="9" t="n">
        <v>5</v>
      </c>
      <c r="M393" s="10" t="n">
        <f aca="false">IFERROR(G393/F393,"")</f>
        <v>0.0955660921381431</v>
      </c>
      <c r="N393" s="10" t="n">
        <f aca="false">IFERROR(H393/G393,"")</f>
        <v>1.00072633813834</v>
      </c>
      <c r="O393" s="11" t="n">
        <f aca="false">IFERROR(I393/H393,"")</f>
        <v>0.0267991736921445</v>
      </c>
      <c r="P393" s="10" t="n">
        <f aca="false">IFERROR(J393/H393,"")</f>
        <v>0.00547149796214617</v>
      </c>
      <c r="Q393" s="10" t="n">
        <f aca="false">IFERROR(K393/H393,"")</f>
        <v>0.000111663223717269</v>
      </c>
      <c r="R393" s="10" t="n">
        <f aca="false">IFERROR(L393/H393,"")</f>
        <v>0.000279158059293172</v>
      </c>
      <c r="S393" s="11" t="n">
        <f aca="false">IFERROR(M393/MEDIAN(INDEX($M$5:$M$665,MATCH($A393-90,$A$5:$A$665,1)):INDEX($M$5:$M$665,MATCH($A393+90,$A$5:$A$665,1))),"")</f>
        <v>0.710345294787159</v>
      </c>
      <c r="T393" s="11" t="n">
        <f aca="false">IFERROR(N393/MEDIAN(INDEX($N$5:$N$665,MATCH($A393-90,$A$5:$A$665,1)):INDEX($N$5:$N$665,MATCH($A393+90,$A$5:$A$665,1))),"")</f>
        <v>1.00050284591621</v>
      </c>
      <c r="U393" s="11" t="n">
        <f aca="false">IFERROR(Q393/MEDIAN(INDEX($Q$5:$Q$665,MATCH($A393-90,$A$5:$A$665,1)):INDEX($Q$5:$Q$665,MATCH($A393+90,$A$5:$A$665,1))),"")</f>
        <v>0.536130102387571</v>
      </c>
    </row>
    <row r="394" customFormat="false" ht="15" hidden="false" customHeight="false" outlineLevel="0" collapsed="false">
      <c r="A394" s="13" t="n">
        <v>45408.4936398148</v>
      </c>
      <c r="B394" s="8" t="n">
        <v>11</v>
      </c>
      <c r="C394" s="8" t="s">
        <v>84</v>
      </c>
      <c r="D394" s="8" t="s">
        <v>1065</v>
      </c>
      <c r="E394" s="14" t="s">
        <v>66</v>
      </c>
      <c r="F394" s="9" t="n">
        <v>807377</v>
      </c>
      <c r="G394" s="9" t="n">
        <v>91587</v>
      </c>
      <c r="H394" s="9" t="n">
        <v>91588</v>
      </c>
      <c r="I394" s="9" t="n">
        <v>3447</v>
      </c>
      <c r="J394" s="9" t="n">
        <v>189</v>
      </c>
      <c r="K394" s="9" t="n">
        <v>1</v>
      </c>
      <c r="L394" s="9" t="n">
        <v>13</v>
      </c>
      <c r="M394" s="10" t="n">
        <f aca="false">IFERROR(G394/F394,"")</f>
        <v>0.113437712493668</v>
      </c>
      <c r="N394" s="10" t="n">
        <f aca="false">IFERROR(H394/G394,"")</f>
        <v>1.00001091858015</v>
      </c>
      <c r="O394" s="11" t="n">
        <f aca="false">IFERROR(I394/H394,"")</f>
        <v>0.0376359348386251</v>
      </c>
      <c r="P394" s="10" t="n">
        <f aca="false">IFERROR(J394/H394,"")</f>
        <v>0.00206358911647814</v>
      </c>
      <c r="Q394" s="10" t="n">
        <f aca="false">IFERROR(K394/H394,"")</f>
        <v>1.09184609337468E-005</v>
      </c>
      <c r="R394" s="10" t="n">
        <f aca="false">IFERROR(L394/H394,"")</f>
        <v>0.000141939992138708</v>
      </c>
      <c r="S394" s="11" t="n">
        <f aca="false">IFERROR(M394/MEDIAN(INDEX($M$5:$M$665,MATCH($A394-90,$A$5:$A$665,1)):INDEX($M$5:$M$665,MATCH($A394+90,$A$5:$A$665,1))),"")</f>
        <v>0.843335397708921</v>
      </c>
      <c r="T394" s="11" t="n">
        <f aca="false">IFERROR(N394/MEDIAN(INDEX($N$5:$N$665,MATCH($A394-90,$A$5:$A$665,1)):INDEX($N$5:$N$665,MATCH($A394+90,$A$5:$A$665,1))),"")</f>
        <v>0.999787586132679</v>
      </c>
      <c r="U394" s="11" t="n">
        <f aca="false">IFERROR(Q394/MEDIAN(INDEX($Q$5:$Q$665,MATCH($A394-90,$A$5:$A$665,1)):INDEX($Q$5:$Q$665,MATCH($A394+90,$A$5:$A$665,1))),"")</f>
        <v>0.0540202516291636</v>
      </c>
    </row>
    <row r="395" customFormat="false" ht="15" hidden="false" customHeight="false" outlineLevel="0" collapsed="false">
      <c r="A395" s="13" t="n">
        <v>45410.4963242708</v>
      </c>
      <c r="B395" s="8" t="n">
        <v>11</v>
      </c>
      <c r="C395" s="8" t="s">
        <v>86</v>
      </c>
      <c r="D395" s="8" t="s">
        <v>1066</v>
      </c>
      <c r="E395" s="14" t="s">
        <v>66</v>
      </c>
      <c r="F395" s="9" t="n">
        <v>526092</v>
      </c>
      <c r="G395" s="9" t="n">
        <v>66088</v>
      </c>
      <c r="H395" s="9" t="n">
        <v>66099</v>
      </c>
      <c r="I395" s="9" t="n">
        <v>2578</v>
      </c>
      <c r="J395" s="9" t="n">
        <v>117</v>
      </c>
      <c r="K395" s="9" t="n">
        <v>13</v>
      </c>
      <c r="L395" s="9" t="n">
        <v>7</v>
      </c>
      <c r="M395" s="10" t="n">
        <f aca="false">IFERROR(G395/F395,"")</f>
        <v>0.125620613885024</v>
      </c>
      <c r="N395" s="10" t="n">
        <f aca="false">IFERROR(H395/G395,"")</f>
        <v>1.00016644474035</v>
      </c>
      <c r="O395" s="11" t="n">
        <f aca="false">IFERROR(I395/H395,"")</f>
        <v>0.0390021029062467</v>
      </c>
      <c r="P395" s="10" t="n">
        <f aca="false">IFERROR(J395/H395,"")</f>
        <v>0.00177007216448055</v>
      </c>
      <c r="Q395" s="10" t="n">
        <f aca="false">IFERROR(K395/H395,"")</f>
        <v>0.000196674684942284</v>
      </c>
      <c r="R395" s="10" t="n">
        <f aca="false">IFERROR(L395/H395,"")</f>
        <v>0.00010590175343046</v>
      </c>
      <c r="S395" s="11" t="n">
        <f aca="false">IFERROR(M395/MEDIAN(INDEX($M$5:$M$665,MATCH($A395-90,$A$5:$A$665,1)):INDEX($M$5:$M$665,MATCH($A395+90,$A$5:$A$665,1))),"")</f>
        <v>0.933824329586055</v>
      </c>
      <c r="T395" s="11" t="n">
        <f aca="false">IFERROR(N395/MEDIAN(INDEX($N$5:$N$665,MATCH($A395-90,$A$5:$A$665,1)):INDEX($N$5:$N$665,MATCH($A395+90,$A$5:$A$665,1))),"")</f>
        <v>0.999936686475941</v>
      </c>
      <c r="U395" s="11" t="n">
        <f aca="false">IFERROR(Q395/MEDIAN(INDEX($Q$5:$Q$665,MATCH($A395-90,$A$5:$A$665,1)):INDEX($Q$5:$Q$665,MATCH($A395+90,$A$5:$A$665,1))),"")</f>
        <v>0.947550535668359</v>
      </c>
    </row>
    <row r="396" customFormat="false" ht="15" hidden="false" customHeight="false" outlineLevel="0" collapsed="false">
      <c r="A396" s="13" t="n">
        <v>45412.5508921296</v>
      </c>
      <c r="B396" s="8" t="n">
        <v>13</v>
      </c>
      <c r="C396" s="8" t="s">
        <v>64</v>
      </c>
      <c r="D396" s="8" t="s">
        <v>1067</v>
      </c>
      <c r="E396" s="14" t="s">
        <v>66</v>
      </c>
      <c r="F396" s="9" t="n">
        <v>149122</v>
      </c>
      <c r="G396" s="9" t="n">
        <v>26916</v>
      </c>
      <c r="H396" s="9" t="n">
        <v>26947</v>
      </c>
      <c r="I396" s="9" t="n">
        <v>2579</v>
      </c>
      <c r="J396" s="9" t="n">
        <v>139</v>
      </c>
      <c r="K396" s="9" t="n">
        <v>2</v>
      </c>
      <c r="L396" s="9" t="n">
        <v>23</v>
      </c>
      <c r="M396" s="10" t="n">
        <f aca="false">IFERROR(G396/F396,"")</f>
        <v>0.180496506216387</v>
      </c>
      <c r="N396" s="10" t="n">
        <f aca="false">IFERROR(H396/G396,"")</f>
        <v>1.00115173131223</v>
      </c>
      <c r="O396" s="11" t="n">
        <f aca="false">IFERROR(I396/H396,"")</f>
        <v>0.0957063866107544</v>
      </c>
      <c r="P396" s="10" t="n">
        <f aca="false">IFERROR(J396/H396,"")</f>
        <v>0.00515827364827254</v>
      </c>
      <c r="Q396" s="10" t="n">
        <f aca="false">IFERROR(K396/H396,"")</f>
        <v>7.42197647233458E-005</v>
      </c>
      <c r="R396" s="10" t="n">
        <f aca="false">IFERROR(L396/H396,"")</f>
        <v>0.000853527294318477</v>
      </c>
      <c r="S396" s="11" t="n">
        <f aca="false">IFERROR(M396/MEDIAN(INDEX($M$5:$M$665,MATCH($A396-90,$A$5:$A$665,1)):INDEX($M$5:$M$665,MATCH($A396+90,$A$5:$A$665,1))),"")</f>
        <v>1.34175453930206</v>
      </c>
      <c r="T396" s="11" t="n">
        <f aca="false">IFERROR(N396/MEDIAN(INDEX($N$5:$N$665,MATCH($A396-90,$A$5:$A$665,1)):INDEX($N$5:$N$665,MATCH($A396+90,$A$5:$A$665,1))),"")</f>
        <v>1.00092174670777</v>
      </c>
      <c r="U396" s="11" t="n">
        <f aca="false">IFERROR(Q396/MEDIAN(INDEX($Q$5:$Q$665,MATCH($A396-90,$A$5:$A$665,1)):INDEX($Q$5:$Q$665,MATCH($A396+90,$A$5:$A$665,1))),"")</f>
        <v>0.377373248342187</v>
      </c>
    </row>
    <row r="397" customFormat="false" ht="15" hidden="false" customHeight="false" outlineLevel="0" collapsed="false">
      <c r="A397" s="13" t="n">
        <v>45414.5420294213</v>
      </c>
      <c r="B397" s="8" t="n">
        <v>13</v>
      </c>
      <c r="C397" s="8" t="s">
        <v>73</v>
      </c>
      <c r="D397" s="8" t="s">
        <v>1068</v>
      </c>
      <c r="E397" s="14" t="s">
        <v>66</v>
      </c>
      <c r="F397" s="9" t="n">
        <v>1070371</v>
      </c>
      <c r="G397" s="9" t="n">
        <v>123550</v>
      </c>
      <c r="H397" s="9" t="n">
        <v>123554</v>
      </c>
      <c r="I397" s="9" t="n">
        <v>2507</v>
      </c>
      <c r="J397" s="9" t="n">
        <v>142</v>
      </c>
      <c r="K397" s="9" t="n">
        <v>4</v>
      </c>
      <c r="L397" s="9" t="n">
        <v>16</v>
      </c>
      <c r="M397" s="10" t="n">
        <f aca="false">IFERROR(G397/F397,"")</f>
        <v>0.115427267741746</v>
      </c>
      <c r="N397" s="10" t="n">
        <f aca="false">IFERROR(H397/G397,"")</f>
        <v>1.00003237555645</v>
      </c>
      <c r="O397" s="11" t="n">
        <f aca="false">IFERROR(I397/H397,"")</f>
        <v>0.0202907230846432</v>
      </c>
      <c r="P397" s="10" t="n">
        <f aca="false">IFERROR(J397/H397,"")</f>
        <v>0.0011492950450815</v>
      </c>
      <c r="Q397" s="10" t="n">
        <f aca="false">IFERROR(K397/H397,"")</f>
        <v>3.2374508312155E-005</v>
      </c>
      <c r="R397" s="10" t="n">
        <f aca="false">IFERROR(L397/H397,"")</f>
        <v>0.00012949803324862</v>
      </c>
      <c r="S397" s="11" t="n">
        <f aca="false">IFERROR(M397/MEDIAN(INDEX($M$5:$M$665,MATCH($A397-90,$A$5:$A$665,1)):INDEX($M$5:$M$665,MATCH($A397+90,$A$5:$A$665,1))),"")</f>
        <v>0.858050184450945</v>
      </c>
      <c r="T397" s="11" t="n">
        <f aca="false">IFERROR(N397/MEDIAN(INDEX($N$5:$N$665,MATCH($A397-90,$A$5:$A$665,1)):INDEX($N$5:$N$665,MATCH($A397+90,$A$5:$A$665,1))),"")</f>
        <v>0.999777200160804</v>
      </c>
      <c r="U397" s="11" t="n">
        <f aca="false">IFERROR(Q397/MEDIAN(INDEX($Q$5:$Q$665,MATCH($A397-90,$A$5:$A$665,1)):INDEX($Q$5:$Q$665,MATCH($A397+90,$A$5:$A$665,1))),"")</f>
        <v>0.155975756118204</v>
      </c>
    </row>
    <row r="398" customFormat="false" ht="15" hidden="false" customHeight="false" outlineLevel="0" collapsed="false">
      <c r="A398" s="13" t="n">
        <v>45416.5160190509</v>
      </c>
      <c r="B398" s="8" t="n">
        <v>12</v>
      </c>
      <c r="C398" s="8" t="s">
        <v>68</v>
      </c>
      <c r="D398" s="8" t="s">
        <v>1069</v>
      </c>
      <c r="E398" s="14" t="s">
        <v>66</v>
      </c>
      <c r="F398" s="9" t="n">
        <v>401445</v>
      </c>
      <c r="G398" s="9" t="n">
        <v>40877</v>
      </c>
      <c r="H398" s="9" t="n">
        <v>40902</v>
      </c>
      <c r="I398" s="9" t="n">
        <v>786</v>
      </c>
      <c r="J398" s="9" t="n">
        <v>89</v>
      </c>
      <c r="K398" s="9" t="n">
        <v>23</v>
      </c>
      <c r="L398" s="9" t="n">
        <v>6</v>
      </c>
      <c r="M398" s="10" t="n">
        <f aca="false">IFERROR(G398/F398,"")</f>
        <v>0.101824658421453</v>
      </c>
      <c r="N398" s="10" t="n">
        <f aca="false">IFERROR(H398/G398,"")</f>
        <v>1.00061159087017</v>
      </c>
      <c r="O398" s="11" t="n">
        <f aca="false">IFERROR(I398/H398,"")</f>
        <v>0.0192166642217984</v>
      </c>
      <c r="P398" s="10" t="n">
        <f aca="false">IFERROR(J398/H398,"")</f>
        <v>0.00217593271722654</v>
      </c>
      <c r="Q398" s="10" t="n">
        <f aca="false">IFERROR(K398/H398,"")</f>
        <v>0.000562319690968657</v>
      </c>
      <c r="R398" s="10" t="n">
        <f aca="false">IFERROR(L398/H398,"")</f>
        <v>0.000146692093296171</v>
      </c>
      <c r="S398" s="11" t="n">
        <f aca="false">IFERROR(M398/MEDIAN(INDEX($M$5:$M$665,MATCH($A398-90,$A$5:$A$665,1)):INDEX($M$5:$M$665,MATCH($A398+90,$A$5:$A$665,1))),"")</f>
        <v>0.757602994196227</v>
      </c>
      <c r="T398" s="11" t="n">
        <f aca="false">IFERROR(N398/MEDIAN(INDEX($N$5:$N$665,MATCH($A398-90,$A$5:$A$665,1)):INDEX($N$5:$N$665,MATCH($A398+90,$A$5:$A$665,1))),"")</f>
        <v>1.00034194238713</v>
      </c>
      <c r="U398" s="11" t="n">
        <f aca="false">IFERROR(Q398/MEDIAN(INDEX($Q$5:$Q$665,MATCH($A398-90,$A$5:$A$665,1)):INDEX($Q$5:$Q$665,MATCH($A398+90,$A$5:$A$665,1))),"")</f>
        <v>2.70917593970256</v>
      </c>
    </row>
    <row r="399" customFormat="false" ht="15" hidden="false" customHeight="false" outlineLevel="0" collapsed="false">
      <c r="A399" s="13" t="n">
        <v>45418.4815580787</v>
      </c>
      <c r="B399" s="8" t="n">
        <v>11</v>
      </c>
      <c r="C399" s="8" t="s">
        <v>80</v>
      </c>
      <c r="D399" s="8" t="s">
        <v>1070</v>
      </c>
      <c r="E399" s="14" t="s">
        <v>66</v>
      </c>
      <c r="F399" s="9" t="n">
        <v>332201</v>
      </c>
      <c r="G399" s="9" t="n">
        <v>50639</v>
      </c>
      <c r="H399" s="9" t="n">
        <v>50638</v>
      </c>
      <c r="I399" s="9" t="n">
        <v>2769</v>
      </c>
      <c r="J399" s="9" t="n">
        <v>137</v>
      </c>
      <c r="K399" s="9" t="n">
        <v>15</v>
      </c>
      <c r="L399" s="9" t="n">
        <v>10</v>
      </c>
      <c r="M399" s="10" t="n">
        <f aca="false">IFERROR(G399/F399,"")</f>
        <v>0.152434821087233</v>
      </c>
      <c r="N399" s="10" t="n">
        <f aca="false">IFERROR(H399/G399,"")</f>
        <v>0.999980252374652</v>
      </c>
      <c r="O399" s="11" t="n">
        <f aca="false">IFERROR(I399/H399,"")</f>
        <v>0.0546822544334294</v>
      </c>
      <c r="P399" s="10" t="n">
        <f aca="false">IFERROR(J399/H399,"")</f>
        <v>0.00270547809945101</v>
      </c>
      <c r="Q399" s="10" t="n">
        <f aca="false">IFERROR(K399/H399,"")</f>
        <v>0.000296220229866898</v>
      </c>
      <c r="R399" s="10" t="n">
        <f aca="false">IFERROR(L399/H399,"")</f>
        <v>0.000197480153244599</v>
      </c>
      <c r="S399" s="11" t="n">
        <f aca="false">IFERROR(M399/MEDIAN(INDEX($M$5:$M$665,MATCH($A399-90,$A$5:$A$665,1)):INDEX($M$5:$M$665,MATCH($A399+90,$A$5:$A$665,1))),"")</f>
        <v>1.13415629048772</v>
      </c>
      <c r="T399" s="11" t="n">
        <f aca="false">IFERROR(N399/MEDIAN(INDEX($N$5:$N$665,MATCH($A399-90,$A$5:$A$665,1)):INDEX($N$5:$N$665,MATCH($A399+90,$A$5:$A$665,1))),"")</f>
        <v>0.99970170634335</v>
      </c>
      <c r="U399" s="11" t="n">
        <f aca="false">IFERROR(Q399/MEDIAN(INDEX($Q$5:$Q$665,MATCH($A399-90,$A$5:$A$665,1)):INDEX($Q$5:$Q$665,MATCH($A399+90,$A$5:$A$665,1))),"")</f>
        <v>1.4173789504743</v>
      </c>
    </row>
    <row r="400" customFormat="false" ht="15" hidden="false" customHeight="false" outlineLevel="0" collapsed="false">
      <c r="A400" s="13" t="n">
        <v>45420.4986331597</v>
      </c>
      <c r="B400" s="8" t="n">
        <v>11</v>
      </c>
      <c r="C400" s="8" t="s">
        <v>71</v>
      </c>
      <c r="D400" s="8" t="s">
        <v>1071</v>
      </c>
      <c r="E400" s="14" t="s">
        <v>66</v>
      </c>
      <c r="F400" s="9" t="n">
        <v>270818</v>
      </c>
      <c r="G400" s="9" t="n">
        <v>27233</v>
      </c>
      <c r="H400" s="9" t="n">
        <v>27232</v>
      </c>
      <c r="I400" s="9" t="n">
        <v>800</v>
      </c>
      <c r="J400" s="9" t="n">
        <v>82</v>
      </c>
      <c r="K400" s="9" t="n">
        <v>9</v>
      </c>
      <c r="L400" s="9" t="n">
        <v>9</v>
      </c>
      <c r="M400" s="10" t="n">
        <f aca="false">IFERROR(G400/F400,"")</f>
        <v>0.100558308531929</v>
      </c>
      <c r="N400" s="10" t="n">
        <f aca="false">IFERROR(H400/G400,"")</f>
        <v>0.999963279844307</v>
      </c>
      <c r="O400" s="11" t="n">
        <f aca="false">IFERROR(I400/H400,"")</f>
        <v>0.0293772032902468</v>
      </c>
      <c r="P400" s="10" t="n">
        <f aca="false">IFERROR(J400/H400,"")</f>
        <v>0.00301116333725029</v>
      </c>
      <c r="Q400" s="10" t="n">
        <f aca="false">IFERROR(K400/H400,"")</f>
        <v>0.000330493537015276</v>
      </c>
      <c r="R400" s="10" t="n">
        <f aca="false">IFERROR(L400/H400,"")</f>
        <v>0.000330493537015276</v>
      </c>
      <c r="S400" s="11" t="n">
        <f aca="false">IFERROR(M400/MEDIAN(INDEX($M$5:$M$665,MATCH($A400-90,$A$5:$A$665,1)):INDEX($M$5:$M$665,MATCH($A400+90,$A$5:$A$665,1))),"")</f>
        <v>0.755951438924487</v>
      </c>
      <c r="T400" s="11" t="n">
        <f aca="false">IFERROR(N400/MEDIAN(INDEX($N$5:$N$665,MATCH($A400-90,$A$5:$A$665,1)):INDEX($N$5:$N$665,MATCH($A400+90,$A$5:$A$665,1))),"")</f>
        <v>0.99967636005668</v>
      </c>
      <c r="U400" s="11" t="n">
        <f aca="false">IFERROR(Q400/MEDIAN(INDEX($Q$5:$Q$665,MATCH($A400-90,$A$5:$A$665,1)):INDEX($Q$5:$Q$665,MATCH($A400+90,$A$5:$A$665,1))),"")</f>
        <v>1.58137269302551</v>
      </c>
    </row>
    <row r="401" customFormat="false" ht="15" hidden="false" customHeight="false" outlineLevel="0" collapsed="false">
      <c r="A401" s="13" t="n">
        <v>45422.4462261111</v>
      </c>
      <c r="B401" s="8" t="n">
        <v>10</v>
      </c>
      <c r="C401" s="8" t="s">
        <v>84</v>
      </c>
      <c r="D401" s="8" t="s">
        <v>1072</v>
      </c>
      <c r="E401" s="14" t="s">
        <v>66</v>
      </c>
      <c r="F401" s="9" t="n">
        <v>543436</v>
      </c>
      <c r="G401" s="9" t="n">
        <v>73111</v>
      </c>
      <c r="H401" s="9" t="n">
        <v>73120</v>
      </c>
      <c r="I401" s="9" t="n">
        <v>2465</v>
      </c>
      <c r="J401" s="9" t="n">
        <v>134</v>
      </c>
      <c r="K401" s="9" t="n">
        <v>11</v>
      </c>
      <c r="L401" s="9" t="n">
        <v>10</v>
      </c>
      <c r="M401" s="10" t="n">
        <f aca="false">IFERROR(G401/F401,"")</f>
        <v>0.134534701418382</v>
      </c>
      <c r="N401" s="10" t="n">
        <f aca="false">IFERROR(H401/G401,"")</f>
        <v>1.00012310049103</v>
      </c>
      <c r="O401" s="11" t="n">
        <f aca="false">IFERROR(I401/H401,"")</f>
        <v>0.0337117067833698</v>
      </c>
      <c r="P401" s="10" t="n">
        <f aca="false">IFERROR(J401/H401,"")</f>
        <v>0.00183260393873085</v>
      </c>
      <c r="Q401" s="10" t="n">
        <f aca="false">IFERROR(K401/H401,"")</f>
        <v>0.000150437636761488</v>
      </c>
      <c r="R401" s="10" t="n">
        <f aca="false">IFERROR(L401/H401,"")</f>
        <v>0.000136761487964989</v>
      </c>
      <c r="S401" s="11" t="n">
        <f aca="false">IFERROR(M401/MEDIAN(INDEX($M$5:$M$665,MATCH($A401-90,$A$5:$A$665,1)):INDEX($M$5:$M$665,MATCH($A401+90,$A$5:$A$665,1))),"")</f>
        <v>1.02528662209791</v>
      </c>
      <c r="T401" s="11" t="n">
        <f aca="false">IFERROR(N401/MEDIAN(INDEX($N$5:$N$665,MATCH($A401-90,$A$5:$A$665,1)):INDEX($N$5:$N$665,MATCH($A401+90,$A$5:$A$665,1))),"")</f>
        <v>0.999836134846018</v>
      </c>
      <c r="U401" s="11" t="n">
        <f aca="false">IFERROR(Q401/MEDIAN(INDEX($Q$5:$Q$665,MATCH($A401-90,$A$5:$A$665,1)):INDEX($Q$5:$Q$665,MATCH($A401+90,$A$5:$A$665,1))),"")</f>
        <v>0.719826393358219</v>
      </c>
    </row>
    <row r="402" customFormat="false" ht="15" hidden="false" customHeight="false" outlineLevel="0" collapsed="false">
      <c r="A402" s="13" t="n">
        <v>45424.4849613773</v>
      </c>
      <c r="B402" s="8" t="n">
        <v>11</v>
      </c>
      <c r="C402" s="8" t="s">
        <v>86</v>
      </c>
      <c r="D402" s="8" t="s">
        <v>1073</v>
      </c>
      <c r="E402" s="14" t="s">
        <v>66</v>
      </c>
      <c r="F402" s="9" t="n">
        <v>998221</v>
      </c>
      <c r="G402" s="9" t="n">
        <v>123671</v>
      </c>
      <c r="H402" s="9" t="n">
        <v>123678</v>
      </c>
      <c r="I402" s="9" t="n">
        <v>4439</v>
      </c>
      <c r="J402" s="9" t="n">
        <v>289</v>
      </c>
      <c r="K402" s="9" t="n">
        <v>7</v>
      </c>
      <c r="L402" s="9" t="n">
        <v>15</v>
      </c>
      <c r="M402" s="10" t="n">
        <f aca="false">IFERROR(G402/F402,"")</f>
        <v>0.123891402805591</v>
      </c>
      <c r="N402" s="10" t="n">
        <f aca="false">IFERROR(H402/G402,"")</f>
        <v>1.00005660179023</v>
      </c>
      <c r="O402" s="11" t="n">
        <f aca="false">IFERROR(I402/H402,"")</f>
        <v>0.0358915894500235</v>
      </c>
      <c r="P402" s="10" t="n">
        <f aca="false">IFERROR(J402/H402,"")</f>
        <v>0.00233671307750772</v>
      </c>
      <c r="Q402" s="10" t="n">
        <f aca="false">IFERROR(K402/H402,"")</f>
        <v>5.65985866524362E-005</v>
      </c>
      <c r="R402" s="10" t="n">
        <f aca="false">IFERROR(L402/H402,"")</f>
        <v>0.000121282685683792</v>
      </c>
      <c r="S402" s="11" t="n">
        <f aca="false">IFERROR(M402/MEDIAN(INDEX($M$5:$M$665,MATCH($A402-90,$A$5:$A$665,1)):INDEX($M$5:$M$665,MATCH($A402+90,$A$5:$A$665,1))),"")</f>
        <v>0.948010899665235</v>
      </c>
      <c r="T402" s="11" t="n">
        <f aca="false">IFERROR(N402/MEDIAN(INDEX($N$5:$N$665,MATCH($A402-90,$A$5:$A$665,1)):INDEX($N$5:$N$665,MATCH($A402+90,$A$5:$A$665,1))),"")</f>
        <v>0.999769631894043</v>
      </c>
      <c r="U402" s="11" t="n">
        <f aca="false">IFERROR(Q402/MEDIAN(INDEX($Q$5:$Q$665,MATCH($A402-90,$A$5:$A$665,1)):INDEX($Q$5:$Q$665,MATCH($A402+90,$A$5:$A$665,1))),"")</f>
        <v>0.258062793067908</v>
      </c>
    </row>
    <row r="403" customFormat="false" ht="15" hidden="false" customHeight="false" outlineLevel="0" collapsed="false">
      <c r="A403" s="13" t="n">
        <v>45426.5035828357</v>
      </c>
      <c r="B403" s="8" t="n">
        <v>12</v>
      </c>
      <c r="C403" s="8" t="s">
        <v>64</v>
      </c>
      <c r="D403" s="8" t="s">
        <v>1074</v>
      </c>
      <c r="E403" s="14" t="s">
        <v>66</v>
      </c>
      <c r="F403" s="9" t="n">
        <v>5182</v>
      </c>
      <c r="G403" s="9" t="n">
        <v>1315</v>
      </c>
      <c r="H403" s="9" t="n">
        <v>1318</v>
      </c>
      <c r="I403" s="9" t="n">
        <v>199</v>
      </c>
      <c r="J403" s="9" t="n">
        <v>52</v>
      </c>
      <c r="K403" s="9" t="n">
        <v>2</v>
      </c>
      <c r="L403" s="9" t="n">
        <v>1</v>
      </c>
      <c r="M403" s="10" t="n">
        <f aca="false">IFERROR(G403/F403,"")</f>
        <v>0.253763025858742</v>
      </c>
      <c r="N403" s="10" t="n">
        <f aca="false">IFERROR(H403/G403,"")</f>
        <v>1.00228136882129</v>
      </c>
      <c r="O403" s="11" t="n">
        <f aca="false">IFERROR(I403/H403,"")</f>
        <v>0.150986342943854</v>
      </c>
      <c r="P403" s="10" t="n">
        <f aca="false">IFERROR(J403/H403,"")</f>
        <v>0.039453717754173</v>
      </c>
      <c r="Q403" s="10" t="n">
        <f aca="false">IFERROR(K403/H403,"")</f>
        <v>0.00151745068285281</v>
      </c>
      <c r="R403" s="10" t="n">
        <f aca="false">IFERROR(L403/H403,"")</f>
        <v>0.000758725341426404</v>
      </c>
      <c r="S403" s="11" t="n">
        <f aca="false">IFERROR(M403/MEDIAN(INDEX($M$5:$M$665,MATCH($A403-90,$A$5:$A$665,1)):INDEX($M$5:$M$665,MATCH($A403+90,$A$5:$A$665,1))),"")</f>
        <v>1.98015483997492</v>
      </c>
      <c r="T403" s="11" t="n">
        <f aca="false">IFERROR(N403/MEDIAN(INDEX($N$5:$N$665,MATCH($A403-90,$A$5:$A$665,1)):INDEX($N$5:$N$665,MATCH($A403+90,$A$5:$A$665,1))),"")</f>
        <v>1.0019937371365</v>
      </c>
      <c r="U403" s="11" t="n">
        <f aca="false">IFERROR(Q403/MEDIAN(INDEX($Q$5:$Q$665,MATCH($A403-90,$A$5:$A$665,1)):INDEX($Q$5:$Q$665,MATCH($A403+90,$A$5:$A$665,1))),"")</f>
        <v>6.60765469566684</v>
      </c>
    </row>
    <row r="404" customFormat="false" ht="15" hidden="false" customHeight="false" outlineLevel="0" collapsed="false">
      <c r="A404" s="13" t="n">
        <v>45428.5118090046</v>
      </c>
      <c r="B404" s="8" t="n">
        <v>12</v>
      </c>
      <c r="C404" s="8" t="s">
        <v>73</v>
      </c>
      <c r="D404" s="8" t="s">
        <v>168</v>
      </c>
      <c r="E404" s="14" t="s">
        <v>66</v>
      </c>
      <c r="F404" s="9" t="n">
        <v>107288</v>
      </c>
      <c r="G404" s="9" t="n">
        <v>14021</v>
      </c>
      <c r="H404" s="9" t="n">
        <v>14022</v>
      </c>
      <c r="I404" s="9" t="n">
        <v>181</v>
      </c>
      <c r="J404" s="9" t="n">
        <v>42</v>
      </c>
      <c r="K404" s="9" t="n">
        <v>2</v>
      </c>
      <c r="L404" s="9" t="n">
        <v>0</v>
      </c>
      <c r="M404" s="10" t="n">
        <f aca="false">IFERROR(G404/F404,"")</f>
        <v>0.13068563119827</v>
      </c>
      <c r="N404" s="10" t="n">
        <f aca="false">IFERROR(H404/G404,"")</f>
        <v>1.00007132158905</v>
      </c>
      <c r="O404" s="11" t="n">
        <f aca="false">IFERROR(I404/H404,"")</f>
        <v>0.0129082869776066</v>
      </c>
      <c r="P404" s="10" t="n">
        <f aca="false">IFERROR(J404/H404,"")</f>
        <v>0.00299529311082585</v>
      </c>
      <c r="Q404" s="10" t="n">
        <f aca="false">IFERROR(K404/H404,"")</f>
        <v>0.000142633005277421</v>
      </c>
      <c r="R404" s="10" t="n">
        <f aca="false">IFERROR(L404/H404,"")</f>
        <v>0</v>
      </c>
      <c r="S404" s="11" t="n">
        <f aca="false">IFERROR(M404/MEDIAN(INDEX($M$5:$M$665,MATCH($A404-90,$A$5:$A$665,1)):INDEX($M$5:$M$665,MATCH($A404+90,$A$5:$A$665,1))),"")</f>
        <v>1.04031995352198</v>
      </c>
      <c r="T404" s="11" t="n">
        <f aca="false">IFERROR(N404/MEDIAN(INDEX($N$5:$N$665,MATCH($A404-90,$A$5:$A$665,1)):INDEX($N$5:$N$665,MATCH($A404+90,$A$5:$A$665,1))),"")</f>
        <v>0.99978304724926</v>
      </c>
      <c r="U404" s="11" t="n">
        <f aca="false">IFERROR(Q404/MEDIAN(INDEX($Q$5:$Q$665,MATCH($A404-90,$A$5:$A$665,1)):INDEX($Q$5:$Q$665,MATCH($A404+90,$A$5:$A$665,1))),"")</f>
        <v>0.608555773555718</v>
      </c>
    </row>
    <row r="405" customFormat="false" ht="15" hidden="false" customHeight="false" outlineLevel="0" collapsed="false">
      <c r="A405" s="13" t="n">
        <v>45430.5011197454</v>
      </c>
      <c r="B405" s="8" t="n">
        <v>12</v>
      </c>
      <c r="C405" s="8" t="s">
        <v>68</v>
      </c>
      <c r="D405" s="8" t="s">
        <v>1075</v>
      </c>
      <c r="E405" s="14" t="s">
        <v>66</v>
      </c>
      <c r="F405" s="9" t="n">
        <v>402607</v>
      </c>
      <c r="G405" s="9" t="n">
        <v>39180</v>
      </c>
      <c r="H405" s="9" t="n">
        <v>39190</v>
      </c>
      <c r="I405" s="9" t="n">
        <v>1096</v>
      </c>
      <c r="J405" s="9" t="n">
        <v>162</v>
      </c>
      <c r="K405" s="9" t="n">
        <v>9</v>
      </c>
      <c r="L405" s="9" t="n">
        <v>9</v>
      </c>
      <c r="M405" s="10" t="n">
        <f aca="false">IFERROR(G405/F405,"")</f>
        <v>0.0973157446343457</v>
      </c>
      <c r="N405" s="10" t="n">
        <f aca="false">IFERROR(H405/G405,"")</f>
        <v>1.00025523226136</v>
      </c>
      <c r="O405" s="11" t="n">
        <f aca="false">IFERROR(I405/H405,"")</f>
        <v>0.0279663179382496</v>
      </c>
      <c r="P405" s="10" t="n">
        <f aca="false">IFERROR(J405/H405,"")</f>
        <v>0.00413370757846389</v>
      </c>
      <c r="Q405" s="10" t="n">
        <f aca="false">IFERROR(K405/H405,"")</f>
        <v>0.000229650421025772</v>
      </c>
      <c r="R405" s="10" t="n">
        <f aca="false">IFERROR(L405/H405,"")</f>
        <v>0.000229650421025772</v>
      </c>
      <c r="S405" s="11" t="n">
        <f aca="false">IFERROR(M405/MEDIAN(INDEX($M$5:$M$665,MATCH($A405-90,$A$5:$A$665,1)):INDEX($M$5:$M$665,MATCH($A405+90,$A$5:$A$665,1))),"")</f>
        <v>0.775604807332381</v>
      </c>
      <c r="T405" s="11" t="n">
        <f aca="false">IFERROR(N405/MEDIAN(INDEX($N$5:$N$665,MATCH($A405-90,$A$5:$A$665,1)):INDEX($N$5:$N$665,MATCH($A405+90,$A$5:$A$665,1))),"")</f>
        <v>0.999968182031127</v>
      </c>
      <c r="U405" s="11" t="n">
        <f aca="false">IFERROR(Q405/MEDIAN(INDEX($Q$5:$Q$665,MATCH($A405-90,$A$5:$A$665,1)):INDEX($Q$5:$Q$665,MATCH($A405+90,$A$5:$A$665,1))),"")</f>
        <v>1</v>
      </c>
    </row>
    <row r="406" customFormat="false" ht="15" hidden="false" customHeight="false" outlineLevel="0" collapsed="false">
      <c r="A406" s="13" t="n">
        <v>45432.4999541088</v>
      </c>
      <c r="B406" s="8" t="n">
        <v>11</v>
      </c>
      <c r="C406" s="8" t="s">
        <v>80</v>
      </c>
      <c r="D406" s="8" t="s">
        <v>1076</v>
      </c>
      <c r="E406" s="14" t="s">
        <v>66</v>
      </c>
      <c r="F406" s="9" t="n">
        <v>333421</v>
      </c>
      <c r="G406" s="9" t="n">
        <v>34836</v>
      </c>
      <c r="H406" s="9" t="n">
        <v>34846</v>
      </c>
      <c r="I406" s="9" t="n">
        <v>418</v>
      </c>
      <c r="J406" s="9" t="n">
        <v>60</v>
      </c>
      <c r="K406" s="9" t="n">
        <v>3</v>
      </c>
      <c r="L406" s="9" t="n">
        <v>2</v>
      </c>
      <c r="M406" s="10" t="n">
        <f aca="false">IFERROR(G406/F406,"")</f>
        <v>0.104480521622813</v>
      </c>
      <c r="N406" s="10" t="n">
        <f aca="false">IFERROR(H406/G406,"")</f>
        <v>1.00028705936388</v>
      </c>
      <c r="O406" s="11" t="n">
        <f aca="false">IFERROR(I406/H406,"")</f>
        <v>0.0119956379498364</v>
      </c>
      <c r="P406" s="10" t="n">
        <f aca="false">IFERROR(J406/H406,"")</f>
        <v>0.00172186190667508</v>
      </c>
      <c r="Q406" s="10" t="n">
        <f aca="false">IFERROR(K406/H406,"")</f>
        <v>8.60930953337542E-005</v>
      </c>
      <c r="R406" s="10" t="n">
        <f aca="false">IFERROR(L406/H406,"")</f>
        <v>5.73953968891695E-005</v>
      </c>
      <c r="S406" s="11" t="n">
        <f aca="false">IFERROR(M406/MEDIAN(INDEX($M$5:$M$665,MATCH($A406-90,$A$5:$A$665,1)):INDEX($M$5:$M$665,MATCH($A406+90,$A$5:$A$665,1))),"")</f>
        <v>0.832707956433278</v>
      </c>
      <c r="T406" s="11" t="n">
        <f aca="false">IFERROR(N406/MEDIAN(INDEX($N$5:$N$665,MATCH($A406-90,$A$5:$A$665,1)):INDEX($N$5:$N$665,MATCH($A406+90,$A$5:$A$665,1))),"")</f>
        <v>0.999997445676985</v>
      </c>
      <c r="U406" s="11" t="n">
        <f aca="false">IFERROR(Q406/MEDIAN(INDEX($Q$5:$Q$665,MATCH($A406-90,$A$5:$A$665,1)):INDEX($Q$5:$Q$665,MATCH($A406+90,$A$5:$A$665,1))),"")</f>
        <v>0.374887600681092</v>
      </c>
    </row>
    <row r="407" customFormat="false" ht="15" hidden="false" customHeight="false" outlineLevel="0" collapsed="false">
      <c r="A407" s="13" t="n">
        <v>45434.5104456366</v>
      </c>
      <c r="B407" s="8" t="n">
        <v>12</v>
      </c>
      <c r="C407" s="8" t="s">
        <v>71</v>
      </c>
      <c r="D407" s="8" t="s">
        <v>1077</v>
      </c>
      <c r="E407" s="14" t="s">
        <v>66</v>
      </c>
      <c r="F407" s="9" t="n">
        <v>10547</v>
      </c>
      <c r="G407" s="9" t="n">
        <v>1531</v>
      </c>
      <c r="H407" s="9" t="n">
        <v>1545</v>
      </c>
      <c r="I407" s="9" t="n">
        <v>161</v>
      </c>
      <c r="J407" s="9" t="n">
        <v>46</v>
      </c>
      <c r="K407" s="9" t="n">
        <v>0</v>
      </c>
      <c r="L407" s="9" t="n">
        <v>4</v>
      </c>
      <c r="M407" s="10" t="n">
        <f aca="false">IFERROR(G407/F407,"")</f>
        <v>0.145159761069498</v>
      </c>
      <c r="N407" s="10" t="n">
        <f aca="false">IFERROR(H407/G407,"")</f>
        <v>1.00914435009798</v>
      </c>
      <c r="O407" s="11" t="n">
        <f aca="false">IFERROR(I407/H407,"")</f>
        <v>0.1042071197411</v>
      </c>
      <c r="P407" s="10" t="n">
        <f aca="false">IFERROR(J407/H407,"")</f>
        <v>0.0297734627831715</v>
      </c>
      <c r="Q407" s="10" t="n">
        <f aca="false">IFERROR(K407/H407,"")</f>
        <v>0</v>
      </c>
      <c r="R407" s="10" t="n">
        <f aca="false">IFERROR(L407/H407,"")</f>
        <v>0.00258899676375405</v>
      </c>
      <c r="S407" s="11" t="n">
        <f aca="false">IFERROR(M407/MEDIAN(INDEX($M$5:$M$665,MATCH($A407-90,$A$5:$A$665,1)):INDEX($M$5:$M$665,MATCH($A407+90,$A$5:$A$665,1))),"")</f>
        <v>1.15830395611246</v>
      </c>
      <c r="T407" s="11" t="n">
        <f aca="false">IFERROR(N407/MEDIAN(INDEX($N$5:$N$665,MATCH($A407-90,$A$5:$A$665,1)):INDEX($N$5:$N$665,MATCH($A407+90,$A$5:$A$665,1))),"")</f>
        <v>1.00883767132868</v>
      </c>
      <c r="U407" s="11" t="n">
        <f aca="false">IFERROR(Q407/MEDIAN(INDEX($Q$5:$Q$665,MATCH($A407-90,$A$5:$A$665,1)):INDEX($Q$5:$Q$665,MATCH($A407+90,$A$5:$A$665,1))),"")</f>
        <v>0</v>
      </c>
    </row>
    <row r="408" customFormat="false" ht="15" hidden="false" customHeight="false" outlineLevel="0" collapsed="false">
      <c r="A408" s="13" t="n">
        <v>45436.5010817824</v>
      </c>
      <c r="B408" s="8" t="n">
        <v>12</v>
      </c>
      <c r="C408" s="8" t="s">
        <v>84</v>
      </c>
      <c r="D408" s="8" t="s">
        <v>1078</v>
      </c>
      <c r="E408" s="14" t="s">
        <v>66</v>
      </c>
      <c r="F408" s="9" t="n">
        <v>490222</v>
      </c>
      <c r="G408" s="9" t="n">
        <v>51793</v>
      </c>
      <c r="H408" s="9" t="n">
        <v>51808</v>
      </c>
      <c r="I408" s="9" t="n">
        <v>266</v>
      </c>
      <c r="J408" s="9" t="n">
        <v>47</v>
      </c>
      <c r="K408" s="9" t="n">
        <v>2</v>
      </c>
      <c r="L408" s="9" t="n">
        <v>1</v>
      </c>
      <c r="M408" s="10" t="n">
        <f aca="false">IFERROR(G408/F408,"")</f>
        <v>0.105652133115201</v>
      </c>
      <c r="N408" s="10" t="n">
        <f aca="false">IFERROR(H408/G408,"")</f>
        <v>1.00028961442666</v>
      </c>
      <c r="O408" s="11" t="n">
        <f aca="false">IFERROR(I408/H408,"")</f>
        <v>0.0051343421865349</v>
      </c>
      <c r="P408" s="10" t="n">
        <f aca="false">IFERROR(J408/H408,"")</f>
        <v>0.000907195799876467</v>
      </c>
      <c r="Q408" s="10" t="n">
        <f aca="false">IFERROR(K408/H408,"")</f>
        <v>3.8604076590488E-005</v>
      </c>
      <c r="R408" s="10" t="n">
        <f aca="false">IFERROR(L408/H408,"")</f>
        <v>1.9302038295244E-005</v>
      </c>
      <c r="S408" s="11" t="n">
        <f aca="false">IFERROR(M408/MEDIAN(INDEX($M$5:$M$665,MATCH($A408-90,$A$5:$A$665,1)):INDEX($M$5:$M$665,MATCH($A408+90,$A$5:$A$665,1))),"")</f>
        <v>0.842045679832879</v>
      </c>
      <c r="T408" s="11" t="n">
        <f aca="false">IFERROR(N408/MEDIAN(INDEX($N$5:$N$665,MATCH($A408-90,$A$5:$A$665,1)):INDEX($N$5:$N$665,MATCH($A408+90,$A$5:$A$665,1))),"")</f>
        <v>0.999971253632762</v>
      </c>
      <c r="U408" s="11" t="n">
        <f aca="false">IFERROR(Q408/MEDIAN(INDEX($Q$5:$Q$665,MATCH($A408-90,$A$5:$A$665,1)):INDEX($Q$5:$Q$665,MATCH($A408+90,$A$5:$A$665,1))),"")</f>
        <v>0.168099306842358</v>
      </c>
    </row>
    <row r="409" customFormat="false" ht="15" hidden="false" customHeight="false" outlineLevel="0" collapsed="false">
      <c r="A409" s="13" t="n">
        <v>45438.4986769792</v>
      </c>
      <c r="B409" s="8" t="n">
        <v>11</v>
      </c>
      <c r="C409" s="8" t="s">
        <v>86</v>
      </c>
      <c r="D409" s="8" t="s">
        <v>1079</v>
      </c>
      <c r="E409" s="14" t="s">
        <v>66</v>
      </c>
      <c r="F409" s="9" t="n">
        <v>10294</v>
      </c>
      <c r="G409" s="9" t="n">
        <v>1901</v>
      </c>
      <c r="H409" s="9" t="n">
        <v>1913</v>
      </c>
      <c r="I409" s="9" t="n">
        <v>313</v>
      </c>
      <c r="J409" s="9" t="n">
        <v>55</v>
      </c>
      <c r="K409" s="9" t="n">
        <v>4</v>
      </c>
      <c r="L409" s="9" t="n">
        <v>1</v>
      </c>
      <c r="M409" s="10" t="n">
        <f aca="false">IFERROR(G409/F409,"")</f>
        <v>0.184670681950651</v>
      </c>
      <c r="N409" s="10" t="n">
        <f aca="false">IFERROR(H409/G409,"")</f>
        <v>1.00631246712257</v>
      </c>
      <c r="O409" s="11" t="n">
        <f aca="false">IFERROR(I409/H409,"")</f>
        <v>0.163617354939885</v>
      </c>
      <c r="P409" s="10" t="n">
        <f aca="false">IFERROR(J409/H409,"")</f>
        <v>0.0287506534239415</v>
      </c>
      <c r="Q409" s="10" t="n">
        <f aca="false">IFERROR(K409/H409,"")</f>
        <v>0.00209095661265029</v>
      </c>
      <c r="R409" s="10" t="n">
        <f aca="false">IFERROR(L409/H409,"")</f>
        <v>0.000522739153162572</v>
      </c>
      <c r="S409" s="11" t="n">
        <f aca="false">IFERROR(M409/MEDIAN(INDEX($M$5:$M$665,MATCH($A409-90,$A$5:$A$665,1)):INDEX($M$5:$M$665,MATCH($A409+90,$A$5:$A$665,1))),"")</f>
        <v>1.47358179639751</v>
      </c>
      <c r="T409" s="11" t="n">
        <f aca="false">IFERROR(N409/MEDIAN(INDEX($N$5:$N$665,MATCH($A409-90,$A$5:$A$665,1)):INDEX($N$5:$N$665,MATCH($A409+90,$A$5:$A$665,1))),"")</f>
        <v>1.00598968753767</v>
      </c>
      <c r="U409" s="11" t="n">
        <f aca="false">IFERROR(Q409/MEDIAN(INDEX($Q$5:$Q$665,MATCH($A409-90,$A$5:$A$665,1)):INDEX($Q$5:$Q$665,MATCH($A409+90,$A$5:$A$665,1))),"")</f>
        <v>9.53377346607502</v>
      </c>
    </row>
    <row r="410" customFormat="false" ht="15" hidden="false" customHeight="false" outlineLevel="0" collapsed="false">
      <c r="A410" s="13" t="n">
        <v>45440.5071396644</v>
      </c>
      <c r="B410" s="8" t="n">
        <v>12</v>
      </c>
      <c r="C410" s="8" t="s">
        <v>64</v>
      </c>
      <c r="D410" s="8" t="s">
        <v>1080</v>
      </c>
      <c r="E410" s="14" t="s">
        <v>66</v>
      </c>
      <c r="F410" s="9" t="n">
        <v>17990</v>
      </c>
      <c r="G410" s="9" t="n">
        <v>3141</v>
      </c>
      <c r="H410" s="9" t="n">
        <v>3142</v>
      </c>
      <c r="I410" s="9" t="n">
        <v>349</v>
      </c>
      <c r="J410" s="9" t="n">
        <v>58</v>
      </c>
      <c r="K410" s="9" t="n">
        <v>1</v>
      </c>
      <c r="L410" s="9" t="n">
        <v>3</v>
      </c>
      <c r="M410" s="10" t="n">
        <f aca="false">IFERROR(G410/F410,"")</f>
        <v>0.174596998332407</v>
      </c>
      <c r="N410" s="10" t="n">
        <f aca="false">IFERROR(H410/G410,"")</f>
        <v>1.00031836994588</v>
      </c>
      <c r="O410" s="11" t="n">
        <f aca="false">IFERROR(I410/H410,"")</f>
        <v>0.111075747931254</v>
      </c>
      <c r="P410" s="10" t="n">
        <f aca="false">IFERROR(J410/H410,"")</f>
        <v>0.0184595798854233</v>
      </c>
      <c r="Q410" s="10" t="n">
        <f aca="false">IFERROR(K410/H410,"")</f>
        <v>0.000318268618714195</v>
      </c>
      <c r="R410" s="10" t="n">
        <f aca="false">IFERROR(L410/H410,"")</f>
        <v>0.000954805856142584</v>
      </c>
      <c r="S410" s="11" t="n">
        <f aca="false">IFERROR(M410/MEDIAN(INDEX($M$5:$M$665,MATCH($A410-90,$A$5:$A$665,1)):INDEX($M$5:$M$665,MATCH($A410+90,$A$5:$A$665,1))),"")</f>
        <v>1.3915350672313</v>
      </c>
      <c r="T410" s="11" t="n">
        <f aca="false">IFERROR(N410/MEDIAN(INDEX($N$5:$N$665,MATCH($A410-90,$A$5:$A$665,1)):INDEX($N$5:$N$665,MATCH($A410+90,$A$5:$A$665,1))),"")</f>
        <v>0.999995026005586</v>
      </c>
      <c r="U410" s="11" t="n">
        <f aca="false">IFERROR(Q410/MEDIAN(INDEX($Q$5:$Q$665,MATCH($A410-90,$A$5:$A$665,1)):INDEX($Q$5:$Q$665,MATCH($A410+90,$A$5:$A$665,1))),"")</f>
        <v>1.38588301860103</v>
      </c>
    </row>
    <row r="411" customFormat="false" ht="15" hidden="false" customHeight="false" outlineLevel="0" collapsed="false">
      <c r="A411" s="13" t="n">
        <v>45442.499387037</v>
      </c>
      <c r="B411" s="8" t="n">
        <v>11</v>
      </c>
      <c r="C411" s="8" t="s">
        <v>73</v>
      </c>
      <c r="D411" s="8" t="s">
        <v>1081</v>
      </c>
      <c r="E411" s="14" t="s">
        <v>66</v>
      </c>
      <c r="F411" s="9" t="n">
        <v>572664</v>
      </c>
      <c r="G411" s="9" t="n">
        <v>60437</v>
      </c>
      <c r="H411" s="9" t="n">
        <v>60433</v>
      </c>
      <c r="I411" s="9" t="n">
        <v>1290</v>
      </c>
      <c r="J411" s="9" t="n">
        <v>82</v>
      </c>
      <c r="K411" s="9" t="n">
        <v>1</v>
      </c>
      <c r="L411" s="9" t="n">
        <v>4</v>
      </c>
      <c r="M411" s="10" t="n">
        <f aca="false">IFERROR(G411/F411,"")</f>
        <v>0.105536579914225</v>
      </c>
      <c r="N411" s="10" t="n">
        <f aca="false">IFERROR(H411/G411,"")</f>
        <v>0.999933815377997</v>
      </c>
      <c r="O411" s="11" t="n">
        <f aca="false">IFERROR(I411/H411,"")</f>
        <v>0.0213459533698476</v>
      </c>
      <c r="P411" s="10" t="n">
        <f aca="false">IFERROR(J411/H411,"")</f>
        <v>0.00135687455529264</v>
      </c>
      <c r="Q411" s="10" t="n">
        <f aca="false">IFERROR(K411/H411,"")</f>
        <v>1.65472506743005E-005</v>
      </c>
      <c r="R411" s="10" t="n">
        <f aca="false">IFERROR(L411/H411,"")</f>
        <v>6.61890026972019E-005</v>
      </c>
      <c r="S411" s="11" t="n">
        <f aca="false">IFERROR(M411/MEDIAN(INDEX($M$5:$M$665,MATCH($A411-90,$A$5:$A$665,1)):INDEX($M$5:$M$665,MATCH($A411+90,$A$5:$A$665,1))),"")</f>
        <v>0.84012151071654</v>
      </c>
      <c r="T411" s="11" t="n">
        <f aca="false">IFERROR(N411/MEDIAN(INDEX($N$5:$N$665,MATCH($A411-90,$A$5:$A$665,1)):INDEX($N$5:$N$665,MATCH($A411+90,$A$5:$A$665,1))),"")</f>
        <v>0.999595594055513</v>
      </c>
      <c r="U411" s="11" t="n">
        <f aca="false">IFERROR(Q411/MEDIAN(INDEX($Q$5:$Q$665,MATCH($A411-90,$A$5:$A$665,1)):INDEX($Q$5:$Q$665,MATCH($A411+90,$A$5:$A$665,1))),"")</f>
        <v>0.0706002437145126</v>
      </c>
    </row>
    <row r="412" customFormat="false" ht="15" hidden="false" customHeight="false" outlineLevel="0" collapsed="false">
      <c r="A412" s="13" t="n">
        <v>45444.5239179861</v>
      </c>
      <c r="B412" s="8" t="n">
        <v>12</v>
      </c>
      <c r="C412" s="8" t="s">
        <v>68</v>
      </c>
      <c r="D412" s="8" t="s">
        <v>1082</v>
      </c>
      <c r="E412" s="14" t="s">
        <v>66</v>
      </c>
      <c r="F412" s="9" t="n">
        <v>2745</v>
      </c>
      <c r="G412" s="9" t="n">
        <v>447</v>
      </c>
      <c r="H412" s="9" t="n">
        <v>447</v>
      </c>
      <c r="I412" s="9" t="n">
        <v>78</v>
      </c>
      <c r="J412" s="9" t="n">
        <v>21</v>
      </c>
      <c r="K412" s="9" t="n">
        <v>0</v>
      </c>
      <c r="L412" s="9" t="n">
        <v>0</v>
      </c>
      <c r="M412" s="10" t="n">
        <f aca="false">IFERROR(G412/F412,"")</f>
        <v>0.162841530054645</v>
      </c>
      <c r="N412" s="10" t="n">
        <f aca="false">IFERROR(H412/G412,"")</f>
        <v>1</v>
      </c>
      <c r="O412" s="11" t="n">
        <f aca="false">IFERROR(I412/H412,"")</f>
        <v>0.174496644295302</v>
      </c>
      <c r="P412" s="10" t="n">
        <f aca="false">IFERROR(J412/H412,"")</f>
        <v>0.0469798657718121</v>
      </c>
      <c r="Q412" s="10" t="n">
        <f aca="false">IFERROR(K412/H412,"")</f>
        <v>0</v>
      </c>
      <c r="R412" s="10" t="n">
        <f aca="false">IFERROR(L412/H412,"")</f>
        <v>0</v>
      </c>
      <c r="S412" s="11" t="n">
        <f aca="false">IFERROR(M412/MEDIAN(INDEX($M$5:$M$665,MATCH($A412-90,$A$5:$A$665,1)):INDEX($M$5:$M$665,MATCH($A412+90,$A$5:$A$665,1))),"")</f>
        <v>1.2962962448479</v>
      </c>
      <c r="T412" s="11" t="n">
        <f aca="false">IFERROR(N412/MEDIAN(INDEX($N$5:$N$665,MATCH($A412-90,$A$5:$A$665,1)):INDEX($N$5:$N$665,MATCH($A412+90,$A$5:$A$665,1))),"")</f>
        <v>0.999661756290984</v>
      </c>
      <c r="U412" s="11" t="n">
        <f aca="false">IFERROR(Q412/MEDIAN(INDEX($Q$5:$Q$665,MATCH($A412-90,$A$5:$A$665,1)):INDEX($Q$5:$Q$665,MATCH($A412+90,$A$5:$A$665,1))),"")</f>
        <v>0</v>
      </c>
    </row>
    <row r="413" customFormat="false" ht="15" hidden="false" customHeight="false" outlineLevel="0" collapsed="false">
      <c r="A413" s="13" t="n">
        <v>45444.6254230903</v>
      </c>
      <c r="B413" s="8" t="n">
        <v>15</v>
      </c>
      <c r="C413" s="8" t="s">
        <v>68</v>
      </c>
      <c r="D413" s="8" t="s">
        <v>1083</v>
      </c>
      <c r="E413" s="14" t="s">
        <v>66</v>
      </c>
      <c r="F413" s="9" t="n">
        <v>46149</v>
      </c>
      <c r="G413" s="9" t="n">
        <v>5030</v>
      </c>
      <c r="H413" s="9" t="n">
        <v>5016</v>
      </c>
      <c r="I413" s="9" t="n">
        <v>335</v>
      </c>
      <c r="J413" s="9" t="n">
        <v>42</v>
      </c>
      <c r="K413" s="9" t="n">
        <v>2</v>
      </c>
      <c r="L413" s="9" t="n">
        <v>1</v>
      </c>
      <c r="M413" s="10" t="n">
        <f aca="false">IFERROR(G413/F413,"")</f>
        <v>0.108994777785001</v>
      </c>
      <c r="N413" s="10" t="n">
        <f aca="false">IFERROR(H413/G413,"")</f>
        <v>0.997216699801193</v>
      </c>
      <c r="O413" s="11" t="n">
        <f aca="false">IFERROR(I413/H413,"")</f>
        <v>0.0667862838915471</v>
      </c>
      <c r="P413" s="10" t="n">
        <f aca="false">IFERROR(J413/H413,"")</f>
        <v>0.0083732057416268</v>
      </c>
      <c r="Q413" s="10" t="n">
        <f aca="false">IFERROR(K413/H413,"")</f>
        <v>0.000398724082934609</v>
      </c>
      <c r="R413" s="10" t="n">
        <f aca="false">IFERROR(L413/H413,"")</f>
        <v>0.000199362041467305</v>
      </c>
      <c r="S413" s="11" t="n">
        <f aca="false">IFERROR(M413/MEDIAN(INDEX($M$5:$M$665,MATCH($A413-90,$A$5:$A$665,1)):INDEX($M$5:$M$665,MATCH($A413+90,$A$5:$A$665,1))),"")</f>
        <v>0.850504268825598</v>
      </c>
      <c r="T413" s="11" t="n">
        <f aca="false">IFERROR(N413/MEDIAN(INDEX($N$5:$N$665,MATCH($A413-90,$A$5:$A$665,1)):INDEX($N$5:$N$665,MATCH($A413+90,$A$5:$A$665,1))),"")</f>
        <v>0.99686443705301</v>
      </c>
      <c r="U413" s="11" t="n">
        <f aca="false">IFERROR(Q413/MEDIAN(INDEX($Q$5:$Q$665,MATCH($A413-90,$A$5:$A$665,1)):INDEX($Q$5:$Q$665,MATCH($A413+90,$A$5:$A$665,1))),"")</f>
        <v>1.66754385964912</v>
      </c>
    </row>
    <row r="414" customFormat="false" ht="15" hidden="false" customHeight="false" outlineLevel="0" collapsed="false">
      <c r="A414" s="13" t="n">
        <v>45446.5030383912</v>
      </c>
      <c r="B414" s="8" t="n">
        <v>12</v>
      </c>
      <c r="C414" s="8" t="s">
        <v>80</v>
      </c>
      <c r="D414" s="8" t="s">
        <v>1084</v>
      </c>
      <c r="E414" s="14" t="s">
        <v>66</v>
      </c>
      <c r="F414" s="9" t="n">
        <v>162366</v>
      </c>
      <c r="G414" s="9" t="n">
        <v>17251</v>
      </c>
      <c r="H414" s="9" t="n">
        <v>17283</v>
      </c>
      <c r="I414" s="9" t="n">
        <v>227</v>
      </c>
      <c r="J414" s="9" t="n">
        <v>51</v>
      </c>
      <c r="K414" s="9" t="n">
        <v>3</v>
      </c>
      <c r="L414" s="9" t="n">
        <v>2</v>
      </c>
      <c r="M414" s="10" t="n">
        <f aca="false">IFERROR(G414/F414,"")</f>
        <v>0.106247613416602</v>
      </c>
      <c r="N414" s="10" t="n">
        <f aca="false">IFERROR(H414/G414,"")</f>
        <v>1.00185496492957</v>
      </c>
      <c r="O414" s="11" t="n">
        <f aca="false">IFERROR(I414/H414,"")</f>
        <v>0.0131342938147312</v>
      </c>
      <c r="P414" s="10" t="n">
        <f aca="false">IFERROR(J414/H414,"")</f>
        <v>0.0029508765839264</v>
      </c>
      <c r="Q414" s="10" t="n">
        <f aca="false">IFERROR(K414/H414,"")</f>
        <v>0.000173580975525082</v>
      </c>
      <c r="R414" s="10" t="n">
        <f aca="false">IFERROR(L414/H414,"")</f>
        <v>0.000115720650350055</v>
      </c>
      <c r="S414" s="11" t="n">
        <f aca="false">IFERROR(M414/MEDIAN(INDEX($M$5:$M$665,MATCH($A414-90,$A$5:$A$665,1)):INDEX($M$5:$M$665,MATCH($A414+90,$A$5:$A$665,1))),"")</f>
        <v>0.82906769112921</v>
      </c>
      <c r="T414" s="11" t="n">
        <f aca="false">IFERROR(N414/MEDIAN(INDEX($N$5:$N$665,MATCH($A414-90,$A$5:$A$665,1)):INDEX($N$5:$N$665,MATCH($A414+90,$A$5:$A$665,1))),"")</f>
        <v>1.00150106373307</v>
      </c>
      <c r="U414" s="11" t="n">
        <f aca="false">IFERROR(Q414/MEDIAN(INDEX($Q$5:$Q$665,MATCH($A414-90,$A$5:$A$665,1)):INDEX($Q$5:$Q$665,MATCH($A414+90,$A$5:$A$665,1))),"")</f>
        <v>0.725950355841</v>
      </c>
    </row>
    <row r="415" customFormat="false" ht="15" hidden="false" customHeight="false" outlineLevel="0" collapsed="false">
      <c r="A415" s="13" t="n">
        <v>45448.5925577315</v>
      </c>
      <c r="B415" s="8" t="n">
        <v>14</v>
      </c>
      <c r="C415" s="8" t="s">
        <v>71</v>
      </c>
      <c r="D415" s="8" t="s">
        <v>1085</v>
      </c>
      <c r="E415" s="14" t="s">
        <v>66</v>
      </c>
      <c r="F415" s="9" t="n">
        <v>18849</v>
      </c>
      <c r="G415" s="9" t="n">
        <v>3156</v>
      </c>
      <c r="H415" s="9" t="n">
        <v>3199</v>
      </c>
      <c r="I415" s="9" t="n">
        <v>361</v>
      </c>
      <c r="J415" s="9" t="n">
        <v>60</v>
      </c>
      <c r="K415" s="9" t="n">
        <v>6</v>
      </c>
      <c r="L415" s="9" t="n">
        <v>1</v>
      </c>
      <c r="M415" s="10" t="n">
        <f aca="false">IFERROR(G415/F415,"")</f>
        <v>0.167435938246061</v>
      </c>
      <c r="N415" s="10" t="n">
        <f aca="false">IFERROR(H415/G415,"")</f>
        <v>1.01362484157161</v>
      </c>
      <c r="O415" s="11" t="n">
        <f aca="false">IFERROR(I415/H415,"")</f>
        <v>0.11284776492654</v>
      </c>
      <c r="P415" s="10" t="n">
        <f aca="false">IFERROR(J415/H415,"")</f>
        <v>0.0187558612066271</v>
      </c>
      <c r="Q415" s="10" t="n">
        <f aca="false">IFERROR(K415/H415,"")</f>
        <v>0.00187558612066271</v>
      </c>
      <c r="R415" s="10" t="n">
        <f aca="false">IFERROR(L415/H415,"")</f>
        <v>0.000312597686777118</v>
      </c>
      <c r="S415" s="11" t="n">
        <f aca="false">IFERROR(M415/MEDIAN(INDEX($M$5:$M$665,MATCH($A415-90,$A$5:$A$665,1)):INDEX($M$5:$M$665,MATCH($A415+90,$A$5:$A$665,1))),"")</f>
        <v>1.33663415194134</v>
      </c>
      <c r="T415" s="11" t="n">
        <f aca="false">IFERROR(N415/MEDIAN(INDEX($N$5:$N$665,MATCH($A415-90,$A$5:$A$665,1)):INDEX($N$5:$N$665,MATCH($A415+90,$A$5:$A$665,1))),"")</f>
        <v>1.013266782714</v>
      </c>
      <c r="U415" s="11" t="n">
        <f aca="false">IFERROR(Q415/MEDIAN(INDEX($Q$5:$Q$665,MATCH($A415-90,$A$5:$A$665,1)):INDEX($Q$5:$Q$665,MATCH($A415+90,$A$5:$A$665,1))),"")</f>
        <v>7.84407627383557</v>
      </c>
    </row>
    <row r="416" customFormat="false" ht="15" hidden="false" customHeight="false" outlineLevel="0" collapsed="false">
      <c r="A416" s="13" t="n">
        <v>45450.5771876505</v>
      </c>
      <c r="B416" s="8" t="n">
        <v>13</v>
      </c>
      <c r="C416" s="8" t="s">
        <v>84</v>
      </c>
      <c r="D416" s="8" t="s">
        <v>1086</v>
      </c>
      <c r="E416" s="14" t="s">
        <v>66</v>
      </c>
      <c r="F416" s="9" t="n">
        <v>5107</v>
      </c>
      <c r="G416" s="9" t="n">
        <v>1149</v>
      </c>
      <c r="H416" s="9" t="n">
        <v>1154</v>
      </c>
      <c r="I416" s="9" t="n">
        <v>145</v>
      </c>
      <c r="J416" s="9" t="n">
        <v>41</v>
      </c>
      <c r="K416" s="9" t="n">
        <v>0</v>
      </c>
      <c r="L416" s="9" t="n">
        <v>0</v>
      </c>
      <c r="M416" s="10" t="n">
        <f aca="false">IFERROR(G416/F416,"")</f>
        <v>0.224985314274525</v>
      </c>
      <c r="N416" s="10" t="n">
        <f aca="false">IFERROR(H416/G416,"")</f>
        <v>1.00435161009574</v>
      </c>
      <c r="O416" s="11" t="n">
        <f aca="false">IFERROR(I416/H416,"")</f>
        <v>0.125649913344887</v>
      </c>
      <c r="P416" s="10" t="n">
        <f aca="false">IFERROR(J416/H416,"")</f>
        <v>0.035528596187175</v>
      </c>
      <c r="Q416" s="10" t="n">
        <f aca="false">IFERROR(K416/H416,"")</f>
        <v>0</v>
      </c>
      <c r="R416" s="10" t="n">
        <f aca="false">IFERROR(L416/H416,"")</f>
        <v>0</v>
      </c>
      <c r="S416" s="11" t="n">
        <f aca="false">IFERROR(M416/MEDIAN(INDEX($M$5:$M$665,MATCH($A416-90,$A$5:$A$665,1)):INDEX($M$5:$M$665,MATCH($A416+90,$A$5:$A$665,1))),"")</f>
        <v>1.79604843437285</v>
      </c>
      <c r="T416" s="11" t="n">
        <f aca="false">IFERROR(N416/MEDIAN(INDEX($N$5:$N$665,MATCH($A416-90,$A$5:$A$665,1)):INDEX($N$5:$N$665,MATCH($A416+90,$A$5:$A$665,1))),"")</f>
        <v>1.00399682696948</v>
      </c>
      <c r="U416" s="11" t="n">
        <f aca="false">IFERROR(Q416/MEDIAN(INDEX($Q$5:$Q$665,MATCH($A416-90,$A$5:$A$665,1)):INDEX($Q$5:$Q$665,MATCH($A416+90,$A$5:$A$665,1))),"")</f>
        <v>0</v>
      </c>
    </row>
    <row r="417" customFormat="false" ht="15" hidden="false" customHeight="false" outlineLevel="0" collapsed="false">
      <c r="A417" s="13" t="n">
        <v>45452.5002938773</v>
      </c>
      <c r="B417" s="8" t="n">
        <v>12</v>
      </c>
      <c r="C417" s="8" t="s">
        <v>86</v>
      </c>
      <c r="D417" s="8" t="s">
        <v>1087</v>
      </c>
      <c r="E417" s="14" t="s">
        <v>66</v>
      </c>
      <c r="F417" s="9" t="n">
        <v>156263</v>
      </c>
      <c r="G417" s="9" t="n">
        <v>15889</v>
      </c>
      <c r="H417" s="9" t="n">
        <v>15886</v>
      </c>
      <c r="I417" s="9" t="n">
        <v>1044</v>
      </c>
      <c r="J417" s="9" t="n">
        <v>110</v>
      </c>
      <c r="K417" s="9" t="n">
        <v>9</v>
      </c>
      <c r="L417" s="9" t="n">
        <v>5</v>
      </c>
      <c r="M417" s="10" t="n">
        <f aca="false">IFERROR(G417/F417,"")</f>
        <v>0.101681140129141</v>
      </c>
      <c r="N417" s="10" t="n">
        <f aca="false">IFERROR(H417/G417,"")</f>
        <v>0.999811190131538</v>
      </c>
      <c r="O417" s="11" t="n">
        <f aca="false">IFERROR(I417/H417,"")</f>
        <v>0.0657182424776533</v>
      </c>
      <c r="P417" s="10" t="n">
        <f aca="false">IFERROR(J417/H417,"")</f>
        <v>0.00692433589323933</v>
      </c>
      <c r="Q417" s="10" t="n">
        <f aca="false">IFERROR(K417/H417,"")</f>
        <v>0.000566536573083218</v>
      </c>
      <c r="R417" s="10" t="n">
        <f aca="false">IFERROR(L417/H417,"")</f>
        <v>0.000314742540601788</v>
      </c>
      <c r="S417" s="11" t="n">
        <f aca="false">IFERROR(M417/MEDIAN(INDEX($M$5:$M$665,MATCH($A417-90,$A$5:$A$665,1)):INDEX($M$5:$M$665,MATCH($A417+90,$A$5:$A$665,1))),"")</f>
        <v>0.811716325232473</v>
      </c>
      <c r="T417" s="11" t="n">
        <f aca="false">IFERROR(N417/MEDIAN(INDEX($N$5:$N$665,MATCH($A417-90,$A$5:$A$665,1)):INDEX($N$5:$N$665,MATCH($A417+90,$A$5:$A$665,1))),"")</f>
        <v>0.99944105841176</v>
      </c>
      <c r="U417" s="11" t="n">
        <f aca="false">IFERROR(Q417/MEDIAN(INDEX($Q$5:$Q$665,MATCH($A417-90,$A$5:$A$665,1)):INDEX($Q$5:$Q$665,MATCH($A417+90,$A$5:$A$665,1))),"")</f>
        <v>2.24722042993831</v>
      </c>
    </row>
    <row r="418" customFormat="false" ht="15" hidden="false" customHeight="false" outlineLevel="0" collapsed="false">
      <c r="A418" s="13" t="n">
        <v>45454.5146293056</v>
      </c>
      <c r="B418" s="8" t="n">
        <v>12</v>
      </c>
      <c r="C418" s="8" t="s">
        <v>64</v>
      </c>
      <c r="D418" s="8" t="s">
        <v>320</v>
      </c>
      <c r="E418" s="14" t="s">
        <v>66</v>
      </c>
      <c r="F418" s="9" t="n">
        <v>97254</v>
      </c>
      <c r="G418" s="9" t="n">
        <v>10055</v>
      </c>
      <c r="H418" s="9" t="n">
        <v>10070</v>
      </c>
      <c r="I418" s="9" t="n">
        <v>562</v>
      </c>
      <c r="J418" s="9" t="n">
        <v>79</v>
      </c>
      <c r="K418" s="9" t="n">
        <v>6</v>
      </c>
      <c r="L418" s="9" t="n">
        <v>5</v>
      </c>
      <c r="M418" s="10" t="n">
        <f aca="false">IFERROR(G418/F418,"")</f>
        <v>0.103389063688897</v>
      </c>
      <c r="N418" s="10" t="n">
        <f aca="false">IFERROR(H418/G418,"")</f>
        <v>1.0014917951268</v>
      </c>
      <c r="O418" s="11" t="n">
        <f aca="false">IFERROR(I418/H418,"")</f>
        <v>0.0558093346573982</v>
      </c>
      <c r="P418" s="10" t="n">
        <f aca="false">IFERROR(J418/H418,"")</f>
        <v>0.00784508440913605</v>
      </c>
      <c r="Q418" s="10" t="n">
        <f aca="false">IFERROR(K418/H418,"")</f>
        <v>0.000595829195630586</v>
      </c>
      <c r="R418" s="10" t="n">
        <f aca="false">IFERROR(L418/H418,"")</f>
        <v>0.000496524329692155</v>
      </c>
      <c r="S418" s="11" t="n">
        <f aca="false">IFERROR(M418/MEDIAN(INDEX($M$5:$M$665,MATCH($A418-90,$A$5:$A$665,1)):INDEX($M$5:$M$665,MATCH($A418+90,$A$5:$A$665,1))),"")</f>
        <v>0.825350608187426</v>
      </c>
      <c r="T418" s="11" t="n">
        <f aca="false">IFERROR(N418/MEDIAN(INDEX($N$5:$N$665,MATCH($A418-90,$A$5:$A$665,1)):INDEX($N$5:$N$665,MATCH($A418+90,$A$5:$A$665,1))),"")</f>
        <v>1.00112104124434</v>
      </c>
      <c r="U418" s="11" t="n">
        <f aca="false">IFERROR(Q418/MEDIAN(INDEX($Q$5:$Q$665,MATCH($A418-90,$A$5:$A$665,1)):INDEX($Q$5:$Q$665,MATCH($A418+90,$A$5:$A$665,1))),"")</f>
        <v>2.36341236345581</v>
      </c>
    </row>
    <row r="419" customFormat="false" ht="15" hidden="false" customHeight="false" outlineLevel="0" collapsed="false">
      <c r="A419" s="13" t="n">
        <v>45456.5038918171</v>
      </c>
      <c r="B419" s="8" t="n">
        <v>12</v>
      </c>
      <c r="C419" s="8" t="s">
        <v>73</v>
      </c>
      <c r="D419" s="8" t="s">
        <v>1088</v>
      </c>
      <c r="E419" s="14" t="s">
        <v>66</v>
      </c>
      <c r="F419" s="9" t="n">
        <v>7604</v>
      </c>
      <c r="G419" s="9" t="n">
        <v>1508</v>
      </c>
      <c r="H419" s="9" t="n">
        <v>1517</v>
      </c>
      <c r="I419" s="9" t="n">
        <v>206</v>
      </c>
      <c r="J419" s="9" t="n">
        <v>39</v>
      </c>
      <c r="K419" s="9" t="n">
        <v>2</v>
      </c>
      <c r="L419" s="9" t="n">
        <v>0</v>
      </c>
      <c r="M419" s="10" t="n">
        <f aca="false">IFERROR(G419/F419,"")</f>
        <v>0.198316675433982</v>
      </c>
      <c r="N419" s="10" t="n">
        <f aca="false">IFERROR(H419/G419,"")</f>
        <v>1.00596816976127</v>
      </c>
      <c r="O419" s="11" t="n">
        <f aca="false">IFERROR(I419/H419,"")</f>
        <v>0.135794330916282</v>
      </c>
      <c r="P419" s="10" t="n">
        <f aca="false">IFERROR(J419/H419,"")</f>
        <v>0.025708635464733</v>
      </c>
      <c r="Q419" s="10" t="n">
        <f aca="false">IFERROR(K419/H419,"")</f>
        <v>0.001318391562294</v>
      </c>
      <c r="R419" s="10" t="n">
        <f aca="false">IFERROR(L419/H419,"")</f>
        <v>0</v>
      </c>
      <c r="S419" s="11" t="n">
        <f aca="false">IFERROR(M419/MEDIAN(INDEX($M$5:$M$665,MATCH($A419-90,$A$5:$A$665,1)):INDEX($M$5:$M$665,MATCH($A419+90,$A$5:$A$665,1))),"")</f>
        <v>1.58763752531879</v>
      </c>
      <c r="T419" s="11" t="n">
        <f aca="false">IFERROR(N419/MEDIAN(INDEX($N$5:$N$665,MATCH($A419-90,$A$5:$A$665,1)):INDEX($N$5:$N$665,MATCH($A419+90,$A$5:$A$665,1))),"")</f>
        <v>1.00560428708245</v>
      </c>
      <c r="U419" s="11" t="n">
        <f aca="false">IFERROR(Q419/MEDIAN(INDEX($Q$5:$Q$665,MATCH($A419-90,$A$5:$A$665,1)):INDEX($Q$5:$Q$665,MATCH($A419+90,$A$5:$A$665,1))),"")</f>
        <v>5.36788997708758</v>
      </c>
    </row>
    <row r="420" customFormat="false" ht="15" hidden="false" customHeight="false" outlineLevel="0" collapsed="false">
      <c r="A420" s="13" t="n">
        <v>45458.5017793634</v>
      </c>
      <c r="B420" s="8" t="n">
        <v>12</v>
      </c>
      <c r="C420" s="8" t="s">
        <v>68</v>
      </c>
      <c r="D420" s="8" t="s">
        <v>1089</v>
      </c>
      <c r="E420" s="14" t="s">
        <v>66</v>
      </c>
      <c r="F420" s="9" t="n">
        <v>317405</v>
      </c>
      <c r="G420" s="9" t="n">
        <v>30434</v>
      </c>
      <c r="H420" s="9" t="n">
        <v>30438</v>
      </c>
      <c r="I420" s="9" t="n">
        <v>300</v>
      </c>
      <c r="J420" s="9" t="n">
        <v>55</v>
      </c>
      <c r="K420" s="9" t="n">
        <v>5</v>
      </c>
      <c r="L420" s="9" t="n">
        <v>3</v>
      </c>
      <c r="M420" s="10" t="n">
        <f aca="false">IFERROR(G420/F420,"")</f>
        <v>0.095883807753501</v>
      </c>
      <c r="N420" s="10" t="n">
        <f aca="false">IFERROR(H420/G420,"")</f>
        <v>1.00013143195111</v>
      </c>
      <c r="O420" s="11" t="n">
        <f aca="false">IFERROR(I420/H420,"")</f>
        <v>0.00985610092647349</v>
      </c>
      <c r="P420" s="10" t="n">
        <f aca="false">IFERROR(J420/H420,"")</f>
        <v>0.00180695183652014</v>
      </c>
      <c r="Q420" s="10" t="n">
        <f aca="false">IFERROR(K420/H420,"")</f>
        <v>0.000164268348774558</v>
      </c>
      <c r="R420" s="10" t="n">
        <f aca="false">IFERROR(L420/H420,"")</f>
        <v>9.85610092647349E-005</v>
      </c>
      <c r="S420" s="11" t="n">
        <f aca="false">IFERROR(M420/MEDIAN(INDEX($M$5:$M$665,MATCH($A420-90,$A$5:$A$665,1)):INDEX($M$5:$M$665,MATCH($A420+90,$A$5:$A$665,1))),"")</f>
        <v>0.767604292108994</v>
      </c>
      <c r="T420" s="11" t="n">
        <f aca="false">IFERROR(N420/MEDIAN(INDEX($N$5:$N$665,MATCH($A420-90,$A$5:$A$665,1)):INDEX($N$5:$N$665,MATCH($A420+90,$A$5:$A$665,1))),"")</f>
        <v>0.999693378088165</v>
      </c>
      <c r="U420" s="11" t="n">
        <f aca="false">IFERROR(Q420/MEDIAN(INDEX($Q$5:$Q$665,MATCH($A420-90,$A$5:$A$665,1)):INDEX($Q$5:$Q$665,MATCH($A420+90,$A$5:$A$665,1))),"")</f>
        <v>0.668825899799745</v>
      </c>
    </row>
    <row r="421" customFormat="false" ht="15" hidden="false" customHeight="false" outlineLevel="0" collapsed="false">
      <c r="A421" s="13" t="n">
        <v>45460.4976311343</v>
      </c>
      <c r="B421" s="8" t="n">
        <v>11</v>
      </c>
      <c r="C421" s="8" t="s">
        <v>80</v>
      </c>
      <c r="D421" s="8" t="s">
        <v>1090</v>
      </c>
      <c r="E421" s="14" t="s">
        <v>66</v>
      </c>
      <c r="F421" s="9" t="n">
        <v>161887</v>
      </c>
      <c r="G421" s="9" t="n">
        <v>18379</v>
      </c>
      <c r="H421" s="9" t="n">
        <v>18366</v>
      </c>
      <c r="I421" s="9" t="n">
        <v>1097</v>
      </c>
      <c r="J421" s="9" t="n">
        <v>68</v>
      </c>
      <c r="K421" s="9" t="n">
        <v>8</v>
      </c>
      <c r="L421" s="9" t="n">
        <v>8</v>
      </c>
      <c r="M421" s="10" t="n">
        <f aca="false">IFERROR(G421/F421,"")</f>
        <v>0.113529807828918</v>
      </c>
      <c r="N421" s="10" t="n">
        <f aca="false">IFERROR(H421/G421,"")</f>
        <v>0.999292670983187</v>
      </c>
      <c r="O421" s="11" t="n">
        <f aca="false">IFERROR(I421/H421,"")</f>
        <v>0.059729935750844</v>
      </c>
      <c r="P421" s="10" t="n">
        <f aca="false">IFERROR(J421/H421,"")</f>
        <v>0.00370249373842971</v>
      </c>
      <c r="Q421" s="10" t="n">
        <f aca="false">IFERROR(K421/H421,"")</f>
        <v>0.000435587498638789</v>
      </c>
      <c r="R421" s="10" t="n">
        <f aca="false">IFERROR(L421/H421,"")</f>
        <v>0.000435587498638789</v>
      </c>
      <c r="S421" s="11" t="n">
        <f aca="false">IFERROR(M421/MEDIAN(INDEX($M$5:$M$665,MATCH($A421-90,$A$5:$A$665,1)):INDEX($M$5:$M$665,MATCH($A421+90,$A$5:$A$665,1))),"")</f>
        <v>0.908870536262203</v>
      </c>
      <c r="T421" s="11" t="n">
        <f aca="false">IFERROR(N421/MEDIAN(INDEX($N$5:$N$665,MATCH($A421-90,$A$5:$A$665,1)):INDEX($N$5:$N$665,MATCH($A421+90,$A$5:$A$665,1))),"")</f>
        <v>0.998854984494442</v>
      </c>
      <c r="U421" s="11" t="n">
        <f aca="false">IFERROR(Q421/MEDIAN(INDEX($Q$5:$Q$665,MATCH($A421-90,$A$5:$A$665,1)):INDEX($Q$5:$Q$665,MATCH($A421+90,$A$5:$A$665,1))),"")</f>
        <v>1.7735139050946</v>
      </c>
    </row>
    <row r="422" customFormat="false" ht="15" hidden="false" customHeight="false" outlineLevel="0" collapsed="false">
      <c r="A422" s="13" t="n">
        <v>45461.5283485764</v>
      </c>
      <c r="B422" s="8" t="n">
        <v>12</v>
      </c>
      <c r="C422" s="8" t="s">
        <v>64</v>
      </c>
      <c r="D422" s="8" t="s">
        <v>1091</v>
      </c>
      <c r="E422" s="14" t="s">
        <v>66</v>
      </c>
      <c r="F422" s="9" t="n">
        <v>93487</v>
      </c>
      <c r="G422" s="9" t="n">
        <v>9173</v>
      </c>
      <c r="H422" s="9" t="n">
        <v>9183</v>
      </c>
      <c r="I422" s="9" t="n">
        <v>533</v>
      </c>
      <c r="J422" s="9" t="n">
        <v>79</v>
      </c>
      <c r="K422" s="9" t="n">
        <v>1</v>
      </c>
      <c r="L422" s="9" t="n">
        <v>3</v>
      </c>
      <c r="M422" s="10" t="n">
        <f aca="false">IFERROR(G422/F422,"")</f>
        <v>0.0981205943072299</v>
      </c>
      <c r="N422" s="10" t="n">
        <f aca="false">IFERROR(H422/G422,"")</f>
        <v>1.00109015589229</v>
      </c>
      <c r="O422" s="11" t="n">
        <f aca="false">IFERROR(I422/H422,"")</f>
        <v>0.0580420341936186</v>
      </c>
      <c r="P422" s="10" t="n">
        <f aca="false">IFERROR(J422/H422,"")</f>
        <v>0.00860285309811608</v>
      </c>
      <c r="Q422" s="10" t="n">
        <f aca="false">IFERROR(K422/H422,"")</f>
        <v>0.000108896874659697</v>
      </c>
      <c r="R422" s="10" t="n">
        <f aca="false">IFERROR(L422/H422,"")</f>
        <v>0.000326690623979092</v>
      </c>
      <c r="S422" s="11" t="n">
        <f aca="false">IFERROR(M422/MEDIAN(INDEX($M$5:$M$665,MATCH($A422-90,$A$5:$A$665,1)):INDEX($M$5:$M$665,MATCH($A422+90,$A$5:$A$665,1))),"")</f>
        <v>0.78873658236887</v>
      </c>
      <c r="T422" s="11" t="n">
        <f aca="false">IFERROR(N422/MEDIAN(INDEX($N$5:$N$665,MATCH($A422-90,$A$5:$A$665,1)):INDEX($N$5:$N$665,MATCH($A422+90,$A$5:$A$665,1))),"")</f>
        <v>1.00058382273135</v>
      </c>
      <c r="U422" s="11" t="n">
        <f aca="false">IFERROR(Q422/MEDIAN(INDEX($Q$5:$Q$665,MATCH($A422-90,$A$5:$A$665,1)):INDEX($Q$5:$Q$665,MATCH($A422+90,$A$5:$A$665,1))),"")</f>
        <v>0.431949662419689</v>
      </c>
    </row>
    <row r="423" customFormat="false" ht="15" hidden="false" customHeight="false" outlineLevel="0" collapsed="false">
      <c r="A423" s="13" t="n">
        <v>45461.6615838889</v>
      </c>
      <c r="B423" s="8" t="n">
        <v>15</v>
      </c>
      <c r="C423" s="8" t="s">
        <v>64</v>
      </c>
      <c r="D423" s="8" t="s">
        <v>1092</v>
      </c>
      <c r="E423" s="14" t="s">
        <v>66</v>
      </c>
      <c r="F423" s="9" t="n">
        <v>1</v>
      </c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  <c r="M423" s="10" t="n">
        <f aca="false">IFERROR(G423/F423,"")</f>
        <v>0</v>
      </c>
      <c r="N423" s="10" t="str">
        <f aca="false">IFERROR(H423/G423,"")</f>
        <v/>
      </c>
      <c r="O423" s="11" t="str">
        <f aca="false">IFERROR(I423/H423,"")</f>
        <v/>
      </c>
      <c r="P423" s="10" t="str">
        <f aca="false">IFERROR(J423/H423,"")</f>
        <v/>
      </c>
      <c r="Q423" s="10" t="str">
        <f aca="false">IFERROR(K423/H423,"")</f>
        <v/>
      </c>
      <c r="R423" s="10" t="str">
        <f aca="false">IFERROR(L423/H423,"")</f>
        <v/>
      </c>
      <c r="S423" s="11" t="n">
        <f aca="false">IFERROR(M423/MEDIAN(INDEX($M$5:$M$665,MATCH($A423-90,$A$5:$A$665,1)):INDEX($M$5:$M$665,MATCH($A423+90,$A$5:$A$665,1))),"")</f>
        <v>0</v>
      </c>
      <c r="T423" s="11" t="str">
        <f aca="false">IFERROR(N423/MEDIAN(INDEX($N$5:$N$665,MATCH($A423-90,$A$5:$A$665,1)):INDEX($N$5:$N$665,MATCH($A423+90,$A$5:$A$665,1))),"")</f>
        <v/>
      </c>
      <c r="U423" s="11" t="str">
        <f aca="false">IFERROR(Q423/MEDIAN(INDEX($Q$5:$Q$665,MATCH($A423-90,$A$5:$A$665,1)):INDEX($Q$5:$Q$665,MATCH($A423+90,$A$5:$A$665,1))),"")</f>
        <v/>
      </c>
    </row>
    <row r="424" customFormat="false" ht="15" hidden="false" customHeight="false" outlineLevel="0" collapsed="false">
      <c r="A424" s="13" t="n">
        <v>45463.5523615857</v>
      </c>
      <c r="B424" s="8" t="n">
        <v>13</v>
      </c>
      <c r="C424" s="8" t="s">
        <v>73</v>
      </c>
      <c r="D424" s="8" t="s">
        <v>1093</v>
      </c>
      <c r="E424" s="14" t="s">
        <v>66</v>
      </c>
      <c r="F424" s="9" t="n">
        <v>133270</v>
      </c>
      <c r="G424" s="9" t="n">
        <v>12492</v>
      </c>
      <c r="H424" s="9" t="n">
        <v>12520</v>
      </c>
      <c r="I424" s="9" t="n">
        <v>484</v>
      </c>
      <c r="J424" s="9" t="n">
        <v>64</v>
      </c>
      <c r="K424" s="9" t="n">
        <v>0</v>
      </c>
      <c r="L424" s="9" t="n">
        <v>6</v>
      </c>
      <c r="M424" s="10" t="n">
        <f aca="false">IFERROR(G424/F424,"")</f>
        <v>0.093734523898852</v>
      </c>
      <c r="N424" s="10" t="n">
        <f aca="false">IFERROR(H424/G424,"")</f>
        <v>1.00224143451809</v>
      </c>
      <c r="O424" s="11" t="n">
        <f aca="false">IFERROR(I424/H424,"")</f>
        <v>0.0386581469648562</v>
      </c>
      <c r="P424" s="10" t="n">
        <f aca="false">IFERROR(J424/H424,"")</f>
        <v>0.00511182108626198</v>
      </c>
      <c r="Q424" s="10" t="n">
        <f aca="false">IFERROR(K424/H424,"")</f>
        <v>0</v>
      </c>
      <c r="R424" s="10" t="n">
        <f aca="false">IFERROR(L424/H424,"")</f>
        <v>0.000479233226837061</v>
      </c>
      <c r="S424" s="11" t="n">
        <f aca="false">IFERROR(M424/MEDIAN(INDEX($M$5:$M$665,MATCH($A424-90,$A$5:$A$665,1)):INDEX($M$5:$M$665,MATCH($A424+90,$A$5:$A$665,1))),"")</f>
        <v>0.756586185773835</v>
      </c>
      <c r="T424" s="11" t="n">
        <f aca="false">IFERROR(N424/MEDIAN(INDEX($N$5:$N$665,MATCH($A424-90,$A$5:$A$665,1)):INDEX($N$5:$N$665,MATCH($A424+90,$A$5:$A$665,1))),"")</f>
        <v>1.00180245648184</v>
      </c>
      <c r="U424" s="11" t="n">
        <f aca="false">IFERROR(Q424/MEDIAN(INDEX($Q$5:$Q$665,MATCH($A424-90,$A$5:$A$665,1)):INDEX($Q$5:$Q$665,MATCH($A424+90,$A$5:$A$665,1))),"")</f>
        <v>0</v>
      </c>
    </row>
    <row r="425" customFormat="false" ht="15" hidden="false" customHeight="false" outlineLevel="0" collapsed="false">
      <c r="A425" s="13" t="n">
        <v>45465.5260593287</v>
      </c>
      <c r="B425" s="8" t="n">
        <v>12</v>
      </c>
      <c r="C425" s="8" t="s">
        <v>68</v>
      </c>
      <c r="D425" s="8" t="s">
        <v>1094</v>
      </c>
      <c r="E425" s="14" t="s">
        <v>66</v>
      </c>
      <c r="F425" s="9" t="n">
        <v>124487</v>
      </c>
      <c r="G425" s="9" t="n">
        <v>11332</v>
      </c>
      <c r="H425" s="9" t="n">
        <v>11372</v>
      </c>
      <c r="I425" s="9" t="n">
        <v>369</v>
      </c>
      <c r="J425" s="9" t="n">
        <v>75</v>
      </c>
      <c r="K425" s="9" t="n">
        <v>3</v>
      </c>
      <c r="L425" s="9" t="n">
        <v>7</v>
      </c>
      <c r="M425" s="10" t="n">
        <f aca="false">IFERROR(G425/F425,"")</f>
        <v>0.0910295854185578</v>
      </c>
      <c r="N425" s="10" t="n">
        <f aca="false">IFERROR(H425/G425,"")</f>
        <v>1.00352982703848</v>
      </c>
      <c r="O425" s="11" t="n">
        <f aca="false">IFERROR(I425/H425,"")</f>
        <v>0.0324481181850158</v>
      </c>
      <c r="P425" s="10" t="n">
        <f aca="false">IFERROR(J425/H425,"")</f>
        <v>0.00659514597256419</v>
      </c>
      <c r="Q425" s="10" t="n">
        <f aca="false">IFERROR(K425/H425,"")</f>
        <v>0.000263805838902568</v>
      </c>
      <c r="R425" s="10" t="n">
        <f aca="false">IFERROR(L425/H425,"")</f>
        <v>0.000615546957439325</v>
      </c>
      <c r="S425" s="11" t="n">
        <f aca="false">IFERROR(M425/MEDIAN(INDEX($M$5:$M$665,MATCH($A425-90,$A$5:$A$665,1)):INDEX($M$5:$M$665,MATCH($A425+90,$A$5:$A$665,1))),"")</f>
        <v>0.731735927655282</v>
      </c>
      <c r="T425" s="11" t="n">
        <f aca="false">IFERROR(N425/MEDIAN(INDEX($N$5:$N$665,MATCH($A425-90,$A$5:$A$665,1)):INDEX($N$5:$N$665,MATCH($A425+90,$A$5:$A$665,1))),"")</f>
        <v>1.00302225993632</v>
      </c>
      <c r="U425" s="11" t="n">
        <f aca="false">IFERROR(Q425/MEDIAN(INDEX($Q$5:$Q$665,MATCH($A425-90,$A$5:$A$665,1)):INDEX($Q$5:$Q$665,MATCH($A425+90,$A$5:$A$665,1))),"")</f>
        <v>1.04641059180443</v>
      </c>
    </row>
    <row r="426" customFormat="false" ht="15" hidden="false" customHeight="false" outlineLevel="0" collapsed="false">
      <c r="A426" s="13" t="n">
        <v>45467.5128959954</v>
      </c>
      <c r="B426" s="8" t="n">
        <v>12</v>
      </c>
      <c r="C426" s="8" t="s">
        <v>80</v>
      </c>
      <c r="D426" s="8" t="s">
        <v>1095</v>
      </c>
      <c r="E426" s="14" t="s">
        <v>66</v>
      </c>
      <c r="F426" s="9" t="n">
        <v>166005</v>
      </c>
      <c r="G426" s="9" t="n">
        <v>16670</v>
      </c>
      <c r="H426" s="9" t="n">
        <v>16687</v>
      </c>
      <c r="I426" s="9" t="n">
        <v>866</v>
      </c>
      <c r="J426" s="9" t="n">
        <v>89</v>
      </c>
      <c r="K426" s="9" t="n">
        <v>6</v>
      </c>
      <c r="L426" s="9" t="n">
        <v>1</v>
      </c>
      <c r="M426" s="10" t="n">
        <f aca="false">IFERROR(G426/F426,"")</f>
        <v>0.100418662088491</v>
      </c>
      <c r="N426" s="10" t="n">
        <f aca="false">IFERROR(H426/G426,"")</f>
        <v>1.00101979604079</v>
      </c>
      <c r="O426" s="11" t="n">
        <f aca="false">IFERROR(I426/H426,"")</f>
        <v>0.0518966860430275</v>
      </c>
      <c r="P426" s="10" t="n">
        <f aca="false">IFERROR(J426/H426,"")</f>
        <v>0.00533349313837119</v>
      </c>
      <c r="Q426" s="10" t="n">
        <f aca="false">IFERROR(K426/H426,"")</f>
        <v>0.000359561335171091</v>
      </c>
      <c r="R426" s="10" t="n">
        <f aca="false">IFERROR(L426/H426,"")</f>
        <v>5.99268891951819E-005</v>
      </c>
      <c r="S426" s="11" t="n">
        <f aca="false">IFERROR(M426/MEDIAN(INDEX($M$5:$M$665,MATCH($A426-90,$A$5:$A$665,1)):INDEX($M$5:$M$665,MATCH($A426+90,$A$5:$A$665,1))),"")</f>
        <v>0.803908374447657</v>
      </c>
      <c r="T426" s="11" t="n">
        <f aca="false">IFERROR(N426/MEDIAN(INDEX($N$5:$N$665,MATCH($A426-90,$A$5:$A$665,1)):INDEX($N$5:$N$665,MATCH($A426+90,$A$5:$A$665,1))),"")</f>
        <v>1.00050607946742</v>
      </c>
      <c r="U426" s="11" t="n">
        <f aca="false">IFERROR(Q426/MEDIAN(INDEX($Q$5:$Q$665,MATCH($A426-90,$A$5:$A$665,1)):INDEX($Q$5:$Q$665,MATCH($A426+90,$A$5:$A$665,1))),"")</f>
        <v>1.3938881576778</v>
      </c>
    </row>
    <row r="427" customFormat="false" ht="15" hidden="false" customHeight="false" outlineLevel="0" collapsed="false">
      <c r="A427" s="13" t="n">
        <v>45469.8049750463</v>
      </c>
      <c r="B427" s="8" t="n">
        <v>19</v>
      </c>
      <c r="C427" s="8" t="s">
        <v>71</v>
      </c>
      <c r="D427" s="8" t="s">
        <v>1096</v>
      </c>
      <c r="E427" s="14" t="s">
        <v>66</v>
      </c>
      <c r="F427" s="9" t="n">
        <v>11832</v>
      </c>
      <c r="G427" s="9" t="n">
        <v>2262</v>
      </c>
      <c r="H427" s="9" t="n">
        <v>2294</v>
      </c>
      <c r="I427" s="9" t="n">
        <v>368</v>
      </c>
      <c r="J427" s="9" t="n">
        <v>55</v>
      </c>
      <c r="K427" s="9" t="n">
        <v>2</v>
      </c>
      <c r="L427" s="9" t="n">
        <v>1</v>
      </c>
      <c r="M427" s="10" t="n">
        <f aca="false">IFERROR(G427/F427,"")</f>
        <v>0.191176470588235</v>
      </c>
      <c r="N427" s="10" t="n">
        <f aca="false">IFERROR(H427/G427,"")</f>
        <v>1.01414677276746</v>
      </c>
      <c r="O427" s="11" t="n">
        <f aca="false">IFERROR(I427/H427,"")</f>
        <v>0.160418482999128</v>
      </c>
      <c r="P427" s="10" t="n">
        <f aca="false">IFERROR(J427/H427,"")</f>
        <v>0.0239755884917175</v>
      </c>
      <c r="Q427" s="10" t="n">
        <f aca="false">IFERROR(K427/H427,"")</f>
        <v>0.000871839581517001</v>
      </c>
      <c r="R427" s="10" t="n">
        <f aca="false">IFERROR(L427/H427,"")</f>
        <v>0.0004359197907585</v>
      </c>
      <c r="S427" s="11" t="n">
        <f aca="false">IFERROR(M427/MEDIAN(INDEX($M$5:$M$665,MATCH($A427-90,$A$5:$A$665,1)):INDEX($M$5:$M$665,MATCH($A427+90,$A$5:$A$665,1))),"")</f>
        <v>1.53240291288484</v>
      </c>
      <c r="T427" s="11" t="n">
        <f aca="false">IFERROR(N427/MEDIAN(INDEX($N$5:$N$665,MATCH($A427-90,$A$5:$A$665,1)):INDEX($N$5:$N$665,MATCH($A427+90,$A$5:$A$665,1))),"")</f>
        <v>1.01361880334113</v>
      </c>
      <c r="U427" s="11" t="n">
        <f aca="false">IFERROR(Q427/MEDIAN(INDEX($Q$5:$Q$665,MATCH($A427-90,$A$5:$A$665,1)):INDEX($Q$5:$Q$665,MATCH($A427+90,$A$5:$A$665,1))),"")</f>
        <v>3.30485324033711</v>
      </c>
    </row>
    <row r="428" customFormat="false" ht="15" hidden="false" customHeight="false" outlineLevel="0" collapsed="false">
      <c r="A428" s="13" t="n">
        <v>45471.5447158912</v>
      </c>
      <c r="B428" s="8" t="n">
        <v>13</v>
      </c>
      <c r="C428" s="8" t="s">
        <v>84</v>
      </c>
      <c r="D428" s="8" t="s">
        <v>1097</v>
      </c>
      <c r="E428" s="14" t="s">
        <v>66</v>
      </c>
      <c r="F428" s="9" t="n">
        <v>176134</v>
      </c>
      <c r="G428" s="9" t="n">
        <v>16383</v>
      </c>
      <c r="H428" s="9" t="n">
        <v>16394</v>
      </c>
      <c r="I428" s="9" t="n">
        <v>566</v>
      </c>
      <c r="J428" s="9" t="n">
        <v>47</v>
      </c>
      <c r="K428" s="9" t="n">
        <v>2</v>
      </c>
      <c r="L428" s="9" t="n">
        <v>5</v>
      </c>
      <c r="M428" s="10" t="n">
        <f aca="false">IFERROR(G428/F428,"")</f>
        <v>0.0930144094836886</v>
      </c>
      <c r="N428" s="10" t="n">
        <f aca="false">IFERROR(H428/G428,"")</f>
        <v>1.00067142769944</v>
      </c>
      <c r="O428" s="11" t="n">
        <f aca="false">IFERROR(I428/H428,"")</f>
        <v>0.0345248261559107</v>
      </c>
      <c r="P428" s="10" t="n">
        <f aca="false">IFERROR(J428/H428,"")</f>
        <v>0.00286690252531414</v>
      </c>
      <c r="Q428" s="10" t="n">
        <f aca="false">IFERROR(K428/H428,"")</f>
        <v>0.000121995852141027</v>
      </c>
      <c r="R428" s="10" t="n">
        <f aca="false">IFERROR(L428/H428,"")</f>
        <v>0.000304989630352568</v>
      </c>
      <c r="S428" s="11" t="n">
        <f aca="false">IFERROR(M428/MEDIAN(INDEX($M$5:$M$665,MATCH($A428-90,$A$5:$A$665,1)):INDEX($M$5:$M$665,MATCH($A428+90,$A$5:$A$665,1))),"")</f>
        <v>0.750773720995359</v>
      </c>
      <c r="T428" s="11" t="n">
        <f aca="false">IFERROR(N428/MEDIAN(INDEX($N$5:$N$665,MATCH($A428-90,$A$5:$A$665,1)):INDEX($N$5:$N$665,MATCH($A428+90,$A$5:$A$665,1))),"")</f>
        <v>1.00015788990635</v>
      </c>
      <c r="U428" s="11" t="n">
        <f aca="false">IFERROR(Q428/MEDIAN(INDEX($Q$5:$Q$665,MATCH($A428-90,$A$5:$A$665,1)):INDEX($Q$5:$Q$665,MATCH($A428+90,$A$5:$A$665,1))),"")</f>
        <v>0.472933424569343</v>
      </c>
    </row>
    <row r="429" customFormat="false" ht="15" hidden="false" customHeight="false" outlineLevel="0" collapsed="false">
      <c r="A429" s="13" t="n">
        <v>45473.5281739005</v>
      </c>
      <c r="B429" s="8" t="n">
        <v>12</v>
      </c>
      <c r="C429" s="8" t="s">
        <v>86</v>
      </c>
      <c r="D429" s="8" t="s">
        <v>1098</v>
      </c>
      <c r="E429" s="14" t="s">
        <v>66</v>
      </c>
      <c r="F429" s="9" t="n">
        <v>434397</v>
      </c>
      <c r="G429" s="9" t="n">
        <v>41810</v>
      </c>
      <c r="H429" s="9" t="n">
        <v>41822</v>
      </c>
      <c r="I429" s="9" t="n">
        <v>971</v>
      </c>
      <c r="J429" s="9" t="n">
        <v>79</v>
      </c>
      <c r="K429" s="9" t="n">
        <v>10</v>
      </c>
      <c r="L429" s="9" t="n">
        <v>4</v>
      </c>
      <c r="M429" s="10" t="n">
        <f aca="false">IFERROR(G429/F429,"")</f>
        <v>0.0962483626728546</v>
      </c>
      <c r="N429" s="10" t="n">
        <f aca="false">IFERROR(H429/G429,"")</f>
        <v>1.00028701267639</v>
      </c>
      <c r="O429" s="11" t="n">
        <f aca="false">IFERROR(I429/H429,"")</f>
        <v>0.0232174453636842</v>
      </c>
      <c r="P429" s="10" t="n">
        <f aca="false">IFERROR(J429/H429,"")</f>
        <v>0.00188895796470757</v>
      </c>
      <c r="Q429" s="10" t="n">
        <f aca="false">IFERROR(K429/H429,"")</f>
        <v>0.000239108603127541</v>
      </c>
      <c r="R429" s="10" t="n">
        <f aca="false">IFERROR(L429/H429,"")</f>
        <v>9.56434412510162E-005</v>
      </c>
      <c r="S429" s="11" t="n">
        <f aca="false">IFERROR(M429/MEDIAN(INDEX($M$5:$M$665,MATCH($A429-90,$A$5:$A$665,1)):INDEX($M$5:$M$665,MATCH($A429+90,$A$5:$A$665,1))),"")</f>
        <v>0.776876849347539</v>
      </c>
      <c r="T429" s="11" t="n">
        <f aca="false">IFERROR(N429/MEDIAN(INDEX($N$5:$N$665,MATCH($A429-90,$A$5:$A$665,1)):INDEX($N$5:$N$665,MATCH($A429+90,$A$5:$A$665,1))),"")</f>
        <v>0.999773672162481</v>
      </c>
      <c r="U429" s="11" t="n">
        <f aca="false">IFERROR(Q429/MEDIAN(INDEX($Q$5:$Q$665,MATCH($A429-90,$A$5:$A$665,1)):INDEX($Q$5:$Q$665,MATCH($A429+90,$A$5:$A$665,1))),"")</f>
        <v>0.950891774602192</v>
      </c>
    </row>
    <row r="430" customFormat="false" ht="15" hidden="false" customHeight="false" outlineLevel="0" collapsed="false">
      <c r="A430" s="13" t="n">
        <v>45475.5894381366</v>
      </c>
      <c r="B430" s="8" t="n">
        <v>14</v>
      </c>
      <c r="C430" s="8" t="s">
        <v>64</v>
      </c>
      <c r="D430" s="8" t="s">
        <v>1099</v>
      </c>
      <c r="E430" s="14" t="s">
        <v>66</v>
      </c>
      <c r="F430" s="9" t="n">
        <v>768141</v>
      </c>
      <c r="G430" s="9" t="n">
        <v>70206</v>
      </c>
      <c r="H430" s="9" t="n">
        <v>70232</v>
      </c>
      <c r="I430" s="9" t="n">
        <v>1035</v>
      </c>
      <c r="J430" s="9" t="n">
        <v>63</v>
      </c>
      <c r="K430" s="9" t="n">
        <v>7</v>
      </c>
      <c r="L430" s="9" t="n">
        <v>7</v>
      </c>
      <c r="M430" s="10" t="n">
        <f aca="false">IFERROR(G430/F430,"")</f>
        <v>0.0913972825301605</v>
      </c>
      <c r="N430" s="10" t="n">
        <f aca="false">IFERROR(H430/G430,"")</f>
        <v>1.00037033871749</v>
      </c>
      <c r="O430" s="11" t="n">
        <f aca="false">IFERROR(I430/H430,"")</f>
        <v>0.0147368720811026</v>
      </c>
      <c r="P430" s="10" t="n">
        <f aca="false">IFERROR(J430/H430,"")</f>
        <v>0.00089702699624103</v>
      </c>
      <c r="Q430" s="10" t="n">
        <f aca="false">IFERROR(K430/H430,"")</f>
        <v>9.96696662490033E-005</v>
      </c>
      <c r="R430" s="10" t="n">
        <f aca="false">IFERROR(L430/H430,"")</f>
        <v>9.96696662490033E-005</v>
      </c>
      <c r="S430" s="11" t="n">
        <f aca="false">IFERROR(M430/MEDIAN(INDEX($M$5:$M$665,MATCH($A430-90,$A$5:$A$665,1)):INDEX($M$5:$M$665,MATCH($A430+90,$A$5:$A$665,1))),"")</f>
        <v>0.732608262659265</v>
      </c>
      <c r="T430" s="11" t="n">
        <f aca="false">IFERROR(N430/MEDIAN(INDEX($N$5:$N$665,MATCH($A430-90,$A$5:$A$665,1)):INDEX($N$5:$N$665,MATCH($A430+90,$A$5:$A$665,1))),"")</f>
        <v>0.99984954136543</v>
      </c>
      <c r="U430" s="11" t="n">
        <f aca="false">IFERROR(Q430/MEDIAN(INDEX($Q$5:$Q$665,MATCH($A430-90,$A$5:$A$665,1)):INDEX($Q$5:$Q$665,MATCH($A430+90,$A$5:$A$665,1))),"")</f>
        <v>0.377814481527889</v>
      </c>
    </row>
    <row r="431" customFormat="false" ht="15" hidden="false" customHeight="false" outlineLevel="0" collapsed="false">
      <c r="A431" s="13" t="n">
        <v>45477.5002023495</v>
      </c>
      <c r="B431" s="8" t="n">
        <v>12</v>
      </c>
      <c r="C431" s="8" t="s">
        <v>73</v>
      </c>
      <c r="D431" s="8" t="s">
        <v>1100</v>
      </c>
      <c r="E431" s="14" t="s">
        <v>66</v>
      </c>
      <c r="F431" s="9" t="n">
        <v>98478</v>
      </c>
      <c r="G431" s="9" t="n">
        <v>7790</v>
      </c>
      <c r="H431" s="9" t="n">
        <v>7787</v>
      </c>
      <c r="I431" s="9" t="n">
        <v>729</v>
      </c>
      <c r="J431" s="9" t="n">
        <v>85</v>
      </c>
      <c r="K431" s="9" t="n">
        <v>10</v>
      </c>
      <c r="L431" s="9" t="n">
        <v>5</v>
      </c>
      <c r="M431" s="10" t="n">
        <f aca="false">IFERROR(G431/F431,"")</f>
        <v>0.0791039623063019</v>
      </c>
      <c r="N431" s="10" t="n">
        <f aca="false">IFERROR(H431/G431,"")</f>
        <v>0.999614890885751</v>
      </c>
      <c r="O431" s="11" t="n">
        <f aca="false">IFERROR(I431/H431,"")</f>
        <v>0.093617567741107</v>
      </c>
      <c r="P431" s="10" t="n">
        <f aca="false">IFERROR(J431/H431,"")</f>
        <v>0.0109156286117889</v>
      </c>
      <c r="Q431" s="10" t="n">
        <f aca="false">IFERROR(K431/H431,"")</f>
        <v>0.00128419160138693</v>
      </c>
      <c r="R431" s="10" t="n">
        <f aca="false">IFERROR(L431/H431,"")</f>
        <v>0.000642095800693463</v>
      </c>
      <c r="S431" s="11" t="n">
        <f aca="false">IFERROR(M431/MEDIAN(INDEX($M$5:$M$665,MATCH($A431-90,$A$5:$A$665,1)):INDEX($M$5:$M$665,MATCH($A431+90,$A$5:$A$665,1))),"")</f>
        <v>0.65242100360688</v>
      </c>
      <c r="T431" s="11" t="n">
        <f aca="false">IFERROR(N431/MEDIAN(INDEX($N$5:$N$665,MATCH($A431-90,$A$5:$A$665,1)):INDEX($N$5:$N$665,MATCH($A431+90,$A$5:$A$665,1))),"")</f>
        <v>0.999109303886969</v>
      </c>
      <c r="U431" s="11" t="n">
        <f aca="false">IFERROR(Q431/MEDIAN(INDEX($Q$5:$Q$665,MATCH($A431-90,$A$5:$A$665,1)):INDEX($Q$5:$Q$665,MATCH($A431+90,$A$5:$A$665,1))),"")</f>
        <v>4.86794229699071</v>
      </c>
    </row>
    <row r="432" customFormat="false" ht="15" hidden="false" customHeight="false" outlineLevel="0" collapsed="false">
      <c r="A432" s="13" t="n">
        <v>45479.4988749884</v>
      </c>
      <c r="B432" s="8" t="n">
        <v>11</v>
      </c>
      <c r="C432" s="8" t="s">
        <v>68</v>
      </c>
      <c r="D432" s="8" t="s">
        <v>1101</v>
      </c>
      <c r="E432" s="14" t="s">
        <v>66</v>
      </c>
      <c r="F432" s="9" t="n">
        <v>163584</v>
      </c>
      <c r="G432" s="9" t="n">
        <v>24436</v>
      </c>
      <c r="H432" s="9" t="n">
        <v>24450</v>
      </c>
      <c r="I432" s="9" t="n">
        <v>1747</v>
      </c>
      <c r="J432" s="9" t="n">
        <v>96</v>
      </c>
      <c r="K432" s="9" t="n">
        <v>25</v>
      </c>
      <c r="L432" s="9" t="n">
        <v>7</v>
      </c>
      <c r="M432" s="10" t="n">
        <f aca="false">IFERROR(G432/F432,"")</f>
        <v>0.149378912363067</v>
      </c>
      <c r="N432" s="10" t="n">
        <f aca="false">IFERROR(H432/G432,"")</f>
        <v>1.00057292519234</v>
      </c>
      <c r="O432" s="11" t="n">
        <f aca="false">IFERROR(I432/H432,"")</f>
        <v>0.0714519427402863</v>
      </c>
      <c r="P432" s="10" t="n">
        <f aca="false">IFERROR(J432/H432,"")</f>
        <v>0.00392638036809816</v>
      </c>
      <c r="Q432" s="10" t="n">
        <f aca="false">IFERROR(K432/H432,"")</f>
        <v>0.00102249488752556</v>
      </c>
      <c r="R432" s="10" t="n">
        <f aca="false">IFERROR(L432/H432,"")</f>
        <v>0.000286298568507157</v>
      </c>
      <c r="S432" s="11" t="n">
        <f aca="false">IFERROR(M432/MEDIAN(INDEX($M$5:$M$665,MATCH($A432-90,$A$5:$A$665,1)):INDEX($M$5:$M$665,MATCH($A432+90,$A$5:$A$665,1))),"")</f>
        <v>1.25949521088069</v>
      </c>
      <c r="T432" s="11" t="n">
        <f aca="false">IFERROR(N432/MEDIAN(INDEX($N$5:$N$665,MATCH($A432-90,$A$5:$A$665,1)):INDEX($N$5:$N$665,MATCH($A432+90,$A$5:$A$665,1))),"")</f>
        <v>1.00013467795699</v>
      </c>
      <c r="U432" s="11" t="n">
        <f aca="false">IFERROR(Q432/MEDIAN(INDEX($Q$5:$Q$665,MATCH($A432-90,$A$5:$A$665,1)):INDEX($Q$5:$Q$665,MATCH($A432+90,$A$5:$A$665,1))),"")</f>
        <v>4.06627768889702</v>
      </c>
    </row>
    <row r="433" customFormat="false" ht="15" hidden="false" customHeight="false" outlineLevel="0" collapsed="false">
      <c r="A433" s="13" t="n">
        <v>45481.5107546412</v>
      </c>
      <c r="B433" s="8" t="n">
        <v>12</v>
      </c>
      <c r="C433" s="8" t="s">
        <v>80</v>
      </c>
      <c r="D433" s="8" t="s">
        <v>1102</v>
      </c>
      <c r="E433" s="14" t="s">
        <v>66</v>
      </c>
      <c r="F433" s="9" t="n">
        <v>352138</v>
      </c>
      <c r="G433" s="9" t="n">
        <v>33721</v>
      </c>
      <c r="H433" s="9" t="n">
        <v>33725</v>
      </c>
      <c r="I433" s="9" t="n">
        <v>1422</v>
      </c>
      <c r="J433" s="9" t="n">
        <v>84</v>
      </c>
      <c r="K433" s="9" t="n">
        <v>7</v>
      </c>
      <c r="L433" s="9" t="n">
        <v>8</v>
      </c>
      <c r="M433" s="10" t="n">
        <f aca="false">IFERROR(G433/F433,"")</f>
        <v>0.0957607528866524</v>
      </c>
      <c r="N433" s="10" t="n">
        <f aca="false">IFERROR(H433/G433,"")</f>
        <v>1.00011862044423</v>
      </c>
      <c r="O433" s="11" t="n">
        <f aca="false">IFERROR(I433/H433,"")</f>
        <v>0.0421645663454411</v>
      </c>
      <c r="P433" s="10" t="n">
        <f aca="false">IFERROR(J433/H433,"")</f>
        <v>0.00249073387694589</v>
      </c>
      <c r="Q433" s="10" t="n">
        <f aca="false">IFERROR(K433/H433,"")</f>
        <v>0.000207561156412157</v>
      </c>
      <c r="R433" s="10" t="n">
        <f aca="false">IFERROR(L433/H433,"")</f>
        <v>0.000237212750185322</v>
      </c>
      <c r="S433" s="11" t="n">
        <f aca="false">IFERROR(M433/MEDIAN(INDEX($M$5:$M$665,MATCH($A433-90,$A$5:$A$665,1)):INDEX($M$5:$M$665,MATCH($A433+90,$A$5:$A$665,1))),"")</f>
        <v>0.818364889997136</v>
      </c>
      <c r="T433" s="11" t="n">
        <f aca="false">IFERROR(N433/MEDIAN(INDEX($N$5:$N$665,MATCH($A433-90,$A$5:$A$665,1)):INDEX($N$5:$N$665,MATCH($A433+90,$A$5:$A$665,1))),"")</f>
        <v>0.999612778668219</v>
      </c>
      <c r="U433" s="11" t="n">
        <f aca="false">IFERROR(Q433/MEDIAN(INDEX($Q$5:$Q$665,MATCH($A433-90,$A$5:$A$665,1)):INDEX($Q$5:$Q$665,MATCH($A433+90,$A$5:$A$665,1))),"")</f>
        <v>0.78679515690635</v>
      </c>
    </row>
    <row r="434" customFormat="false" ht="15" hidden="false" customHeight="false" outlineLevel="0" collapsed="false">
      <c r="A434" s="13" t="n">
        <v>45483.55462875</v>
      </c>
      <c r="B434" s="8" t="n">
        <v>13</v>
      </c>
      <c r="C434" s="8" t="s">
        <v>71</v>
      </c>
      <c r="D434" s="8" t="s">
        <v>1103</v>
      </c>
      <c r="E434" s="14" t="s">
        <v>66</v>
      </c>
      <c r="F434" s="9" t="n">
        <v>3783994</v>
      </c>
      <c r="G434" s="9" t="n">
        <v>672608</v>
      </c>
      <c r="H434" s="9" t="n">
        <v>672655</v>
      </c>
      <c r="I434" s="9" t="n">
        <v>54429</v>
      </c>
      <c r="J434" s="9" t="n">
        <v>1025</v>
      </c>
      <c r="K434" s="9" t="n">
        <v>397</v>
      </c>
      <c r="L434" s="9" t="n">
        <v>101</v>
      </c>
      <c r="M434" s="10" t="n">
        <f aca="false">IFERROR(G434/F434,"")</f>
        <v>0.17775081038712</v>
      </c>
      <c r="N434" s="10" t="n">
        <f aca="false">IFERROR(H434/G434,"")</f>
        <v>1.00006987725391</v>
      </c>
      <c r="O434" s="11" t="n">
        <f aca="false">IFERROR(I434/H434,"")</f>
        <v>0.0809166660472308</v>
      </c>
      <c r="P434" s="10" t="n">
        <f aca="false">IFERROR(J434/H434,"")</f>
        <v>0.00152381235551657</v>
      </c>
      <c r="Q434" s="10" t="n">
        <f aca="false">IFERROR(K434/H434,"")</f>
        <v>0.000590198541600077</v>
      </c>
      <c r="R434" s="10" t="n">
        <f aca="false">IFERROR(L434/H434,"")</f>
        <v>0.000150151266250901</v>
      </c>
      <c r="S434" s="11" t="n">
        <f aca="false">IFERROR(M434/MEDIAN(INDEX($M$5:$M$665,MATCH($A434-90,$A$5:$A$665,1)):INDEX($M$5:$M$665,MATCH($A434+90,$A$5:$A$665,1))),"")</f>
        <v>1.53993777956189</v>
      </c>
      <c r="T434" s="11" t="n">
        <f aca="false">IFERROR(N434/MEDIAN(INDEX($N$5:$N$665,MATCH($A434-90,$A$5:$A$665,1)):INDEX($N$5:$N$665,MATCH($A434+90,$A$5:$A$665,1))),"")</f>
        <v>0.999556648172428</v>
      </c>
      <c r="U434" s="11" t="n">
        <f aca="false">IFERROR(Q434/MEDIAN(INDEX($Q$5:$Q$665,MATCH($A434-90,$A$5:$A$665,1)):INDEX($Q$5:$Q$665,MATCH($A434+90,$A$5:$A$665,1))),"")</f>
        <v>2.34711311616994</v>
      </c>
    </row>
    <row r="435" customFormat="false" ht="15" hidden="false" customHeight="false" outlineLevel="0" collapsed="false">
      <c r="A435" s="13" t="n">
        <v>45485.5001439931</v>
      </c>
      <c r="B435" s="8" t="n">
        <v>12</v>
      </c>
      <c r="C435" s="8" t="s">
        <v>84</v>
      </c>
      <c r="D435" s="8" t="s">
        <v>1104</v>
      </c>
      <c r="E435" s="14" t="s">
        <v>66</v>
      </c>
      <c r="F435" s="9" t="n">
        <v>12070</v>
      </c>
      <c r="G435" s="9" t="n">
        <v>2745</v>
      </c>
      <c r="H435" s="9" t="n">
        <v>2776</v>
      </c>
      <c r="I435" s="9" t="n">
        <v>416</v>
      </c>
      <c r="J435" s="9" t="n">
        <v>71</v>
      </c>
      <c r="K435" s="9" t="n">
        <v>5</v>
      </c>
      <c r="L435" s="9" t="n">
        <v>3</v>
      </c>
      <c r="M435" s="10" t="n">
        <f aca="false">IFERROR(G435/F435,"")</f>
        <v>0.227423363711682</v>
      </c>
      <c r="N435" s="10" t="n">
        <f aca="false">IFERROR(H435/G435,"")</f>
        <v>1.01129326047359</v>
      </c>
      <c r="O435" s="11" t="n">
        <f aca="false">IFERROR(I435/H435,"")</f>
        <v>0.14985590778098</v>
      </c>
      <c r="P435" s="10" t="n">
        <f aca="false">IFERROR(J435/H435,"")</f>
        <v>0.0255763688760807</v>
      </c>
      <c r="Q435" s="10" t="n">
        <f aca="false">IFERROR(K435/H435,"")</f>
        <v>0.00180115273775216</v>
      </c>
      <c r="R435" s="10" t="n">
        <f aca="false">IFERROR(L435/H435,"")</f>
        <v>0.0010806916426513</v>
      </c>
      <c r="S435" s="11" t="n">
        <f aca="false">IFERROR(M435/MEDIAN(INDEX($M$5:$M$665,MATCH($A435-90,$A$5:$A$665,1)):INDEX($M$5:$M$665,MATCH($A435+90,$A$5:$A$665,1))),"")</f>
        <v>1.98660262535972</v>
      </c>
      <c r="T435" s="11" t="n">
        <f aca="false">IFERROR(N435/MEDIAN(INDEX($N$5:$N$665,MATCH($A435-90,$A$5:$A$665,1)):INDEX($N$5:$N$665,MATCH($A435+90,$A$5:$A$665,1))),"")</f>
        <v>1.01076677659874</v>
      </c>
      <c r="U435" s="11" t="n">
        <f aca="false">IFERROR(Q435/MEDIAN(INDEX($Q$5:$Q$665,MATCH($A435-90,$A$5:$A$665,1)):INDEX($Q$5:$Q$665,MATCH($A435+90,$A$5:$A$665,1))),"")</f>
        <v>7.53278097982709</v>
      </c>
    </row>
    <row r="436" customFormat="false" ht="15" hidden="false" customHeight="false" outlineLevel="0" collapsed="false">
      <c r="A436" s="13" t="n">
        <v>45487.5281232292</v>
      </c>
      <c r="B436" s="8" t="n">
        <v>12</v>
      </c>
      <c r="C436" s="8" t="s">
        <v>86</v>
      </c>
      <c r="D436" s="8" t="s">
        <v>1105</v>
      </c>
      <c r="E436" s="14" t="s">
        <v>66</v>
      </c>
      <c r="F436" s="9" t="n">
        <v>25685</v>
      </c>
      <c r="G436" s="9" t="n">
        <v>5169</v>
      </c>
      <c r="H436" s="9" t="n">
        <v>5192</v>
      </c>
      <c r="I436" s="9" t="n">
        <v>696</v>
      </c>
      <c r="J436" s="9" t="n">
        <v>84</v>
      </c>
      <c r="K436" s="9" t="n">
        <v>12</v>
      </c>
      <c r="L436" s="9" t="n">
        <v>7</v>
      </c>
      <c r="M436" s="10" t="n">
        <f aca="false">IFERROR(G436/F436,"")</f>
        <v>0.201245863344364</v>
      </c>
      <c r="N436" s="10" t="n">
        <f aca="false">IFERROR(H436/G436,"")</f>
        <v>1.00444960340491</v>
      </c>
      <c r="O436" s="11" t="n">
        <f aca="false">IFERROR(I436/H436,"")</f>
        <v>0.134052388289676</v>
      </c>
      <c r="P436" s="10" t="n">
        <f aca="false">IFERROR(J436/H436,"")</f>
        <v>0.0161787365177196</v>
      </c>
      <c r="Q436" s="10" t="n">
        <f aca="false">IFERROR(K436/H436,"")</f>
        <v>0.00231124807395994</v>
      </c>
      <c r="R436" s="10" t="n">
        <f aca="false">IFERROR(L436/H436,"")</f>
        <v>0.0013482280431433</v>
      </c>
      <c r="S436" s="11" t="n">
        <f aca="false">IFERROR(M436/MEDIAN(INDEX($M$5:$M$665,MATCH($A436-90,$A$5:$A$665,1)):INDEX($M$5:$M$665,MATCH($A436+90,$A$5:$A$665,1))),"")</f>
        <v>1.77262577285103</v>
      </c>
      <c r="T436" s="11" t="n">
        <f aca="false">IFERROR(N436/MEDIAN(INDEX($N$5:$N$665,MATCH($A436-90,$A$5:$A$665,1)):INDEX($N$5:$N$665,MATCH($A436+90,$A$5:$A$665,1))),"")</f>
        <v>1.00393412667766</v>
      </c>
      <c r="U436" s="11" t="n">
        <f aca="false">IFERROR(Q436/MEDIAN(INDEX($Q$5:$Q$665,MATCH($A436-90,$A$5:$A$665,1)):INDEX($Q$5:$Q$665,MATCH($A436+90,$A$5:$A$665,1))),"")</f>
        <v>9.86113527364978</v>
      </c>
    </row>
    <row r="437" customFormat="false" ht="15" hidden="false" customHeight="false" outlineLevel="0" collapsed="false">
      <c r="A437" s="13" t="n">
        <v>45489.5032261227</v>
      </c>
      <c r="B437" s="8" t="n">
        <v>12</v>
      </c>
      <c r="C437" s="8" t="s">
        <v>64</v>
      </c>
      <c r="D437" s="8" t="s">
        <v>1106</v>
      </c>
      <c r="E437" s="14" t="s">
        <v>66</v>
      </c>
      <c r="F437" s="9" t="n">
        <v>111347</v>
      </c>
      <c r="G437" s="9" t="n">
        <v>13206</v>
      </c>
      <c r="H437" s="9" t="n">
        <v>13238</v>
      </c>
      <c r="I437" s="9" t="n">
        <v>986</v>
      </c>
      <c r="J437" s="9" t="n">
        <v>99</v>
      </c>
      <c r="K437" s="9" t="n">
        <v>6</v>
      </c>
      <c r="L437" s="9" t="n">
        <v>6</v>
      </c>
      <c r="M437" s="10" t="n">
        <f aca="false">IFERROR(G437/F437,"")</f>
        <v>0.118602207513449</v>
      </c>
      <c r="N437" s="10" t="n">
        <f aca="false">IFERROR(H437/G437,"")</f>
        <v>1.00242314099652</v>
      </c>
      <c r="O437" s="11" t="n">
        <f aca="false">IFERROR(I437/H437,"")</f>
        <v>0.0744825502341743</v>
      </c>
      <c r="P437" s="10" t="n">
        <f aca="false">IFERROR(J437/H437,"")</f>
        <v>0.00747847106813718</v>
      </c>
      <c r="Q437" s="10" t="n">
        <f aca="false">IFERROR(K437/H437,"")</f>
        <v>0.000453240670796193</v>
      </c>
      <c r="R437" s="10" t="n">
        <f aca="false">IFERROR(L437/H437,"")</f>
        <v>0.000453240670796193</v>
      </c>
      <c r="S437" s="11" t="n">
        <f aca="false">IFERROR(M437/MEDIAN(INDEX($M$5:$M$665,MATCH($A437-90,$A$5:$A$665,1)):INDEX($M$5:$M$665,MATCH($A437+90,$A$5:$A$665,1))),"")</f>
        <v>1.04552714354205</v>
      </c>
      <c r="T437" s="11" t="n">
        <f aca="false">IFERROR(N437/MEDIAN(INDEX($N$5:$N$665,MATCH($A437-90,$A$5:$A$665,1)):INDEX($N$5:$N$665,MATCH($A437+90,$A$5:$A$665,1))),"")</f>
        <v>1.00190870423603</v>
      </c>
      <c r="U437" s="11" t="n">
        <f aca="false">IFERROR(Q437/MEDIAN(INDEX($Q$5:$Q$665,MATCH($A437-90,$A$5:$A$665,1)):INDEX($Q$5:$Q$665,MATCH($A437+90,$A$5:$A$665,1))),"")</f>
        <v>1.80245637395738</v>
      </c>
    </row>
    <row r="438" customFormat="false" ht="15" hidden="false" customHeight="false" outlineLevel="0" collapsed="false">
      <c r="A438" s="13" t="n">
        <v>45491.532341794</v>
      </c>
      <c r="B438" s="8" t="n">
        <v>12</v>
      </c>
      <c r="C438" s="8" t="s">
        <v>73</v>
      </c>
      <c r="D438" s="8" t="s">
        <v>1107</v>
      </c>
      <c r="E438" s="14" t="s">
        <v>66</v>
      </c>
      <c r="F438" s="9" t="n">
        <v>12647</v>
      </c>
      <c r="G438" s="9" t="n">
        <v>2428</v>
      </c>
      <c r="H438" s="9" t="n">
        <v>2470</v>
      </c>
      <c r="I438" s="9" t="n">
        <v>310</v>
      </c>
      <c r="J438" s="9" t="n">
        <v>64</v>
      </c>
      <c r="K438" s="9" t="n">
        <v>0</v>
      </c>
      <c r="L438" s="9" t="n">
        <v>1</v>
      </c>
      <c r="M438" s="10" t="n">
        <f aca="false">IFERROR(G438/F438,"")</f>
        <v>0.191982288289713</v>
      </c>
      <c r="N438" s="10" t="n">
        <f aca="false">IFERROR(H438/G438,"")</f>
        <v>1.0172981878089</v>
      </c>
      <c r="O438" s="11" t="n">
        <f aca="false">IFERROR(I438/H438,"")</f>
        <v>0.125506072874494</v>
      </c>
      <c r="P438" s="10" t="n">
        <f aca="false">IFERROR(J438/H438,"")</f>
        <v>0.0259109311740891</v>
      </c>
      <c r="Q438" s="10" t="n">
        <f aca="false">IFERROR(K438/H438,"")</f>
        <v>0</v>
      </c>
      <c r="R438" s="10" t="n">
        <f aca="false">IFERROR(L438/H438,"")</f>
        <v>0.000404858299595142</v>
      </c>
      <c r="S438" s="11" t="n">
        <f aca="false">IFERROR(M438/MEDIAN(INDEX($M$5:$M$665,MATCH($A438-90,$A$5:$A$665,1)):INDEX($M$5:$M$665,MATCH($A438+90,$A$5:$A$665,1))),"")</f>
        <v>1.71088779198172</v>
      </c>
      <c r="T438" s="11" t="n">
        <f aca="false">IFERROR(N438/MEDIAN(INDEX($N$5:$N$665,MATCH($A438-90,$A$5:$A$665,1)):INDEX($N$5:$N$665,MATCH($A438+90,$A$5:$A$665,1))),"")</f>
        <v>1.01685261497047</v>
      </c>
      <c r="U438" s="11" t="n">
        <f aca="false">IFERROR(Q438/MEDIAN(INDEX($Q$5:$Q$665,MATCH($A438-90,$A$5:$A$665,1)):INDEX($Q$5:$Q$665,MATCH($A438+90,$A$5:$A$665,1))),"")</f>
        <v>0</v>
      </c>
    </row>
    <row r="439" customFormat="false" ht="15" hidden="false" customHeight="false" outlineLevel="0" collapsed="false">
      <c r="A439" s="13" t="n">
        <v>45493.5320845949</v>
      </c>
      <c r="B439" s="8" t="n">
        <v>12</v>
      </c>
      <c r="C439" s="8" t="s">
        <v>68</v>
      </c>
      <c r="D439" s="8" t="s">
        <v>1108</v>
      </c>
      <c r="E439" s="14" t="s">
        <v>66</v>
      </c>
      <c r="F439" s="9" t="n">
        <v>342134</v>
      </c>
      <c r="G439" s="9" t="n">
        <v>28895</v>
      </c>
      <c r="H439" s="9" t="n">
        <v>28926</v>
      </c>
      <c r="I439" s="9" t="n">
        <v>864</v>
      </c>
      <c r="J439" s="9" t="n">
        <v>91</v>
      </c>
      <c r="K439" s="9" t="n">
        <v>4</v>
      </c>
      <c r="L439" s="9" t="n">
        <v>6</v>
      </c>
      <c r="M439" s="10" t="n">
        <f aca="false">IFERROR(G439/F439,"")</f>
        <v>0.0844552134543775</v>
      </c>
      <c r="N439" s="10" t="n">
        <f aca="false">IFERROR(H439/G439,"")</f>
        <v>1.00107284997404</v>
      </c>
      <c r="O439" s="11" t="n">
        <f aca="false">IFERROR(I439/H439,"")</f>
        <v>0.029869321717486</v>
      </c>
      <c r="P439" s="10" t="n">
        <f aca="false">IFERROR(J439/H439,"")</f>
        <v>0.00314595865311484</v>
      </c>
      <c r="Q439" s="10" t="n">
        <f aca="false">IFERROR(K439/H439,"")</f>
        <v>0.000138283896840213</v>
      </c>
      <c r="R439" s="10" t="n">
        <f aca="false">IFERROR(L439/H439,"")</f>
        <v>0.000207425845260319</v>
      </c>
      <c r="S439" s="11" t="n">
        <f aca="false">IFERROR(M439/MEDIAN(INDEX($M$5:$M$665,MATCH($A439-90,$A$5:$A$665,1)):INDEX($M$5:$M$665,MATCH($A439+90,$A$5:$A$665,1))),"")</f>
        <v>0.76358583052843</v>
      </c>
      <c r="T439" s="11" t="n">
        <f aca="false">IFERROR(N439/MEDIAN(INDEX($N$5:$N$665,MATCH($A439-90,$A$5:$A$665,1)):INDEX($N$5:$N$665,MATCH($A439+90,$A$5:$A$665,1))),"")</f>
        <v>1.00056652556612</v>
      </c>
      <c r="U439" s="11" t="n">
        <f aca="false">IFERROR(Q439/MEDIAN(INDEX($Q$5:$Q$665,MATCH($A439-90,$A$5:$A$665,1)):INDEX($Q$5:$Q$665,MATCH($A439+90,$A$5:$A$665,1))),"")</f>
        <v>0.524188158288967</v>
      </c>
    </row>
    <row r="440" customFormat="false" ht="15" hidden="false" customHeight="false" outlineLevel="0" collapsed="false">
      <c r="A440" s="13" t="n">
        <v>45495.5065931829</v>
      </c>
      <c r="B440" s="8" t="n">
        <v>12</v>
      </c>
      <c r="C440" s="8" t="s">
        <v>80</v>
      </c>
      <c r="D440" s="8" t="s">
        <v>1109</v>
      </c>
      <c r="E440" s="14" t="s">
        <v>66</v>
      </c>
      <c r="F440" s="9" t="n">
        <v>423524</v>
      </c>
      <c r="G440" s="9" t="n">
        <v>38788</v>
      </c>
      <c r="H440" s="9" t="n">
        <v>38826</v>
      </c>
      <c r="I440" s="9" t="n">
        <v>916</v>
      </c>
      <c r="J440" s="9" t="n">
        <v>112</v>
      </c>
      <c r="K440" s="9" t="n">
        <v>16</v>
      </c>
      <c r="L440" s="9" t="n">
        <v>7</v>
      </c>
      <c r="M440" s="10" t="n">
        <f aca="false">IFERROR(G440/F440,"")</f>
        <v>0.0915839480171136</v>
      </c>
      <c r="N440" s="10" t="n">
        <f aca="false">IFERROR(H440/G440,"")</f>
        <v>1.00097968443849</v>
      </c>
      <c r="O440" s="11" t="n">
        <f aca="false">IFERROR(I440/H440,"")</f>
        <v>0.0235924380569721</v>
      </c>
      <c r="P440" s="10" t="n">
        <f aca="false">IFERROR(J440/H440,"")</f>
        <v>0.00288466491526297</v>
      </c>
      <c r="Q440" s="10" t="n">
        <f aca="false">IFERROR(K440/H440,"")</f>
        <v>0.00041209498789471</v>
      </c>
      <c r="R440" s="10" t="n">
        <f aca="false">IFERROR(L440/H440,"")</f>
        <v>0.000180291557203936</v>
      </c>
      <c r="S440" s="11" t="n">
        <f aca="false">IFERROR(M440/MEDIAN(INDEX($M$5:$M$665,MATCH($A440-90,$A$5:$A$665,1)):INDEX($M$5:$M$665,MATCH($A440+90,$A$5:$A$665,1))),"")</f>
        <v>0.840259963626595</v>
      </c>
      <c r="T440" s="11" t="n">
        <f aca="false">IFERROR(N440/MEDIAN(INDEX($N$5:$N$665,MATCH($A440-90,$A$5:$A$665,1)):INDEX($N$5:$N$665,MATCH($A440+90,$A$5:$A$665,1))),"")</f>
        <v>1.00046598845012</v>
      </c>
      <c r="U440" s="11" t="n">
        <f aca="false">IFERROR(Q440/MEDIAN(INDEX($Q$5:$Q$665,MATCH($A440-90,$A$5:$A$665,1)):INDEX($Q$5:$Q$665,MATCH($A440+90,$A$5:$A$665,1))),"")</f>
        <v>1.50959143346126</v>
      </c>
    </row>
    <row r="441" customFormat="false" ht="15" hidden="false" customHeight="false" outlineLevel="0" collapsed="false">
      <c r="A441" s="13" t="n">
        <v>45497.5001371875</v>
      </c>
      <c r="B441" s="8" t="n">
        <v>12</v>
      </c>
      <c r="C441" s="8" t="s">
        <v>71</v>
      </c>
      <c r="D441" s="8" t="s">
        <v>1110</v>
      </c>
      <c r="E441" s="14" t="s">
        <v>66</v>
      </c>
      <c r="F441" s="9" t="n">
        <v>141109</v>
      </c>
      <c r="G441" s="9" t="n">
        <v>11041</v>
      </c>
      <c r="H441" s="9" t="n">
        <v>11071</v>
      </c>
      <c r="I441" s="9" t="n">
        <v>280</v>
      </c>
      <c r="J441" s="9" t="n">
        <v>49</v>
      </c>
      <c r="K441" s="9" t="n">
        <v>0</v>
      </c>
      <c r="L441" s="9" t="n">
        <v>2</v>
      </c>
      <c r="M441" s="10" t="n">
        <f aca="false">IFERROR(G441/F441,"")</f>
        <v>0.078244477673288</v>
      </c>
      <c r="N441" s="10" t="n">
        <f aca="false">IFERROR(H441/G441,"")</f>
        <v>1.00271714518612</v>
      </c>
      <c r="O441" s="11" t="n">
        <f aca="false">IFERROR(I441/H441,"")</f>
        <v>0.0252913015987716</v>
      </c>
      <c r="P441" s="10" t="n">
        <f aca="false">IFERROR(J441/H441,"")</f>
        <v>0.00442597777978502</v>
      </c>
      <c r="Q441" s="10" t="n">
        <f aca="false">IFERROR(K441/H441,"")</f>
        <v>0</v>
      </c>
      <c r="R441" s="10" t="n">
        <f aca="false">IFERROR(L441/H441,"")</f>
        <v>0.00018065215427694</v>
      </c>
      <c r="S441" s="11" t="n">
        <f aca="false">IFERROR(M441/MEDIAN(INDEX($M$5:$M$665,MATCH($A441-90,$A$5:$A$665,1)):INDEX($M$5:$M$665,MATCH($A441+90,$A$5:$A$665,1))),"")</f>
        <v>0.718740854732107</v>
      </c>
      <c r="T441" s="11" t="n">
        <f aca="false">IFERROR(N441/MEDIAN(INDEX($N$5:$N$665,MATCH($A441-90,$A$5:$A$665,1)):INDEX($N$5:$N$665,MATCH($A441+90,$A$5:$A$665,1))),"")</f>
        <v>1.00220255754468</v>
      </c>
      <c r="U441" s="11" t="n">
        <f aca="false">IFERROR(Q441/MEDIAN(INDEX($Q$5:$Q$665,MATCH($A441-90,$A$5:$A$665,1)):INDEX($Q$5:$Q$665,MATCH($A441+90,$A$5:$A$665,1))),"")</f>
        <v>0</v>
      </c>
    </row>
    <row r="442" customFormat="false" ht="15" hidden="false" customHeight="false" outlineLevel="0" collapsed="false">
      <c r="A442" s="13" t="n">
        <v>45499.4963491088</v>
      </c>
      <c r="B442" s="8" t="n">
        <v>11</v>
      </c>
      <c r="C442" s="8" t="s">
        <v>84</v>
      </c>
      <c r="D442" s="8" t="s">
        <v>1111</v>
      </c>
      <c r="E442" s="14" t="s">
        <v>66</v>
      </c>
      <c r="F442" s="9" t="n">
        <v>7</v>
      </c>
      <c r="G442" s="9" t="n">
        <v>3</v>
      </c>
      <c r="H442" s="9" t="n">
        <v>3</v>
      </c>
      <c r="I442" s="9" t="n">
        <v>1</v>
      </c>
      <c r="J442" s="9" t="n">
        <v>0</v>
      </c>
      <c r="K442" s="9" t="n">
        <v>0</v>
      </c>
      <c r="L442" s="9" t="n">
        <v>0</v>
      </c>
      <c r="M442" s="10" t="n">
        <f aca="false">IFERROR(G442/F442,"")</f>
        <v>0.428571428571429</v>
      </c>
      <c r="N442" s="10" t="n">
        <f aca="false">IFERROR(H442/G442,"")</f>
        <v>1</v>
      </c>
      <c r="O442" s="11" t="n">
        <f aca="false">IFERROR(I442/H442,"")</f>
        <v>0.333333333333333</v>
      </c>
      <c r="P442" s="10" t="n">
        <f aca="false">IFERROR(J442/H442,"")</f>
        <v>0</v>
      </c>
      <c r="Q442" s="10" t="n">
        <f aca="false">IFERROR(K442/H442,"")</f>
        <v>0</v>
      </c>
      <c r="R442" s="10" t="n">
        <f aca="false">IFERROR(L442/H442,"")</f>
        <v>0</v>
      </c>
      <c r="S442" s="11" t="n">
        <f aca="false">IFERROR(M442/MEDIAN(INDEX($M$5:$M$665,MATCH($A442-90,$A$5:$A$665,1)):INDEX($M$5:$M$665,MATCH($A442+90,$A$5:$A$665,1))),"")</f>
        <v>3.93440993853171</v>
      </c>
      <c r="T442" s="11" t="n">
        <f aca="false">IFERROR(N442/MEDIAN(INDEX($N$5:$N$665,MATCH($A442-90,$A$5:$A$665,1)):INDEX($N$5:$N$665,MATCH($A442+90,$A$5:$A$665,1))),"")</f>
        <v>0.999494218220045</v>
      </c>
      <c r="U442" s="11" t="n">
        <f aca="false">IFERROR(Q442/MEDIAN(INDEX($Q$5:$Q$665,MATCH($A442-90,$A$5:$A$665,1)):INDEX($Q$5:$Q$665,MATCH($A442+90,$A$5:$A$665,1))),"")</f>
        <v>0</v>
      </c>
    </row>
    <row r="443" customFormat="false" ht="15" hidden="false" customHeight="false" outlineLevel="0" collapsed="false">
      <c r="A443" s="13" t="n">
        <v>45499.5026933912</v>
      </c>
      <c r="B443" s="8" t="n">
        <v>12</v>
      </c>
      <c r="C443" s="8" t="s">
        <v>84</v>
      </c>
      <c r="D443" s="8" t="s">
        <v>1111</v>
      </c>
      <c r="E443" s="14" t="s">
        <v>66</v>
      </c>
      <c r="F443" s="9" t="n">
        <v>107442</v>
      </c>
      <c r="G443" s="9" t="n">
        <v>9278</v>
      </c>
      <c r="H443" s="9" t="n">
        <v>9281</v>
      </c>
      <c r="I443" s="9" t="n">
        <v>429</v>
      </c>
      <c r="J443" s="9" t="n">
        <v>75</v>
      </c>
      <c r="K443" s="9" t="n">
        <v>3</v>
      </c>
      <c r="L443" s="9" t="n">
        <v>6</v>
      </c>
      <c r="M443" s="10" t="n">
        <f aca="false">IFERROR(G443/F443,"")</f>
        <v>0.0863535675061894</v>
      </c>
      <c r="N443" s="10" t="n">
        <f aca="false">IFERROR(H443/G443,"")</f>
        <v>1.00032334554861</v>
      </c>
      <c r="O443" s="11" t="n">
        <f aca="false">IFERROR(I443/H443,"")</f>
        <v>0.0462234672987825</v>
      </c>
      <c r="P443" s="10" t="n">
        <f aca="false">IFERROR(J443/H443,"")</f>
        <v>0.0080810257515354</v>
      </c>
      <c r="Q443" s="10" t="n">
        <f aca="false">IFERROR(K443/H443,"")</f>
        <v>0.000323241030061416</v>
      </c>
      <c r="R443" s="10" t="n">
        <f aca="false">IFERROR(L443/H443,"")</f>
        <v>0.000646482060122832</v>
      </c>
      <c r="S443" s="11" t="n">
        <f aca="false">IFERROR(M443/MEDIAN(INDEX($M$5:$M$665,MATCH($A443-90,$A$5:$A$665,1)):INDEX($M$5:$M$665,MATCH($A443+90,$A$5:$A$665,1))),"")</f>
        <v>0.792750779856047</v>
      </c>
      <c r="T443" s="11" t="n">
        <f aca="false">IFERROR(N443/MEDIAN(INDEX($N$5:$N$665,MATCH($A443-90,$A$5:$A$665,1)):INDEX($N$5:$N$665,MATCH($A443+90,$A$5:$A$665,1))),"")</f>
        <v>0.999817400226367</v>
      </c>
      <c r="U443" s="11" t="n">
        <f aca="false">IFERROR(Q443/MEDIAN(INDEX($Q$5:$Q$665,MATCH($A443-90,$A$5:$A$665,1)):INDEX($Q$5:$Q$665,MATCH($A443+90,$A$5:$A$665,1))),"")</f>
        <v>1.14558237258916</v>
      </c>
    </row>
    <row r="444" customFormat="false" ht="15" hidden="false" customHeight="false" outlineLevel="0" collapsed="false">
      <c r="A444" s="13" t="n">
        <v>45501.5103917708</v>
      </c>
      <c r="B444" s="8" t="n">
        <v>12</v>
      </c>
      <c r="C444" s="8" t="s">
        <v>86</v>
      </c>
      <c r="D444" s="8" t="s">
        <v>1112</v>
      </c>
      <c r="E444" s="14" t="s">
        <v>66</v>
      </c>
      <c r="F444" s="9" t="n">
        <v>16569</v>
      </c>
      <c r="G444" s="9" t="n">
        <v>2690</v>
      </c>
      <c r="H444" s="9" t="n">
        <v>2688</v>
      </c>
      <c r="I444" s="9" t="n">
        <v>387</v>
      </c>
      <c r="J444" s="9" t="n">
        <v>61</v>
      </c>
      <c r="K444" s="9" t="n">
        <v>0</v>
      </c>
      <c r="L444" s="9" t="n">
        <v>1</v>
      </c>
      <c r="M444" s="10" t="n">
        <f aca="false">IFERROR(G444/F444,"")</f>
        <v>0.162351379081417</v>
      </c>
      <c r="N444" s="10" t="n">
        <f aca="false">IFERROR(H444/G444,"")</f>
        <v>0.999256505576208</v>
      </c>
      <c r="O444" s="11" t="n">
        <f aca="false">IFERROR(I444/H444,"")</f>
        <v>0.143973214285714</v>
      </c>
      <c r="P444" s="10" t="n">
        <f aca="false">IFERROR(J444/H444,"")</f>
        <v>0.0226934523809524</v>
      </c>
      <c r="Q444" s="10" t="n">
        <f aca="false">IFERROR(K444/H444,"")</f>
        <v>0</v>
      </c>
      <c r="R444" s="10" t="n">
        <f aca="false">IFERROR(L444/H444,"")</f>
        <v>0.00037202380952381</v>
      </c>
      <c r="S444" s="11" t="n">
        <f aca="false">IFERROR(M444/MEDIAN(INDEX($M$5:$M$665,MATCH($A444-90,$A$5:$A$665,1)):INDEX($M$5:$M$665,MATCH($A444+90,$A$5:$A$665,1))),"")</f>
        <v>1.49043271858193</v>
      </c>
      <c r="T444" s="11" t="n">
        <f aca="false">IFERROR(N444/MEDIAN(INDEX($N$5:$N$665,MATCH($A444-90,$A$5:$A$665,1)):INDEX($N$5:$N$665,MATCH($A444+90,$A$5:$A$665,1))),"")</f>
        <v>0.998736288090754</v>
      </c>
      <c r="U444" s="11" t="n">
        <f aca="false">IFERROR(Q444/MEDIAN(INDEX($Q$5:$Q$665,MATCH($A444-90,$A$5:$A$665,1)):INDEX($Q$5:$Q$665,MATCH($A444+90,$A$5:$A$665,1))),"")</f>
        <v>0</v>
      </c>
    </row>
    <row r="445" customFormat="false" ht="15" hidden="false" customHeight="false" outlineLevel="0" collapsed="false">
      <c r="A445" s="13" t="n">
        <v>45503.4972046296</v>
      </c>
      <c r="B445" s="8" t="n">
        <v>11</v>
      </c>
      <c r="C445" s="8" t="s">
        <v>64</v>
      </c>
      <c r="D445" s="8" t="s">
        <v>1113</v>
      </c>
      <c r="E445" s="14" t="s">
        <v>66</v>
      </c>
      <c r="F445" s="9" t="n">
        <v>283597</v>
      </c>
      <c r="G445" s="9" t="n">
        <v>25469</v>
      </c>
      <c r="H445" s="9" t="n">
        <v>25478</v>
      </c>
      <c r="I445" s="9" t="n">
        <v>1370</v>
      </c>
      <c r="J445" s="9" t="n">
        <v>109</v>
      </c>
      <c r="K445" s="9" t="n">
        <v>8</v>
      </c>
      <c r="L445" s="9" t="n">
        <v>11</v>
      </c>
      <c r="M445" s="10" t="n">
        <f aca="false">IFERROR(G445/F445,"")</f>
        <v>0.0898070148837964</v>
      </c>
      <c r="N445" s="10" t="n">
        <f aca="false">IFERROR(H445/G445,"")</f>
        <v>1.00035337076446</v>
      </c>
      <c r="O445" s="11" t="n">
        <f aca="false">IFERROR(I445/H445,"")</f>
        <v>0.0537718816233613</v>
      </c>
      <c r="P445" s="10" t="n">
        <f aca="false">IFERROR(J445/H445,"")</f>
        <v>0.00427820080069079</v>
      </c>
      <c r="Q445" s="10" t="n">
        <f aca="false">IFERROR(K445/H445,"")</f>
        <v>0.000313996389041526</v>
      </c>
      <c r="R445" s="10" t="n">
        <f aca="false">IFERROR(L445/H445,"")</f>
        <v>0.000431745034932098</v>
      </c>
      <c r="S445" s="11" t="n">
        <f aca="false">IFERROR(M445/MEDIAN(INDEX($M$5:$M$665,MATCH($A445-90,$A$5:$A$665,1)):INDEX($M$5:$M$665,MATCH($A445+90,$A$5:$A$665,1))),"")</f>
        <v>0.824952412719025</v>
      </c>
      <c r="T445" s="11" t="n">
        <f aca="false">IFERROR(N445/MEDIAN(INDEX($N$5:$N$665,MATCH($A445-90,$A$5:$A$665,1)):INDEX($N$5:$N$665,MATCH($A445+90,$A$5:$A$665,1))),"")</f>
        <v>0.999806576090759</v>
      </c>
      <c r="U445" s="11" t="n">
        <f aca="false">IFERROR(Q445/MEDIAN(INDEX($Q$5:$Q$665,MATCH($A445-90,$A$5:$A$665,1)):INDEX($Q$5:$Q$665,MATCH($A445+90,$A$5:$A$665,1))),"")</f>
        <v>1.02913089978838</v>
      </c>
    </row>
    <row r="446" customFormat="false" ht="15" hidden="false" customHeight="false" outlineLevel="0" collapsed="false">
      <c r="A446" s="13" t="n">
        <v>45505.5105356482</v>
      </c>
      <c r="B446" s="8" t="n">
        <v>12</v>
      </c>
      <c r="C446" s="8" t="s">
        <v>73</v>
      </c>
      <c r="D446" s="8" t="s">
        <v>1114</v>
      </c>
      <c r="E446" s="14" t="s">
        <v>66</v>
      </c>
      <c r="F446" s="9" t="n">
        <v>230946</v>
      </c>
      <c r="G446" s="9" t="n">
        <v>23153</v>
      </c>
      <c r="H446" s="9" t="n">
        <v>23194</v>
      </c>
      <c r="I446" s="9" t="n">
        <v>817</v>
      </c>
      <c r="J446" s="9" t="n">
        <v>106</v>
      </c>
      <c r="K446" s="9" t="n">
        <v>9</v>
      </c>
      <c r="L446" s="9" t="n">
        <v>8</v>
      </c>
      <c r="M446" s="10" t="n">
        <f aca="false">IFERROR(G446/F446,"")</f>
        <v>0.100252872965975</v>
      </c>
      <c r="N446" s="10" t="n">
        <f aca="false">IFERROR(H446/G446,"")</f>
        <v>1.00177082883428</v>
      </c>
      <c r="O446" s="11" t="n">
        <f aca="false">IFERROR(I446/H446,"")</f>
        <v>0.0352246270587221</v>
      </c>
      <c r="P446" s="10" t="n">
        <f aca="false">IFERROR(J446/H446,"")</f>
        <v>0.00457014745192722</v>
      </c>
      <c r="Q446" s="10" t="n">
        <f aca="false">IFERROR(K446/H446,"")</f>
        <v>0.000388031387427783</v>
      </c>
      <c r="R446" s="10" t="n">
        <f aca="false">IFERROR(L446/H446,"")</f>
        <v>0.000344916788824696</v>
      </c>
      <c r="S446" s="11" t="n">
        <f aca="false">IFERROR(M446/MEDIAN(INDEX($M$5:$M$665,MATCH($A446-90,$A$5:$A$665,1)):INDEX($M$5:$M$665,MATCH($A446+90,$A$5:$A$665,1))),"")</f>
        <v>0.92090634058272</v>
      </c>
      <c r="T446" s="11" t="n">
        <f aca="false">IFERROR(N446/MEDIAN(INDEX($N$5:$N$665,MATCH($A446-90,$A$5:$A$665,1)):INDEX($N$5:$N$665,MATCH($A446+90,$A$5:$A$665,1))),"")</f>
        <v>1.00122325937584</v>
      </c>
      <c r="U446" s="11" t="n">
        <f aca="false">IFERROR(Q446/MEDIAN(INDEX($Q$5:$Q$665,MATCH($A446-90,$A$5:$A$665,1)):INDEX($Q$5:$Q$665,MATCH($A446+90,$A$5:$A$665,1))),"")</f>
        <v>1.27178243071094</v>
      </c>
    </row>
    <row r="447" customFormat="false" ht="15" hidden="false" customHeight="false" outlineLevel="0" collapsed="false">
      <c r="A447" s="13" t="n">
        <v>45507.5260832755</v>
      </c>
      <c r="B447" s="8" t="n">
        <v>12</v>
      </c>
      <c r="C447" s="8" t="s">
        <v>68</v>
      </c>
      <c r="D447" s="8" t="s">
        <v>1115</v>
      </c>
      <c r="E447" s="14" t="s">
        <v>66</v>
      </c>
      <c r="F447" s="9" t="n">
        <v>27627</v>
      </c>
      <c r="G447" s="9" t="n">
        <v>4570</v>
      </c>
      <c r="H447" s="9" t="n">
        <v>4598</v>
      </c>
      <c r="I447" s="9" t="n">
        <v>640</v>
      </c>
      <c r="J447" s="9" t="n">
        <v>101</v>
      </c>
      <c r="K447" s="9" t="n">
        <v>3</v>
      </c>
      <c r="L447" s="9" t="n">
        <v>6</v>
      </c>
      <c r="M447" s="10" t="n">
        <f aca="false">IFERROR(G447/F447,"")</f>
        <v>0.16541788829768</v>
      </c>
      <c r="N447" s="10" t="n">
        <f aca="false">IFERROR(H447/G447,"")</f>
        <v>1.00612691466083</v>
      </c>
      <c r="O447" s="11" t="n">
        <f aca="false">IFERROR(I447/H447,"")</f>
        <v>0.139190952588082</v>
      </c>
      <c r="P447" s="10" t="n">
        <f aca="false">IFERROR(J447/H447,"")</f>
        <v>0.0219660722053067</v>
      </c>
      <c r="Q447" s="10" t="n">
        <f aca="false">IFERROR(K447/H447,"")</f>
        <v>0.000652457590256633</v>
      </c>
      <c r="R447" s="10" t="n">
        <f aca="false">IFERROR(L447/H447,"")</f>
        <v>0.00130491518051327</v>
      </c>
      <c r="S447" s="11" t="n">
        <f aca="false">IFERROR(M447/MEDIAN(INDEX($M$5:$M$665,MATCH($A447-90,$A$5:$A$665,1)):INDEX($M$5:$M$665,MATCH($A447+90,$A$5:$A$665,1))),"")</f>
        <v>1.5379778825645</v>
      </c>
      <c r="T447" s="11" t="n">
        <f aca="false">IFERROR(N447/MEDIAN(INDEX($N$5:$N$665,MATCH($A447-90,$A$5:$A$665,1)):INDEX($N$5:$N$665,MATCH($A447+90,$A$5:$A$665,1))),"")</f>
        <v>1.00555080927002</v>
      </c>
      <c r="U447" s="11" t="n">
        <f aca="false">IFERROR(Q447/MEDIAN(INDEX($Q$5:$Q$665,MATCH($A447-90,$A$5:$A$665,1)):INDEX($Q$5:$Q$665,MATCH($A447+90,$A$5:$A$665,1))),"")</f>
        <v>2.07791431056981</v>
      </c>
    </row>
    <row r="448" customFormat="false" ht="15" hidden="false" customHeight="false" outlineLevel="0" collapsed="false">
      <c r="A448" s="13" t="n">
        <v>45509.5069006482</v>
      </c>
      <c r="B448" s="8" t="n">
        <v>12</v>
      </c>
      <c r="C448" s="8" t="s">
        <v>80</v>
      </c>
      <c r="D448" s="8" t="s">
        <v>1116</v>
      </c>
      <c r="E448" s="14" t="s">
        <v>66</v>
      </c>
      <c r="F448" s="9" t="n">
        <v>925776</v>
      </c>
      <c r="G448" s="9" t="n">
        <v>100783</v>
      </c>
      <c r="H448" s="9" t="n">
        <v>100834</v>
      </c>
      <c r="I448" s="9" t="n">
        <v>2798</v>
      </c>
      <c r="J448" s="9" t="n">
        <v>167</v>
      </c>
      <c r="K448" s="9" t="n">
        <v>21</v>
      </c>
      <c r="L448" s="9" t="n">
        <v>15</v>
      </c>
      <c r="M448" s="10" t="n">
        <f aca="false">IFERROR(G448/F448,"")</f>
        <v>0.108863267140215</v>
      </c>
      <c r="N448" s="10" t="n">
        <f aca="false">IFERROR(H448/G448,"")</f>
        <v>1.00050603772462</v>
      </c>
      <c r="O448" s="11" t="n">
        <f aca="false">IFERROR(I448/H448,"")</f>
        <v>0.0277485768689133</v>
      </c>
      <c r="P448" s="10" t="n">
        <f aca="false">IFERROR(J448/H448,"")</f>
        <v>0.00165618739710812</v>
      </c>
      <c r="Q448" s="10" t="n">
        <f aca="false">IFERROR(K448/H448,"")</f>
        <v>0.000208263085863895</v>
      </c>
      <c r="R448" s="10" t="n">
        <f aca="false">IFERROR(L448/H448,"")</f>
        <v>0.000148759347045639</v>
      </c>
      <c r="S448" s="11" t="n">
        <f aca="false">IFERROR(M448/MEDIAN(INDEX($M$5:$M$665,MATCH($A448-90,$A$5:$A$665,1)):INDEX($M$5:$M$665,MATCH($A448+90,$A$5:$A$665,1))),"")</f>
        <v>1</v>
      </c>
      <c r="T448" s="11" t="n">
        <f aca="false">IFERROR(N448/MEDIAN(INDEX($N$5:$N$665,MATCH($A448-90,$A$5:$A$665,1)):INDEX($N$5:$N$665,MATCH($A448+90,$A$5:$A$665,1))),"")</f>
        <v>0.999959159602924</v>
      </c>
      <c r="U448" s="11" t="n">
        <f aca="false">IFERROR(Q448/MEDIAN(INDEX($Q$5:$Q$665,MATCH($A448-90,$A$5:$A$665,1)):INDEX($Q$5:$Q$665,MATCH($A448+90,$A$5:$A$665,1))),"")</f>
        <v>0.682587394084556</v>
      </c>
    </row>
    <row r="449" customFormat="false" ht="15" hidden="false" customHeight="false" outlineLevel="0" collapsed="false">
      <c r="A449" s="13" t="n">
        <v>45511.48222125</v>
      </c>
      <c r="B449" s="8" t="n">
        <v>11</v>
      </c>
      <c r="C449" s="8" t="s">
        <v>71</v>
      </c>
      <c r="D449" s="8" t="s">
        <v>1117</v>
      </c>
      <c r="E449" s="14" t="s">
        <v>66</v>
      </c>
      <c r="F449" s="9" t="n">
        <v>429767</v>
      </c>
      <c r="G449" s="9" t="n">
        <v>45255</v>
      </c>
      <c r="H449" s="9" t="n">
        <v>45314</v>
      </c>
      <c r="I449" s="9" t="n">
        <v>2024</v>
      </c>
      <c r="J449" s="9" t="n">
        <v>159</v>
      </c>
      <c r="K449" s="9" t="n">
        <v>22</v>
      </c>
      <c r="L449" s="9" t="n">
        <v>9</v>
      </c>
      <c r="M449" s="10" t="n">
        <f aca="false">IFERROR(G449/F449,"")</f>
        <v>0.105301244627903</v>
      </c>
      <c r="N449" s="10" t="n">
        <f aca="false">IFERROR(H449/G449,"")</f>
        <v>1.00130372334549</v>
      </c>
      <c r="O449" s="11" t="n">
        <f aca="false">IFERROR(I449/H449,"")</f>
        <v>0.0446661076047138</v>
      </c>
      <c r="P449" s="10" t="n">
        <f aca="false">IFERROR(J449/H449,"")</f>
        <v>0.00350884936222801</v>
      </c>
      <c r="Q449" s="10" t="n">
        <f aca="false">IFERROR(K449/H449,"")</f>
        <v>0.000485501169616454</v>
      </c>
      <c r="R449" s="10" t="n">
        <f aca="false">IFERROR(L449/H449,"")</f>
        <v>0.000198614114843095</v>
      </c>
      <c r="S449" s="11" t="n">
        <f aca="false">IFERROR(M449/MEDIAN(INDEX($M$5:$M$665,MATCH($A449-90,$A$5:$A$665,1)):INDEX($M$5:$M$665,MATCH($A449+90,$A$5:$A$665,1))),"")</f>
        <v>0.979041546902038</v>
      </c>
      <c r="T449" s="11" t="n">
        <f aca="false">IFERROR(N449/MEDIAN(INDEX($N$5:$N$665,MATCH($A449-90,$A$5:$A$665,1)):INDEX($N$5:$N$665,MATCH($A449+90,$A$5:$A$665,1))),"")</f>
        <v>1.00073037970022</v>
      </c>
      <c r="U449" s="11" t="n">
        <f aca="false">IFERROR(Q449/MEDIAN(INDEX($Q$5:$Q$665,MATCH($A449-90,$A$5:$A$665,1)):INDEX($Q$5:$Q$665,MATCH($A449+90,$A$5:$A$665,1))),"")</f>
        <v>1.546199849936</v>
      </c>
    </row>
    <row r="450" customFormat="false" ht="15" hidden="false" customHeight="false" outlineLevel="0" collapsed="false">
      <c r="A450" s="13" t="n">
        <v>45520.5319105787</v>
      </c>
      <c r="B450" s="8" t="n">
        <v>12</v>
      </c>
      <c r="C450" s="8" t="s">
        <v>84</v>
      </c>
      <c r="D450" s="8" t="s">
        <v>1118</v>
      </c>
      <c r="E450" s="14" t="s">
        <v>66</v>
      </c>
      <c r="F450" s="9" t="n">
        <v>785914</v>
      </c>
      <c r="G450" s="9" t="n">
        <v>106763</v>
      </c>
      <c r="H450" s="9" t="n">
        <v>106825</v>
      </c>
      <c r="I450" s="9" t="n">
        <v>7594</v>
      </c>
      <c r="J450" s="9" t="n">
        <v>373</v>
      </c>
      <c r="K450" s="9" t="n">
        <v>46</v>
      </c>
      <c r="L450" s="9" t="n">
        <v>47</v>
      </c>
      <c r="M450" s="10" t="n">
        <f aca="false">IFERROR(G450/F450,"")</f>
        <v>0.135845652323282</v>
      </c>
      <c r="N450" s="10" t="n">
        <f aca="false">IFERROR(H450/G450,"")</f>
        <v>1.00058072553225</v>
      </c>
      <c r="O450" s="11" t="n">
        <f aca="false">IFERROR(I450/H450,"")</f>
        <v>0.0710882284109525</v>
      </c>
      <c r="P450" s="10" t="n">
        <f aca="false">IFERROR(J450/H450,"")</f>
        <v>0.00349169201965832</v>
      </c>
      <c r="Q450" s="10" t="n">
        <f aca="false">IFERROR(K450/H450,"")</f>
        <v>0.000430610812075825</v>
      </c>
      <c r="R450" s="10" t="n">
        <f aca="false">IFERROR(L450/H450,"")</f>
        <v>0.000439971916686169</v>
      </c>
      <c r="S450" s="11" t="n">
        <f aca="false">IFERROR(M450/MEDIAN(INDEX($M$5:$M$665,MATCH($A450-90,$A$5:$A$665,1)):INDEX($M$5:$M$665,MATCH($A450+90,$A$5:$A$665,1))),"")</f>
        <v>1.28719020868111</v>
      </c>
      <c r="T450" s="11" t="n">
        <f aca="false">IFERROR(N450/MEDIAN(INDEX($N$5:$N$665,MATCH($A450-90,$A$5:$A$665,1)):INDEX($N$5:$N$665,MATCH($A450+90,$A$5:$A$665,1))),"")</f>
        <v>0.999817162680311</v>
      </c>
      <c r="U450" s="11" t="n">
        <f aca="false">IFERROR(Q450/MEDIAN(INDEX($Q$5:$Q$665,MATCH($A450-90,$A$5:$A$665,1)):INDEX($Q$5:$Q$665,MATCH($A450+90,$A$5:$A$665,1))),"")</f>
        <v>1.34249208222415</v>
      </c>
    </row>
    <row r="451" customFormat="false" ht="15" hidden="false" customHeight="false" outlineLevel="0" collapsed="false">
      <c r="A451" s="13" t="n">
        <v>45533.4843675116</v>
      </c>
      <c r="B451" s="8" t="n">
        <v>11</v>
      </c>
      <c r="C451" s="8" t="s">
        <v>73</v>
      </c>
      <c r="D451" s="8" t="s">
        <v>1119</v>
      </c>
      <c r="E451" s="14" t="s">
        <v>66</v>
      </c>
      <c r="F451" s="9" t="n">
        <v>414755</v>
      </c>
      <c r="G451" s="9" t="n">
        <v>61435</v>
      </c>
      <c r="H451" s="9" t="n">
        <v>61467</v>
      </c>
      <c r="I451" s="9" t="n">
        <v>4499</v>
      </c>
      <c r="J451" s="9" t="n">
        <v>204</v>
      </c>
      <c r="K451" s="9" t="n">
        <v>27</v>
      </c>
      <c r="L451" s="9" t="n">
        <v>26</v>
      </c>
      <c r="M451" s="10" t="n">
        <f aca="false">IFERROR(G451/F451,"")</f>
        <v>0.148123591035672</v>
      </c>
      <c r="N451" s="10" t="n">
        <f aca="false">IFERROR(H451/G451,"")</f>
        <v>1.00052087572231</v>
      </c>
      <c r="O451" s="11" t="n">
        <f aca="false">IFERROR(I451/H451,"")</f>
        <v>0.0731937462378187</v>
      </c>
      <c r="P451" s="10" t="n">
        <f aca="false">IFERROR(J451/H451,"")</f>
        <v>0.00331885401922983</v>
      </c>
      <c r="Q451" s="10" t="n">
        <f aca="false">IFERROR(K451/H451,"")</f>
        <v>0.000439260090780419</v>
      </c>
      <c r="R451" s="10" t="n">
        <f aca="false">IFERROR(L451/H451,"")</f>
        <v>0.000422991198529292</v>
      </c>
      <c r="S451" s="11" t="n">
        <f aca="false">IFERROR(M451/MEDIAN(INDEX($M$5:$M$665,MATCH($A451-90,$A$5:$A$665,1)):INDEX($M$5:$M$665,MATCH($A451+90,$A$5:$A$665,1))),"")</f>
        <v>1.40666514967689</v>
      </c>
      <c r="T451" s="11" t="n">
        <f aca="false">IFERROR(N451/MEDIAN(INDEX($N$5:$N$665,MATCH($A451-90,$A$5:$A$665,1)):INDEX($N$5:$N$665,MATCH($A451+90,$A$5:$A$665,1))),"")</f>
        <v>0.999620841629792</v>
      </c>
      <c r="U451" s="11" t="n">
        <f aca="false">IFERROR(Q451/MEDIAN(INDEX($Q$5:$Q$665,MATCH($A451-90,$A$5:$A$665,1)):INDEX($Q$5:$Q$665,MATCH($A451+90,$A$5:$A$665,1))),"")</f>
        <v>1.24587407449377</v>
      </c>
    </row>
    <row r="452" customFormat="false" ht="15" hidden="false" customHeight="false" outlineLevel="0" collapsed="false">
      <c r="A452" s="13" t="n">
        <v>45562.6272049769</v>
      </c>
      <c r="B452" s="8" t="n">
        <v>15</v>
      </c>
      <c r="C452" s="8" t="s">
        <v>84</v>
      </c>
      <c r="D452" s="8" t="s">
        <v>1120</v>
      </c>
      <c r="E452" s="14" t="s">
        <v>66</v>
      </c>
      <c r="F452" s="9" t="n">
        <v>1226101</v>
      </c>
      <c r="G452" s="9" t="n">
        <v>170895</v>
      </c>
      <c r="H452" s="9" t="n">
        <v>170902</v>
      </c>
      <c r="I452" s="9" t="n">
        <v>7858</v>
      </c>
      <c r="J452" s="9" t="n">
        <v>300</v>
      </c>
      <c r="K452" s="9" t="n">
        <v>37</v>
      </c>
      <c r="L452" s="9" t="n">
        <v>63</v>
      </c>
      <c r="M452" s="10" t="n">
        <f aca="false">IFERROR(G452/F452,"")</f>
        <v>0.13938085035409</v>
      </c>
      <c r="N452" s="10" t="n">
        <f aca="false">IFERROR(H452/G452,"")</f>
        <v>1.0000409608239</v>
      </c>
      <c r="O452" s="11" t="n">
        <f aca="false">IFERROR(I452/H452,"")</f>
        <v>0.0459795672373641</v>
      </c>
      <c r="P452" s="10" t="n">
        <f aca="false">IFERROR(J452/H452,"")</f>
        <v>0.00175539197902892</v>
      </c>
      <c r="Q452" s="10" t="n">
        <f aca="false">IFERROR(K452/H452,"")</f>
        <v>0.000216498344080233</v>
      </c>
      <c r="R452" s="10" t="n">
        <f aca="false">IFERROR(L452/H452,"")</f>
        <v>0.000368632315596073</v>
      </c>
      <c r="S452" s="11" t="n">
        <f aca="false">IFERROR(M452/MEDIAN(INDEX($M$5:$M$665,MATCH($A452-90,$A$5:$A$665,1)):INDEX($M$5:$M$665,MATCH($A452+90,$A$5:$A$665,1))),"")</f>
        <v>1.45551122095989</v>
      </c>
      <c r="T452" s="11" t="n">
        <f aca="false">IFERROR(N452/MEDIAN(INDEX($N$5:$N$665,MATCH($A452-90,$A$5:$A$665,1)):INDEX($N$5:$N$665,MATCH($A452+90,$A$5:$A$665,1))),"")</f>
        <v>0.999460548564866</v>
      </c>
      <c r="U452" s="11" t="n">
        <f aca="false">IFERROR(Q452/MEDIAN(INDEX($Q$5:$Q$665,MATCH($A452-90,$A$5:$A$665,1)):INDEX($Q$5:$Q$665,MATCH($A452+90,$A$5:$A$665,1))),"")</f>
        <v>0.626474041653501</v>
      </c>
    </row>
    <row r="453" customFormat="false" ht="15" hidden="false" customHeight="false" outlineLevel="0" collapsed="false">
      <c r="A453" s="13" t="n">
        <v>45567.4664424306</v>
      </c>
      <c r="B453" s="8" t="n">
        <v>11</v>
      </c>
      <c r="C453" s="8" t="s">
        <v>71</v>
      </c>
      <c r="D453" s="8" t="s">
        <v>1121</v>
      </c>
      <c r="E453" s="14" t="s">
        <v>66</v>
      </c>
      <c r="F453" s="9" t="n">
        <v>758663</v>
      </c>
      <c r="G453" s="9" t="n">
        <v>70858</v>
      </c>
      <c r="H453" s="9" t="n">
        <v>70881</v>
      </c>
      <c r="I453" s="9" t="n">
        <v>1895</v>
      </c>
      <c r="J453" s="9" t="n">
        <v>118</v>
      </c>
      <c r="K453" s="9" t="n">
        <v>20</v>
      </c>
      <c r="L453" s="9" t="n">
        <v>13</v>
      </c>
      <c r="M453" s="10" t="n">
        <f aca="false">IFERROR(G453/F453,"")</f>
        <v>0.093398518182645</v>
      </c>
      <c r="N453" s="10" t="n">
        <f aca="false">IFERROR(H453/G453,"")</f>
        <v>1.00032459284767</v>
      </c>
      <c r="O453" s="11" t="n">
        <f aca="false">IFERROR(I453/H453,"")</f>
        <v>0.0267349501276788</v>
      </c>
      <c r="P453" s="10" t="n">
        <f aca="false">IFERROR(J453/H453,"")</f>
        <v>0.00166476206599794</v>
      </c>
      <c r="Q453" s="10" t="n">
        <f aca="false">IFERROR(K453/H453,"")</f>
        <v>0.000282163062033549</v>
      </c>
      <c r="R453" s="10" t="n">
        <f aca="false">IFERROR(L453/H453,"")</f>
        <v>0.000183405990321807</v>
      </c>
      <c r="S453" s="11" t="n">
        <f aca="false">IFERROR(M453/MEDIAN(INDEX($M$5:$M$665,MATCH($A453-90,$A$5:$A$665,1)):INDEX($M$5:$M$665,MATCH($A453+90,$A$5:$A$665,1))),"")</f>
        <v>0.977829402264353</v>
      </c>
      <c r="T453" s="11" t="n">
        <f aca="false">IFERROR(N453/MEDIAN(INDEX($N$5:$N$665,MATCH($A453-90,$A$5:$A$665,1)):INDEX($N$5:$N$665,MATCH($A453+90,$A$5:$A$665,1))),"")</f>
        <v>0.999664300781406</v>
      </c>
      <c r="U453" s="11" t="n">
        <f aca="false">IFERROR(Q453/MEDIAN(INDEX($Q$5:$Q$665,MATCH($A453-90,$A$5:$A$665,1)):INDEX($Q$5:$Q$665,MATCH($A453+90,$A$5:$A$665,1))),"")</f>
        <v>0.816210309323352</v>
      </c>
    </row>
    <row r="454" customFormat="false" ht="15" hidden="false" customHeight="false" outlineLevel="0" collapsed="false">
      <c r="A454" s="13" t="n">
        <v>45580.5200269329</v>
      </c>
      <c r="B454" s="8" t="n">
        <v>12</v>
      </c>
      <c r="C454" s="8" t="s">
        <v>64</v>
      </c>
      <c r="D454" s="8" t="s">
        <v>1122</v>
      </c>
      <c r="E454" s="14" t="s">
        <v>66</v>
      </c>
      <c r="F454" s="9" t="n">
        <v>105663</v>
      </c>
      <c r="G454" s="9" t="n">
        <v>8714</v>
      </c>
      <c r="H454" s="9" t="n">
        <v>8681</v>
      </c>
      <c r="I454" s="9" t="n">
        <v>911</v>
      </c>
      <c r="J454" s="9" t="n">
        <v>67</v>
      </c>
      <c r="K454" s="9" t="n">
        <v>3</v>
      </c>
      <c r="L454" s="9" t="n">
        <v>8</v>
      </c>
      <c r="M454" s="10" t="n">
        <f aca="false">IFERROR(G454/F454,"")</f>
        <v>0.0824697386975573</v>
      </c>
      <c r="N454" s="10" t="n">
        <f aca="false">IFERROR(H454/G454,"")</f>
        <v>0.996212990589855</v>
      </c>
      <c r="O454" s="11" t="n">
        <f aca="false">IFERROR(I454/H454,"")</f>
        <v>0.104941826978459</v>
      </c>
      <c r="P454" s="10" t="n">
        <f aca="false">IFERROR(J454/H454,"")</f>
        <v>0.00771800483815229</v>
      </c>
      <c r="Q454" s="10" t="n">
        <f aca="false">IFERROR(K454/H454,"")</f>
        <v>0.000345582306185923</v>
      </c>
      <c r="R454" s="10" t="n">
        <f aca="false">IFERROR(L454/H454,"")</f>
        <v>0.000921552816495795</v>
      </c>
      <c r="S454" s="11" t="n">
        <f aca="false">IFERROR(M454/MEDIAN(INDEX($M$5:$M$665,MATCH($A454-90,$A$5:$A$665,1)):INDEX($M$5:$M$665,MATCH($A454+90,$A$5:$A$665,1))),"")</f>
        <v>0.900482458805411</v>
      </c>
      <c r="T454" s="11" t="n">
        <f aca="false">IFERROR(N454/MEDIAN(INDEX($N$5:$N$665,MATCH($A454-90,$A$5:$A$665,1)):INDEX($N$5:$N$665,MATCH($A454+90,$A$5:$A$665,1))),"")</f>
        <v>0.995465511469471</v>
      </c>
      <c r="U454" s="11" t="n">
        <f aca="false">IFERROR(Q454/MEDIAN(INDEX($Q$5:$Q$665,MATCH($A454-90,$A$5:$A$665,1)):INDEX($Q$5:$Q$665,MATCH($A454+90,$A$5:$A$665,1))),"")</f>
        <v>1</v>
      </c>
    </row>
    <row r="455" customFormat="false" ht="15" hidden="false" customHeight="false" outlineLevel="0" collapsed="false">
      <c r="A455" s="13" t="n">
        <v>45586.3824228935</v>
      </c>
      <c r="B455" s="8" t="n">
        <v>9</v>
      </c>
      <c r="C455" s="8" t="s">
        <v>80</v>
      </c>
      <c r="D455" s="8" t="s">
        <v>1123</v>
      </c>
      <c r="E455" s="14" t="s">
        <v>66</v>
      </c>
      <c r="F455" s="9" t="n">
        <v>94994</v>
      </c>
      <c r="G455" s="9" t="n">
        <v>9440</v>
      </c>
      <c r="H455" s="9" t="n">
        <v>9458</v>
      </c>
      <c r="I455" s="9" t="n">
        <v>1333</v>
      </c>
      <c r="J455" s="9" t="n">
        <v>86</v>
      </c>
      <c r="K455" s="9" t="n">
        <v>15</v>
      </c>
      <c r="L455" s="9" t="n">
        <v>17</v>
      </c>
      <c r="M455" s="10" t="n">
        <f aca="false">IFERROR(G455/F455,"")</f>
        <v>0.0993746973493063</v>
      </c>
      <c r="N455" s="10" t="n">
        <f aca="false">IFERROR(H455/G455,"")</f>
        <v>1.00190677966102</v>
      </c>
      <c r="O455" s="11" t="n">
        <f aca="false">IFERROR(I455/H455,"")</f>
        <v>0.140938887714104</v>
      </c>
      <c r="P455" s="10" t="n">
        <f aca="false">IFERROR(J455/H455,"")</f>
        <v>0.00909283146542609</v>
      </c>
      <c r="Q455" s="10" t="n">
        <f aca="false">IFERROR(K455/H455,"")</f>
        <v>0.00158595897652781</v>
      </c>
      <c r="R455" s="10" t="n">
        <f aca="false">IFERROR(L455/H455,"")</f>
        <v>0.00179742017339818</v>
      </c>
      <c r="S455" s="11" t="n">
        <f aca="false">IFERROR(M455/MEDIAN(INDEX($M$5:$M$665,MATCH($A455-90,$A$5:$A$665,1)):INDEX($M$5:$M$665,MATCH($A455+90,$A$5:$A$665,1))),"")</f>
        <v>1.08506675570196</v>
      </c>
      <c r="T455" s="11" t="n">
        <f aca="false">IFERROR(N455/MEDIAN(INDEX($N$5:$N$665,MATCH($A455-90,$A$5:$A$665,1)):INDEX($N$5:$N$665,MATCH($A455+90,$A$5:$A$665,1))),"")</f>
        <v>1.00115502837345</v>
      </c>
      <c r="U455" s="11" t="n">
        <f aca="false">IFERROR(Q455/MEDIAN(INDEX($Q$5:$Q$665,MATCH($A455-90,$A$5:$A$665,1)):INDEX($Q$5:$Q$665,MATCH($A455+90,$A$5:$A$665,1))),"")</f>
        <v>4.5892366250793</v>
      </c>
    </row>
    <row r="456" customFormat="false" ht="15" hidden="false" customHeight="false" outlineLevel="0" collapsed="false">
      <c r="A456" s="13" t="n">
        <v>45589.531070787</v>
      </c>
      <c r="B456" s="8" t="n">
        <v>12</v>
      </c>
      <c r="C456" s="8" t="s">
        <v>73</v>
      </c>
      <c r="D456" s="8" t="s">
        <v>1124</v>
      </c>
      <c r="E456" s="14" t="s">
        <v>66</v>
      </c>
      <c r="F456" s="9" t="n">
        <v>514089</v>
      </c>
      <c r="G456" s="9" t="n">
        <v>58215</v>
      </c>
      <c r="H456" s="9" t="n">
        <v>58270</v>
      </c>
      <c r="I456" s="9" t="n">
        <v>2866</v>
      </c>
      <c r="J456" s="9" t="n">
        <v>159</v>
      </c>
      <c r="K456" s="9" t="n">
        <v>22</v>
      </c>
      <c r="L456" s="9" t="n">
        <v>19</v>
      </c>
      <c r="M456" s="10" t="n">
        <f aca="false">IFERROR(G456/F456,"")</f>
        <v>0.113239147307178</v>
      </c>
      <c r="N456" s="10" t="n">
        <f aca="false">IFERROR(H456/G456,"")</f>
        <v>1.00094477368376</v>
      </c>
      <c r="O456" s="11" t="n">
        <f aca="false">IFERROR(I456/H456,"")</f>
        <v>0.0491848292431783</v>
      </c>
      <c r="P456" s="10" t="n">
        <f aca="false">IFERROR(J456/H456,"")</f>
        <v>0.00272867684915051</v>
      </c>
      <c r="Q456" s="10" t="n">
        <f aca="false">IFERROR(K456/H456,"")</f>
        <v>0.000377552771580573</v>
      </c>
      <c r="R456" s="10" t="n">
        <f aca="false">IFERROR(L456/H456,"")</f>
        <v>0.000326068302728677</v>
      </c>
      <c r="S456" s="11" t="n">
        <f aca="false">IFERROR(M456/MEDIAN(INDEX($M$5:$M$665,MATCH($A456-90,$A$5:$A$665,1)):INDEX($M$5:$M$665,MATCH($A456+90,$A$5:$A$665,1))),"")</f>
        <v>1.23178464916559</v>
      </c>
      <c r="T456" s="11" t="n">
        <f aca="false">IFERROR(N456/MEDIAN(INDEX($N$5:$N$665,MATCH($A456-90,$A$5:$A$665,1)):INDEX($N$5:$N$665,MATCH($A456+90,$A$5:$A$665,1))),"")</f>
        <v>1.00019374420908</v>
      </c>
      <c r="U456" s="11" t="n">
        <f aca="false">IFERROR(Q456/MEDIAN(INDEX($Q$5:$Q$665,MATCH($A456-90,$A$5:$A$665,1)):INDEX($Q$5:$Q$665,MATCH($A456+90,$A$5:$A$665,1))),"")</f>
        <v>1.09177474319057</v>
      </c>
    </row>
    <row r="457" customFormat="false" ht="15" hidden="false" customHeight="false" outlineLevel="0" collapsed="false">
      <c r="A457" s="13" t="n">
        <v>45594.448149838</v>
      </c>
      <c r="B457" s="8" t="n">
        <v>10</v>
      </c>
      <c r="C457" s="8" t="s">
        <v>64</v>
      </c>
      <c r="D457" s="8" t="s">
        <v>1125</v>
      </c>
      <c r="E457" s="14" t="s">
        <v>66</v>
      </c>
      <c r="F457" s="9" t="n">
        <v>192614</v>
      </c>
      <c r="G457" s="9" t="n">
        <v>22076</v>
      </c>
      <c r="H457" s="9" t="n">
        <v>22122</v>
      </c>
      <c r="I457" s="9" t="n">
        <v>1007</v>
      </c>
      <c r="J457" s="9" t="n">
        <v>97</v>
      </c>
      <c r="K457" s="9" t="n">
        <v>6</v>
      </c>
      <c r="L457" s="9" t="n">
        <v>4</v>
      </c>
      <c r="M457" s="10" t="n">
        <f aca="false">IFERROR(G457/F457,"")</f>
        <v>0.114612644979077</v>
      </c>
      <c r="N457" s="10" t="n">
        <f aca="false">IFERROR(H457/G457,"")</f>
        <v>1.00208371081718</v>
      </c>
      <c r="O457" s="11" t="n">
        <f aca="false">IFERROR(I457/H457,"")</f>
        <v>0.0455202965373836</v>
      </c>
      <c r="P457" s="10" t="n">
        <f aca="false">IFERROR(J457/H457,"")</f>
        <v>0.00438477533676883</v>
      </c>
      <c r="Q457" s="10" t="n">
        <f aca="false">IFERROR(K457/H457,"")</f>
        <v>0.00027122321670735</v>
      </c>
      <c r="R457" s="10" t="n">
        <f aca="false">IFERROR(L457/H457,"")</f>
        <v>0.0001808154778049</v>
      </c>
      <c r="S457" s="11" t="n">
        <f aca="false">IFERROR(M457/MEDIAN(INDEX($M$5:$M$665,MATCH($A457-90,$A$5:$A$665,1)):INDEX($M$5:$M$665,MATCH($A457+90,$A$5:$A$665,1))),"")</f>
        <v>1.23685282126524</v>
      </c>
      <c r="T457" s="11" t="n">
        <f aca="false">IFERROR(N457/MEDIAN(INDEX($N$5:$N$665,MATCH($A457-90,$A$5:$A$665,1)):INDEX($N$5:$N$665,MATCH($A457+90,$A$5:$A$665,1))),"")</f>
        <v>1.00125915473832</v>
      </c>
      <c r="U457" s="11" t="n">
        <f aca="false">IFERROR(Q457/MEDIAN(INDEX($Q$5:$Q$665,MATCH($A457-90,$A$5:$A$665,1)):INDEX($Q$5:$Q$665,MATCH($A457+90,$A$5:$A$665,1))),"")</f>
        <v>0.761336795190934</v>
      </c>
    </row>
    <row r="458" customFormat="false" ht="15" hidden="false" customHeight="false" outlineLevel="0" collapsed="false">
      <c r="A458" s="13" t="n">
        <v>45601.5255693519</v>
      </c>
      <c r="B458" s="8" t="n">
        <v>12</v>
      </c>
      <c r="C458" s="8" t="s">
        <v>64</v>
      </c>
      <c r="D458" s="8" t="s">
        <v>1126</v>
      </c>
      <c r="E458" s="14" t="s">
        <v>66</v>
      </c>
      <c r="F458" s="9" t="n">
        <v>682748</v>
      </c>
      <c r="G458" s="9" t="n">
        <v>54908</v>
      </c>
      <c r="H458" s="9" t="n">
        <v>54955</v>
      </c>
      <c r="I458" s="9" t="n">
        <v>2147</v>
      </c>
      <c r="J458" s="9" t="n">
        <v>120</v>
      </c>
      <c r="K458" s="9" t="n">
        <v>52</v>
      </c>
      <c r="L458" s="9" t="n">
        <v>11</v>
      </c>
      <c r="M458" s="10" t="n">
        <f aca="false">IFERROR(G458/F458,"")</f>
        <v>0.0804220590906162</v>
      </c>
      <c r="N458" s="10" t="n">
        <f aca="false">IFERROR(H458/G458,"")</f>
        <v>1.00085597727107</v>
      </c>
      <c r="O458" s="11" t="n">
        <f aca="false">IFERROR(I458/H458,"")</f>
        <v>0.0390683286325175</v>
      </c>
      <c r="P458" s="10" t="n">
        <f aca="false">IFERROR(J458/H458,"")</f>
        <v>0.00218360476753708</v>
      </c>
      <c r="Q458" s="10" t="n">
        <f aca="false">IFERROR(K458/H458,"")</f>
        <v>0.0009462287325994</v>
      </c>
      <c r="R458" s="10" t="n">
        <f aca="false">IFERROR(L458/H458,"")</f>
        <v>0.000200163770357565</v>
      </c>
      <c r="S458" s="11" t="n">
        <f aca="false">IFERROR(M458/MEDIAN(INDEX($M$5:$M$665,MATCH($A458-90,$A$5:$A$665,1)):INDEX($M$5:$M$665,MATCH($A458+90,$A$5:$A$665,1))),"")</f>
        <v>0.867881992395751</v>
      </c>
      <c r="T458" s="11" t="n">
        <f aca="false">IFERROR(N458/MEDIAN(INDEX($N$5:$N$665,MATCH($A458-90,$A$5:$A$665,1)):INDEX($N$5:$N$665,MATCH($A458+90,$A$5:$A$665,1))),"")</f>
        <v>1.00008493928231</v>
      </c>
      <c r="U458" s="11" t="n">
        <f aca="false">IFERROR(Q458/MEDIAN(INDEX($Q$5:$Q$665,MATCH($A458-90,$A$5:$A$665,1)):INDEX($Q$5:$Q$665,MATCH($A458+90,$A$5:$A$665,1))),"")</f>
        <v>2.65611019418045</v>
      </c>
    </row>
    <row r="459" customFormat="false" ht="15" hidden="false" customHeight="false" outlineLevel="0" collapsed="false">
      <c r="A459" s="13" t="n">
        <v>45603.485003044</v>
      </c>
      <c r="B459" s="8" t="n">
        <v>11</v>
      </c>
      <c r="C459" s="8" t="s">
        <v>73</v>
      </c>
      <c r="D459" s="8" t="s">
        <v>1127</v>
      </c>
      <c r="E459" s="14" t="s">
        <v>66</v>
      </c>
      <c r="F459" s="9" t="n">
        <v>342865</v>
      </c>
      <c r="G459" s="9" t="n">
        <v>19317</v>
      </c>
      <c r="H459" s="9" t="n">
        <v>19345</v>
      </c>
      <c r="I459" s="9" t="n">
        <v>677</v>
      </c>
      <c r="J459" s="9" t="n">
        <v>75</v>
      </c>
      <c r="K459" s="9" t="n">
        <v>11</v>
      </c>
      <c r="L459" s="9" t="n">
        <v>9</v>
      </c>
      <c r="M459" s="10" t="n">
        <f aca="false">IFERROR(G459/F459,"")</f>
        <v>0.0563399588759424</v>
      </c>
      <c r="N459" s="10" t="n">
        <f aca="false">IFERROR(H459/G459,"")</f>
        <v>1.00144950044003</v>
      </c>
      <c r="O459" s="11" t="n">
        <f aca="false">IFERROR(I459/H459,"")</f>
        <v>0.0349961230292065</v>
      </c>
      <c r="P459" s="10" t="n">
        <f aca="false">IFERROR(J459/H459,"")</f>
        <v>0.00387697079348669</v>
      </c>
      <c r="Q459" s="10" t="n">
        <f aca="false">IFERROR(K459/H459,"")</f>
        <v>0.000568622383044714</v>
      </c>
      <c r="R459" s="10" t="n">
        <f aca="false">IFERROR(L459/H459,"")</f>
        <v>0.000465236495218403</v>
      </c>
      <c r="S459" s="11" t="n">
        <f aca="false">IFERROR(M459/MEDIAN(INDEX($M$5:$M$665,MATCH($A459-90,$A$5:$A$665,1)):INDEX($M$5:$M$665,MATCH($A459+90,$A$5:$A$665,1))),"")</f>
        <v>0.603221121407591</v>
      </c>
      <c r="T459" s="11" t="n">
        <f aca="false">IFERROR(N459/MEDIAN(INDEX($N$5:$N$665,MATCH($A459-90,$A$5:$A$665,1)):INDEX($N$5:$N$665,MATCH($A459+90,$A$5:$A$665,1))),"")</f>
        <v>1.0006579189754</v>
      </c>
      <c r="U459" s="11" t="n">
        <f aca="false">IFERROR(Q459/MEDIAN(INDEX($Q$5:$Q$665,MATCH($A459-90,$A$5:$A$665,1)):INDEX($Q$5:$Q$665,MATCH($A459+90,$A$5:$A$665,1))),"")</f>
        <v>1.55074696303955</v>
      </c>
    </row>
    <row r="460" customFormat="false" ht="15" hidden="false" customHeight="false" outlineLevel="0" collapsed="false">
      <c r="A460" s="13" t="n">
        <v>45631.6176474421</v>
      </c>
      <c r="B460" s="8" t="n">
        <v>14</v>
      </c>
      <c r="C460" s="8" t="s">
        <v>73</v>
      </c>
      <c r="D460" s="8" t="s">
        <v>1128</v>
      </c>
      <c r="E460" s="14" t="s">
        <v>66</v>
      </c>
      <c r="F460" s="9" t="n">
        <v>591494</v>
      </c>
      <c r="G460" s="9" t="n">
        <v>40452</v>
      </c>
      <c r="H460" s="9" t="n">
        <v>40484</v>
      </c>
      <c r="I460" s="9" t="n">
        <v>1689</v>
      </c>
      <c r="J460" s="9" t="n">
        <v>130</v>
      </c>
      <c r="K460" s="9" t="n">
        <v>14</v>
      </c>
      <c r="L460" s="9" t="n">
        <v>10</v>
      </c>
      <c r="M460" s="10" t="n">
        <f aca="false">IFERROR(G460/F460,"")</f>
        <v>0.0683895356504039</v>
      </c>
      <c r="N460" s="10" t="n">
        <f aca="false">IFERROR(H460/G460,"")</f>
        <v>1.00079106101058</v>
      </c>
      <c r="O460" s="11" t="n">
        <f aca="false">IFERROR(I460/H460,"")</f>
        <v>0.041720185752396</v>
      </c>
      <c r="P460" s="10" t="n">
        <f aca="false">IFERROR(J460/H460,"")</f>
        <v>0.0032111451437605</v>
      </c>
      <c r="Q460" s="10" t="n">
        <f aca="false">IFERROR(K460/H460,"")</f>
        <v>0.000345815630866515</v>
      </c>
      <c r="R460" s="10" t="n">
        <f aca="false">IFERROR(L460/H460,"")</f>
        <v>0.000247011164904654</v>
      </c>
      <c r="S460" s="11" t="n">
        <f aca="false">IFERROR(M460/MEDIAN(INDEX($M$5:$M$665,MATCH($A460-90,$A$5:$A$665,1)):INDEX($M$5:$M$665,MATCH($A460+90,$A$5:$A$665,1))),"")</f>
        <v>0.755476552717618</v>
      </c>
      <c r="T460" s="11" t="n">
        <f aca="false">IFERROR(N460/MEDIAN(INDEX($N$5:$N$665,MATCH($A460-90,$A$5:$A$665,1)):INDEX($N$5:$N$665,MATCH($A460+90,$A$5:$A$665,1))),"")</f>
        <v>0.999846432413436</v>
      </c>
      <c r="U460" s="11" t="n">
        <f aca="false">IFERROR(Q460/MEDIAN(INDEX($Q$5:$Q$665,MATCH($A460-90,$A$5:$A$665,1)):INDEX($Q$5:$Q$665,MATCH($A460+90,$A$5:$A$665,1))),"")</f>
        <v>1.21483384382307</v>
      </c>
    </row>
    <row r="461" customFormat="false" ht="15" hidden="false" customHeight="false" outlineLevel="0" collapsed="false">
      <c r="A461" s="13" t="n">
        <v>45633.4917862732</v>
      </c>
      <c r="B461" s="8" t="n">
        <v>11</v>
      </c>
      <c r="C461" s="8" t="s">
        <v>68</v>
      </c>
      <c r="D461" s="8" t="s">
        <v>1129</v>
      </c>
      <c r="E461" s="14" t="s">
        <v>66</v>
      </c>
      <c r="F461" s="9" t="n">
        <v>203412</v>
      </c>
      <c r="G461" s="9" t="n">
        <v>13875</v>
      </c>
      <c r="H461" s="9" t="n">
        <v>13636</v>
      </c>
      <c r="I461" s="9" t="n">
        <v>1014</v>
      </c>
      <c r="J461" s="9" t="n">
        <v>72</v>
      </c>
      <c r="K461" s="9" t="n">
        <v>5</v>
      </c>
      <c r="L461" s="9" t="n">
        <v>5</v>
      </c>
      <c r="M461" s="10" t="n">
        <f aca="false">IFERROR(G461/F461,"")</f>
        <v>0.0682113149666686</v>
      </c>
      <c r="N461" s="10" t="n">
        <f aca="false">IFERROR(H461/G461,"")</f>
        <v>0.982774774774775</v>
      </c>
      <c r="O461" s="11" t="n">
        <f aca="false">IFERROR(I461/H461,"")</f>
        <v>0.074361982986213</v>
      </c>
      <c r="P461" s="10" t="n">
        <f aca="false">IFERROR(J461/H461,"")</f>
        <v>0.00528014080375477</v>
      </c>
      <c r="Q461" s="10" t="n">
        <f aca="false">IFERROR(K461/H461,"")</f>
        <v>0.000366676444705192</v>
      </c>
      <c r="R461" s="10" t="n">
        <f aca="false">IFERROR(L461/H461,"")</f>
        <v>0.000366676444705192</v>
      </c>
      <c r="S461" s="11" t="n">
        <f aca="false">IFERROR(M461/MEDIAN(INDEX($M$5:$M$665,MATCH($A461-90,$A$5:$A$665,1)):INDEX($M$5:$M$665,MATCH($A461+90,$A$5:$A$665,1))),"")</f>
        <v>0.747701572583493</v>
      </c>
      <c r="T461" s="11" t="n">
        <f aca="false">IFERROR(N461/MEDIAN(INDEX($N$5:$N$665,MATCH($A461-90,$A$5:$A$665,1)):INDEX($N$5:$N$665,MATCH($A461+90,$A$5:$A$665,1))),"")</f>
        <v>0.981701711712893</v>
      </c>
      <c r="U461" s="11" t="n">
        <f aca="false">IFERROR(Q461/MEDIAN(INDEX($Q$5:$Q$665,MATCH($A461-90,$A$5:$A$665,1)):INDEX($Q$5:$Q$665,MATCH($A461+90,$A$5:$A$665,1))),"")</f>
        <v>1.22545882656506</v>
      </c>
    </row>
    <row r="462" customFormat="false" ht="15" hidden="false" customHeight="false" outlineLevel="0" collapsed="false">
      <c r="A462" s="13" t="n">
        <v>45636.4222082639</v>
      </c>
      <c r="B462" s="8" t="n">
        <v>10</v>
      </c>
      <c r="C462" s="8" t="s">
        <v>64</v>
      </c>
      <c r="D462" s="8" t="s">
        <v>1130</v>
      </c>
      <c r="E462" s="14" t="s">
        <v>66</v>
      </c>
      <c r="F462" s="9" t="n">
        <v>357537</v>
      </c>
      <c r="G462" s="9" t="n">
        <v>28558</v>
      </c>
      <c r="H462" s="9" t="n">
        <v>28566</v>
      </c>
      <c r="I462" s="9" t="n">
        <v>1126</v>
      </c>
      <c r="J462" s="9" t="n">
        <v>91</v>
      </c>
      <c r="K462" s="9" t="n">
        <v>3</v>
      </c>
      <c r="L462" s="9" t="n">
        <v>6</v>
      </c>
      <c r="M462" s="10" t="n">
        <f aca="false">IFERROR(G462/F462,"")</f>
        <v>0.0798742507768427</v>
      </c>
      <c r="N462" s="10" t="n">
        <f aca="false">IFERROR(H462/G462,"")</f>
        <v>1.00028013166188</v>
      </c>
      <c r="O462" s="11" t="n">
        <f aca="false">IFERROR(I462/H462,"")</f>
        <v>0.0394174893229714</v>
      </c>
      <c r="P462" s="10" t="n">
        <f aca="false">IFERROR(J462/H462,"")</f>
        <v>0.00318560526500035</v>
      </c>
      <c r="Q462" s="10" t="n">
        <f aca="false">IFERROR(K462/H462,"")</f>
        <v>0.00010501995379122</v>
      </c>
      <c r="R462" s="10" t="n">
        <f aca="false">IFERROR(L462/H462,"")</f>
        <v>0.000210039907582441</v>
      </c>
      <c r="S462" s="11" t="n">
        <f aca="false">IFERROR(M462/MEDIAN(INDEX($M$5:$M$665,MATCH($A462-90,$A$5:$A$665,1)):INDEX($M$5:$M$665,MATCH($A462+90,$A$5:$A$665,1))),"")</f>
        <v>0.875545398061256</v>
      </c>
      <c r="T462" s="11" t="n">
        <f aca="false">IFERROR(N462/MEDIAN(INDEX($N$5:$N$665,MATCH($A462-90,$A$5:$A$665,1)):INDEX($N$5:$N$665,MATCH($A462+90,$A$5:$A$665,1))),"")</f>
        <v>0.999187955012286</v>
      </c>
      <c r="U462" s="11" t="n">
        <f aca="false">IFERROR(Q462/MEDIAN(INDEX($Q$5:$Q$665,MATCH($A462-90,$A$5:$A$665,1)):INDEX($Q$5:$Q$665,MATCH($A462+90,$A$5:$A$665,1))),"")</f>
        <v>0.350984174733064</v>
      </c>
    </row>
    <row r="463" customFormat="false" ht="15" hidden="false" customHeight="false" outlineLevel="0" collapsed="false">
      <c r="A463" s="13" t="n">
        <v>45638.5103050347</v>
      </c>
      <c r="B463" s="8" t="n">
        <v>12</v>
      </c>
      <c r="C463" s="8" t="s">
        <v>73</v>
      </c>
      <c r="D463" s="8" t="s">
        <v>1098</v>
      </c>
      <c r="E463" s="14" t="s">
        <v>66</v>
      </c>
      <c r="F463" s="9" t="n">
        <v>1441500</v>
      </c>
      <c r="G463" s="9" t="n">
        <v>147525</v>
      </c>
      <c r="H463" s="9" t="n">
        <v>147544</v>
      </c>
      <c r="I463" s="9" t="n">
        <v>8481</v>
      </c>
      <c r="J463" s="9" t="n">
        <v>277</v>
      </c>
      <c r="K463" s="9" t="n">
        <v>42</v>
      </c>
      <c r="L463" s="9" t="n">
        <v>31</v>
      </c>
      <c r="M463" s="10" t="n">
        <f aca="false">IFERROR(G463/F463,"")</f>
        <v>0.102341311134235</v>
      </c>
      <c r="N463" s="10" t="n">
        <f aca="false">IFERROR(H463/G463,"")</f>
        <v>1.00012879173022</v>
      </c>
      <c r="O463" s="11" t="n">
        <f aca="false">IFERROR(I463/H463,"")</f>
        <v>0.0574811581629887</v>
      </c>
      <c r="P463" s="10" t="n">
        <f aca="false">IFERROR(J463/H463,"")</f>
        <v>0.00187740606192051</v>
      </c>
      <c r="Q463" s="10" t="n">
        <f aca="false">IFERROR(K463/H463,"")</f>
        <v>0.000284660846933796</v>
      </c>
      <c r="R463" s="10" t="n">
        <f aca="false">IFERROR(L463/H463,"")</f>
        <v>0.000210106815593992</v>
      </c>
      <c r="S463" s="11" t="n">
        <f aca="false">IFERROR(M463/MEDIAN(INDEX($M$5:$M$665,MATCH($A463-90,$A$5:$A$665,1)):INDEX($M$5:$M$665,MATCH($A463+90,$A$5:$A$665,1))),"")</f>
        <v>1.1305305731497</v>
      </c>
      <c r="T463" s="11" t="n">
        <f aca="false">IFERROR(N463/MEDIAN(INDEX($N$5:$N$665,MATCH($A463-90,$A$5:$A$665,1)):INDEX($N$5:$N$665,MATCH($A463+90,$A$5:$A$665,1))),"")</f>
        <v>0.998888816253398</v>
      </c>
      <c r="U463" s="11" t="n">
        <f aca="false">IFERROR(Q463/MEDIAN(INDEX($Q$5:$Q$665,MATCH($A463-90,$A$5:$A$665,1)):INDEX($Q$5:$Q$665,MATCH($A463+90,$A$5:$A$665,1))),"")</f>
        <v>1</v>
      </c>
    </row>
    <row r="464" customFormat="false" ht="15" hidden="false" customHeight="false" outlineLevel="0" collapsed="false">
      <c r="A464" s="13" t="n">
        <v>45640.5396009954</v>
      </c>
      <c r="B464" s="8" t="n">
        <v>12</v>
      </c>
      <c r="C464" s="8" t="s">
        <v>68</v>
      </c>
      <c r="D464" s="8" t="s">
        <v>1131</v>
      </c>
      <c r="E464" s="14" t="s">
        <v>66</v>
      </c>
      <c r="F464" s="9" t="n">
        <v>1475949</v>
      </c>
      <c r="G464" s="9" t="n">
        <v>140616</v>
      </c>
      <c r="H464" s="9" t="n">
        <v>140646</v>
      </c>
      <c r="I464" s="9" t="n">
        <v>7492</v>
      </c>
      <c r="J464" s="9" t="n">
        <v>300</v>
      </c>
      <c r="K464" s="9" t="n">
        <v>72</v>
      </c>
      <c r="L464" s="9" t="n">
        <v>38</v>
      </c>
      <c r="M464" s="10" t="n">
        <f aca="false">IFERROR(G464/F464,"")</f>
        <v>0.0952715845872723</v>
      </c>
      <c r="N464" s="10" t="n">
        <f aca="false">IFERROR(H464/G464,"")</f>
        <v>1.00021334698754</v>
      </c>
      <c r="O464" s="11" t="n">
        <f aca="false">IFERROR(I464/H464,"")</f>
        <v>0.0532684896833184</v>
      </c>
      <c r="P464" s="10" t="n">
        <f aca="false">IFERROR(J464/H464,"")</f>
        <v>0.00213301480312273</v>
      </c>
      <c r="Q464" s="10" t="n">
        <f aca="false">IFERROR(K464/H464,"")</f>
        <v>0.000511923552749456</v>
      </c>
      <c r="R464" s="10" t="n">
        <f aca="false">IFERROR(L464/H464,"")</f>
        <v>0.000270181875062213</v>
      </c>
      <c r="S464" s="11" t="n">
        <f aca="false">IFERROR(M464/MEDIAN(INDEX($M$5:$M$665,MATCH($A464-90,$A$5:$A$665,1)):INDEX($M$5:$M$665,MATCH($A464+90,$A$5:$A$665,1))),"")</f>
        <v>1.05243364516853</v>
      </c>
      <c r="T464" s="11" t="n">
        <f aca="false">IFERROR(N464/MEDIAN(INDEX($N$5:$N$665,MATCH($A464-90,$A$5:$A$665,1)):INDEX($N$5:$N$665,MATCH($A464+90,$A$5:$A$665,1))),"")</f>
        <v>0.998973266677779</v>
      </c>
      <c r="U464" s="11" t="n">
        <f aca="false">IFERROR(Q464/MEDIAN(INDEX($Q$5:$Q$665,MATCH($A464-90,$A$5:$A$665,1)):INDEX($Q$5:$Q$665,MATCH($A464+90,$A$5:$A$665,1))),"")</f>
        <v>1.7983630634968</v>
      </c>
    </row>
    <row r="465" customFormat="false" ht="15" hidden="false" customHeight="false" outlineLevel="0" collapsed="false">
      <c r="A465" s="13" t="n">
        <v>45643.5234095486</v>
      </c>
      <c r="B465" s="8" t="n">
        <v>12</v>
      </c>
      <c r="C465" s="8" t="s">
        <v>64</v>
      </c>
      <c r="D465" s="8" t="s">
        <v>1132</v>
      </c>
      <c r="E465" s="14" t="s">
        <v>66</v>
      </c>
      <c r="F465" s="9" t="n">
        <v>1111070</v>
      </c>
      <c r="G465" s="9" t="n">
        <v>81737</v>
      </c>
      <c r="H465" s="9" t="n">
        <v>81794</v>
      </c>
      <c r="I465" s="9" t="n">
        <v>3188</v>
      </c>
      <c r="J465" s="9" t="n">
        <v>226</v>
      </c>
      <c r="K465" s="9" t="n">
        <v>17</v>
      </c>
      <c r="L465" s="9" t="n">
        <v>24</v>
      </c>
      <c r="M465" s="10" t="n">
        <f aca="false">IFERROR(G465/F465,"")</f>
        <v>0.0735660219428119</v>
      </c>
      <c r="N465" s="10" t="n">
        <f aca="false">IFERROR(H465/G465,"")</f>
        <v>1.00069735860137</v>
      </c>
      <c r="O465" s="11" t="n">
        <f aca="false">IFERROR(I465/H465,"")</f>
        <v>0.0389759640071399</v>
      </c>
      <c r="P465" s="10" t="n">
        <f aca="false">IFERROR(J465/H465,"")</f>
        <v>0.00276303885370565</v>
      </c>
      <c r="Q465" s="10" t="n">
        <f aca="false">IFERROR(K465/H465,"")</f>
        <v>0.000207839205809717</v>
      </c>
      <c r="R465" s="10" t="n">
        <f aca="false">IFERROR(L465/H465,"")</f>
        <v>0.000293420055260777</v>
      </c>
      <c r="S465" s="11" t="n">
        <f aca="false">IFERROR(M465/MEDIAN(INDEX($M$5:$M$665,MATCH($A465-90,$A$5:$A$665,1)):INDEX($M$5:$M$665,MATCH($A465+90,$A$5:$A$665,1))),"")</f>
        <v>0.8126594825648</v>
      </c>
      <c r="T465" s="11" t="n">
        <f aca="false">IFERROR(N465/MEDIAN(INDEX($N$5:$N$665,MATCH($A465-90,$A$5:$A$665,1)):INDEX($N$5:$N$665,MATCH($A465+90,$A$5:$A$665,1))),"")</f>
        <v>0.999456678206361</v>
      </c>
      <c r="U465" s="11" t="n">
        <f aca="false">IFERROR(Q465/MEDIAN(INDEX($Q$5:$Q$665,MATCH($A465-90,$A$5:$A$665,1)):INDEX($Q$5:$Q$665,MATCH($A465+90,$A$5:$A$665,1))),"")</f>
        <v>0.730129232904498</v>
      </c>
    </row>
    <row r="466" customFormat="false" ht="15" hidden="false" customHeight="false" outlineLevel="0" collapsed="false">
      <c r="A466" s="13" t="n">
        <v>45645.4199998958</v>
      </c>
      <c r="B466" s="8" t="n">
        <v>10</v>
      </c>
      <c r="C466" s="8" t="s">
        <v>73</v>
      </c>
      <c r="D466" s="8" t="s">
        <v>1098</v>
      </c>
      <c r="E466" s="14" t="s">
        <v>66</v>
      </c>
      <c r="F466" s="9" t="n">
        <v>857008</v>
      </c>
      <c r="G466" s="9" t="n">
        <v>65740</v>
      </c>
      <c r="H466" s="9" t="n">
        <v>65781</v>
      </c>
      <c r="I466" s="9" t="n">
        <v>2084</v>
      </c>
      <c r="J466" s="9" t="n">
        <v>247</v>
      </c>
      <c r="K466" s="9" t="n">
        <v>12</v>
      </c>
      <c r="L466" s="9" t="n">
        <v>15</v>
      </c>
      <c r="M466" s="10" t="n">
        <f aca="false">IFERROR(G466/F466,"")</f>
        <v>0.0767087355077199</v>
      </c>
      <c r="N466" s="10" t="n">
        <f aca="false">IFERROR(H466/G466,"")</f>
        <v>1.00062366899909</v>
      </c>
      <c r="O466" s="11" t="n">
        <f aca="false">IFERROR(I466/H466,"")</f>
        <v>0.0316808804974081</v>
      </c>
      <c r="P466" s="10" t="n">
        <f aca="false">IFERROR(J466/H466,"")</f>
        <v>0.00375488362901142</v>
      </c>
      <c r="Q466" s="10" t="n">
        <f aca="false">IFERROR(K466/H466,"")</f>
        <v>0.000182423496146304</v>
      </c>
      <c r="R466" s="10" t="n">
        <f aca="false">IFERROR(L466/H466,"")</f>
        <v>0.00022802937018288</v>
      </c>
      <c r="S466" s="11" t="n">
        <f aca="false">IFERROR(M466/MEDIAN(INDEX($M$5:$M$665,MATCH($A466-90,$A$5:$A$665,1)):INDEX($M$5:$M$665,MATCH($A466+90,$A$5:$A$665,1))),"")</f>
        <v>0.847375998587549</v>
      </c>
      <c r="T466" s="11" t="n">
        <f aca="false">IFERROR(N466/MEDIAN(INDEX($N$5:$N$665,MATCH($A466-90,$A$5:$A$665,1)):INDEX($N$5:$N$665,MATCH($A466+90,$A$5:$A$665,1))),"")</f>
        <v>0.999383079965614</v>
      </c>
      <c r="U466" s="11" t="n">
        <f aca="false">IFERROR(Q466/MEDIAN(INDEX($Q$5:$Q$665,MATCH($A466-90,$A$5:$A$665,1)):INDEX($Q$5:$Q$665,MATCH($A466+90,$A$5:$A$665,1))),"")</f>
        <v>0.640845055128815</v>
      </c>
    </row>
    <row r="467" customFormat="false" ht="15" hidden="false" customHeight="false" outlineLevel="0" collapsed="false">
      <c r="A467" s="13" t="n">
        <v>45647.4730607292</v>
      </c>
      <c r="B467" s="8" t="n">
        <v>11</v>
      </c>
      <c r="C467" s="8" t="s">
        <v>68</v>
      </c>
      <c r="D467" s="8" t="s">
        <v>1133</v>
      </c>
      <c r="E467" s="14" t="s">
        <v>66</v>
      </c>
      <c r="F467" s="9" t="n">
        <v>855133</v>
      </c>
      <c r="G467" s="9" t="n">
        <v>74754</v>
      </c>
      <c r="H467" s="9" t="n">
        <v>74786</v>
      </c>
      <c r="I467" s="9" t="n">
        <v>2651</v>
      </c>
      <c r="J467" s="9" t="n">
        <v>228</v>
      </c>
      <c r="K467" s="9" t="n">
        <v>14</v>
      </c>
      <c r="L467" s="9" t="n">
        <v>27</v>
      </c>
      <c r="M467" s="10" t="n">
        <f aca="false">IFERROR(G467/F467,"")</f>
        <v>0.0874179805948314</v>
      </c>
      <c r="N467" s="10" t="n">
        <f aca="false">IFERROR(H467/G467,"")</f>
        <v>1.00042807073869</v>
      </c>
      <c r="O467" s="11" t="n">
        <f aca="false">IFERROR(I467/H467,"")</f>
        <v>0.0354478110876367</v>
      </c>
      <c r="P467" s="10" t="n">
        <f aca="false">IFERROR(J467/H467,"")</f>
        <v>0.00304869895434974</v>
      </c>
      <c r="Q467" s="10" t="n">
        <f aca="false">IFERROR(K467/H467,"")</f>
        <v>0.000187200812986388</v>
      </c>
      <c r="R467" s="10" t="n">
        <f aca="false">IFERROR(L467/H467,"")</f>
        <v>0.000361030139330891</v>
      </c>
      <c r="S467" s="11" t="n">
        <f aca="false">IFERROR(M467/MEDIAN(INDEX($M$5:$M$665,MATCH($A467-90,$A$5:$A$665,1)):INDEX($M$5:$M$665,MATCH($A467+90,$A$5:$A$665,1))),"")</f>
        <v>0.965677482632957</v>
      </c>
      <c r="T467" s="11" t="n">
        <f aca="false">IFERROR(N467/MEDIAN(INDEX($N$5:$N$665,MATCH($A467-90,$A$5:$A$665,1)):INDEX($N$5:$N$665,MATCH($A467+90,$A$5:$A$665,1))),"")</f>
        <v>0.999187724211029</v>
      </c>
      <c r="U467" s="11" t="n">
        <f aca="false">IFERROR(Q467/MEDIAN(INDEX($Q$5:$Q$665,MATCH($A467-90,$A$5:$A$665,1)):INDEX($Q$5:$Q$665,MATCH($A467+90,$A$5:$A$665,1))),"")</f>
        <v>0.657627541696752</v>
      </c>
    </row>
    <row r="468" customFormat="false" ht="15" hidden="false" customHeight="false" outlineLevel="0" collapsed="false">
      <c r="A468" s="13" t="n">
        <v>45650.4630031482</v>
      </c>
      <c r="B468" s="8" t="n">
        <v>11</v>
      </c>
      <c r="C468" s="8" t="s">
        <v>64</v>
      </c>
      <c r="D468" s="8" t="s">
        <v>1134</v>
      </c>
      <c r="E468" s="14" t="s">
        <v>66</v>
      </c>
      <c r="F468" s="9" t="n">
        <v>565715</v>
      </c>
      <c r="G468" s="9" t="n">
        <v>37393</v>
      </c>
      <c r="H468" s="9" t="n">
        <v>37491</v>
      </c>
      <c r="I468" s="9" t="n">
        <v>513</v>
      </c>
      <c r="J468" s="9" t="n">
        <v>58</v>
      </c>
      <c r="K468" s="9" t="n">
        <v>18</v>
      </c>
      <c r="L468" s="9" t="n">
        <v>11</v>
      </c>
      <c r="M468" s="10" t="n">
        <f aca="false">IFERROR(G468/F468,"")</f>
        <v>0.066098653915841</v>
      </c>
      <c r="N468" s="10" t="n">
        <f aca="false">IFERROR(H468/G468,"")</f>
        <v>1.00262081138181</v>
      </c>
      <c r="O468" s="11" t="n">
        <f aca="false">IFERROR(I468/H468,"")</f>
        <v>0.0136832839881572</v>
      </c>
      <c r="P468" s="10" t="n">
        <f aca="false">IFERROR(J468/H468,"")</f>
        <v>0.00154703795577605</v>
      </c>
      <c r="Q468" s="10" t="n">
        <f aca="false">IFERROR(K468/H468,"")</f>
        <v>0.000480115227654637</v>
      </c>
      <c r="R468" s="10" t="n">
        <f aca="false">IFERROR(L468/H468,"")</f>
        <v>0.000293403750233389</v>
      </c>
      <c r="S468" s="11" t="n">
        <f aca="false">IFERROR(M468/MEDIAN(INDEX($M$5:$M$665,MATCH($A468-90,$A$5:$A$665,1)):INDEX($M$5:$M$665,MATCH($A468+90,$A$5:$A$665,1))),"")</f>
        <v>0.730169940835379</v>
      </c>
      <c r="T468" s="11" t="n">
        <f aca="false">IFERROR(N468/MEDIAN(INDEX($N$5:$N$665,MATCH($A468-90,$A$5:$A$665,1)):INDEX($N$5:$N$665,MATCH($A468+90,$A$5:$A$665,1))),"")</f>
        <v>1.00137774625966</v>
      </c>
      <c r="U468" s="11" t="n">
        <f aca="false">IFERROR(Q468/MEDIAN(INDEX($Q$5:$Q$665,MATCH($A468-90,$A$5:$A$665,1)):INDEX($Q$5:$Q$665,MATCH($A468+90,$A$5:$A$665,1))),"")</f>
        <v>1.68662193212085</v>
      </c>
    </row>
    <row r="469" customFormat="false" ht="15" hidden="false" customHeight="false" outlineLevel="0" collapsed="false">
      <c r="A469" s="13" t="n">
        <v>45652.6567647222</v>
      </c>
      <c r="B469" s="8" t="n">
        <v>15</v>
      </c>
      <c r="C469" s="8" t="s">
        <v>73</v>
      </c>
      <c r="D469" s="8" t="s">
        <v>1135</v>
      </c>
      <c r="E469" s="14" t="s">
        <v>66</v>
      </c>
      <c r="F469" s="9" t="n">
        <v>40540</v>
      </c>
      <c r="G469" s="9" t="n">
        <v>7500</v>
      </c>
      <c r="H469" s="9" t="n">
        <v>7528</v>
      </c>
      <c r="I469" s="9" t="n">
        <v>851</v>
      </c>
      <c r="J469" s="9" t="n">
        <v>95</v>
      </c>
      <c r="K469" s="9" t="n">
        <v>4</v>
      </c>
      <c r="L469" s="9" t="n">
        <v>9</v>
      </c>
      <c r="M469" s="10" t="n">
        <f aca="false">IFERROR(G469/F469,"")</f>
        <v>0.185002466699556</v>
      </c>
      <c r="N469" s="10" t="n">
        <f aca="false">IFERROR(H469/G469,"")</f>
        <v>1.00373333333333</v>
      </c>
      <c r="O469" s="11" t="n">
        <f aca="false">IFERROR(I469/H469,"")</f>
        <v>0.113044633368757</v>
      </c>
      <c r="P469" s="10" t="n">
        <f aca="false">IFERROR(J469/H469,"")</f>
        <v>0.0126195536663124</v>
      </c>
      <c r="Q469" s="10" t="n">
        <f aca="false">IFERROR(K469/H469,"")</f>
        <v>0.00053134962805526</v>
      </c>
      <c r="R469" s="10" t="n">
        <f aca="false">IFERROR(L469/H469,"")</f>
        <v>0.00119553666312434</v>
      </c>
      <c r="S469" s="11" t="n">
        <f aca="false">IFERROR(M469/MEDIAN(INDEX($M$5:$M$665,MATCH($A469-90,$A$5:$A$665,1)):INDEX($M$5:$M$665,MATCH($A469+90,$A$5:$A$665,1))),"")</f>
        <v>2.07097264890684</v>
      </c>
      <c r="T469" s="11" t="n">
        <f aca="false">IFERROR(N469/MEDIAN(INDEX($N$5:$N$665,MATCH($A469-90,$A$5:$A$665,1)):INDEX($N$5:$N$665,MATCH($A469+90,$A$5:$A$665,1))),"")</f>
        <v>1.0024384034201</v>
      </c>
      <c r="U469" s="11" t="n">
        <f aca="false">IFERROR(Q469/MEDIAN(INDEX($Q$5:$Q$665,MATCH($A469-90,$A$5:$A$665,1)):INDEX($Q$5:$Q$665,MATCH($A469+90,$A$5:$A$665,1))),"")</f>
        <v>1.87483138819351</v>
      </c>
    </row>
    <row r="470" customFormat="false" ht="15" hidden="false" customHeight="false" outlineLevel="0" collapsed="false">
      <c r="A470" s="13" t="n">
        <v>45654.3749952662</v>
      </c>
      <c r="B470" s="8" t="n">
        <v>8</v>
      </c>
      <c r="C470" s="8" t="s">
        <v>68</v>
      </c>
      <c r="D470" s="8" t="s">
        <v>1136</v>
      </c>
      <c r="E470" s="14" t="s">
        <v>66</v>
      </c>
      <c r="F470" s="9" t="n">
        <v>831055</v>
      </c>
      <c r="G470" s="9" t="n">
        <v>73247</v>
      </c>
      <c r="H470" s="9" t="n">
        <v>73302</v>
      </c>
      <c r="I470" s="9" t="n">
        <v>2828</v>
      </c>
      <c r="J470" s="9" t="n">
        <v>188</v>
      </c>
      <c r="K470" s="9" t="n">
        <v>23</v>
      </c>
      <c r="L470" s="9" t="n">
        <v>26</v>
      </c>
      <c r="M470" s="10" t="n">
        <f aca="false">IFERROR(G470/F470,"")</f>
        <v>0.088137367562917</v>
      </c>
      <c r="N470" s="10" t="n">
        <f aca="false">IFERROR(H470/G470,"")</f>
        <v>1.00075088399525</v>
      </c>
      <c r="O470" s="11" t="n">
        <f aca="false">IFERROR(I470/H470,"")</f>
        <v>0.0385801205969824</v>
      </c>
      <c r="P470" s="10" t="n">
        <f aca="false">IFERROR(J470/H470,"")</f>
        <v>0.00256473220375979</v>
      </c>
      <c r="Q470" s="10" t="n">
        <f aca="false">IFERROR(K470/H470,"")</f>
        <v>0.000313770429183378</v>
      </c>
      <c r="R470" s="10" t="n">
        <f aca="false">IFERROR(L470/H470,"")</f>
        <v>0.000354697006902949</v>
      </c>
      <c r="S470" s="11" t="n">
        <f aca="false">IFERROR(M470/MEDIAN(INDEX($M$5:$M$665,MATCH($A470-90,$A$5:$A$665,1)):INDEX($M$5:$M$665,MATCH($A470+90,$A$5:$A$665,1))),"")</f>
        <v>0.986635912622066</v>
      </c>
      <c r="T470" s="11" t="n">
        <f aca="false">IFERROR(N470/MEDIAN(INDEX($N$5:$N$665,MATCH($A470-90,$A$5:$A$665,1)):INDEX($N$5:$N$665,MATCH($A470+90,$A$5:$A$665,1))),"")</f>
        <v>0.999459801780143</v>
      </c>
      <c r="U470" s="11" t="n">
        <f aca="false">IFERROR(Q470/MEDIAN(INDEX($Q$5:$Q$665,MATCH($A470-90,$A$5:$A$665,1)):INDEX($Q$5:$Q$665,MATCH($A470+90,$A$5:$A$665,1))),"")</f>
        <v>1.10711783402014</v>
      </c>
    </row>
    <row r="471" customFormat="false" ht="15" hidden="false" customHeight="false" outlineLevel="0" collapsed="false">
      <c r="A471" s="13" t="n">
        <v>45657.3750928357</v>
      </c>
      <c r="B471" s="8" t="n">
        <v>9</v>
      </c>
      <c r="C471" s="8" t="s">
        <v>64</v>
      </c>
      <c r="D471" s="8" t="s">
        <v>1137</v>
      </c>
      <c r="E471" s="14" t="s">
        <v>66</v>
      </c>
      <c r="F471" s="9" t="n">
        <v>532689</v>
      </c>
      <c r="G471" s="9" t="n">
        <v>41042</v>
      </c>
      <c r="H471" s="9" t="n">
        <v>41106</v>
      </c>
      <c r="I471" s="9" t="n">
        <v>290</v>
      </c>
      <c r="J471" s="9" t="n">
        <v>47</v>
      </c>
      <c r="K471" s="9" t="n">
        <v>3</v>
      </c>
      <c r="L471" s="9" t="n">
        <v>2</v>
      </c>
      <c r="M471" s="10" t="n">
        <f aca="false">IFERROR(G471/F471,"")</f>
        <v>0.0770468322041567</v>
      </c>
      <c r="N471" s="10" t="n">
        <f aca="false">IFERROR(H471/G471,"")</f>
        <v>1.00155937819794</v>
      </c>
      <c r="O471" s="11" t="n">
        <f aca="false">IFERROR(I471/H471,"")</f>
        <v>0.00705493115360288</v>
      </c>
      <c r="P471" s="10" t="n">
        <f aca="false">IFERROR(J471/H471,"")</f>
        <v>0.00114338539385978</v>
      </c>
      <c r="Q471" s="10" t="n">
        <f aca="false">IFERROR(K471/H471,"")</f>
        <v>7.29820464165815E-005</v>
      </c>
      <c r="R471" s="10" t="n">
        <f aca="false">IFERROR(L471/H471,"")</f>
        <v>4.86546976110543E-005</v>
      </c>
      <c r="S471" s="11" t="n">
        <f aca="false">IFERROR(M471/MEDIAN(INDEX($M$5:$M$665,MATCH($A471-90,$A$5:$A$665,1)):INDEX($M$5:$M$665,MATCH($A471+90,$A$5:$A$665,1))),"")</f>
        <v>0.862485160475462</v>
      </c>
      <c r="T471" s="11" t="n">
        <f aca="false">IFERROR(N471/MEDIAN(INDEX($N$5:$N$665,MATCH($A471-90,$A$5:$A$665,1)):INDEX($N$5:$N$665,MATCH($A471+90,$A$5:$A$665,1))),"")</f>
        <v>1.00026725293356</v>
      </c>
      <c r="U471" s="11" t="n">
        <f aca="false">IFERROR(Q471/MEDIAN(INDEX($Q$5:$Q$665,MATCH($A471-90,$A$5:$A$665,1)):INDEX($Q$5:$Q$665,MATCH($A471+90,$A$5:$A$665,1))),"")</f>
        <v>0.25751223708803</v>
      </c>
    </row>
    <row r="472" customFormat="false" ht="15" hidden="false" customHeight="false" outlineLevel="0" collapsed="false">
      <c r="A472" s="13" t="n">
        <v>45659.3647582407</v>
      </c>
      <c r="B472" s="8" t="n">
        <v>8</v>
      </c>
      <c r="C472" s="8" t="s">
        <v>73</v>
      </c>
      <c r="D472" s="8" t="s">
        <v>1138</v>
      </c>
      <c r="E472" s="14" t="s">
        <v>66</v>
      </c>
      <c r="F472" s="9" t="n">
        <v>450401</v>
      </c>
      <c r="G472" s="9" t="n">
        <v>36102</v>
      </c>
      <c r="H472" s="9" t="n">
        <v>36120</v>
      </c>
      <c r="I472" s="9" t="n">
        <v>275</v>
      </c>
      <c r="J472" s="9" t="n">
        <v>50</v>
      </c>
      <c r="K472" s="9" t="n">
        <v>16</v>
      </c>
      <c r="L472" s="9" t="n">
        <v>7</v>
      </c>
      <c r="M472" s="10" t="n">
        <f aca="false">IFERROR(G472/F472,"")</f>
        <v>0.080155239442186</v>
      </c>
      <c r="N472" s="10" t="n">
        <f aca="false">IFERROR(H472/G472,"")</f>
        <v>1.00049858733588</v>
      </c>
      <c r="O472" s="11" t="n">
        <f aca="false">IFERROR(I472/H472,"")</f>
        <v>0.00761351052048727</v>
      </c>
      <c r="P472" s="10" t="n">
        <f aca="false">IFERROR(J472/H472,"")</f>
        <v>0.00138427464008859</v>
      </c>
      <c r="Q472" s="10" t="n">
        <f aca="false">IFERROR(K472/H472,"")</f>
        <v>0.00044296788482835</v>
      </c>
      <c r="R472" s="10" t="n">
        <f aca="false">IFERROR(L472/H472,"")</f>
        <v>0.000193798449612403</v>
      </c>
      <c r="S472" s="11" t="n">
        <f aca="false">IFERROR(M472/MEDIAN(INDEX($M$5:$M$665,MATCH($A472-90,$A$5:$A$665,1)):INDEX($M$5:$M$665,MATCH($A472+90,$A$5:$A$665,1))),"")</f>
        <v>0.909435369566342</v>
      </c>
      <c r="T472" s="11" t="n">
        <f aca="false">IFERROR(N472/MEDIAN(INDEX($N$5:$N$665,MATCH($A472-90,$A$5:$A$665,1)):INDEX($N$5:$N$665,MATCH($A472+90,$A$5:$A$665,1))),"")</f>
        <v>0.999157512911834</v>
      </c>
      <c r="U472" s="11" t="n">
        <f aca="false">IFERROR(Q472/MEDIAN(INDEX($Q$5:$Q$665,MATCH($A472-90,$A$5:$A$665,1)):INDEX($Q$5:$Q$665,MATCH($A472+90,$A$5:$A$665,1))),"")</f>
        <v>1.55612508569319</v>
      </c>
    </row>
    <row r="473" customFormat="false" ht="15" hidden="false" customHeight="false" outlineLevel="0" collapsed="false">
      <c r="A473" s="13" t="n">
        <v>45661.3337463889</v>
      </c>
      <c r="B473" s="8" t="n">
        <v>8</v>
      </c>
      <c r="C473" s="8" t="s">
        <v>68</v>
      </c>
      <c r="D473" s="8" t="s">
        <v>1139</v>
      </c>
      <c r="E473" s="14" t="s">
        <v>66</v>
      </c>
      <c r="F473" s="9" t="n">
        <v>529585</v>
      </c>
      <c r="G473" s="9" t="n">
        <v>39473</v>
      </c>
      <c r="H473" s="9" t="n">
        <v>39522</v>
      </c>
      <c r="I473" s="9" t="n">
        <v>472</v>
      </c>
      <c r="J473" s="9" t="n">
        <v>82</v>
      </c>
      <c r="K473" s="9" t="n">
        <v>8</v>
      </c>
      <c r="L473" s="9" t="n">
        <v>7</v>
      </c>
      <c r="M473" s="10" t="n">
        <f aca="false">IFERROR(G473/F473,"")</f>
        <v>0.0745357213667306</v>
      </c>
      <c r="N473" s="10" t="n">
        <f aca="false">IFERROR(H473/G473,"")</f>
        <v>1.00124135485015</v>
      </c>
      <c r="O473" s="11" t="n">
        <f aca="false">IFERROR(I473/H473,"")</f>
        <v>0.011942715449623</v>
      </c>
      <c r="P473" s="10" t="n">
        <f aca="false">IFERROR(J473/H473,"")</f>
        <v>0.00207479378573959</v>
      </c>
      <c r="Q473" s="10" t="n">
        <f aca="false">IFERROR(K473/H473,"")</f>
        <v>0.000202418905925813</v>
      </c>
      <c r="R473" s="10" t="n">
        <f aca="false">IFERROR(L473/H473,"")</f>
        <v>0.000177116542685087</v>
      </c>
      <c r="S473" s="11" t="n">
        <f aca="false">IFERROR(M473/MEDIAN(INDEX($M$5:$M$665,MATCH($A473-90,$A$5:$A$665,1)):INDEX($M$5:$M$665,MATCH($A473+90,$A$5:$A$665,1))),"")</f>
        <v>0.845676736527479</v>
      </c>
      <c r="T473" s="11" t="n">
        <f aca="false">IFERROR(N473/MEDIAN(INDEX($N$5:$N$665,MATCH($A473-90,$A$5:$A$665,1)):INDEX($N$5:$N$665,MATCH($A473+90,$A$5:$A$665,1))),"")</f>
        <v>0.999899284815986</v>
      </c>
      <c r="U473" s="11" t="n">
        <f aca="false">IFERROR(Q473/MEDIAN(INDEX($Q$5:$Q$665,MATCH($A473-90,$A$5:$A$665,1)):INDEX($Q$5:$Q$665,MATCH($A473+90,$A$5:$A$665,1))),"")</f>
        <v>0.711087977521862</v>
      </c>
    </row>
    <row r="474" customFormat="false" ht="15" hidden="false" customHeight="false" outlineLevel="0" collapsed="false">
      <c r="A474" s="13" t="n">
        <v>45663.3333087384</v>
      </c>
      <c r="B474" s="8" t="n">
        <v>7</v>
      </c>
      <c r="C474" s="8" t="s">
        <v>80</v>
      </c>
      <c r="D474" s="8" t="s">
        <v>1140</v>
      </c>
      <c r="E474" s="14" t="s">
        <v>66</v>
      </c>
      <c r="F474" s="9" t="n">
        <v>69000</v>
      </c>
      <c r="G474" s="9" t="n">
        <v>5713</v>
      </c>
      <c r="H474" s="9" t="n">
        <v>5728</v>
      </c>
      <c r="I474" s="9" t="n">
        <v>171</v>
      </c>
      <c r="J474" s="9" t="n">
        <v>56</v>
      </c>
      <c r="K474" s="9" t="n">
        <v>3</v>
      </c>
      <c r="L474" s="9" t="n">
        <v>4</v>
      </c>
      <c r="M474" s="10" t="n">
        <f aca="false">IFERROR(G474/F474,"")</f>
        <v>0.0827971014492754</v>
      </c>
      <c r="N474" s="10" t="n">
        <f aca="false">IFERROR(H474/G474,"")</f>
        <v>1.00262559075792</v>
      </c>
      <c r="O474" s="11" t="n">
        <f aca="false">IFERROR(I474/H474,"")</f>
        <v>0.0298533519553073</v>
      </c>
      <c r="P474" s="10" t="n">
        <f aca="false">IFERROR(J474/H474,"")</f>
        <v>0.00977653631284916</v>
      </c>
      <c r="Q474" s="10" t="n">
        <f aca="false">IFERROR(K474/H474,"")</f>
        <v>0.000523743016759777</v>
      </c>
      <c r="R474" s="10" t="n">
        <f aca="false">IFERROR(L474/H474,"")</f>
        <v>0.000698324022346369</v>
      </c>
      <c r="S474" s="11" t="n">
        <f aca="false">IFERROR(M474/MEDIAN(INDEX($M$5:$M$665,MATCH($A474-90,$A$5:$A$665,1)):INDEX($M$5:$M$665,MATCH($A474+90,$A$5:$A$665,1))),"")</f>
        <v>0.939409738896167</v>
      </c>
      <c r="T474" s="11" t="n">
        <f aca="false">IFERROR(N474/MEDIAN(INDEX($N$5:$N$665,MATCH($A474-90,$A$5:$A$665,1)):INDEX($N$5:$N$665,MATCH($A474+90,$A$5:$A$665,1))),"")</f>
        <v>1.00128166528548</v>
      </c>
      <c r="U474" s="11" t="n">
        <f aca="false">IFERROR(Q474/MEDIAN(INDEX($Q$5:$Q$665,MATCH($A474-90,$A$5:$A$665,1)):INDEX($Q$5:$Q$665,MATCH($A474+90,$A$5:$A$665,1))),"")</f>
        <v>1.83988427773344</v>
      </c>
    </row>
    <row r="475" customFormat="false" ht="15" hidden="false" customHeight="false" outlineLevel="0" collapsed="false">
      <c r="A475" s="13" t="n">
        <v>45665.3333778009</v>
      </c>
      <c r="B475" s="8" t="n">
        <v>8</v>
      </c>
      <c r="C475" s="8" t="s">
        <v>71</v>
      </c>
      <c r="D475" s="8" t="s">
        <v>1141</v>
      </c>
      <c r="E475" s="14" t="s">
        <v>66</v>
      </c>
      <c r="F475" s="9" t="n">
        <v>338249</v>
      </c>
      <c r="G475" s="9" t="n">
        <v>30620</v>
      </c>
      <c r="H475" s="9" t="n">
        <v>30581</v>
      </c>
      <c r="I475" s="9" t="n">
        <v>1102</v>
      </c>
      <c r="J475" s="9" t="n">
        <v>185</v>
      </c>
      <c r="K475" s="9" t="n">
        <v>28</v>
      </c>
      <c r="L475" s="9" t="n">
        <v>31</v>
      </c>
      <c r="M475" s="10" t="n">
        <f aca="false">IFERROR(G475/F475,"")</f>
        <v>0.090525027420628</v>
      </c>
      <c r="N475" s="10" t="n">
        <f aca="false">IFERROR(H475/G475,"")</f>
        <v>0.998726322664925</v>
      </c>
      <c r="O475" s="11" t="n">
        <f aca="false">IFERROR(I475/H475,"")</f>
        <v>0.0360354468460809</v>
      </c>
      <c r="P475" s="10" t="n">
        <f aca="false">IFERROR(J475/H475,"")</f>
        <v>0.00604950786436022</v>
      </c>
      <c r="Q475" s="10" t="n">
        <f aca="false">IFERROR(K475/H475,"")</f>
        <v>0.000915601190281547</v>
      </c>
      <c r="R475" s="10" t="n">
        <f aca="false">IFERROR(L475/H475,"")</f>
        <v>0.00101370131781171</v>
      </c>
      <c r="S475" s="11" t="n">
        <f aca="false">IFERROR(M475/MEDIAN(INDEX($M$5:$M$665,MATCH($A475-90,$A$5:$A$665,1)):INDEX($M$5:$M$665,MATCH($A475+90,$A$5:$A$665,1))),"")</f>
        <v>1.02709021069873</v>
      </c>
      <c r="T475" s="11" t="n">
        <f aca="false">IFERROR(N475/MEDIAN(INDEX($N$5:$N$665,MATCH($A475-90,$A$5:$A$665,1)):INDEX($N$5:$N$665,MATCH($A475+90,$A$5:$A$665,1))),"")</f>
        <v>0.997387623795279</v>
      </c>
      <c r="U475" s="11" t="n">
        <f aca="false">IFERROR(Q475/MEDIAN(INDEX($Q$5:$Q$665,MATCH($A475-90,$A$5:$A$665,1)):INDEX($Q$5:$Q$665,MATCH($A475+90,$A$5:$A$665,1))),"")</f>
        <v>3.2164633814024</v>
      </c>
    </row>
    <row r="476" customFormat="false" ht="15" hidden="false" customHeight="false" outlineLevel="0" collapsed="false">
      <c r="A476" s="13" t="n">
        <v>45667.3336739699</v>
      </c>
      <c r="B476" s="8" t="n">
        <v>8</v>
      </c>
      <c r="C476" s="8" t="s">
        <v>84</v>
      </c>
      <c r="D476" s="8" t="s">
        <v>1142</v>
      </c>
      <c r="E476" s="14" t="s">
        <v>66</v>
      </c>
      <c r="F476" s="9" t="n">
        <v>30758</v>
      </c>
      <c r="G476" s="9" t="n">
        <v>4936</v>
      </c>
      <c r="H476" s="9" t="n">
        <v>5025</v>
      </c>
      <c r="I476" s="9" t="n">
        <v>381</v>
      </c>
      <c r="J476" s="9" t="n">
        <v>72</v>
      </c>
      <c r="K476" s="9" t="n">
        <v>6</v>
      </c>
      <c r="L476" s="9" t="n">
        <v>6</v>
      </c>
      <c r="M476" s="10" t="n">
        <f aca="false">IFERROR(G476/F476,"")</f>
        <v>0.160478574679758</v>
      </c>
      <c r="N476" s="10" t="n">
        <f aca="false">IFERROR(H476/G476,"")</f>
        <v>1.01803079416532</v>
      </c>
      <c r="O476" s="11" t="n">
        <f aca="false">IFERROR(I476/H476,"")</f>
        <v>0.0758208955223881</v>
      </c>
      <c r="P476" s="10" t="n">
        <f aca="false">IFERROR(J476/H476,"")</f>
        <v>0.0143283582089552</v>
      </c>
      <c r="Q476" s="10" t="n">
        <f aca="false">IFERROR(K476/H476,"")</f>
        <v>0.00119402985074627</v>
      </c>
      <c r="R476" s="10" t="n">
        <f aca="false">IFERROR(L476/H476,"")</f>
        <v>0.00119402985074627</v>
      </c>
      <c r="S476" s="11" t="n">
        <f aca="false">IFERROR(M476/MEDIAN(INDEX($M$5:$M$665,MATCH($A476-90,$A$5:$A$665,1)):INDEX($M$5:$M$665,MATCH($A476+90,$A$5:$A$665,1))),"")</f>
        <v>1.8207779414923</v>
      </c>
      <c r="T476" s="11" t="n">
        <f aca="false">IFERROR(N476/MEDIAN(INDEX($N$5:$N$665,MATCH($A476-90,$A$5:$A$665,1)):INDEX($N$5:$N$665,MATCH($A476+90,$A$5:$A$665,1))),"")</f>
        <v>1.01666621946403</v>
      </c>
      <c r="U476" s="11" t="n">
        <f aca="false">IFERROR(Q476/MEDIAN(INDEX($Q$5:$Q$665,MATCH($A476-90,$A$5:$A$665,1)):INDEX($Q$5:$Q$665,MATCH($A476+90,$A$5:$A$665,1))),"")</f>
        <v>4.19457000710732</v>
      </c>
    </row>
    <row r="477" customFormat="false" ht="15" hidden="false" customHeight="false" outlineLevel="0" collapsed="false">
      <c r="A477" s="13" t="n">
        <v>45668.3338982176</v>
      </c>
      <c r="B477" s="8" t="n">
        <v>8</v>
      </c>
      <c r="C477" s="8" t="s">
        <v>68</v>
      </c>
      <c r="D477" s="8" t="s">
        <v>1143</v>
      </c>
      <c r="E477" s="14" t="s">
        <v>66</v>
      </c>
      <c r="F477" s="9" t="n">
        <v>1615</v>
      </c>
      <c r="G477" s="9" t="n">
        <v>186</v>
      </c>
      <c r="H477" s="9" t="n">
        <v>186</v>
      </c>
      <c r="I477" s="9" t="n">
        <v>21</v>
      </c>
      <c r="J477" s="9" t="n">
        <v>4</v>
      </c>
      <c r="K477" s="9" t="n">
        <v>0</v>
      </c>
      <c r="L477" s="9" t="n">
        <v>0</v>
      </c>
      <c r="M477" s="10" t="n">
        <f aca="false">IFERROR(G477/F477,"")</f>
        <v>0.115170278637771</v>
      </c>
      <c r="N477" s="10" t="n">
        <f aca="false">IFERROR(H477/G477,"")</f>
        <v>1</v>
      </c>
      <c r="O477" s="11" t="n">
        <f aca="false">IFERROR(I477/H477,"")</f>
        <v>0.112903225806452</v>
      </c>
      <c r="P477" s="10" t="n">
        <f aca="false">IFERROR(J477/H477,"")</f>
        <v>0.021505376344086</v>
      </c>
      <c r="Q477" s="10" t="n">
        <f aca="false">IFERROR(K477/H477,"")</f>
        <v>0</v>
      </c>
      <c r="R477" s="10" t="n">
        <f aca="false">IFERROR(L477/H477,"")</f>
        <v>0</v>
      </c>
      <c r="S477" s="11" t="n">
        <f aca="false">IFERROR(M477/MEDIAN(INDEX($M$5:$M$665,MATCH($A477-90,$A$5:$A$665,1)):INDEX($M$5:$M$665,MATCH($A477+90,$A$5:$A$665,1))),"")</f>
        <v>1.30946179465366</v>
      </c>
      <c r="T477" s="11" t="n">
        <f aca="false">IFERROR(N477/MEDIAN(INDEX($N$5:$N$665,MATCH($A477-90,$A$5:$A$665,1)):INDEX($N$5:$N$665,MATCH($A477+90,$A$5:$A$665,1))),"")</f>
        <v>0.998709886510465</v>
      </c>
      <c r="U477" s="11" t="n">
        <f aca="false">IFERROR(Q477/MEDIAN(INDEX($Q$5:$Q$665,MATCH($A477-90,$A$5:$A$665,1)):INDEX($Q$5:$Q$665,MATCH($A477+90,$A$5:$A$665,1))),"")</f>
        <v>0</v>
      </c>
    </row>
    <row r="478" customFormat="false" ht="15" hidden="false" customHeight="false" outlineLevel="0" collapsed="false">
      <c r="A478" s="13" t="n">
        <v>45671.3338102431</v>
      </c>
      <c r="B478" s="8" t="n">
        <v>8</v>
      </c>
      <c r="C478" s="8" t="s">
        <v>64</v>
      </c>
      <c r="D478" s="8" t="s">
        <v>1144</v>
      </c>
      <c r="E478" s="14" t="s">
        <v>66</v>
      </c>
      <c r="F478" s="9" t="n">
        <v>172814</v>
      </c>
      <c r="G478" s="9" t="n">
        <v>18429</v>
      </c>
      <c r="H478" s="9" t="n">
        <v>18454</v>
      </c>
      <c r="I478" s="9" t="n">
        <v>642</v>
      </c>
      <c r="J478" s="9" t="n">
        <v>68</v>
      </c>
      <c r="K478" s="9" t="n">
        <v>5</v>
      </c>
      <c r="L478" s="9" t="n">
        <v>12</v>
      </c>
      <c r="M478" s="10" t="n">
        <f aca="false">IFERROR(G478/F478,"")</f>
        <v>0.106640665686808</v>
      </c>
      <c r="N478" s="10" t="n">
        <f aca="false">IFERROR(H478/G478,"")</f>
        <v>1.00135655759944</v>
      </c>
      <c r="O478" s="11" t="n">
        <f aca="false">IFERROR(I478/H478,"")</f>
        <v>0.0347892055922835</v>
      </c>
      <c r="P478" s="10" t="n">
        <f aca="false">IFERROR(J478/H478,"")</f>
        <v>0.00368483797550667</v>
      </c>
      <c r="Q478" s="10" t="n">
        <f aca="false">IFERROR(K478/H478,"")</f>
        <v>0.000270943968787255</v>
      </c>
      <c r="R478" s="10" t="n">
        <f aca="false">IFERROR(L478/H478,"")</f>
        <v>0.000650265525089412</v>
      </c>
      <c r="S478" s="11" t="n">
        <f aca="false">IFERROR(M478/MEDIAN(INDEX($M$5:$M$665,MATCH($A478-90,$A$5:$A$665,1)):INDEX($M$5:$M$665,MATCH($A478+90,$A$5:$A$665,1))),"")</f>
        <v>1.21503747320512</v>
      </c>
      <c r="T478" s="11" t="n">
        <f aca="false">IFERROR(N478/MEDIAN(INDEX($N$5:$N$665,MATCH($A478-90,$A$5:$A$665,1)):INDEX($N$5:$N$665,MATCH($A478+90,$A$5:$A$665,1))),"")</f>
        <v>1.0000143331468</v>
      </c>
      <c r="U478" s="11" t="n">
        <f aca="false">IFERROR(Q478/MEDIAN(INDEX($Q$5:$Q$665,MATCH($A478-90,$A$5:$A$665,1)):INDEX($Q$5:$Q$665,MATCH($A478+90,$A$5:$A$665,1))),"")</f>
        <v>0.951813260255874</v>
      </c>
    </row>
    <row r="479" customFormat="false" ht="15" hidden="false" customHeight="false" outlineLevel="0" collapsed="false">
      <c r="A479" s="13" t="n">
        <v>45673.3334871065</v>
      </c>
      <c r="B479" s="8" t="n">
        <v>8</v>
      </c>
      <c r="C479" s="8" t="s">
        <v>73</v>
      </c>
      <c r="D479" s="8" t="s">
        <v>1143</v>
      </c>
      <c r="E479" s="14" t="s">
        <v>66</v>
      </c>
      <c r="F479" s="9" t="n">
        <v>470147</v>
      </c>
      <c r="G479" s="9" t="n">
        <v>49096</v>
      </c>
      <c r="H479" s="9" t="n">
        <v>49184</v>
      </c>
      <c r="I479" s="9" t="n">
        <v>2159</v>
      </c>
      <c r="J479" s="9" t="n">
        <v>200</v>
      </c>
      <c r="K479" s="9" t="n">
        <v>6</v>
      </c>
      <c r="L479" s="9" t="n">
        <v>25</v>
      </c>
      <c r="M479" s="10" t="n">
        <f aca="false">IFERROR(G479/F479,"")</f>
        <v>0.104426913284568</v>
      </c>
      <c r="N479" s="10" t="n">
        <f aca="false">IFERROR(H479/G479,"")</f>
        <v>1.00179240671338</v>
      </c>
      <c r="O479" s="11" t="n">
        <f aca="false">IFERROR(I479/H479,"")</f>
        <v>0.0438963890696161</v>
      </c>
      <c r="P479" s="10" t="n">
        <f aca="false">IFERROR(J479/H479,"")</f>
        <v>0.00406636304489265</v>
      </c>
      <c r="Q479" s="10" t="n">
        <f aca="false">IFERROR(K479/H479,"")</f>
        <v>0.000121990891346779</v>
      </c>
      <c r="R479" s="10" t="n">
        <f aca="false">IFERROR(L479/H479,"")</f>
        <v>0.000508295380611581</v>
      </c>
      <c r="S479" s="11" t="n">
        <f aca="false">IFERROR(M479/MEDIAN(INDEX($M$5:$M$665,MATCH($A479-90,$A$5:$A$665,1)):INDEX($M$5:$M$665,MATCH($A479+90,$A$5:$A$665,1))),"")</f>
        <v>1.18981452370649</v>
      </c>
      <c r="T479" s="11" t="n">
        <f aca="false">IFERROR(N479/MEDIAN(INDEX($N$5:$N$665,MATCH($A479-90,$A$5:$A$665,1)):INDEX($N$5:$N$665,MATCH($A479+90,$A$5:$A$665,1))),"")</f>
        <v>1.00044959804593</v>
      </c>
      <c r="U479" s="11" t="n">
        <f aca="false">IFERROR(Q479/MEDIAN(INDEX($Q$5:$Q$665,MATCH($A479-90,$A$5:$A$665,1)):INDEX($Q$5:$Q$665,MATCH($A479+90,$A$5:$A$665,1))),"")</f>
        <v>0.428548192211172</v>
      </c>
    </row>
    <row r="480" customFormat="false" ht="15" hidden="false" customHeight="false" outlineLevel="0" collapsed="false">
      <c r="A480" s="13" t="n">
        <v>45675.5709738773</v>
      </c>
      <c r="B480" s="8" t="n">
        <v>13</v>
      </c>
      <c r="C480" s="8" t="s">
        <v>68</v>
      </c>
      <c r="D480" s="8" t="s">
        <v>1145</v>
      </c>
      <c r="E480" s="14" t="s">
        <v>66</v>
      </c>
      <c r="F480" s="9" t="n">
        <v>413855</v>
      </c>
      <c r="G480" s="9" t="n">
        <v>35017</v>
      </c>
      <c r="H480" s="9" t="n">
        <v>35064</v>
      </c>
      <c r="I480" s="9" t="n">
        <v>1457</v>
      </c>
      <c r="J480" s="9" t="n">
        <v>95</v>
      </c>
      <c r="K480" s="9" t="n">
        <v>16</v>
      </c>
      <c r="L480" s="9" t="n">
        <v>11</v>
      </c>
      <c r="M480" s="10" t="n">
        <f aca="false">IFERROR(G480/F480,"")</f>
        <v>0.0846117601575431</v>
      </c>
      <c r="N480" s="10" t="n">
        <f aca="false">IFERROR(H480/G480,"")</f>
        <v>1.00134220521461</v>
      </c>
      <c r="O480" s="11" t="n">
        <f aca="false">IFERROR(I480/H480,"")</f>
        <v>0.0415525895505362</v>
      </c>
      <c r="P480" s="10" t="n">
        <f aca="false">IFERROR(J480/H480,"")</f>
        <v>0.00270933150809948</v>
      </c>
      <c r="Q480" s="10" t="n">
        <f aca="false">IFERROR(K480/H480,"")</f>
        <v>0.000456308464522017</v>
      </c>
      <c r="R480" s="10" t="n">
        <f aca="false">IFERROR(L480/H480,"")</f>
        <v>0.000313712069358887</v>
      </c>
      <c r="S480" s="11" t="n">
        <f aca="false">IFERROR(M480/MEDIAN(INDEX($M$5:$M$665,MATCH($A480-90,$A$5:$A$665,1)):INDEX($M$5:$M$665,MATCH($A480+90,$A$5:$A$665,1))),"")</f>
        <v>0.964045550570644</v>
      </c>
      <c r="T480" s="11" t="n">
        <f aca="false">IFERROR(N480/MEDIAN(INDEX($N$5:$N$665,MATCH($A480-90,$A$5:$A$665,1)):INDEX($N$5:$N$665,MATCH($A480+90,$A$5:$A$665,1))),"")</f>
        <v>1</v>
      </c>
      <c r="U480" s="11" t="n">
        <f aca="false">IFERROR(Q480/MEDIAN(INDEX($Q$5:$Q$665,MATCH($A480-90,$A$5:$A$665,1)):INDEX($Q$5:$Q$665,MATCH($A480+90,$A$5:$A$665,1))),"")</f>
        <v>1.60298990689134</v>
      </c>
    </row>
    <row r="481" customFormat="false" ht="15" hidden="false" customHeight="false" outlineLevel="0" collapsed="false">
      <c r="A481" s="13" t="n">
        <v>45678.3666902431</v>
      </c>
      <c r="B481" s="8" t="n">
        <v>8</v>
      </c>
      <c r="C481" s="8" t="s">
        <v>64</v>
      </c>
      <c r="D481" s="8" t="s">
        <v>1146</v>
      </c>
      <c r="E481" s="14" t="s">
        <v>66</v>
      </c>
      <c r="F481" s="9" t="n">
        <v>196876</v>
      </c>
      <c r="G481" s="9" t="n">
        <v>18099</v>
      </c>
      <c r="H481" s="9" t="n">
        <v>18184</v>
      </c>
      <c r="I481" s="9" t="n">
        <v>1306</v>
      </c>
      <c r="J481" s="9" t="n">
        <v>122</v>
      </c>
      <c r="K481" s="9" t="n">
        <v>13</v>
      </c>
      <c r="L481" s="9" t="n">
        <v>29</v>
      </c>
      <c r="M481" s="10" t="n">
        <f aca="false">IFERROR(G481/F481,"")</f>
        <v>0.0919309616205124</v>
      </c>
      <c r="N481" s="10" t="n">
        <f aca="false">IFERROR(H481/G481,"")</f>
        <v>1.00469639206586</v>
      </c>
      <c r="O481" s="11" t="n">
        <f aca="false">IFERROR(I481/H481,"")</f>
        <v>0.0718213814342279</v>
      </c>
      <c r="P481" s="10" t="n">
        <f aca="false">IFERROR(J481/H481,"")</f>
        <v>0.00670919489661241</v>
      </c>
      <c r="Q481" s="10" t="n">
        <f aca="false">IFERROR(K481/H481,"")</f>
        <v>0.000714914210294765</v>
      </c>
      <c r="R481" s="10" t="n">
        <f aca="false">IFERROR(L481/H481,"")</f>
        <v>0.00159480862296524</v>
      </c>
      <c r="S481" s="11" t="n">
        <f aca="false">IFERROR(M481/MEDIAN(INDEX($M$5:$M$665,MATCH($A481-90,$A$5:$A$665,1)):INDEX($M$5:$M$665,MATCH($A481+90,$A$5:$A$665,1))),"")</f>
        <v>1.04523565812016</v>
      </c>
      <c r="T481" s="11" t="n">
        <f aca="false">IFERROR(N481/MEDIAN(INDEX($N$5:$N$665,MATCH($A481-90,$A$5:$A$665,1)):INDEX($N$5:$N$665,MATCH($A481+90,$A$5:$A$665,1))),"")</f>
        <v>1.00334250035101</v>
      </c>
      <c r="U481" s="11" t="n">
        <f aca="false">IFERROR(Q481/MEDIAN(INDEX($Q$5:$Q$665,MATCH($A481-90,$A$5:$A$665,1)):INDEX($Q$5:$Q$665,MATCH($A481+90,$A$5:$A$665,1))),"")</f>
        <v>2.57217019538909</v>
      </c>
    </row>
    <row r="482" customFormat="false" ht="15" hidden="false" customHeight="false" outlineLevel="0" collapsed="false">
      <c r="A482" s="13" t="n">
        <v>45680.3906204861</v>
      </c>
      <c r="B482" s="8" t="n">
        <v>9</v>
      </c>
      <c r="C482" s="8" t="s">
        <v>73</v>
      </c>
      <c r="D482" s="8" t="s">
        <v>306</v>
      </c>
      <c r="E482" s="14" t="s">
        <v>66</v>
      </c>
      <c r="F482" s="9" t="n">
        <v>413172</v>
      </c>
      <c r="G482" s="9" t="n">
        <v>39644</v>
      </c>
      <c r="H482" s="9" t="n">
        <v>39783</v>
      </c>
      <c r="I482" s="9" t="n">
        <v>1417</v>
      </c>
      <c r="J482" s="9" t="n">
        <v>150</v>
      </c>
      <c r="K482" s="9" t="n">
        <v>5</v>
      </c>
      <c r="L482" s="9" t="n">
        <v>30</v>
      </c>
      <c r="M482" s="10" t="n">
        <f aca="false">IFERROR(G482/F482,"")</f>
        <v>0.095950354815912</v>
      </c>
      <c r="N482" s="10" t="n">
        <f aca="false">IFERROR(H482/G482,"")</f>
        <v>1.00350620522652</v>
      </c>
      <c r="O482" s="11" t="n">
        <f aca="false">IFERROR(I482/H482,"")</f>
        <v>0.0356182288917377</v>
      </c>
      <c r="P482" s="10" t="n">
        <f aca="false">IFERROR(J482/H482,"")</f>
        <v>0.00377045471683885</v>
      </c>
      <c r="Q482" s="10" t="n">
        <f aca="false">IFERROR(K482/H482,"")</f>
        <v>0.000125681823894628</v>
      </c>
      <c r="R482" s="10" t="n">
        <f aca="false">IFERROR(L482/H482,"")</f>
        <v>0.00075409094336777</v>
      </c>
      <c r="S482" s="11" t="n">
        <f aca="false">IFERROR(M482/MEDIAN(INDEX($M$5:$M$665,MATCH($A482-90,$A$5:$A$665,1)):INDEX($M$5:$M$665,MATCH($A482+90,$A$5:$A$665,1))),"")</f>
        <v>1.09323470477062</v>
      </c>
      <c r="T482" s="11" t="n">
        <f aca="false">IFERROR(N482/MEDIAN(INDEX($N$5:$N$665,MATCH($A482-90,$A$5:$A$665,1)):INDEX($N$5:$N$665,MATCH($A482+90,$A$5:$A$665,1))),"")</f>
        <v>1.00216109937306</v>
      </c>
      <c r="U482" s="11" t="n">
        <f aca="false">IFERROR(Q482/MEDIAN(INDEX($Q$5:$Q$665,MATCH($A482-90,$A$5:$A$665,1)):INDEX($Q$5:$Q$665,MATCH($A482+90,$A$5:$A$665,1))),"")</f>
        <v>0.463388884699495</v>
      </c>
    </row>
    <row r="483" customFormat="false" ht="15" hidden="false" customHeight="false" outlineLevel="0" collapsed="false">
      <c r="A483" s="13" t="n">
        <v>45685.3338471065</v>
      </c>
      <c r="B483" s="8" t="n">
        <v>8</v>
      </c>
      <c r="C483" s="8" t="s">
        <v>64</v>
      </c>
      <c r="D483" s="8" t="s">
        <v>1147</v>
      </c>
      <c r="E483" s="14" t="s">
        <v>66</v>
      </c>
      <c r="F483" s="9" t="n">
        <v>43489</v>
      </c>
      <c r="G483" s="9" t="n">
        <v>6611</v>
      </c>
      <c r="H483" s="9" t="n">
        <v>6611</v>
      </c>
      <c r="I483" s="9" t="n">
        <v>543</v>
      </c>
      <c r="J483" s="9" t="n">
        <v>69</v>
      </c>
      <c r="K483" s="9" t="n">
        <v>6</v>
      </c>
      <c r="L483" s="9" t="n">
        <v>13</v>
      </c>
      <c r="M483" s="10" t="n">
        <f aca="false">IFERROR(G483/F483,"")</f>
        <v>0.152015452183311</v>
      </c>
      <c r="N483" s="10" t="n">
        <f aca="false">IFERROR(H483/G483,"")</f>
        <v>1</v>
      </c>
      <c r="O483" s="11" t="n">
        <f aca="false">IFERROR(I483/H483,"")</f>
        <v>0.0821358342157011</v>
      </c>
      <c r="P483" s="10" t="n">
        <f aca="false">IFERROR(J483/H483,"")</f>
        <v>0.0104371502042051</v>
      </c>
      <c r="Q483" s="10" t="n">
        <f aca="false">IFERROR(K483/H483,"")</f>
        <v>0.000907578278626532</v>
      </c>
      <c r="R483" s="10" t="n">
        <f aca="false">IFERROR(L483/H483,"")</f>
        <v>0.00196641960369082</v>
      </c>
      <c r="S483" s="11" t="n">
        <f aca="false">IFERROR(M483/MEDIAN(INDEX($M$5:$M$665,MATCH($A483-90,$A$5:$A$665,1)):INDEX($M$5:$M$665,MATCH($A483+90,$A$5:$A$665,1))),"")</f>
        <v>1.73548114387363</v>
      </c>
      <c r="T483" s="11" t="n">
        <f aca="false">IFERROR(N483/MEDIAN(INDEX($N$5:$N$665,MATCH($A483-90,$A$5:$A$665,1)):INDEX($N$5:$N$665,MATCH($A483+90,$A$5:$A$665,1))),"")</f>
        <v>0.998652436969475</v>
      </c>
      <c r="U483" s="11" t="n">
        <f aca="false">IFERROR(Q483/MEDIAN(INDEX($Q$5:$Q$665,MATCH($A483-90,$A$5:$A$665,1)):INDEX($Q$5:$Q$665,MATCH($A483+90,$A$5:$A$665,1))),"")</f>
        <v>3.34796462385886</v>
      </c>
    </row>
    <row r="484" customFormat="false" ht="15" hidden="false" customHeight="false" outlineLevel="0" collapsed="false">
      <c r="A484" s="13" t="n">
        <v>45687.3683208218</v>
      </c>
      <c r="B484" s="8" t="n">
        <v>8</v>
      </c>
      <c r="C484" s="8" t="s">
        <v>73</v>
      </c>
      <c r="D484" s="8" t="s">
        <v>300</v>
      </c>
      <c r="E484" s="14" t="s">
        <v>66</v>
      </c>
      <c r="F484" s="9" t="n">
        <v>1023437</v>
      </c>
      <c r="G484" s="9" t="n">
        <v>100706</v>
      </c>
      <c r="H484" s="9" t="n">
        <v>100766</v>
      </c>
      <c r="I484" s="9" t="n">
        <v>1198</v>
      </c>
      <c r="J484" s="9" t="n">
        <v>213</v>
      </c>
      <c r="K484" s="9" t="n">
        <v>34</v>
      </c>
      <c r="L484" s="9" t="n">
        <v>23</v>
      </c>
      <c r="M484" s="10" t="n">
        <f aca="false">IFERROR(G484/F484,"")</f>
        <v>0.0983998037983774</v>
      </c>
      <c r="N484" s="10" t="n">
        <f aca="false">IFERROR(H484/G484,"")</f>
        <v>1.0005957936965</v>
      </c>
      <c r="O484" s="11" t="n">
        <f aca="false">IFERROR(I484/H484,"")</f>
        <v>0.0118889307901475</v>
      </c>
      <c r="P484" s="10" t="n">
        <f aca="false">IFERROR(J484/H484,"")</f>
        <v>0.00211380822896612</v>
      </c>
      <c r="Q484" s="10" t="n">
        <f aca="false">IFERROR(K484/H484,"")</f>
        <v>0.00033741539805093</v>
      </c>
      <c r="R484" s="10" t="n">
        <f aca="false">IFERROR(L484/H484,"")</f>
        <v>0.000228251592799158</v>
      </c>
      <c r="S484" s="11" t="n">
        <f aca="false">IFERROR(M484/MEDIAN(INDEX($M$5:$M$665,MATCH($A484-90,$A$5:$A$665,1)):INDEX($M$5:$M$665,MATCH($A484+90,$A$5:$A$665,1))),"")</f>
        <v>1.12114312303895</v>
      </c>
      <c r="T484" s="11" t="n">
        <f aca="false">IFERROR(N484/MEDIAN(INDEX($N$5:$N$665,MATCH($A484-90,$A$5:$A$665,1)):INDEX($N$5:$N$665,MATCH($A484+90,$A$5:$A$665,1))),"")</f>
        <v>0.999240266719023</v>
      </c>
      <c r="U484" s="11" t="n">
        <f aca="false">IFERROR(Q484/MEDIAN(INDEX($Q$5:$Q$665,MATCH($A484-90,$A$5:$A$665,1)):INDEX($Q$5:$Q$665,MATCH($A484+90,$A$5:$A$665,1))),"")</f>
        <v>1.24533275112637</v>
      </c>
    </row>
    <row r="485" customFormat="false" ht="15" hidden="false" customHeight="false" outlineLevel="0" collapsed="false">
      <c r="A485" s="13" t="n">
        <v>45692.4350407407</v>
      </c>
      <c r="B485" s="8" t="n">
        <v>10</v>
      </c>
      <c r="C485" s="8" t="s">
        <v>64</v>
      </c>
      <c r="D485" s="8" t="s">
        <v>1148</v>
      </c>
      <c r="E485" s="14" t="s">
        <v>66</v>
      </c>
      <c r="F485" s="9" t="n">
        <v>72009</v>
      </c>
      <c r="G485" s="9" t="n">
        <v>8356</v>
      </c>
      <c r="H485" s="9" t="n">
        <v>8431</v>
      </c>
      <c r="I485" s="9" t="n">
        <v>564</v>
      </c>
      <c r="J485" s="9" t="n">
        <v>87</v>
      </c>
      <c r="K485" s="9" t="n">
        <v>7</v>
      </c>
      <c r="L485" s="9" t="n">
        <v>10</v>
      </c>
      <c r="M485" s="10" t="n">
        <f aca="false">IFERROR(G485/F485,"")</f>
        <v>0.116041050424253</v>
      </c>
      <c r="N485" s="10" t="n">
        <f aca="false">IFERROR(H485/G485,"")</f>
        <v>1.00897558640498</v>
      </c>
      <c r="O485" s="11" t="n">
        <f aca="false">IFERROR(I485/H485,"")</f>
        <v>0.066895979124659</v>
      </c>
      <c r="P485" s="10" t="n">
        <f aca="false">IFERROR(J485/H485,"")</f>
        <v>0.0103190606096548</v>
      </c>
      <c r="Q485" s="10" t="n">
        <f aca="false">IFERROR(K485/H485,"")</f>
        <v>0.000830269244454988</v>
      </c>
      <c r="R485" s="10" t="n">
        <f aca="false">IFERROR(L485/H485,"")</f>
        <v>0.00118609892064998</v>
      </c>
      <c r="S485" s="11" t="n">
        <f aca="false">IFERROR(M485/MEDIAN(INDEX($M$5:$M$665,MATCH($A485-90,$A$5:$A$665,1)):INDEX($M$5:$M$665,MATCH($A485+90,$A$5:$A$665,1))),"")</f>
        <v>1.32214314105687</v>
      </c>
      <c r="T485" s="11" t="n">
        <f aca="false">IFERROR(N485/MEDIAN(INDEX($N$5:$N$665,MATCH($A485-90,$A$5:$A$665,1)):INDEX($N$5:$N$665,MATCH($A485+90,$A$5:$A$665,1))),"")</f>
        <v>1.00760870715603</v>
      </c>
      <c r="U485" s="11" t="n">
        <f aca="false">IFERROR(Q485/MEDIAN(INDEX($Q$5:$Q$665,MATCH($A485-90,$A$5:$A$665,1)):INDEX($Q$5:$Q$665,MATCH($A485+90,$A$5:$A$665,1))),"")</f>
        <v>3.17598742735144</v>
      </c>
    </row>
    <row r="486" customFormat="false" ht="15" hidden="false" customHeight="false" outlineLevel="0" collapsed="false">
      <c r="A486" s="13" t="n">
        <v>45694.4235031944</v>
      </c>
      <c r="B486" s="8" t="n">
        <v>10</v>
      </c>
      <c r="C486" s="8" t="s">
        <v>73</v>
      </c>
      <c r="D486" s="8" t="s">
        <v>1149</v>
      </c>
      <c r="E486" s="14" t="s">
        <v>66</v>
      </c>
      <c r="F486" s="9" t="n">
        <v>217973</v>
      </c>
      <c r="G486" s="9" t="n">
        <v>20773</v>
      </c>
      <c r="H486" s="9" t="n">
        <v>20781</v>
      </c>
      <c r="I486" s="9" t="n">
        <v>494</v>
      </c>
      <c r="J486" s="9" t="n">
        <v>89</v>
      </c>
      <c r="K486" s="9" t="n">
        <v>4</v>
      </c>
      <c r="L486" s="9" t="n">
        <v>12</v>
      </c>
      <c r="M486" s="10" t="n">
        <f aca="false">IFERROR(G486/F486,"")</f>
        <v>0.0953007941350534</v>
      </c>
      <c r="N486" s="10" t="n">
        <f aca="false">IFERROR(H486/G486,"")</f>
        <v>1.00038511529389</v>
      </c>
      <c r="O486" s="11" t="n">
        <f aca="false">IFERROR(I486/H486,"")</f>
        <v>0.0237717145469419</v>
      </c>
      <c r="P486" s="10" t="n">
        <f aca="false">IFERROR(J486/H486,"")</f>
        <v>0.00428275828882152</v>
      </c>
      <c r="Q486" s="10" t="n">
        <f aca="false">IFERROR(K486/H486,"")</f>
        <v>0.00019248351859872</v>
      </c>
      <c r="R486" s="10" t="n">
        <f aca="false">IFERROR(L486/H486,"")</f>
        <v>0.00057745055579616</v>
      </c>
      <c r="S486" s="11" t="n">
        <f aca="false">IFERROR(M486/MEDIAN(INDEX($M$5:$M$665,MATCH($A486-90,$A$5:$A$665,1)):INDEX($M$5:$M$665,MATCH($A486+90,$A$5:$A$665,1))),"")</f>
        <v>1.08127570371356</v>
      </c>
      <c r="T486" s="11" t="n">
        <f aca="false">IFERROR(N486/MEDIAN(INDEX($N$5:$N$665,MATCH($A486-90,$A$5:$A$665,1)):INDEX($N$5:$N$665,MATCH($A486+90,$A$5:$A$665,1))),"")</f>
        <v>0.998972106114947</v>
      </c>
      <c r="U486" s="11" t="n">
        <f aca="false">IFERROR(Q486/MEDIAN(INDEX($Q$5:$Q$665,MATCH($A486-90,$A$5:$A$665,1)):INDEX($Q$5:$Q$665,MATCH($A486+90,$A$5:$A$665,1))),"")</f>
        <v>0.835149896540109</v>
      </c>
    </row>
    <row r="487" customFormat="false" ht="15" hidden="false" customHeight="false" outlineLevel="0" collapsed="false">
      <c r="A487" s="13" t="n">
        <v>45699.4221029051</v>
      </c>
      <c r="B487" s="8" t="n">
        <v>10</v>
      </c>
      <c r="C487" s="8" t="s">
        <v>64</v>
      </c>
      <c r="D487" s="8" t="s">
        <v>1150</v>
      </c>
      <c r="E487" s="14" t="s">
        <v>66</v>
      </c>
      <c r="F487" s="9" t="n">
        <v>195111</v>
      </c>
      <c r="G487" s="9" t="n">
        <v>12412</v>
      </c>
      <c r="H487" s="9" t="n">
        <v>12489</v>
      </c>
      <c r="I487" s="9" t="n">
        <v>156</v>
      </c>
      <c r="J487" s="9" t="n">
        <v>37</v>
      </c>
      <c r="K487" s="9" t="n">
        <v>1</v>
      </c>
      <c r="L487" s="9" t="n">
        <v>10</v>
      </c>
      <c r="M487" s="10" t="n">
        <f aca="false">IFERROR(G487/F487,"")</f>
        <v>0.063615070395826</v>
      </c>
      <c r="N487" s="10" t="n">
        <f aca="false">IFERROR(H487/G487,"")</f>
        <v>1.006203673864</v>
      </c>
      <c r="O487" s="11" t="n">
        <f aca="false">IFERROR(I487/H487,"")</f>
        <v>0.0124909920730243</v>
      </c>
      <c r="P487" s="10" t="n">
        <f aca="false">IFERROR(J487/H487,"")</f>
        <v>0.00296260709424293</v>
      </c>
      <c r="Q487" s="10" t="n">
        <f aca="false">IFERROR(K487/H487,"")</f>
        <v>8.00704620065658E-005</v>
      </c>
      <c r="R487" s="10" t="n">
        <f aca="false">IFERROR(L487/H487,"")</f>
        <v>0.000800704620065658</v>
      </c>
      <c r="S487" s="11" t="n">
        <f aca="false">IFERROR(M487/MEDIAN(INDEX($M$5:$M$665,MATCH($A487-90,$A$5:$A$665,1)):INDEX($M$5:$M$665,MATCH($A487+90,$A$5:$A$665,1))),"")</f>
        <v>0.712126022957265</v>
      </c>
      <c r="T487" s="11" t="n">
        <f aca="false">IFERROR(N487/MEDIAN(INDEX($N$5:$N$665,MATCH($A487-90,$A$5:$A$665,1)):INDEX($N$5:$N$665,MATCH($A487+90,$A$5:$A$665,1))),"")</f>
        <v>1.00481149713676</v>
      </c>
      <c r="U487" s="11" t="n">
        <f aca="false">IFERROR(Q487/MEDIAN(INDEX($Q$5:$Q$665,MATCH($A487-90,$A$5:$A$665,1)):INDEX($Q$5:$Q$665,MATCH($A487+90,$A$5:$A$665,1))),"")</f>
        <v>0.365354112411011</v>
      </c>
    </row>
    <row r="488" customFormat="false" ht="15" hidden="false" customHeight="false" outlineLevel="0" collapsed="false">
      <c r="A488" s="13" t="n">
        <v>45701.4350176042</v>
      </c>
      <c r="B488" s="8" t="n">
        <v>10</v>
      </c>
      <c r="C488" s="8" t="s">
        <v>73</v>
      </c>
      <c r="D488" s="8" t="s">
        <v>1151</v>
      </c>
      <c r="E488" s="14" t="s">
        <v>66</v>
      </c>
      <c r="F488" s="9" t="n">
        <v>131141</v>
      </c>
      <c r="G488" s="9" t="n">
        <v>10426</v>
      </c>
      <c r="H488" s="9" t="n">
        <v>10558</v>
      </c>
      <c r="I488" s="9" t="n">
        <v>167</v>
      </c>
      <c r="J488" s="9" t="n">
        <v>58</v>
      </c>
      <c r="K488" s="9" t="n">
        <v>2</v>
      </c>
      <c r="L488" s="9" t="n">
        <v>9</v>
      </c>
      <c r="M488" s="10" t="n">
        <f aca="false">IFERROR(G488/F488,"")</f>
        <v>0.0795022151729818</v>
      </c>
      <c r="N488" s="10" t="n">
        <f aca="false">IFERROR(H488/G488,"")</f>
        <v>1.01266065605218</v>
      </c>
      <c r="O488" s="11" t="n">
        <f aca="false">IFERROR(I488/H488,"")</f>
        <v>0.015817389657132</v>
      </c>
      <c r="P488" s="10" t="n">
        <f aca="false">IFERROR(J488/H488,"")</f>
        <v>0.00549346467133927</v>
      </c>
      <c r="Q488" s="10" t="n">
        <f aca="false">IFERROR(K488/H488,"")</f>
        <v>0.000189429816253078</v>
      </c>
      <c r="R488" s="10" t="n">
        <f aca="false">IFERROR(L488/H488,"")</f>
        <v>0.000852434173138852</v>
      </c>
      <c r="S488" s="11" t="n">
        <f aca="false">IFERROR(M488/MEDIAN(INDEX($M$5:$M$665,MATCH($A488-90,$A$5:$A$665,1)):INDEX($M$5:$M$665,MATCH($A488+90,$A$5:$A$665,1))),"")</f>
        <v>0.878234643371845</v>
      </c>
      <c r="T488" s="11" t="n">
        <f aca="false">IFERROR(N488/MEDIAN(INDEX($N$5:$N$665,MATCH($A488-90,$A$5:$A$665,1)):INDEX($N$5:$N$665,MATCH($A488+90,$A$5:$A$665,1))),"")</f>
        <v>1.01123030809889</v>
      </c>
      <c r="U488" s="11" t="n">
        <f aca="false">IFERROR(Q488/MEDIAN(INDEX($Q$5:$Q$665,MATCH($A488-90,$A$5:$A$665,1)):INDEX($Q$5:$Q$665,MATCH($A488+90,$A$5:$A$665,1))),"")</f>
        <v>0.821900454631559</v>
      </c>
    </row>
    <row r="489" customFormat="false" ht="15" hidden="false" customHeight="false" outlineLevel="0" collapsed="false">
      <c r="A489" s="13" t="n">
        <v>45706.4805996875</v>
      </c>
      <c r="B489" s="8" t="n">
        <v>11</v>
      </c>
      <c r="C489" s="8" t="s">
        <v>64</v>
      </c>
      <c r="D489" s="8" t="s">
        <v>1152</v>
      </c>
      <c r="E489" s="14" t="s">
        <v>66</v>
      </c>
      <c r="F489" s="9" t="n">
        <v>912605</v>
      </c>
      <c r="G489" s="9" t="n">
        <v>74931</v>
      </c>
      <c r="H489" s="9" t="n">
        <v>75102</v>
      </c>
      <c r="I489" s="9" t="n">
        <v>1170</v>
      </c>
      <c r="J489" s="9" t="n">
        <v>111</v>
      </c>
      <c r="K489" s="9" t="n">
        <v>2</v>
      </c>
      <c r="L489" s="9" t="n">
        <v>14</v>
      </c>
      <c r="M489" s="10" t="n">
        <f aca="false">IFERROR(G489/F489,"")</f>
        <v>0.0821067164874179</v>
      </c>
      <c r="N489" s="10" t="n">
        <f aca="false">IFERROR(H489/G489,"")</f>
        <v>1.00228209953157</v>
      </c>
      <c r="O489" s="11" t="n">
        <f aca="false">IFERROR(I489/H489,"")</f>
        <v>0.0155788128145722</v>
      </c>
      <c r="P489" s="10" t="n">
        <f aca="false">IFERROR(J489/H489,"")</f>
        <v>0.00147798993369018</v>
      </c>
      <c r="Q489" s="10" t="n">
        <f aca="false">IFERROR(K489/H489,"")</f>
        <v>2.66304492556789E-005</v>
      </c>
      <c r="R489" s="10" t="n">
        <f aca="false">IFERROR(L489/H489,"")</f>
        <v>0.000186413144789753</v>
      </c>
      <c r="S489" s="11" t="n">
        <f aca="false">IFERROR(M489/MEDIAN(INDEX($M$5:$M$665,MATCH($A489-90,$A$5:$A$665,1)):INDEX($M$5:$M$665,MATCH($A489+90,$A$5:$A$665,1))),"")</f>
        <v>0.90001667710567</v>
      </c>
      <c r="T489" s="11" t="n">
        <f aca="false">IFERROR(N489/MEDIAN(INDEX($N$5:$N$665,MATCH($A489-90,$A$5:$A$665,1)):INDEX($N$5:$N$665,MATCH($A489+90,$A$5:$A$665,1))),"")</f>
        <v>1.0008489021507</v>
      </c>
      <c r="U489" s="11" t="n">
        <f aca="false">IFERROR(Q489/MEDIAN(INDEX($Q$5:$Q$665,MATCH($A489-90,$A$5:$A$665,1)):INDEX($Q$5:$Q$665,MATCH($A489+90,$A$5:$A$665,1))),"")</f>
        <v>0.108276167289679</v>
      </c>
    </row>
    <row r="490" customFormat="false" ht="15" hidden="false" customHeight="false" outlineLevel="0" collapsed="false">
      <c r="A490" s="13" t="n">
        <v>45708.3278658449</v>
      </c>
      <c r="B490" s="8" t="n">
        <v>7</v>
      </c>
      <c r="C490" s="8" t="s">
        <v>73</v>
      </c>
      <c r="D490" s="8" t="s">
        <v>1153</v>
      </c>
      <c r="E490" s="14" t="s">
        <v>66</v>
      </c>
      <c r="F490" s="9" t="n">
        <v>116690</v>
      </c>
      <c r="G490" s="9" t="n">
        <v>8321</v>
      </c>
      <c r="H490" s="9" t="n">
        <v>8451</v>
      </c>
      <c r="I490" s="9" t="n">
        <v>204</v>
      </c>
      <c r="J490" s="9" t="n">
        <v>51</v>
      </c>
      <c r="K490" s="9" t="n">
        <v>0</v>
      </c>
      <c r="L490" s="9" t="n">
        <v>13</v>
      </c>
      <c r="M490" s="10" t="n">
        <f aca="false">IFERROR(G490/F490,"")</f>
        <v>0.0713085954237724</v>
      </c>
      <c r="N490" s="10" t="n">
        <f aca="false">IFERROR(H490/G490,"")</f>
        <v>1.01562312222089</v>
      </c>
      <c r="O490" s="11" t="n">
        <f aca="false">IFERROR(I490/H490,"")</f>
        <v>0.0241391551295705</v>
      </c>
      <c r="P490" s="10" t="n">
        <f aca="false">IFERROR(J490/H490,"")</f>
        <v>0.00603478878239262</v>
      </c>
      <c r="Q490" s="10" t="n">
        <f aca="false">IFERROR(K490/H490,"")</f>
        <v>0</v>
      </c>
      <c r="R490" s="10" t="n">
        <f aca="false">IFERROR(L490/H490,"")</f>
        <v>0.00153827949355106</v>
      </c>
      <c r="S490" s="11" t="n">
        <f aca="false">IFERROR(M490/MEDIAN(INDEX($M$5:$M$665,MATCH($A490-90,$A$5:$A$665,1)):INDEX($M$5:$M$665,MATCH($A490+90,$A$5:$A$665,1))),"")</f>
        <v>0.775675508738086</v>
      </c>
      <c r="T490" s="11" t="n">
        <f aca="false">IFERROR(N490/MEDIAN(INDEX($N$5:$N$665,MATCH($A490-90,$A$5:$A$665,1)):INDEX($N$5:$N$665,MATCH($A490+90,$A$5:$A$665,1))),"")</f>
        <v>1.01415310684626</v>
      </c>
      <c r="U490" s="11" t="n">
        <f aca="false">IFERROR(Q490/MEDIAN(INDEX($Q$5:$Q$665,MATCH($A490-90,$A$5:$A$665,1)):INDEX($Q$5:$Q$665,MATCH($A490+90,$A$5:$A$665,1))),"")</f>
        <v>0</v>
      </c>
    </row>
    <row r="491" customFormat="false" ht="15" hidden="false" customHeight="false" outlineLevel="0" collapsed="false">
      <c r="A491" s="13" t="n">
        <v>45713.3812238079</v>
      </c>
      <c r="B491" s="8" t="n">
        <v>9</v>
      </c>
      <c r="C491" s="8" t="s">
        <v>64</v>
      </c>
      <c r="D491" s="8" t="s">
        <v>1074</v>
      </c>
      <c r="E491" s="14" t="s">
        <v>66</v>
      </c>
      <c r="F491" s="9" t="n">
        <v>1179373</v>
      </c>
      <c r="G491" s="9" t="n">
        <v>118066</v>
      </c>
      <c r="H491" s="9" t="n">
        <v>118233</v>
      </c>
      <c r="I491" s="9" t="n">
        <v>1826</v>
      </c>
      <c r="J491" s="9" t="n">
        <v>138</v>
      </c>
      <c r="K491" s="9" t="n">
        <v>6</v>
      </c>
      <c r="L491" s="9" t="n">
        <v>20</v>
      </c>
      <c r="M491" s="10" t="n">
        <f aca="false">IFERROR(G491/F491,"")</f>
        <v>0.100109125781241</v>
      </c>
      <c r="N491" s="10" t="n">
        <f aca="false">IFERROR(H491/G491,"")</f>
        <v>1.00141446309691</v>
      </c>
      <c r="O491" s="11" t="n">
        <f aca="false">IFERROR(I491/H491,"")</f>
        <v>0.0154440807557958</v>
      </c>
      <c r="P491" s="10" t="n">
        <f aca="false">IFERROR(J491/H491,"")</f>
        <v>0.00116718682601304</v>
      </c>
      <c r="Q491" s="10" t="n">
        <f aca="false">IFERROR(K491/H491,"")</f>
        <v>5.07472533049149E-005</v>
      </c>
      <c r="R491" s="10" t="n">
        <f aca="false">IFERROR(L491/H491,"")</f>
        <v>0.000169157511016383</v>
      </c>
      <c r="S491" s="11" t="n">
        <f aca="false">IFERROR(M491/MEDIAN(INDEX($M$5:$M$665,MATCH($A491-90,$A$5:$A$665,1)):INDEX($M$5:$M$665,MATCH($A491+90,$A$5:$A$665,1))),"")</f>
        <v>1.06952739489051</v>
      </c>
      <c r="T491" s="11" t="n">
        <f aca="false">IFERROR(N491/MEDIAN(INDEX($N$5:$N$665,MATCH($A491-90,$A$5:$A$665,1)):INDEX($N$5:$N$665,MATCH($A491+90,$A$5:$A$665,1))),"")</f>
        <v>0.999910158938352</v>
      </c>
      <c r="U491" s="11" t="n">
        <f aca="false">IFERROR(Q491/MEDIAN(INDEX($Q$5:$Q$665,MATCH($A491-90,$A$5:$A$665,1)):INDEX($Q$5:$Q$665,MATCH($A491+90,$A$5:$A$665,1))),"")</f>
        <v>0.19064842065836</v>
      </c>
    </row>
    <row r="492" customFormat="false" ht="15" hidden="false" customHeight="false" outlineLevel="0" collapsed="false">
      <c r="A492" s="13" t="n">
        <v>45715.2872645949</v>
      </c>
      <c r="B492" s="8" t="n">
        <v>6</v>
      </c>
      <c r="C492" s="8" t="s">
        <v>73</v>
      </c>
      <c r="D492" s="8" t="s">
        <v>1154</v>
      </c>
      <c r="E492" s="14" t="s">
        <v>66</v>
      </c>
      <c r="F492" s="9" t="n">
        <v>243135</v>
      </c>
      <c r="G492" s="9" t="n">
        <v>23378</v>
      </c>
      <c r="H492" s="9" t="n">
        <v>23614</v>
      </c>
      <c r="I492" s="9" t="n">
        <v>866</v>
      </c>
      <c r="J492" s="9" t="n">
        <v>142</v>
      </c>
      <c r="K492" s="9" t="n">
        <v>3</v>
      </c>
      <c r="L492" s="9" t="n">
        <v>17</v>
      </c>
      <c r="M492" s="10" t="n">
        <f aca="false">IFERROR(G492/F492,"")</f>
        <v>0.0961523433483456</v>
      </c>
      <c r="N492" s="10" t="n">
        <f aca="false">IFERROR(H492/G492,"")</f>
        <v>1.01009496107451</v>
      </c>
      <c r="O492" s="11" t="n">
        <f aca="false">IFERROR(I492/H492,"")</f>
        <v>0.0366731599898365</v>
      </c>
      <c r="P492" s="10" t="n">
        <f aca="false">IFERROR(J492/H492,"")</f>
        <v>0.00601338189209791</v>
      </c>
      <c r="Q492" s="10" t="n">
        <f aca="false">IFERROR(K492/H492,"")</f>
        <v>0.000127043279410519</v>
      </c>
      <c r="R492" s="10" t="n">
        <f aca="false">IFERROR(L492/H492,"")</f>
        <v>0.000719911916659609</v>
      </c>
      <c r="S492" s="11" t="n">
        <f aca="false">IFERROR(M492/MEDIAN(INDEX($M$5:$M$665,MATCH($A492-90,$A$5:$A$665,1)):INDEX($M$5:$M$665,MATCH($A492+90,$A$5:$A$665,1))),"")</f>
        <v>1.00924471619622</v>
      </c>
      <c r="T492" s="11" t="n">
        <f aca="false">IFERROR(N492/MEDIAN(INDEX($N$5:$N$665,MATCH($A492-90,$A$5:$A$665,1)):INDEX($N$5:$N$665,MATCH($A492+90,$A$5:$A$665,1))),"")</f>
        <v>1.00852229339805</v>
      </c>
      <c r="U492" s="11" t="n">
        <f aca="false">IFERROR(Q492/MEDIAN(INDEX($Q$5:$Q$665,MATCH($A492-90,$A$5:$A$665,1)):INDEX($Q$5:$Q$665,MATCH($A492+90,$A$5:$A$665,1))),"")</f>
        <v>0.468891335648344</v>
      </c>
    </row>
    <row r="493" customFormat="false" ht="15" hidden="false" customHeight="false" outlineLevel="0" collapsed="false">
      <c r="A493" s="13" t="n">
        <v>45720.3980724653</v>
      </c>
      <c r="B493" s="8" t="n">
        <v>9</v>
      </c>
      <c r="C493" s="8" t="s">
        <v>64</v>
      </c>
      <c r="D493" s="8" t="s">
        <v>1155</v>
      </c>
      <c r="E493" s="14" t="s">
        <v>66</v>
      </c>
      <c r="F493" s="9" t="n">
        <v>644989</v>
      </c>
      <c r="G493" s="9" t="n">
        <v>56609</v>
      </c>
      <c r="H493" s="9" t="n">
        <v>56660</v>
      </c>
      <c r="I493" s="9" t="n">
        <v>482</v>
      </c>
      <c r="J493" s="9" t="n">
        <v>32</v>
      </c>
      <c r="K493" s="9" t="n">
        <v>3</v>
      </c>
      <c r="L493" s="9" t="n">
        <v>7</v>
      </c>
      <c r="M493" s="10" t="n">
        <f aca="false">IFERROR(G493/F493,"")</f>
        <v>0.0877673882810405</v>
      </c>
      <c r="N493" s="10" t="n">
        <f aca="false">IFERROR(H493/G493,"")</f>
        <v>1.00090091681535</v>
      </c>
      <c r="O493" s="11" t="n">
        <f aca="false">IFERROR(I493/H493,"")</f>
        <v>0.00850688316272503</v>
      </c>
      <c r="P493" s="10" t="n">
        <f aca="false">IFERROR(J493/H493,"")</f>
        <v>0.000564772326156018</v>
      </c>
      <c r="Q493" s="10" t="n">
        <f aca="false">IFERROR(K493/H493,"")</f>
        <v>5.29474055771267E-005</v>
      </c>
      <c r="R493" s="10" t="n">
        <f aca="false">IFERROR(L493/H493,"")</f>
        <v>0.000123543946346629</v>
      </c>
      <c r="S493" s="11" t="n">
        <f aca="false">IFERROR(M493/MEDIAN(INDEX($M$5:$M$665,MATCH($A493-90,$A$5:$A$665,1)):INDEX($M$5:$M$665,MATCH($A493+90,$A$5:$A$665,1))),"")</f>
        <v>0.921154480498336</v>
      </c>
      <c r="T493" s="11" t="n">
        <f aca="false">IFERROR(N493/MEDIAN(INDEX($N$5:$N$665,MATCH($A493-90,$A$5:$A$665,1)):INDEX($N$5:$N$665,MATCH($A493+90,$A$5:$A$665,1))),"")</f>
        <v>0.999226320962549</v>
      </c>
      <c r="U493" s="11" t="n">
        <f aca="false">IFERROR(Q493/MEDIAN(INDEX($Q$5:$Q$665,MATCH($A493-90,$A$5:$A$665,1)):INDEX($Q$5:$Q$665,MATCH($A493+90,$A$5:$A$665,1))),"")</f>
        <v>0.198914002115247</v>
      </c>
    </row>
    <row r="494" customFormat="false" ht="15" hidden="false" customHeight="false" outlineLevel="0" collapsed="false">
      <c r="A494" s="13" t="n">
        <v>45722.2760225463</v>
      </c>
      <c r="B494" s="8" t="n">
        <v>6</v>
      </c>
      <c r="C494" s="8" t="s">
        <v>73</v>
      </c>
      <c r="D494" s="8" t="s">
        <v>321</v>
      </c>
      <c r="E494" s="14" t="s">
        <v>66</v>
      </c>
      <c r="F494" s="9" t="n">
        <v>550823</v>
      </c>
      <c r="G494" s="9" t="n">
        <v>58420</v>
      </c>
      <c r="H494" s="9" t="n">
        <v>58529</v>
      </c>
      <c r="I494" s="9" t="n">
        <v>3378</v>
      </c>
      <c r="J494" s="9" t="n">
        <v>154</v>
      </c>
      <c r="K494" s="9" t="n">
        <v>26</v>
      </c>
      <c r="L494" s="9" t="n">
        <v>32</v>
      </c>
      <c r="M494" s="10" t="n">
        <f aca="false">IFERROR(G494/F494,"")</f>
        <v>0.106059478271604</v>
      </c>
      <c r="N494" s="10" t="n">
        <f aca="false">IFERROR(H494/G494,"")</f>
        <v>1.00186579938377</v>
      </c>
      <c r="O494" s="11" t="n">
        <f aca="false">IFERROR(I494/H494,"")</f>
        <v>0.057714978899349</v>
      </c>
      <c r="P494" s="10" t="n">
        <f aca="false">IFERROR(J494/H494,"")</f>
        <v>0.00263117428966837</v>
      </c>
      <c r="Q494" s="10" t="n">
        <f aca="false">IFERROR(K494/H494,"")</f>
        <v>0.000444224230723231</v>
      </c>
      <c r="R494" s="10" t="n">
        <f aca="false">IFERROR(L494/H494,"")</f>
        <v>0.000546737514736285</v>
      </c>
      <c r="S494" s="11" t="n">
        <f aca="false">IFERROR(M494/MEDIAN(INDEX($M$5:$M$665,MATCH($A494-90,$A$5:$A$665,1)):INDEX($M$5:$M$665,MATCH($A494+90,$A$5:$A$665,1))),"")</f>
        <v>1.11296681487638</v>
      </c>
      <c r="T494" s="11" t="n">
        <f aca="false">IFERROR(N494/MEDIAN(INDEX($N$5:$N$665,MATCH($A494-90,$A$5:$A$665,1)):INDEX($N$5:$N$665,MATCH($A494+90,$A$5:$A$665,1))),"")</f>
        <v>1.00003662933637</v>
      </c>
      <c r="U494" s="11" t="n">
        <f aca="false">IFERROR(Q494/MEDIAN(INDEX($Q$5:$Q$665,MATCH($A494-90,$A$5:$A$665,1)):INDEX($Q$5:$Q$665,MATCH($A494+90,$A$5:$A$665,1))),"")</f>
        <v>1.80616168575002</v>
      </c>
    </row>
    <row r="495" customFormat="false" ht="15" hidden="false" customHeight="false" outlineLevel="0" collapsed="false">
      <c r="A495" s="13" t="n">
        <v>45727.2936543287</v>
      </c>
      <c r="B495" s="8" t="n">
        <v>7</v>
      </c>
      <c r="C495" s="8" t="s">
        <v>64</v>
      </c>
      <c r="D495" s="8" t="s">
        <v>1156</v>
      </c>
      <c r="E495" s="14" t="s">
        <v>66</v>
      </c>
      <c r="F495" s="9" t="n">
        <v>593897</v>
      </c>
      <c r="G495" s="9" t="n">
        <v>51038</v>
      </c>
      <c r="H495" s="9" t="n">
        <v>51183</v>
      </c>
      <c r="I495" s="9" t="n">
        <v>1552</v>
      </c>
      <c r="J495" s="9" t="n">
        <v>100</v>
      </c>
      <c r="K495" s="9" t="n">
        <v>9</v>
      </c>
      <c r="L495" s="9" t="n">
        <v>38</v>
      </c>
      <c r="M495" s="10" t="n">
        <f aca="false">IFERROR(G495/F495,"")</f>
        <v>0.0859374605360862</v>
      </c>
      <c r="N495" s="10" t="n">
        <f aca="false">IFERROR(H495/G495,"")</f>
        <v>1.00284102041616</v>
      </c>
      <c r="O495" s="11" t="n">
        <f aca="false">IFERROR(I495/H495,"")</f>
        <v>0.0303225680401696</v>
      </c>
      <c r="P495" s="10" t="n">
        <f aca="false">IFERROR(J495/H495,"")</f>
        <v>0.00195377371392845</v>
      </c>
      <c r="Q495" s="10" t="n">
        <f aca="false">IFERROR(K495/H495,"")</f>
        <v>0.000175839634253561</v>
      </c>
      <c r="R495" s="10" t="n">
        <f aca="false">IFERROR(L495/H495,"")</f>
        <v>0.000742434011292812</v>
      </c>
      <c r="S495" s="11" t="n">
        <f aca="false">IFERROR(M495/MEDIAN(INDEX($M$5:$M$665,MATCH($A495-90,$A$5:$A$665,1)):INDEX($M$5:$M$665,MATCH($A495+90,$A$5:$A$665,1))),"")</f>
        <v>0.899944216220354</v>
      </c>
      <c r="T495" s="11" t="n">
        <f aca="false">IFERROR(N495/MEDIAN(INDEX($N$5:$N$665,MATCH($A495-90,$A$5:$A$665,1)):INDEX($N$5:$N$665,MATCH($A495+90,$A$5:$A$665,1))),"")</f>
        <v>1.00097340485421</v>
      </c>
      <c r="U495" s="11" t="n">
        <f aca="false">IFERROR(Q495/MEDIAN(INDEX($Q$5:$Q$665,MATCH($A495-90,$A$5:$A$665,1)):INDEX($Q$5:$Q$665,MATCH($A495+90,$A$5:$A$665,1))),"")</f>
        <v>0.846036884949162</v>
      </c>
    </row>
    <row r="496" customFormat="false" ht="15" hidden="false" customHeight="false" outlineLevel="0" collapsed="false">
      <c r="A496" s="13" t="n">
        <v>45757.6319697454</v>
      </c>
      <c r="B496" s="8" t="n">
        <v>15</v>
      </c>
      <c r="C496" s="8" t="s">
        <v>73</v>
      </c>
      <c r="D496" s="8" t="s">
        <v>1157</v>
      </c>
      <c r="E496" s="14" t="s">
        <v>66</v>
      </c>
      <c r="F496" s="9" t="n">
        <v>202180</v>
      </c>
      <c r="G496" s="9" t="n">
        <v>15291</v>
      </c>
      <c r="H496" s="9" t="n">
        <v>15301</v>
      </c>
      <c r="I496" s="9" t="n">
        <v>183</v>
      </c>
      <c r="J496" s="9" t="n">
        <v>78</v>
      </c>
      <c r="K496" s="9" t="n">
        <v>4</v>
      </c>
      <c r="L496" s="9" t="n">
        <v>15</v>
      </c>
      <c r="M496" s="10" t="n">
        <f aca="false">IFERROR(G496/F496,"")</f>
        <v>0.0756306261746958</v>
      </c>
      <c r="N496" s="10" t="n">
        <f aca="false">IFERROR(H496/G496,"")</f>
        <v>1.00065397946504</v>
      </c>
      <c r="O496" s="11" t="n">
        <f aca="false">IFERROR(I496/H496,"")</f>
        <v>0.0119600026142082</v>
      </c>
      <c r="P496" s="10" t="n">
        <f aca="false">IFERROR(J496/H496,"")</f>
        <v>0.00509770603228547</v>
      </c>
      <c r="Q496" s="10" t="n">
        <f aca="false">IFERROR(K496/H496,"")</f>
        <v>0.000261420822168486</v>
      </c>
      <c r="R496" s="10" t="n">
        <f aca="false">IFERROR(L496/H496,"")</f>
        <v>0.000980328083131822</v>
      </c>
      <c r="S496" s="11" t="n">
        <f aca="false">IFERROR(M496/MEDIAN(INDEX($M$5:$M$665,MATCH($A496-90,$A$5:$A$665,1)):INDEX($M$5:$M$665,MATCH($A496+90,$A$5:$A$665,1))),"")</f>
        <v>0.729233931137667</v>
      </c>
      <c r="T496" s="11" t="n">
        <f aca="false">IFERROR(N496/MEDIAN(INDEX($N$5:$N$665,MATCH($A496-90,$A$5:$A$665,1)):INDEX($N$5:$N$665,MATCH($A496+90,$A$5:$A$665,1))),"")</f>
        <v>0.997232581774377</v>
      </c>
      <c r="U496" s="11" t="n">
        <f aca="false">IFERROR(Q496/MEDIAN(INDEX($Q$5:$Q$665,MATCH($A496-90,$A$5:$A$665,1)):INDEX($Q$5:$Q$665,MATCH($A496+90,$A$5:$A$665,1))),"")</f>
        <v>1.36900599330961</v>
      </c>
    </row>
    <row r="497" customFormat="false" ht="15" hidden="false" customHeight="false" outlineLevel="0" collapsed="false">
      <c r="A497" s="13" t="n">
        <v>45776.2170047338</v>
      </c>
      <c r="B497" s="8" t="n">
        <v>5</v>
      </c>
      <c r="C497" s="8" t="s">
        <v>64</v>
      </c>
      <c r="D497" s="8" t="s">
        <v>1158</v>
      </c>
      <c r="E497" s="14" t="s">
        <v>66</v>
      </c>
      <c r="F497" s="9" t="n">
        <v>284575</v>
      </c>
      <c r="G497" s="9" t="n">
        <v>33535</v>
      </c>
      <c r="H497" s="9" t="n">
        <v>33751</v>
      </c>
      <c r="I497" s="9" t="n">
        <v>0</v>
      </c>
      <c r="J497" s="9" t="n">
        <v>84</v>
      </c>
      <c r="K497" s="9" t="n">
        <v>4</v>
      </c>
      <c r="L497" s="9" t="n">
        <v>23</v>
      </c>
      <c r="M497" s="10" t="n">
        <f aca="false">IFERROR(G497/F497,"")</f>
        <v>0.117842396556268</v>
      </c>
      <c r="N497" s="10" t="n">
        <f aca="false">IFERROR(H497/G497,"")</f>
        <v>1.00644103175787</v>
      </c>
      <c r="O497" s="11" t="n">
        <f aca="false">IFERROR(I497/H497,"")</f>
        <v>0</v>
      </c>
      <c r="P497" s="10" t="n">
        <f aca="false">IFERROR(J497/H497,"")</f>
        <v>0.00248881514621789</v>
      </c>
      <c r="Q497" s="10" t="n">
        <f aca="false">IFERROR(K497/H497,"")</f>
        <v>0.000118515006962757</v>
      </c>
      <c r="R497" s="10" t="n">
        <f aca="false">IFERROR(L497/H497,"")</f>
        <v>0.000681461290035851</v>
      </c>
      <c r="S497" s="11" t="n">
        <f aca="false">IFERROR(M497/MEDIAN(INDEX($M$5:$M$665,MATCH($A497-90,$A$5:$A$665,1)):INDEX($M$5:$M$665,MATCH($A497+90,$A$5:$A$665,1))),"")</f>
        <v>1.11109726803001</v>
      </c>
      <c r="T497" s="11" t="n">
        <f aca="false">IFERROR(N497/MEDIAN(INDEX($N$5:$N$665,MATCH($A497-90,$A$5:$A$665,1)):INDEX($N$5:$N$665,MATCH($A497+90,$A$5:$A$665,1))),"")</f>
        <v>1.00307513332012</v>
      </c>
      <c r="U497" s="11" t="n">
        <f aca="false">IFERROR(Q497/MEDIAN(INDEX($Q$5:$Q$665,MATCH($A497-90,$A$5:$A$665,1)):INDEX($Q$5:$Q$665,MATCH($A497+90,$A$5:$A$665,1))),"")</f>
        <v>0.615715089923262</v>
      </c>
    </row>
    <row r="498" customFormat="false" ht="15" hidden="false" customHeight="false" outlineLevel="0" collapsed="false">
      <c r="A498" s="13" t="n">
        <v>45778.3676504282</v>
      </c>
      <c r="B498" s="8" t="n">
        <v>8</v>
      </c>
      <c r="C498" s="8" t="s">
        <v>73</v>
      </c>
      <c r="D498" s="8" t="s">
        <v>1159</v>
      </c>
      <c r="E498" s="14" t="s">
        <v>66</v>
      </c>
      <c r="F498" s="9" t="n">
        <v>502587</v>
      </c>
      <c r="G498" s="9" t="n">
        <v>53642</v>
      </c>
      <c r="H498" s="9" t="n">
        <v>53822</v>
      </c>
      <c r="I498" s="9" t="n">
        <v>0</v>
      </c>
      <c r="J498" s="9" t="n">
        <v>157</v>
      </c>
      <c r="K498" s="9" t="n">
        <v>7</v>
      </c>
      <c r="L498" s="9" t="n">
        <v>23</v>
      </c>
      <c r="M498" s="10" t="n">
        <f aca="false">IFERROR(G498/F498,"")</f>
        <v>0.106731769822936</v>
      </c>
      <c r="N498" s="10" t="n">
        <f aca="false">IFERROR(H498/G498,"")</f>
        <v>1.00335557958316</v>
      </c>
      <c r="O498" s="11" t="n">
        <f aca="false">IFERROR(I498/H498,"")</f>
        <v>0</v>
      </c>
      <c r="P498" s="10" t="n">
        <f aca="false">IFERROR(J498/H498,"")</f>
        <v>0.00291702277878934</v>
      </c>
      <c r="Q498" s="10" t="n">
        <f aca="false">IFERROR(K498/H498,"")</f>
        <v>0.000130058340455576</v>
      </c>
      <c r="R498" s="10" t="n">
        <f aca="false">IFERROR(L498/H498,"")</f>
        <v>0.000427334547211178</v>
      </c>
      <c r="S498" s="11" t="n">
        <f aca="false">IFERROR(M498/MEDIAN(INDEX($M$5:$M$665,MATCH($A498-90,$A$5:$A$665,1)):INDEX($M$5:$M$665,MATCH($A498+90,$A$5:$A$665,1))),"")</f>
        <v>1.00633881631597</v>
      </c>
      <c r="T498" s="11" t="n">
        <f aca="false">IFERROR(N498/MEDIAN(INDEX($N$5:$N$665,MATCH($A498-90,$A$5:$A$665,1)):INDEX($N$5:$N$665,MATCH($A498+90,$A$5:$A$665,1))),"")</f>
        <v>1</v>
      </c>
      <c r="U498" s="11" t="n">
        <f aca="false">IFERROR(Q498/MEDIAN(INDEX($Q$5:$Q$665,MATCH($A498-90,$A$5:$A$665,1)):INDEX($Q$5:$Q$665,MATCH($A498+90,$A$5:$A$665,1))),"")</f>
        <v>0.67568559325183</v>
      </c>
    </row>
    <row r="499" customFormat="false" ht="15" hidden="false" customHeight="false" outlineLevel="0" collapsed="false">
      <c r="A499" s="13" t="n">
        <v>45783.2811264699</v>
      </c>
      <c r="B499" s="8" t="n">
        <v>6</v>
      </c>
      <c r="C499" s="8" t="s">
        <v>64</v>
      </c>
      <c r="D499" s="8" t="s">
        <v>1160</v>
      </c>
      <c r="E499" s="14" t="s">
        <v>66</v>
      </c>
      <c r="F499" s="9" t="n">
        <v>573537</v>
      </c>
      <c r="G499" s="9" t="n">
        <v>69240</v>
      </c>
      <c r="H499" s="9" t="n">
        <v>69421</v>
      </c>
      <c r="I499" s="9" t="n">
        <v>0</v>
      </c>
      <c r="J499" s="9" t="n">
        <v>160</v>
      </c>
      <c r="K499" s="9" t="n">
        <v>16</v>
      </c>
      <c r="L499" s="9" t="n">
        <v>15</v>
      </c>
      <c r="M499" s="10" t="n">
        <f aca="false">IFERROR(G499/F499,"")</f>
        <v>0.120724556567405</v>
      </c>
      <c r="N499" s="10" t="n">
        <f aca="false">IFERROR(H499/G499,"")</f>
        <v>1.00261409589832</v>
      </c>
      <c r="O499" s="11" t="n">
        <f aca="false">IFERROR(I499/H499,"")</f>
        <v>0</v>
      </c>
      <c r="P499" s="10" t="n">
        <f aca="false">IFERROR(J499/H499,"")</f>
        <v>0.00230477809308423</v>
      </c>
      <c r="Q499" s="10" t="n">
        <f aca="false">IFERROR(K499/H499,"")</f>
        <v>0.000230477809308423</v>
      </c>
      <c r="R499" s="10" t="n">
        <f aca="false">IFERROR(L499/H499,"")</f>
        <v>0.000216072946226646</v>
      </c>
      <c r="S499" s="11" t="n">
        <f aca="false">IFERROR(M499/MEDIAN(INDEX($M$5:$M$665,MATCH($A499-90,$A$5:$A$665,1)):INDEX($M$5:$M$665,MATCH($A499+90,$A$5:$A$665,1))),"")</f>
        <v>1.13827220852667</v>
      </c>
      <c r="T499" s="11" t="n">
        <f aca="false">IFERROR(N499/MEDIAN(INDEX($N$5:$N$665,MATCH($A499-90,$A$5:$A$665,1)):INDEX($N$5:$N$665,MATCH($A499+90,$A$5:$A$665,1))),"")</f>
        <v>0.99831746670885</v>
      </c>
      <c r="U499" s="11" t="n">
        <f aca="false">IFERROR(Q499/MEDIAN(INDEX($Q$5:$Q$665,MATCH($A499-90,$A$5:$A$665,1)):INDEX($Q$5:$Q$665,MATCH($A499+90,$A$5:$A$665,1))),"")</f>
        <v>1.19738983880958</v>
      </c>
    </row>
    <row r="500" customFormat="false" ht="15" hidden="false" customHeight="false" outlineLevel="0" collapsed="false">
      <c r="A500" s="13" t="n">
        <v>45785.3162780903</v>
      </c>
      <c r="B500" s="8" t="n">
        <v>7</v>
      </c>
      <c r="C500" s="8" t="s">
        <v>73</v>
      </c>
      <c r="D500" s="8" t="s">
        <v>1161</v>
      </c>
      <c r="E500" s="14" t="s">
        <v>66</v>
      </c>
      <c r="F500" s="9" t="n">
        <v>62075</v>
      </c>
      <c r="G500" s="9" t="n">
        <v>5915</v>
      </c>
      <c r="H500" s="9" t="n">
        <v>5921</v>
      </c>
      <c r="I500" s="9" t="n">
        <v>0</v>
      </c>
      <c r="J500" s="9" t="n">
        <v>126</v>
      </c>
      <c r="K500" s="9" t="n">
        <v>0</v>
      </c>
      <c r="L500" s="9" t="n">
        <v>10</v>
      </c>
      <c r="M500" s="10" t="n">
        <f aca="false">IFERROR(G500/F500,"")</f>
        <v>0.0952879581151832</v>
      </c>
      <c r="N500" s="10" t="n">
        <f aca="false">IFERROR(H500/G500,"")</f>
        <v>1.00101437024514</v>
      </c>
      <c r="O500" s="11" t="n">
        <f aca="false">IFERROR(I500/H500,"")</f>
        <v>0</v>
      </c>
      <c r="P500" s="10" t="n">
        <f aca="false">IFERROR(J500/H500,"")</f>
        <v>0.021280189157237</v>
      </c>
      <c r="Q500" s="10" t="n">
        <f aca="false">IFERROR(K500/H500,"")</f>
        <v>0</v>
      </c>
      <c r="R500" s="10" t="n">
        <f aca="false">IFERROR(L500/H500,"")</f>
        <v>0.00168890390136801</v>
      </c>
      <c r="S500" s="11" t="n">
        <f aca="false">IFERROR(M500/MEDIAN(INDEX($M$5:$M$665,MATCH($A500-90,$A$5:$A$665,1)):INDEX($M$5:$M$665,MATCH($A500+90,$A$5:$A$665,1))),"")</f>
        <v>0.911595980849923</v>
      </c>
      <c r="T500" s="11" t="n">
        <f aca="false">IFERROR(N500/MEDIAN(INDEX($N$5:$N$665,MATCH($A500-90,$A$5:$A$665,1)):INDEX($N$5:$N$665,MATCH($A500+90,$A$5:$A$665,1))),"")</f>
        <v>0.997195386056427</v>
      </c>
      <c r="U500" s="11" t="n">
        <f aca="false">IFERROR(Q500/MEDIAN(INDEX($Q$5:$Q$665,MATCH($A500-90,$A$5:$A$665,1)):INDEX($Q$5:$Q$665,MATCH($A500+90,$A$5:$A$665,1))),"")</f>
        <v>0</v>
      </c>
    </row>
    <row r="501" customFormat="false" ht="15" hidden="false" customHeight="false" outlineLevel="0" collapsed="false">
      <c r="A501" s="13" t="n">
        <v>45790.1847220023</v>
      </c>
      <c r="B501" s="8" t="n">
        <v>4</v>
      </c>
      <c r="C501" s="8" t="s">
        <v>64</v>
      </c>
      <c r="D501" s="8" t="s">
        <v>1162</v>
      </c>
      <c r="E501" s="14" t="s">
        <v>66</v>
      </c>
      <c r="F501" s="9" t="n">
        <v>14046</v>
      </c>
      <c r="G501" s="9" t="n">
        <v>1934</v>
      </c>
      <c r="H501" s="9" t="n">
        <v>2076</v>
      </c>
      <c r="I501" s="9" t="n">
        <v>0</v>
      </c>
      <c r="J501" s="9" t="n">
        <v>25</v>
      </c>
      <c r="K501" s="9" t="n">
        <v>4</v>
      </c>
      <c r="L501" s="9" t="n">
        <v>12</v>
      </c>
      <c r="M501" s="10" t="n">
        <f aca="false">IFERROR(G501/F501,"")</f>
        <v>0.137690445678485</v>
      </c>
      <c r="N501" s="10" t="n">
        <f aca="false">IFERROR(H501/G501,"")</f>
        <v>1.07342295760083</v>
      </c>
      <c r="O501" s="11" t="n">
        <f aca="false">IFERROR(I501/H501,"")</f>
        <v>0</v>
      </c>
      <c r="P501" s="10" t="n">
        <f aca="false">IFERROR(J501/H501,"")</f>
        <v>0.0120423892100193</v>
      </c>
      <c r="Q501" s="10" t="n">
        <f aca="false">IFERROR(K501/H501,"")</f>
        <v>0.00192678227360308</v>
      </c>
      <c r="R501" s="10" t="n">
        <f aca="false">IFERROR(L501/H501,"")</f>
        <v>0.00578034682080925</v>
      </c>
      <c r="S501" s="11" t="n">
        <f aca="false">IFERROR(M501/MEDIAN(INDEX($M$5:$M$665,MATCH($A501-90,$A$5:$A$665,1)):INDEX($M$5:$M$665,MATCH($A501+90,$A$5:$A$665,1))),"")</f>
        <v>1.29823800684629</v>
      </c>
      <c r="T501" s="11" t="n">
        <f aca="false">IFERROR(N501/MEDIAN(INDEX($N$5:$N$665,MATCH($A501-90,$A$5:$A$665,1)):INDEX($N$5:$N$665,MATCH($A501+90,$A$5:$A$665,1))),"")</f>
        <v>1.06882288222671</v>
      </c>
      <c r="U501" s="11" t="n">
        <f aca="false">IFERROR(Q501/MEDIAN(INDEX($Q$5:$Q$665,MATCH($A501-90,$A$5:$A$665,1)):INDEX($Q$5:$Q$665,MATCH($A501+90,$A$5:$A$665,1))),"")</f>
        <v>10.1714836223507</v>
      </c>
    </row>
    <row r="502" customFormat="false" ht="15" hidden="false" customHeight="false" outlineLevel="0" collapsed="false">
      <c r="A502" s="13" t="n">
        <v>45792.1319822454</v>
      </c>
      <c r="B502" s="8" t="n">
        <v>3</v>
      </c>
      <c r="C502" s="8" t="s">
        <v>73</v>
      </c>
      <c r="D502" s="8" t="s">
        <v>1163</v>
      </c>
      <c r="E502" s="14" t="s">
        <v>66</v>
      </c>
      <c r="F502" s="9" t="n">
        <v>15391</v>
      </c>
      <c r="G502" s="9" t="n">
        <v>2349</v>
      </c>
      <c r="H502" s="9" t="n">
        <v>2570</v>
      </c>
      <c r="I502" s="9" t="n">
        <v>0</v>
      </c>
      <c r="J502" s="9" t="n">
        <v>39</v>
      </c>
      <c r="K502" s="9" t="n">
        <v>3</v>
      </c>
      <c r="L502" s="9" t="n">
        <v>15</v>
      </c>
      <c r="M502" s="10" t="n">
        <f aca="false">IFERROR(G502/F502,"")</f>
        <v>0.152621662010266</v>
      </c>
      <c r="N502" s="10" t="n">
        <f aca="false">IFERROR(H502/G502,"")</f>
        <v>1.09408258833546</v>
      </c>
      <c r="O502" s="11" t="n">
        <f aca="false">IFERROR(I502/H502,"")</f>
        <v>0</v>
      </c>
      <c r="P502" s="10" t="n">
        <f aca="false">IFERROR(J502/H502,"")</f>
        <v>0.0151750972762646</v>
      </c>
      <c r="Q502" s="10" t="n">
        <f aca="false">IFERROR(K502/H502,"")</f>
        <v>0.00116731517509728</v>
      </c>
      <c r="R502" s="10" t="n">
        <f aca="false">IFERROR(L502/H502,"")</f>
        <v>0.00583657587548638</v>
      </c>
      <c r="S502" s="11" t="n">
        <f aca="false">IFERROR(M502/MEDIAN(INDEX($M$5:$M$665,MATCH($A502-90,$A$5:$A$665,1)):INDEX($M$5:$M$665,MATCH($A502+90,$A$5:$A$665,1))),"")</f>
        <v>1.43447311275187</v>
      </c>
      <c r="T502" s="11" t="n">
        <f aca="false">IFERROR(N502/MEDIAN(INDEX($N$5:$N$665,MATCH($A502-90,$A$5:$A$665,1)):INDEX($N$5:$N$665,MATCH($A502+90,$A$5:$A$665,1))),"")</f>
        <v>1.08990853826166</v>
      </c>
      <c r="U502" s="11" t="n">
        <f aca="false">IFERROR(Q502/MEDIAN(INDEX($Q$5:$Q$665,MATCH($A502-90,$A$5:$A$665,1)):INDEX($Q$5:$Q$665,MATCH($A502+90,$A$5:$A$665,1))),"")</f>
        <v>5.93417452266682</v>
      </c>
    </row>
    <row r="503" customFormat="false" ht="15" hidden="false" customHeight="false" outlineLevel="0" collapsed="false">
      <c r="A503" s="13" t="n">
        <v>45797.2172909954</v>
      </c>
      <c r="B503" s="8" t="n">
        <v>5</v>
      </c>
      <c r="C503" s="8" t="s">
        <v>64</v>
      </c>
      <c r="D503" s="8" t="s">
        <v>1164</v>
      </c>
      <c r="E503" s="14" t="s">
        <v>66</v>
      </c>
      <c r="F503" s="9" t="n">
        <v>186406</v>
      </c>
      <c r="G503" s="9" t="n">
        <v>34620</v>
      </c>
      <c r="H503" s="9" t="n">
        <v>34769</v>
      </c>
      <c r="I503" s="9" t="n">
        <v>0</v>
      </c>
      <c r="J503" s="9" t="n">
        <v>112</v>
      </c>
      <c r="K503" s="9" t="n">
        <v>16</v>
      </c>
      <c r="L503" s="9" t="n">
        <v>18</v>
      </c>
      <c r="M503" s="10" t="n">
        <f aca="false">IFERROR(G503/F503,"")</f>
        <v>0.185723635505295</v>
      </c>
      <c r="N503" s="10" t="n">
        <f aca="false">IFERROR(H503/G503,"")</f>
        <v>1.00430387059503</v>
      </c>
      <c r="O503" s="11" t="n">
        <f aca="false">IFERROR(I503/H503,"")</f>
        <v>0</v>
      </c>
      <c r="P503" s="10" t="n">
        <f aca="false">IFERROR(J503/H503,"")</f>
        <v>0.00322126031809946</v>
      </c>
      <c r="Q503" s="10" t="n">
        <f aca="false">IFERROR(K503/H503,"")</f>
        <v>0.00046018004544278</v>
      </c>
      <c r="R503" s="10" t="n">
        <f aca="false">IFERROR(L503/H503,"")</f>
        <v>0.000517702551123127</v>
      </c>
      <c r="S503" s="11" t="n">
        <f aca="false">IFERROR(M503/MEDIAN(INDEX($M$5:$M$665,MATCH($A503-90,$A$5:$A$665,1)):INDEX($M$5:$M$665,MATCH($A503+90,$A$5:$A$665,1))),"")</f>
        <v>1.74009702840497</v>
      </c>
      <c r="T503" s="11" t="n">
        <f aca="false">IFERROR(N503/MEDIAN(INDEX($N$5:$N$665,MATCH($A503-90,$A$5:$A$665,1)):INDEX($N$5:$N$665,MATCH($A503+90,$A$5:$A$665,1))),"")</f>
        <v>1.00094511958788</v>
      </c>
      <c r="U503" s="11" t="n">
        <f aca="false">IFERROR(Q503/MEDIAN(INDEX($Q$5:$Q$665,MATCH($A503-90,$A$5:$A$665,1)):INDEX($Q$5:$Q$665,MATCH($A503+90,$A$5:$A$665,1))),"")</f>
        <v>2.25587927943475</v>
      </c>
    </row>
    <row r="504" customFormat="false" ht="15" hidden="false" customHeight="false" outlineLevel="0" collapsed="false">
      <c r="A504" s="13" t="n">
        <v>45799.6913472222</v>
      </c>
      <c r="B504" s="8" t="n">
        <v>16</v>
      </c>
      <c r="C504" s="8" t="s">
        <v>73</v>
      </c>
      <c r="D504" s="8" t="s">
        <v>1165</v>
      </c>
      <c r="E504" s="14" t="s">
        <v>66</v>
      </c>
      <c r="F504" s="9" t="n">
        <v>40750</v>
      </c>
      <c r="G504" s="9" t="n">
        <v>4765</v>
      </c>
      <c r="H504" s="9" t="n">
        <v>4904</v>
      </c>
      <c r="I504" s="9" t="n">
        <v>0</v>
      </c>
      <c r="J504" s="9" t="n">
        <v>36</v>
      </c>
      <c r="K504" s="9" t="n">
        <v>4</v>
      </c>
      <c r="L504" s="9" t="n">
        <v>12</v>
      </c>
      <c r="M504" s="10" t="n">
        <f aca="false">IFERROR(G504/F504,"")</f>
        <v>0.116932515337423</v>
      </c>
      <c r="N504" s="10" t="n">
        <f aca="false">IFERROR(H504/G504,"")</f>
        <v>1.02917103882476</v>
      </c>
      <c r="O504" s="11" t="n">
        <f aca="false">IFERROR(I504/H504,"")</f>
        <v>0</v>
      </c>
      <c r="P504" s="10" t="n">
        <f aca="false">IFERROR(J504/H504,"")</f>
        <v>0.00734094616639478</v>
      </c>
      <c r="Q504" s="10" t="n">
        <f aca="false">IFERROR(K504/H504,"")</f>
        <v>0.000815660685154976</v>
      </c>
      <c r="R504" s="10" t="n">
        <f aca="false">IFERROR(L504/H504,"")</f>
        <v>0.00244698205546493</v>
      </c>
      <c r="S504" s="11" t="n">
        <f aca="false">IFERROR(M504/MEDIAN(INDEX($M$5:$M$665,MATCH($A504-90,$A$5:$A$665,1)):INDEX($M$5:$M$665,MATCH($A504+90,$A$5:$A$665,1))),"")</f>
        <v>1.08765471014014</v>
      </c>
      <c r="T504" s="11" t="n">
        <f aca="false">IFERROR(N504/MEDIAN(INDEX($N$5:$N$665,MATCH($A504-90,$A$5:$A$665,1)):INDEX($N$5:$N$665,MATCH($A504+90,$A$5:$A$665,1))),"")</f>
        <v>1.02524463372851</v>
      </c>
      <c r="U504" s="11" t="n">
        <f aca="false">IFERROR(Q504/MEDIAN(INDEX($Q$5:$Q$665,MATCH($A504-90,$A$5:$A$665,1)):INDEX($Q$5:$Q$665,MATCH($A504+90,$A$5:$A$665,1))),"")</f>
        <v>3.77365216876459</v>
      </c>
    </row>
    <row r="505" customFormat="false" ht="15" hidden="false" customHeight="false" outlineLevel="0" collapsed="false">
      <c r="A505" s="13" t="n">
        <v>45804.2326442708</v>
      </c>
      <c r="B505" s="8" t="n">
        <v>5</v>
      </c>
      <c r="C505" s="8" t="s">
        <v>64</v>
      </c>
      <c r="D505" s="8" t="s">
        <v>1166</v>
      </c>
      <c r="E505" s="14" t="s">
        <v>66</v>
      </c>
      <c r="F505" s="9" t="n">
        <v>301200</v>
      </c>
      <c r="G505" s="9" t="n">
        <v>33973</v>
      </c>
      <c r="H505" s="9" t="n">
        <v>34247</v>
      </c>
      <c r="I505" s="9" t="n">
        <v>0</v>
      </c>
      <c r="J505" s="9" t="n">
        <v>82</v>
      </c>
      <c r="K505" s="9" t="n">
        <v>36</v>
      </c>
      <c r="L505" s="9" t="n">
        <v>19</v>
      </c>
      <c r="M505" s="10" t="n">
        <f aca="false">IFERROR(G505/F505,"")</f>
        <v>0.112792164674635</v>
      </c>
      <c r="N505" s="10" t="n">
        <f aca="false">IFERROR(H505/G505,"")</f>
        <v>1.00806522826951</v>
      </c>
      <c r="O505" s="11" t="n">
        <f aca="false">IFERROR(I505/H505,"")</f>
        <v>0</v>
      </c>
      <c r="P505" s="10" t="n">
        <f aca="false">IFERROR(J505/H505,"")</f>
        <v>0.00239437030980816</v>
      </c>
      <c r="Q505" s="10" t="n">
        <f aca="false">IFERROR(K505/H505,"")</f>
        <v>0.00105118696528163</v>
      </c>
      <c r="R505" s="10" t="n">
        <f aca="false">IFERROR(L505/H505,"")</f>
        <v>0.000554793120565305</v>
      </c>
      <c r="S505" s="11" t="n">
        <f aca="false">IFERROR(M505/MEDIAN(INDEX($M$5:$M$665,MATCH($A505-90,$A$5:$A$665,1)):INDEX($M$5:$M$665,MATCH($A505+90,$A$5:$A$665,1))),"")</f>
        <v>1.04161407380047</v>
      </c>
      <c r="T505" s="11" t="n">
        <f aca="false">IFERROR(N505/MEDIAN(INDEX($N$5:$N$665,MATCH($A505-90,$A$5:$A$665,1)):INDEX($N$5:$N$665,MATCH($A505+90,$A$5:$A$665,1))),"")</f>
        <v>1.00469389793826</v>
      </c>
      <c r="U505" s="11" t="n">
        <f aca="false">IFERROR(Q505/MEDIAN(INDEX($Q$5:$Q$665,MATCH($A505-90,$A$5:$A$665,1)):INDEX($Q$5:$Q$665,MATCH($A505+90,$A$5:$A$665,1))),"")</f>
        <v>4.60439003283632</v>
      </c>
    </row>
    <row r="506" customFormat="false" ht="15" hidden="false" customHeight="false" outlineLevel="0" collapsed="false">
      <c r="A506" s="13" t="n">
        <v>45806.7989315046</v>
      </c>
      <c r="B506" s="8" t="n">
        <v>19</v>
      </c>
      <c r="C506" s="8" t="s">
        <v>73</v>
      </c>
      <c r="D506" s="8" t="s">
        <v>1167</v>
      </c>
      <c r="E506" s="14" t="s">
        <v>66</v>
      </c>
      <c r="F506" s="9" t="n">
        <v>1034647</v>
      </c>
      <c r="G506" s="9" t="n">
        <v>144410</v>
      </c>
      <c r="H506" s="9" t="n">
        <v>144701</v>
      </c>
      <c r="I506" s="9" t="n">
        <v>0</v>
      </c>
      <c r="J506" s="9" t="n">
        <v>203</v>
      </c>
      <c r="K506" s="9" t="n">
        <v>11</v>
      </c>
      <c r="L506" s="9" t="n">
        <v>27</v>
      </c>
      <c r="M506" s="10" t="n">
        <f aca="false">IFERROR(G506/F506,"")</f>
        <v>0.139574173607037</v>
      </c>
      <c r="N506" s="10" t="n">
        <f aca="false">IFERROR(H506/G506,"")</f>
        <v>1.00201509590749</v>
      </c>
      <c r="O506" s="11" t="n">
        <f aca="false">IFERROR(I506/H506,"")</f>
        <v>0</v>
      </c>
      <c r="P506" s="10" t="n">
        <f aca="false">IFERROR(J506/H506,"")</f>
        <v>0.00140289286183233</v>
      </c>
      <c r="Q506" s="10" t="n">
        <f aca="false">IFERROR(K506/H506,"")</f>
        <v>7.60188250253972E-005</v>
      </c>
      <c r="R506" s="10" t="n">
        <f aca="false">IFERROR(L506/H506,"")</f>
        <v>0.000186591661425975</v>
      </c>
      <c r="S506" s="11" t="n">
        <f aca="false">IFERROR(M506/MEDIAN(INDEX($M$5:$M$665,MATCH($A506-90,$A$5:$A$665,1)):INDEX($M$5:$M$665,MATCH($A506+90,$A$5:$A$665,1))),"")</f>
        <v>1.28894080530803</v>
      </c>
      <c r="T506" s="11" t="n">
        <f aca="false">IFERROR(N506/MEDIAN(INDEX($N$5:$N$665,MATCH($A506-90,$A$5:$A$665,1)):INDEX($N$5:$N$665,MATCH($A506+90,$A$5:$A$665,1))),"")</f>
        <v>0.997721033688549</v>
      </c>
      <c r="U506" s="11" t="n">
        <f aca="false">IFERROR(Q506/MEDIAN(INDEX($Q$5:$Q$665,MATCH($A506-90,$A$5:$A$665,1)):INDEX($Q$5:$Q$665,MATCH($A506+90,$A$5:$A$665,1))),"")</f>
        <v>0.33297627521579</v>
      </c>
    </row>
    <row r="507" customFormat="false" ht="15" hidden="false" customHeight="false" outlineLevel="0" collapsed="false">
      <c r="A507" s="13" t="n">
        <v>45811.1745072338</v>
      </c>
      <c r="B507" s="8" t="n">
        <v>4</v>
      </c>
      <c r="C507" s="8" t="s">
        <v>64</v>
      </c>
      <c r="D507" s="8" t="s">
        <v>1168</v>
      </c>
      <c r="E507" s="14" t="s">
        <v>66</v>
      </c>
      <c r="F507" s="9" t="n">
        <v>304968</v>
      </c>
      <c r="G507" s="9" t="n">
        <v>29122</v>
      </c>
      <c r="H507" s="9" t="n">
        <v>29413</v>
      </c>
      <c r="I507" s="9" t="n">
        <v>0</v>
      </c>
      <c r="J507" s="9" t="n">
        <v>95</v>
      </c>
      <c r="K507" s="9" t="n">
        <v>6</v>
      </c>
      <c r="L507" s="9" t="n">
        <v>22</v>
      </c>
      <c r="M507" s="10" t="n">
        <f aca="false">IFERROR(G507/F507,"")</f>
        <v>0.0954919860444375</v>
      </c>
      <c r="N507" s="10" t="n">
        <f aca="false">IFERROR(H507/G507,"")</f>
        <v>1.00999244557379</v>
      </c>
      <c r="O507" s="11" t="n">
        <f aca="false">IFERROR(I507/H507,"")</f>
        <v>0</v>
      </c>
      <c r="P507" s="10" t="n">
        <f aca="false">IFERROR(J507/H507,"")</f>
        <v>0.00322986434569748</v>
      </c>
      <c r="Q507" s="10" t="n">
        <f aca="false">IFERROR(K507/H507,"")</f>
        <v>0.000203991432359841</v>
      </c>
      <c r="R507" s="10" t="n">
        <f aca="false">IFERROR(L507/H507,"")</f>
        <v>0.000747968585319417</v>
      </c>
      <c r="S507" s="11" t="n">
        <f aca="false">IFERROR(M507/MEDIAN(INDEX($M$5:$M$665,MATCH($A507-90,$A$5:$A$665,1)):INDEX($M$5:$M$665,MATCH($A507+90,$A$5:$A$665,1))),"")</f>
        <v>0.846618967903469</v>
      </c>
      <c r="T507" s="11" t="n">
        <f aca="false">IFERROR(N507/MEDIAN(INDEX($N$5:$N$665,MATCH($A507-90,$A$5:$A$665,1)):INDEX($N$5:$N$665,MATCH($A507+90,$A$5:$A$665,1))),"")</f>
        <v>1.00566419700781</v>
      </c>
      <c r="U507" s="11" t="n">
        <f aca="false">IFERROR(Q507/MEDIAN(INDEX($Q$5:$Q$665,MATCH($A507-90,$A$5:$A$665,1)):INDEX($Q$5:$Q$665,MATCH($A507+90,$A$5:$A$665,1))),"")</f>
        <v>0.893519563087441</v>
      </c>
    </row>
    <row r="508" customFormat="false" ht="15" hidden="false" customHeight="false" outlineLevel="0" collapsed="false">
      <c r="A508" s="13" t="n">
        <v>45813.2186552546</v>
      </c>
      <c r="B508" s="8" t="n">
        <v>5</v>
      </c>
      <c r="C508" s="8" t="s">
        <v>73</v>
      </c>
      <c r="D508" s="8" t="s">
        <v>1169</v>
      </c>
      <c r="E508" s="14" t="s">
        <v>66</v>
      </c>
      <c r="F508" s="9" t="n">
        <v>708513</v>
      </c>
      <c r="G508" s="9" t="n">
        <v>76722</v>
      </c>
      <c r="H508" s="9" t="n">
        <v>76823</v>
      </c>
      <c r="I508" s="9" t="n">
        <v>0</v>
      </c>
      <c r="J508" s="9" t="n">
        <v>289</v>
      </c>
      <c r="K508" s="9" t="n">
        <v>11</v>
      </c>
      <c r="L508" s="9" t="n">
        <v>16</v>
      </c>
      <c r="M508" s="10" t="n">
        <f aca="false">IFERROR(G508/F508,"")</f>
        <v>0.108285945353155</v>
      </c>
      <c r="N508" s="10" t="n">
        <f aca="false">IFERROR(H508/G508,"")</f>
        <v>1.00131644117724</v>
      </c>
      <c r="O508" s="11" t="n">
        <f aca="false">IFERROR(I508/H508,"")</f>
        <v>0</v>
      </c>
      <c r="P508" s="10" t="n">
        <f aca="false">IFERROR(J508/H508,"")</f>
        <v>0.00376189422438593</v>
      </c>
      <c r="Q508" s="10" t="n">
        <f aca="false">IFERROR(K508/H508,"")</f>
        <v>0.00014318628535725</v>
      </c>
      <c r="R508" s="10" t="n">
        <f aca="false">IFERROR(L508/H508,"")</f>
        <v>0.000208270960519636</v>
      </c>
      <c r="S508" s="11" t="n">
        <f aca="false">IFERROR(M508/MEDIAN(INDEX($M$5:$M$665,MATCH($A508-90,$A$5:$A$665,1)):INDEX($M$5:$M$665,MATCH($A508+90,$A$5:$A$665,1))),"")</f>
        <v>0.9600484720328</v>
      </c>
      <c r="T508" s="11" t="n">
        <f aca="false">IFERROR(N508/MEDIAN(INDEX($N$5:$N$665,MATCH($A508-90,$A$5:$A$665,1)):INDEX($N$5:$N$665,MATCH($A508+90,$A$5:$A$665,1))),"")</f>
        <v>0.996360568171923</v>
      </c>
      <c r="U508" s="11" t="n">
        <f aca="false">IFERROR(Q508/MEDIAN(INDEX($Q$5:$Q$665,MATCH($A508-90,$A$5:$A$665,1)):INDEX($Q$5:$Q$665,MATCH($A508+90,$A$5:$A$665,1))),"")</f>
        <v>0.621258444736602</v>
      </c>
    </row>
    <row r="509" customFormat="false" ht="15" hidden="false" customHeight="false" outlineLevel="0" collapsed="false">
      <c r="A509" s="13" t="n">
        <v>45818.850993912</v>
      </c>
      <c r="B509" s="8" t="n">
        <v>20</v>
      </c>
      <c r="C509" s="8" t="s">
        <v>64</v>
      </c>
      <c r="D509" s="8" t="s">
        <v>1170</v>
      </c>
      <c r="E509" s="14" t="s">
        <v>66</v>
      </c>
      <c r="F509" s="9" t="n">
        <v>402804</v>
      </c>
      <c r="G509" s="9" t="n">
        <v>56293</v>
      </c>
      <c r="H509" s="9" t="n">
        <v>56573</v>
      </c>
      <c r="I509" s="9" t="n">
        <v>0</v>
      </c>
      <c r="J509" s="9" t="n">
        <v>149</v>
      </c>
      <c r="K509" s="9" t="n">
        <v>15</v>
      </c>
      <c r="L509" s="9" t="n">
        <v>23</v>
      </c>
      <c r="M509" s="10" t="n">
        <f aca="false">IFERROR(G509/F509,"")</f>
        <v>0.139752832643171</v>
      </c>
      <c r="N509" s="10" t="n">
        <f aca="false">IFERROR(H509/G509,"")</f>
        <v>1.00497397544988</v>
      </c>
      <c r="O509" s="11" t="n">
        <f aca="false">IFERROR(I509/H509,"")</f>
        <v>0</v>
      </c>
      <c r="P509" s="10" t="n">
        <f aca="false">IFERROR(J509/H509,"")</f>
        <v>0.00263376522369328</v>
      </c>
      <c r="Q509" s="10" t="n">
        <f aca="false">IFERROR(K509/H509,"")</f>
        <v>0.000265144150036236</v>
      </c>
      <c r="R509" s="10" t="n">
        <f aca="false">IFERROR(L509/H509,"")</f>
        <v>0.000406554363388896</v>
      </c>
      <c r="S509" s="11" t="n">
        <f aca="false">IFERROR(M509/MEDIAN(INDEX($M$5:$M$665,MATCH($A509-90,$A$5:$A$665,1)):INDEX($M$5:$M$665,MATCH($A509+90,$A$5:$A$665,1))),"")</f>
        <v>1.21669846388151</v>
      </c>
      <c r="T509" s="11" t="n">
        <f aca="false">IFERROR(N509/MEDIAN(INDEX($N$5:$N$665,MATCH($A509-90,$A$5:$A$665,1)):INDEX($N$5:$N$665,MATCH($A509+90,$A$5:$A$665,1))),"")</f>
        <v>0.999539463948184</v>
      </c>
      <c r="U509" s="11" t="n">
        <f aca="false">IFERROR(Q509/MEDIAN(INDEX($Q$5:$Q$665,MATCH($A509-90,$A$5:$A$665,1)):INDEX($Q$5:$Q$665,MATCH($A509+90,$A$5:$A$665,1))),"")</f>
        <v>1.15586914672989</v>
      </c>
    </row>
    <row r="510" customFormat="false" ht="15" hidden="false" customHeight="false" outlineLevel="0" collapsed="false">
      <c r="A510" s="13" t="n">
        <v>45820.2949081019</v>
      </c>
      <c r="B510" s="8" t="n">
        <v>7</v>
      </c>
      <c r="C510" s="8" t="s">
        <v>73</v>
      </c>
      <c r="D510" s="8" t="s">
        <v>1171</v>
      </c>
      <c r="E510" s="14" t="s">
        <v>66</v>
      </c>
      <c r="F510" s="9" t="n">
        <v>202606</v>
      </c>
      <c r="G510" s="9" t="n">
        <v>18633</v>
      </c>
      <c r="H510" s="9" t="n">
        <v>18833</v>
      </c>
      <c r="I510" s="9" t="n">
        <v>0</v>
      </c>
      <c r="J510" s="9" t="n">
        <v>90</v>
      </c>
      <c r="K510" s="9" t="n">
        <v>9</v>
      </c>
      <c r="L510" s="9" t="n">
        <v>14</v>
      </c>
      <c r="M510" s="10" t="n">
        <f aca="false">IFERROR(G510/F510,"")</f>
        <v>0.0919666742347216</v>
      </c>
      <c r="N510" s="10" t="n">
        <f aca="false">IFERROR(H510/G510,"")</f>
        <v>1.01073364460903</v>
      </c>
      <c r="O510" s="11" t="n">
        <f aca="false">IFERROR(I510/H510,"")</f>
        <v>0</v>
      </c>
      <c r="P510" s="10" t="n">
        <f aca="false">IFERROR(J510/H510,"")</f>
        <v>0.00477884564328572</v>
      </c>
      <c r="Q510" s="10" t="n">
        <f aca="false">IFERROR(K510/H510,"")</f>
        <v>0.000477884564328572</v>
      </c>
      <c r="R510" s="10" t="n">
        <f aca="false">IFERROR(L510/H510,"")</f>
        <v>0.000743375988955557</v>
      </c>
      <c r="S510" s="11" t="n">
        <f aca="false">IFERROR(M510/MEDIAN(INDEX($M$5:$M$665,MATCH($A510-90,$A$5:$A$665,1)):INDEX($M$5:$M$665,MATCH($A510+90,$A$5:$A$665,1))),"")</f>
        <v>0.815364032599362</v>
      </c>
      <c r="T510" s="11" t="n">
        <f aca="false">IFERROR(N510/MEDIAN(INDEX($N$5:$N$665,MATCH($A510-90,$A$5:$A$665,1)):INDEX($N$5:$N$665,MATCH($A510+90,$A$5:$A$665,1))),"")</f>
        <v>1.00480523800167</v>
      </c>
      <c r="U510" s="11" t="n">
        <f aca="false">IFERROR(Q510/MEDIAN(INDEX($Q$5:$Q$665,MATCH($A510-90,$A$5:$A$665,1)):INDEX($Q$5:$Q$665,MATCH($A510+90,$A$5:$A$665,1))),"")</f>
        <v>2.09322127986175</v>
      </c>
    </row>
    <row r="511" customFormat="false" ht="15" hidden="false" customHeight="false" outlineLevel="0" collapsed="false">
      <c r="A511" s="13" t="n">
        <v>45825.2651439468</v>
      </c>
      <c r="B511" s="8" t="n">
        <v>6</v>
      </c>
      <c r="C511" s="8" t="s">
        <v>64</v>
      </c>
      <c r="D511" s="8" t="s">
        <v>1172</v>
      </c>
      <c r="E511" s="14" t="s">
        <v>66</v>
      </c>
      <c r="F511" s="9" t="n">
        <v>893609</v>
      </c>
      <c r="G511" s="9" t="n">
        <v>138582</v>
      </c>
      <c r="H511" s="9" t="n">
        <v>138989</v>
      </c>
      <c r="I511" s="9" t="n">
        <v>0</v>
      </c>
      <c r="J511" s="9" t="n">
        <v>325</v>
      </c>
      <c r="K511" s="9" t="n">
        <v>10</v>
      </c>
      <c r="L511" s="9" t="n">
        <v>31</v>
      </c>
      <c r="M511" s="10" t="n">
        <f aca="false">IFERROR(G511/F511,"")</f>
        <v>0.155081249181689</v>
      </c>
      <c r="N511" s="10" t="n">
        <f aca="false">IFERROR(H511/G511,"")</f>
        <v>1.00293688935071</v>
      </c>
      <c r="O511" s="11" t="n">
        <f aca="false">IFERROR(I511/H511,"")</f>
        <v>0</v>
      </c>
      <c r="P511" s="10" t="n">
        <f aca="false">IFERROR(J511/H511,"")</f>
        <v>0.00233831454287749</v>
      </c>
      <c r="Q511" s="10" t="n">
        <f aca="false">IFERROR(K511/H511,"")</f>
        <v>7.1948139780846E-005</v>
      </c>
      <c r="R511" s="10" t="n">
        <f aca="false">IFERROR(L511/H511,"")</f>
        <v>0.000223039233320623</v>
      </c>
      <c r="S511" s="11" t="n">
        <f aca="false">IFERROR(M511/MEDIAN(INDEX($M$5:$M$665,MATCH($A511-90,$A$5:$A$665,1)):INDEX($M$5:$M$665,MATCH($A511+90,$A$5:$A$665,1))),"")</f>
        <v>1.37492927482191</v>
      </c>
      <c r="T511" s="11" t="n">
        <f aca="false">IFERROR(N511/MEDIAN(INDEX($N$5:$N$665,MATCH($A511-90,$A$5:$A$665,1)):INDEX($N$5:$N$665,MATCH($A511+90,$A$5:$A$665,1))),"")</f>
        <v>0.997054214213393</v>
      </c>
      <c r="U511" s="11" t="n">
        <f aca="false">IFERROR(Q511/MEDIAN(INDEX($Q$5:$Q$665,MATCH($A511-90,$A$5:$A$665,1)):INDEX($Q$5:$Q$665,MATCH($A511+90,$A$5:$A$665,1))),"")</f>
        <v>0.315145933720065</v>
      </c>
    </row>
    <row r="512" customFormat="false" ht="15" hidden="false" customHeight="false" outlineLevel="0" collapsed="false">
      <c r="A512" s="13" t="n">
        <v>45827.0218930787</v>
      </c>
      <c r="B512" s="8" t="n">
        <v>0</v>
      </c>
      <c r="C512" s="8" t="s">
        <v>73</v>
      </c>
      <c r="D512" s="8" t="s">
        <v>1173</v>
      </c>
      <c r="E512" s="14" t="s">
        <v>66</v>
      </c>
      <c r="F512" s="9" t="n">
        <v>534369</v>
      </c>
      <c r="G512" s="9" t="n">
        <v>53216</v>
      </c>
      <c r="H512" s="9" t="n">
        <v>53674</v>
      </c>
      <c r="I512" s="9" t="n">
        <v>0</v>
      </c>
      <c r="J512" s="9" t="n">
        <v>125</v>
      </c>
      <c r="K512" s="9" t="n">
        <v>3</v>
      </c>
      <c r="L512" s="9" t="n">
        <v>27</v>
      </c>
      <c r="M512" s="10" t="n">
        <f aca="false">IFERROR(G512/F512,"")</f>
        <v>0.0995866152415279</v>
      </c>
      <c r="N512" s="10" t="n">
        <f aca="false">IFERROR(H512/G512,"")</f>
        <v>1.00860643415514</v>
      </c>
      <c r="O512" s="11" t="n">
        <f aca="false">IFERROR(I512/H512,"")</f>
        <v>0</v>
      </c>
      <c r="P512" s="10" t="n">
        <f aca="false">IFERROR(J512/H512,"")</f>
        <v>0.00232887431531095</v>
      </c>
      <c r="Q512" s="10" t="n">
        <f aca="false">IFERROR(K512/H512,"")</f>
        <v>5.58929835674628E-005</v>
      </c>
      <c r="R512" s="10" t="n">
        <f aca="false">IFERROR(L512/H512,"")</f>
        <v>0.000503036852107165</v>
      </c>
      <c r="S512" s="11" t="n">
        <f aca="false">IFERROR(M512/MEDIAN(INDEX($M$5:$M$665,MATCH($A512-90,$A$5:$A$665,1)):INDEX($M$5:$M$665,MATCH($A512+90,$A$5:$A$665,1))),"")</f>
        <v>0.882921393775886</v>
      </c>
      <c r="T512" s="11" t="n">
        <f aca="false">IFERROR(N512/MEDIAN(INDEX($N$5:$N$665,MATCH($A512-90,$A$5:$A$665,1)):INDEX($N$5:$N$665,MATCH($A512+90,$A$5:$A$665,1))),"")</f>
        <v>1.00269050459213</v>
      </c>
      <c r="U512" s="11" t="n">
        <f aca="false">IFERROR(Q512/MEDIAN(INDEX($Q$5:$Q$665,MATCH($A512-90,$A$5:$A$665,1)):INDEX($Q$5:$Q$665,MATCH($A512+90,$A$5:$A$665,1))),"")</f>
        <v>0.244821430386136</v>
      </c>
    </row>
    <row r="513" customFormat="false" ht="15" hidden="false" customHeight="false" outlineLevel="0" collapsed="false">
      <c r="A513" s="13" t="n">
        <v>45832.2000222685</v>
      </c>
      <c r="B513" s="8" t="n">
        <v>4</v>
      </c>
      <c r="C513" s="8" t="s">
        <v>64</v>
      </c>
      <c r="D513" s="8" t="s">
        <v>1174</v>
      </c>
      <c r="E513" s="14" t="s">
        <v>66</v>
      </c>
      <c r="F513" s="9" t="n">
        <v>735568</v>
      </c>
      <c r="G513" s="9" t="n">
        <v>75762</v>
      </c>
      <c r="H513" s="9" t="n">
        <v>76209</v>
      </c>
      <c r="I513" s="9" t="n">
        <v>0</v>
      </c>
      <c r="J513" s="9" t="n">
        <v>199</v>
      </c>
      <c r="K513" s="9" t="n">
        <v>7</v>
      </c>
      <c r="L513" s="9" t="n">
        <v>32</v>
      </c>
      <c r="M513" s="10" t="n">
        <f aca="false">IFERROR(G513/F513,"")</f>
        <v>0.102997955321602</v>
      </c>
      <c r="N513" s="10" t="n">
        <f aca="false">IFERROR(H513/G513,"")</f>
        <v>1.00590005543676</v>
      </c>
      <c r="O513" s="11" t="n">
        <f aca="false">IFERROR(I513/H513,"")</f>
        <v>0</v>
      </c>
      <c r="P513" s="10" t="n">
        <f aca="false">IFERROR(J513/H513,"")</f>
        <v>0.00261124014224042</v>
      </c>
      <c r="Q513" s="10" t="n">
        <f aca="false">IFERROR(K513/H513,"")</f>
        <v>9.18526683200147E-005</v>
      </c>
      <c r="R513" s="10" t="n">
        <f aca="false">IFERROR(L513/H513,"")</f>
        <v>0.000419897912320067</v>
      </c>
      <c r="S513" s="11" t="n">
        <f aca="false">IFERROR(M513/MEDIAN(INDEX($M$5:$M$665,MATCH($A513-90,$A$5:$A$665,1)):INDEX($M$5:$M$665,MATCH($A513+90,$A$5:$A$665,1))),"")</f>
        <v>0.921568467638372</v>
      </c>
      <c r="T513" s="11" t="n">
        <f aca="false">IFERROR(N513/MEDIAN(INDEX($N$5:$N$665,MATCH($A513-90,$A$5:$A$665,1)):INDEX($N$5:$N$665,MATCH($A513+90,$A$5:$A$665,1))),"")</f>
        <v>0.999731170662595</v>
      </c>
      <c r="U513" s="11" t="n">
        <f aca="false">IFERROR(Q513/MEDIAN(INDEX($Q$5:$Q$665,MATCH($A513-90,$A$5:$A$665,1)):INDEX($Q$5:$Q$665,MATCH($A513+90,$A$5:$A$665,1))),"")</f>
        <v>0.400422431878695</v>
      </c>
    </row>
    <row r="514" customFormat="false" ht="15" hidden="false" customHeight="false" outlineLevel="0" collapsed="false">
      <c r="A514" s="13" t="n">
        <v>45858.5708864931</v>
      </c>
      <c r="B514" s="8" t="n">
        <v>13</v>
      </c>
      <c r="C514" s="8" t="s">
        <v>86</v>
      </c>
      <c r="D514" s="8" t="s">
        <v>1175</v>
      </c>
      <c r="E514" s="14" t="s">
        <v>66</v>
      </c>
      <c r="F514" s="9" t="n">
        <v>433815</v>
      </c>
      <c r="G514" s="9" t="n">
        <v>83038</v>
      </c>
      <c r="H514" s="9" t="n">
        <v>71116</v>
      </c>
      <c r="I514" s="9" t="n">
        <v>0</v>
      </c>
      <c r="J514" s="9" t="n">
        <v>210</v>
      </c>
      <c r="K514" s="9" t="n">
        <v>26</v>
      </c>
      <c r="L514" s="9" t="n">
        <v>24</v>
      </c>
      <c r="M514" s="10" t="n">
        <f aca="false">IFERROR(G514/F514,"")</f>
        <v>0.191413390500559</v>
      </c>
      <c r="N514" s="10" t="n">
        <f aca="false">IFERROR(H514/G514,"")</f>
        <v>0.856427177918543</v>
      </c>
      <c r="O514" s="11" t="n">
        <f aca="false">IFERROR(I514/H514,"")</f>
        <v>0</v>
      </c>
      <c r="P514" s="10" t="n">
        <f aca="false">IFERROR(J514/H514,"")</f>
        <v>0.00295292198661342</v>
      </c>
      <c r="Q514" s="10" t="n">
        <f aca="false">IFERROR(K514/H514,"")</f>
        <v>0.000365599865009281</v>
      </c>
      <c r="R514" s="10" t="n">
        <f aca="false">IFERROR(L514/H514,"")</f>
        <v>0.000337476798470105</v>
      </c>
      <c r="S514" s="11" t="n">
        <f aca="false">IFERROR(M514/MEDIAN(INDEX($M$5:$M$665,MATCH($A514-90,$A$5:$A$665,1)):INDEX($M$5:$M$665,MATCH($A514+90,$A$5:$A$665,1))),"")</f>
        <v>1.71266064863395</v>
      </c>
      <c r="T514" s="11" t="n">
        <f aca="false">IFERROR(N514/MEDIAN(INDEX($N$5:$N$665,MATCH($A514-90,$A$5:$A$665,1)):INDEX($N$5:$N$665,MATCH($A514+90,$A$5:$A$665,1))),"")</f>
        <v>0.850260130645517</v>
      </c>
      <c r="U514" s="11" t="n">
        <f aca="false">IFERROR(Q514/MEDIAN(INDEX($Q$5:$Q$665,MATCH($A514-90,$A$5:$A$665,1)):INDEX($Q$5:$Q$665,MATCH($A514+90,$A$5:$A$665,1))),"")</f>
        <v>1.59379569172123</v>
      </c>
    </row>
    <row r="515" customFormat="false" ht="15" hidden="false" customHeight="false" outlineLevel="0" collapsed="false">
      <c r="A515" s="13" t="n">
        <v>45860.483085463</v>
      </c>
      <c r="B515" s="8" t="n">
        <v>11</v>
      </c>
      <c r="C515" s="8" t="s">
        <v>64</v>
      </c>
      <c r="D515" s="8" t="s">
        <v>1176</v>
      </c>
      <c r="E515" s="14" t="s">
        <v>66</v>
      </c>
      <c r="F515" s="9" t="n">
        <v>345886</v>
      </c>
      <c r="G515" s="9" t="n">
        <v>58770</v>
      </c>
      <c r="H515" s="9" t="n">
        <v>48182</v>
      </c>
      <c r="I515" s="9" t="n">
        <v>0</v>
      </c>
      <c r="J515" s="9" t="n">
        <v>143</v>
      </c>
      <c r="K515" s="9" t="n">
        <v>11</v>
      </c>
      <c r="L515" s="9" t="n">
        <v>33</v>
      </c>
      <c r="M515" s="10" t="n">
        <f aca="false">IFERROR(G515/F515,"")</f>
        <v>0.169911473722556</v>
      </c>
      <c r="N515" s="10" t="n">
        <f aca="false">IFERROR(H515/G515,"")</f>
        <v>0.819840054449549</v>
      </c>
      <c r="O515" s="11" t="n">
        <f aca="false">IFERROR(I515/H515,"")</f>
        <v>0</v>
      </c>
      <c r="P515" s="10" t="n">
        <f aca="false">IFERROR(J515/H515,"")</f>
        <v>0.00296791332862895</v>
      </c>
      <c r="Q515" s="10" t="n">
        <f aca="false">IFERROR(K515/H515,"")</f>
        <v>0.00022830102527915</v>
      </c>
      <c r="R515" s="10" t="n">
        <f aca="false">IFERROR(L515/H515,"")</f>
        <v>0.00068490307583745</v>
      </c>
      <c r="S515" s="11" t="n">
        <f aca="false">IFERROR(M515/MEDIAN(INDEX($M$5:$M$665,MATCH($A515-90,$A$5:$A$665,1)):INDEX($M$5:$M$665,MATCH($A515+90,$A$5:$A$665,1))),"")</f>
        <v>1.52027344604804</v>
      </c>
      <c r="T515" s="11" t="n">
        <f aca="false">IFERROR(N515/MEDIAN(INDEX($N$5:$N$665,MATCH($A515-90,$A$5:$A$665,1)):INDEX($N$5:$N$665,MATCH($A515+90,$A$5:$A$665,1))),"")</f>
        <v>0.81393646742841</v>
      </c>
      <c r="U515" s="11" t="n">
        <f aca="false">IFERROR(Q515/MEDIAN(INDEX($Q$5:$Q$665,MATCH($A515-90,$A$5:$A$665,1)):INDEX($Q$5:$Q$665,MATCH($A515+90,$A$5:$A$665,1))),"")</f>
        <v>0.995255264922521</v>
      </c>
    </row>
    <row r="516" customFormat="false" ht="15" hidden="false" customHeight="false" outlineLevel="0" collapsed="false">
      <c r="A516" s="13" t="n">
        <v>45867.7204780787</v>
      </c>
      <c r="B516" s="8" t="n">
        <v>17</v>
      </c>
      <c r="C516" s="8" t="s">
        <v>64</v>
      </c>
      <c r="D516" s="8" t="s">
        <v>1177</v>
      </c>
      <c r="E516" s="14" t="s">
        <v>66</v>
      </c>
      <c r="F516" s="9" t="n">
        <v>273091</v>
      </c>
      <c r="G516" s="9" t="n">
        <v>37571</v>
      </c>
      <c r="H516" s="9" t="n">
        <v>37515</v>
      </c>
      <c r="I516" s="9" t="n">
        <v>0</v>
      </c>
      <c r="J516" s="9" t="n">
        <v>133</v>
      </c>
      <c r="K516" s="9" t="n">
        <v>29</v>
      </c>
      <c r="L516" s="9" t="n">
        <v>16</v>
      </c>
      <c r="M516" s="10" t="n">
        <f aca="false">IFERROR(G516/F516,"")</f>
        <v>0.137576851672153</v>
      </c>
      <c r="N516" s="10" t="n">
        <f aca="false">IFERROR(H516/G516,"")</f>
        <v>0.998509488701392</v>
      </c>
      <c r="O516" s="11" t="n">
        <f aca="false">IFERROR(I516/H516,"")</f>
        <v>0</v>
      </c>
      <c r="P516" s="10" t="n">
        <f aca="false">IFERROR(J516/H516,"")</f>
        <v>0.00354524856723977</v>
      </c>
      <c r="Q516" s="10" t="n">
        <f aca="false">IFERROR(K516/H516,"")</f>
        <v>0.00077302412368386</v>
      </c>
      <c r="R516" s="10" t="n">
        <f aca="false">IFERROR(L516/H516,"")</f>
        <v>0.000426496068239371</v>
      </c>
      <c r="S516" s="11" t="n">
        <f aca="false">IFERROR(M516/MEDIAN(INDEX($M$5:$M$665,MATCH($A516-90,$A$5:$A$665,1)):INDEX($M$5:$M$665,MATCH($A516+90,$A$5:$A$665,1))),"")</f>
        <v>1.20339533676482</v>
      </c>
      <c r="T516" s="11" t="n">
        <f aca="false">IFERROR(N516/MEDIAN(INDEX($N$5:$N$665,MATCH($A516-90,$A$5:$A$665,1)):INDEX($N$5:$N$665,MATCH($A516+90,$A$5:$A$665,1))),"")</f>
        <v>0.990520713045008</v>
      </c>
      <c r="U516" s="11" t="n">
        <f aca="false">IFERROR(Q516/MEDIAN(INDEX($Q$5:$Q$665,MATCH($A516-90,$A$5:$A$665,1)):INDEX($Q$5:$Q$665,MATCH($A516+90,$A$5:$A$665,1))),"")</f>
        <v>3.78949309165223</v>
      </c>
    </row>
    <row r="517" customFormat="false" ht="15" hidden="false" customHeight="false" outlineLevel="0" collapsed="false">
      <c r="A517" s="13" t="n">
        <v>45869.2153190741</v>
      </c>
      <c r="B517" s="8" t="n">
        <v>5</v>
      </c>
      <c r="C517" s="8" t="s">
        <v>73</v>
      </c>
      <c r="D517" s="8" t="s">
        <v>1178</v>
      </c>
      <c r="E517" s="14" t="s">
        <v>66</v>
      </c>
      <c r="F517" s="9" t="n">
        <v>72108</v>
      </c>
      <c r="G517" s="9" t="n">
        <v>3677</v>
      </c>
      <c r="H517" s="9" t="n">
        <v>5917</v>
      </c>
      <c r="I517" s="9" t="n">
        <v>0</v>
      </c>
      <c r="J517" s="9" t="n">
        <v>74</v>
      </c>
      <c r="K517" s="9" t="n">
        <v>24</v>
      </c>
      <c r="L517" s="9" t="n">
        <v>13</v>
      </c>
      <c r="M517" s="10" t="n">
        <f aca="false">IFERROR(G517/F517,"")</f>
        <v>0.0509929550119266</v>
      </c>
      <c r="N517" s="10" t="n">
        <f aca="false">IFERROR(H517/G517,"")</f>
        <v>1.60919227631221</v>
      </c>
      <c r="O517" s="11" t="n">
        <f aca="false">IFERROR(I517/H517,"")</f>
        <v>0</v>
      </c>
      <c r="P517" s="10" t="n">
        <f aca="false">IFERROR(J517/H517,"")</f>
        <v>0.0125063376711171</v>
      </c>
      <c r="Q517" s="10" t="n">
        <f aca="false">IFERROR(K517/H517,"")</f>
        <v>0.0040561095149569</v>
      </c>
      <c r="R517" s="10" t="n">
        <f aca="false">IFERROR(L517/H517,"")</f>
        <v>0.00219705932060166</v>
      </c>
      <c r="S517" s="11" t="n">
        <f aca="false">IFERROR(M517/MEDIAN(INDEX($M$5:$M$665,MATCH($A517-90,$A$5:$A$665,1)):INDEX($M$5:$M$665,MATCH($A517+90,$A$5:$A$665,1))),"")</f>
        <v>0.446039312016261</v>
      </c>
      <c r="T517" s="11" t="n">
        <f aca="false">IFERROR(N517/MEDIAN(INDEX($N$5:$N$665,MATCH($A517-90,$A$5:$A$665,1)):INDEX($N$5:$N$665,MATCH($A517+90,$A$5:$A$665,1))),"")</f>
        <v>1.59631761039375</v>
      </c>
      <c r="U517" s="11" t="n">
        <f aca="false">IFERROR(Q517/MEDIAN(INDEX($Q$5:$Q$665,MATCH($A517-90,$A$5:$A$665,1)):INDEX($Q$5:$Q$665,MATCH($A517+90,$A$5:$A$665,1))),"")</f>
        <v>17.7664971499685</v>
      </c>
    </row>
    <row r="518" customFormat="false" ht="15" hidden="false" customHeight="false" outlineLevel="0" collapsed="false">
      <c r="A518" s="13" t="n">
        <v>45895.2670527778</v>
      </c>
      <c r="B518" s="8" t="n">
        <v>6</v>
      </c>
      <c r="C518" s="8" t="s">
        <v>64</v>
      </c>
      <c r="D518" s="8" t="s">
        <v>1179</v>
      </c>
      <c r="E518" s="14" t="s">
        <v>66</v>
      </c>
      <c r="F518" s="9" t="n">
        <v>541483</v>
      </c>
      <c r="G518" s="9" t="n">
        <v>54649</v>
      </c>
      <c r="H518" s="9" t="n">
        <v>79705</v>
      </c>
      <c r="I518" s="9" t="n">
        <v>0</v>
      </c>
      <c r="J518" s="9" t="n">
        <v>162</v>
      </c>
      <c r="K518" s="9" t="n">
        <v>9</v>
      </c>
      <c r="L518" s="9" t="n">
        <v>24</v>
      </c>
      <c r="M518" s="10" t="n">
        <f aca="false">IFERROR(G518/F518,"")</f>
        <v>0.100924682769357</v>
      </c>
      <c r="N518" s="10" t="n">
        <f aca="false">IFERROR(H518/G518,"")</f>
        <v>1.45848963384508</v>
      </c>
      <c r="O518" s="11" t="n">
        <f aca="false">IFERROR(I518/H518,"")</f>
        <v>0</v>
      </c>
      <c r="P518" s="10" t="n">
        <f aca="false">IFERROR(J518/H518,"")</f>
        <v>0.00203249482466596</v>
      </c>
      <c r="Q518" s="10" t="n">
        <f aca="false">IFERROR(K518/H518,"")</f>
        <v>0.000112916379148109</v>
      </c>
      <c r="R518" s="10" t="n">
        <f aca="false">IFERROR(L518/H518,"")</f>
        <v>0.000301110344394956</v>
      </c>
      <c r="S518" s="11" t="n">
        <f aca="false">IFERROR(M518/MEDIAN(INDEX($M$5:$M$665,MATCH($A518-90,$A$5:$A$665,1)):INDEX($M$5:$M$665,MATCH($A518+90,$A$5:$A$665,1))),"")</f>
        <v>0.722627461799764</v>
      </c>
      <c r="T518" s="11" t="n">
        <f aca="false">IFERROR(N518/MEDIAN(INDEX($N$5:$N$665,MATCH($A518-90,$A$5:$A$665,1)):INDEX($N$5:$N$665,MATCH($A518+90,$A$5:$A$665,1))),"")</f>
        <v>1.45274340550962</v>
      </c>
      <c r="U518" s="11" t="n">
        <f aca="false">IFERROR(Q518/MEDIAN(INDEX($Q$5:$Q$665,MATCH($A518-90,$A$5:$A$665,1)):INDEX($Q$5:$Q$665,MATCH($A518+90,$A$5:$A$665,1))),"")</f>
        <v>0.578838756322609</v>
      </c>
    </row>
    <row r="519" customFormat="false" ht="15" hidden="false" customHeight="false" outlineLevel="0" collapsed="false">
      <c r="A519" s="13" t="n">
        <v>45897.2791428241</v>
      </c>
      <c r="B519" s="8" t="n">
        <v>6</v>
      </c>
      <c r="C519" s="8" t="s">
        <v>73</v>
      </c>
      <c r="D519" s="8" t="s">
        <v>1180</v>
      </c>
      <c r="E519" s="14" t="s">
        <v>66</v>
      </c>
      <c r="F519" s="9" t="n">
        <v>613577</v>
      </c>
      <c r="G519" s="9" t="n">
        <v>90506</v>
      </c>
      <c r="H519" s="9" t="n">
        <v>91321</v>
      </c>
      <c r="I519" s="9" t="n">
        <v>0</v>
      </c>
      <c r="J519" s="9" t="n">
        <v>196</v>
      </c>
      <c r="K519" s="9" t="n">
        <v>17</v>
      </c>
      <c r="L519" s="9" t="n">
        <v>31</v>
      </c>
      <c r="M519" s="10" t="n">
        <f aca="false">IFERROR(G519/F519,"")</f>
        <v>0.147505529053403</v>
      </c>
      <c r="N519" s="10" t="n">
        <f aca="false">IFERROR(H519/G519,"")</f>
        <v>1.00900492785009</v>
      </c>
      <c r="O519" s="11" t="n">
        <f aca="false">IFERROR(I519/H519,"")</f>
        <v>0</v>
      </c>
      <c r="P519" s="10" t="n">
        <f aca="false">IFERROR(J519/H519,"")</f>
        <v>0.0021462752269467</v>
      </c>
      <c r="Q519" s="10" t="n">
        <f aca="false">IFERROR(K519/H519,"")</f>
        <v>0.000186156524786194</v>
      </c>
      <c r="R519" s="10" t="n">
        <f aca="false">IFERROR(L519/H519,"")</f>
        <v>0.00033946189813953</v>
      </c>
      <c r="S519" s="11" t="n">
        <f aca="false">IFERROR(M519/MEDIAN(INDEX($M$5:$M$665,MATCH($A519-90,$A$5:$A$665,1)):INDEX($M$5:$M$665,MATCH($A519+90,$A$5:$A$665,1))),"")</f>
        <v>1.05547434183339</v>
      </c>
      <c r="T519" s="11" t="n">
        <f aca="false">IFERROR(N519/MEDIAN(INDEX($N$5:$N$665,MATCH($A519-90,$A$5:$A$665,1)):INDEX($N$5:$N$665,MATCH($A519+90,$A$5:$A$665,1))),"")</f>
        <v>1.00605026952723</v>
      </c>
      <c r="U519" s="11" t="n">
        <f aca="false">IFERROR(Q519/MEDIAN(INDEX($Q$5:$Q$665,MATCH($A519-90,$A$5:$A$665,1)):INDEX($Q$5:$Q$665,MATCH($A519+90,$A$5:$A$665,1))),"")</f>
        <v>1</v>
      </c>
    </row>
    <row r="520" customFormat="false" ht="15" hidden="false" customHeight="false" outlineLevel="0" collapsed="false">
      <c r="A520" s="13" t="n">
        <v>45902.4592928588</v>
      </c>
      <c r="B520" s="8" t="n">
        <v>11</v>
      </c>
      <c r="C520" s="8" t="s">
        <v>64</v>
      </c>
      <c r="D520" s="8" t="s">
        <v>1181</v>
      </c>
      <c r="E520" s="14" t="s">
        <v>66</v>
      </c>
      <c r="F520" s="9" t="n">
        <v>1340692</v>
      </c>
      <c r="G520" s="9" t="n">
        <v>148462</v>
      </c>
      <c r="H520" s="9" t="n">
        <v>180712</v>
      </c>
      <c r="I520" s="9" t="n">
        <v>0</v>
      </c>
      <c r="J520" s="9" t="n">
        <v>307</v>
      </c>
      <c r="K520" s="9" t="n">
        <v>47</v>
      </c>
      <c r="L520" s="9" t="n">
        <v>54</v>
      </c>
      <c r="M520" s="10" t="n">
        <f aca="false">IFERROR(G520/F520,"")</f>
        <v>0.11073535159455</v>
      </c>
      <c r="N520" s="10" t="n">
        <f aca="false">IFERROR(H520/G520,"")</f>
        <v>1.21722730395657</v>
      </c>
      <c r="O520" s="11" t="n">
        <f aca="false">IFERROR(I520/H520,"")</f>
        <v>0</v>
      </c>
      <c r="P520" s="10" t="n">
        <f aca="false">IFERROR(J520/H520,"")</f>
        <v>0.00169883571649918</v>
      </c>
      <c r="Q520" s="10" t="n">
        <f aca="false">IFERROR(K520/H520,"")</f>
        <v>0.000260082340962415</v>
      </c>
      <c r="R520" s="10" t="n">
        <f aca="false">IFERROR(L520/H520,"")</f>
        <v>0.000298818008765328</v>
      </c>
      <c r="S520" s="11" t="n">
        <f aca="false">IFERROR(M520/MEDIAN(INDEX($M$5:$M$665,MATCH($A520-90,$A$5:$A$665,1)):INDEX($M$5:$M$665,MATCH($A520+90,$A$5:$A$665,1))),"")</f>
        <v>0.750720005583376</v>
      </c>
      <c r="T520" s="11" t="n">
        <f aca="false">IFERROR(N520/MEDIAN(INDEX($N$5:$N$665,MATCH($A520-90,$A$5:$A$665,1)):INDEX($N$5:$N$665,MATCH($A520+90,$A$5:$A$665,1))),"")</f>
        <v>1.21366291028002</v>
      </c>
      <c r="U520" s="11" t="n">
        <f aca="false">IFERROR(Q520/MEDIAN(INDEX($Q$5:$Q$665,MATCH($A520-90,$A$5:$A$665,1)):INDEX($Q$5:$Q$665,MATCH($A520+90,$A$5:$A$665,1))),"")</f>
        <v>1.27496698245459</v>
      </c>
    </row>
    <row r="521" customFormat="false" ht="15" hidden="false" customHeight="false" outlineLevel="0" collapsed="false">
      <c r="A521" s="13" t="n">
        <v>45909.495396875</v>
      </c>
      <c r="B521" s="8" t="n">
        <v>11</v>
      </c>
      <c r="C521" s="8" t="s">
        <v>64</v>
      </c>
      <c r="D521" s="8" t="s">
        <v>1182</v>
      </c>
      <c r="E521" s="14" t="s">
        <v>66</v>
      </c>
      <c r="F521" s="9" t="n">
        <v>174334</v>
      </c>
      <c r="G521" s="9" t="n">
        <v>8002</v>
      </c>
      <c r="H521" s="9" t="n">
        <v>17942</v>
      </c>
      <c r="I521" s="9" t="n">
        <v>0</v>
      </c>
      <c r="J521" s="9" t="n">
        <v>95</v>
      </c>
      <c r="K521" s="9" t="n">
        <v>3</v>
      </c>
      <c r="L521" s="9" t="n">
        <v>13</v>
      </c>
      <c r="M521" s="10" t="n">
        <f aca="false">IFERROR(G521/F521,"")</f>
        <v>0.0459003980864318</v>
      </c>
      <c r="N521" s="10" t="n">
        <f aca="false">IFERROR(H521/G521,"")</f>
        <v>2.24218945263684</v>
      </c>
      <c r="O521" s="11" t="n">
        <f aca="false">IFERROR(I521/H521,"")</f>
        <v>0</v>
      </c>
      <c r="P521" s="10" t="n">
        <f aca="false">IFERROR(J521/H521,"")</f>
        <v>0.00529483892542637</v>
      </c>
      <c r="Q521" s="10" t="n">
        <f aca="false">IFERROR(K521/H521,"")</f>
        <v>0.000167205439750307</v>
      </c>
      <c r="R521" s="10" t="n">
        <f aca="false">IFERROR(L521/H521,"")</f>
        <v>0.000724556905584662</v>
      </c>
      <c r="S521" s="11" t="n">
        <f aca="false">IFERROR(M521/MEDIAN(INDEX($M$5:$M$665,MATCH($A521-90,$A$5:$A$665,1)):INDEX($M$5:$M$665,MATCH($A521+90,$A$5:$A$665,1))),"")</f>
        <v>0.277390667169394</v>
      </c>
      <c r="T521" s="11" t="n">
        <f aca="false">IFERROR(N521/MEDIAN(INDEX($N$5:$N$665,MATCH($A521-90,$A$5:$A$665,1)):INDEX($N$5:$N$665,MATCH($A521+90,$A$5:$A$665,1))),"")</f>
        <v>2.24471147385838</v>
      </c>
      <c r="U521" s="11" t="n">
        <f aca="false">IFERROR(Q521/MEDIAN(INDEX($Q$5:$Q$665,MATCH($A521-90,$A$5:$A$665,1)):INDEX($Q$5:$Q$665,MATCH($A521+90,$A$5:$A$665,1))),"")</f>
        <v>0.684730280791762</v>
      </c>
    </row>
    <row r="522" customFormat="false" ht="15" hidden="false" customHeight="false" outlineLevel="0" collapsed="false">
      <c r="A522" s="13" t="n">
        <v>45918.2509981019</v>
      </c>
      <c r="B522" s="8" t="n">
        <v>6</v>
      </c>
      <c r="C522" s="8" t="s">
        <v>73</v>
      </c>
      <c r="D522" s="8" t="s">
        <v>1183</v>
      </c>
      <c r="E522" s="14" t="s">
        <v>66</v>
      </c>
      <c r="F522" s="9" t="n">
        <v>120368</v>
      </c>
      <c r="G522" s="9" t="n">
        <v>10420</v>
      </c>
      <c r="H522" s="9" t="n">
        <v>12724</v>
      </c>
      <c r="I522" s="9" t="n">
        <v>0</v>
      </c>
      <c r="J522" s="9" t="n">
        <v>229</v>
      </c>
      <c r="K522" s="9" t="n">
        <v>16</v>
      </c>
      <c r="L522" s="9" t="n">
        <v>21</v>
      </c>
      <c r="M522" s="10" t="n">
        <f aca="false">IFERROR(G522/F522,"")</f>
        <v>0.086567858567061</v>
      </c>
      <c r="N522" s="10" t="n">
        <f aca="false">IFERROR(H522/G522,"")</f>
        <v>1.221113243762</v>
      </c>
      <c r="O522" s="11" t="n">
        <f aca="false">IFERROR(I522/H522,"")</f>
        <v>0</v>
      </c>
      <c r="P522" s="10" t="n">
        <f aca="false">IFERROR(J522/H522,"")</f>
        <v>0.0179974850675888</v>
      </c>
      <c r="Q522" s="10" t="n">
        <f aca="false">IFERROR(K522/H522,"")</f>
        <v>0.00125746620559572</v>
      </c>
      <c r="R522" s="10" t="n">
        <f aca="false">IFERROR(L522/H522,"")</f>
        <v>0.00165042439484439</v>
      </c>
      <c r="S522" s="11" t="n">
        <f aca="false">IFERROR(M522/MEDIAN(INDEX($M$5:$M$665,MATCH($A522-90,$A$5:$A$665,1)):INDEX($M$5:$M$665,MATCH($A522+90,$A$5:$A$665,1))),"")</f>
        <v>0.457387325619407</v>
      </c>
      <c r="T522" s="11" t="n">
        <f aca="false">IFERROR(N522/MEDIAN(INDEX($N$5:$N$665,MATCH($A522-90,$A$5:$A$665,1)):INDEX($N$5:$N$665,MATCH($A522+90,$A$5:$A$665,1))),"")</f>
        <v>1.42291413575608</v>
      </c>
      <c r="U522" s="11" t="n">
        <f aca="false">IFERROR(Q522/MEDIAN(INDEX($Q$5:$Q$665,MATCH($A522-90,$A$5:$A$665,1)):INDEX($Q$5:$Q$665,MATCH($A522+90,$A$5:$A$665,1))),"")</f>
        <v>4.64508016347061</v>
      </c>
    </row>
    <row r="523" customFormat="false" ht="15" hidden="false" customHeight="false" outlineLevel="0" collapsed="false">
      <c r="A523" s="13" t="n">
        <v>45944.2917668287</v>
      </c>
      <c r="B523" s="8" t="n">
        <v>7</v>
      </c>
      <c r="C523" s="8" t="s">
        <v>64</v>
      </c>
      <c r="D523" s="8" t="s">
        <v>1184</v>
      </c>
      <c r="E523" s="14" t="s">
        <v>66</v>
      </c>
      <c r="F523" s="9" t="n">
        <v>763104</v>
      </c>
      <c r="G523" s="9" t="n">
        <v>33366</v>
      </c>
      <c r="H523" s="9" t="n">
        <v>79909</v>
      </c>
      <c r="I523" s="9" t="n">
        <v>0</v>
      </c>
      <c r="J523" s="9" t="n">
        <v>87</v>
      </c>
      <c r="K523" s="9" t="n">
        <v>3</v>
      </c>
      <c r="L523" s="9" t="n">
        <v>12</v>
      </c>
      <c r="M523" s="10" t="n">
        <f aca="false">IFERROR(G523/F523,"")</f>
        <v>0.0437240533400428</v>
      </c>
      <c r="N523" s="10" t="n">
        <f aca="false">IFERROR(H523/G523,"")</f>
        <v>2.39492297548403</v>
      </c>
      <c r="O523" s="11" t="n">
        <f aca="false">IFERROR(I523/H523,"")</f>
        <v>0</v>
      </c>
      <c r="P523" s="10" t="n">
        <f aca="false">IFERROR(J523/H523,"")</f>
        <v>0.00108873843997547</v>
      </c>
      <c r="Q523" s="10" t="n">
        <f aca="false">IFERROR(K523/H523,"")</f>
        <v>3.75427048267404E-005</v>
      </c>
      <c r="R523" s="10" t="n">
        <f aca="false">IFERROR(L523/H523,"")</f>
        <v>0.000150170819306962</v>
      </c>
      <c r="S523" s="11" t="n">
        <f aca="false">IFERROR(M523/MEDIAN(INDEX($M$5:$M$665,MATCH($A523-90,$A$5:$A$665,1)):INDEX($M$5:$M$665,MATCH($A523+90,$A$5:$A$665,1))),"")</f>
        <v>0.150777636576266</v>
      </c>
      <c r="T523" s="11" t="n">
        <f aca="false">IFERROR(N523/MEDIAN(INDEX($N$5:$N$665,MATCH($A523-90,$A$5:$A$665,1)):INDEX($N$5:$N$665,MATCH($A523+90,$A$5:$A$665,1))),"")</f>
        <v>3.40682355903791</v>
      </c>
      <c r="U523" s="11" t="n">
        <f aca="false">IFERROR(Q523/MEDIAN(INDEX($Q$5:$Q$665,MATCH($A523-90,$A$5:$A$665,1)):INDEX($Q$5:$Q$665,MATCH($A523+90,$A$5:$A$665,1))),"")</f>
        <v>0.141459302980593</v>
      </c>
    </row>
    <row r="524" customFormat="false" ht="15" hidden="false" customHeight="false" outlineLevel="0" collapsed="false">
      <c r="A524" s="13" t="n">
        <v>45950.8495133218</v>
      </c>
      <c r="B524" s="8" t="n">
        <v>20</v>
      </c>
      <c r="C524" s="8" t="s">
        <v>80</v>
      </c>
      <c r="D524" s="8"/>
      <c r="E524" s="14" t="s">
        <v>66</v>
      </c>
      <c r="F524" s="9" t="n">
        <v>826230</v>
      </c>
      <c r="G524" s="9" t="n">
        <v>64297</v>
      </c>
      <c r="H524" s="9" t="n">
        <v>147076</v>
      </c>
      <c r="I524" s="9" t="n">
        <v>0</v>
      </c>
      <c r="J524" s="9" t="n">
        <v>82</v>
      </c>
      <c r="K524" s="9" t="n">
        <v>21</v>
      </c>
      <c r="L524" s="9" t="n">
        <v>6</v>
      </c>
      <c r="M524" s="10" t="n">
        <f aca="false">IFERROR(G524/F524,"")</f>
        <v>0.0778197354247607</v>
      </c>
      <c r="N524" s="10" t="n">
        <f aca="false">IFERROR(H524/G524,"")</f>
        <v>2.28744731480473</v>
      </c>
      <c r="O524" s="11" t="n">
        <f aca="false">IFERROR(I524/H524,"")</f>
        <v>0</v>
      </c>
      <c r="P524" s="10" t="n">
        <f aca="false">IFERROR(J524/H524,"")</f>
        <v>0.000557534879926025</v>
      </c>
      <c r="Q524" s="10" t="n">
        <f aca="false">IFERROR(K524/H524,"")</f>
        <v>0.000142783322907884</v>
      </c>
      <c r="R524" s="10" t="n">
        <f aca="false">IFERROR(L524/H524,"")</f>
        <v>4.07952351165384E-005</v>
      </c>
      <c r="S524" s="11" t="n">
        <f aca="false">IFERROR(M524/MEDIAN(INDEX($M$5:$M$665,MATCH($A524-90,$A$5:$A$665,1)):INDEX($M$5:$M$665,MATCH($A524+90,$A$5:$A$665,1))),"")</f>
        <v>0.245631122872916</v>
      </c>
      <c r="T524" s="11" t="n">
        <f aca="false">IFERROR(N524/MEDIAN(INDEX($N$5:$N$665,MATCH($A524-90,$A$5:$A$665,1)):INDEX($N$5:$N$665,MATCH($A524+90,$A$5:$A$665,1))),"")</f>
        <v>3.34791723408615</v>
      </c>
      <c r="U524" s="11" t="n">
        <f aca="false">IFERROR(Q524/MEDIAN(INDEX($Q$5:$Q$665,MATCH($A524-90,$A$5:$A$665,1)):INDEX($Q$5:$Q$665,MATCH($A524+90,$A$5:$A$665,1))),"")</f>
        <v>0.609892900482849</v>
      </c>
    </row>
    <row r="525" customFormat="false" ht="15" hidden="false" customHeight="false" outlineLevel="0" collapsed="false">
      <c r="A525" s="13" t="n">
        <v>45952.688450382</v>
      </c>
      <c r="B525" s="8" t="n">
        <v>16</v>
      </c>
      <c r="C525" s="8" t="s">
        <v>71</v>
      </c>
      <c r="D525" s="8"/>
      <c r="E525" s="14" t="s">
        <v>66</v>
      </c>
      <c r="F525" s="9" t="n">
        <v>732454</v>
      </c>
      <c r="G525" s="9" t="n">
        <v>83737</v>
      </c>
      <c r="H525" s="9" t="n">
        <v>118787</v>
      </c>
      <c r="I525" s="9" t="n">
        <v>0</v>
      </c>
      <c r="J525" s="9" t="n">
        <v>91</v>
      </c>
      <c r="K525" s="9" t="n">
        <v>2</v>
      </c>
      <c r="L525" s="9" t="n">
        <v>9</v>
      </c>
      <c r="M525" s="10" t="n">
        <f aca="false">IFERROR(G525/F525,"")</f>
        <v>0.114323902934519</v>
      </c>
      <c r="N525" s="10" t="n">
        <f aca="false">IFERROR(H525/G525,"")</f>
        <v>1.41857243512426</v>
      </c>
      <c r="O525" s="11" t="n">
        <f aca="false">IFERROR(I525/H525,"")</f>
        <v>0</v>
      </c>
      <c r="P525" s="10" t="n">
        <f aca="false">IFERROR(J525/H525,"")</f>
        <v>0.000766077095978516</v>
      </c>
      <c r="Q525" s="10" t="n">
        <f aca="false">IFERROR(K525/H525,"")</f>
        <v>1.68368592522751E-005</v>
      </c>
      <c r="R525" s="10" t="n">
        <f aca="false">IFERROR(L525/H525,"")</f>
        <v>7.57658666352379E-005</v>
      </c>
      <c r="S525" s="11" t="n">
        <f aca="false">IFERROR(M525/MEDIAN(INDEX($M$5:$M$665,MATCH($A525-90,$A$5:$A$665,1)):INDEX($M$5:$M$665,MATCH($A525+90,$A$5:$A$665,1))),"")</f>
        <v>0.358130239038821</v>
      </c>
      <c r="T525" s="11" t="n">
        <f aca="false">IFERROR(N525/MEDIAN(INDEX($N$5:$N$665,MATCH($A525-90,$A$5:$A$665,1)):INDEX($N$5:$N$665,MATCH($A525+90,$A$5:$A$665,1))),"")</f>
        <v>2.08621681438033</v>
      </c>
      <c r="U525" s="11" t="n">
        <f aca="false">IFERROR(Q525/MEDIAN(INDEX($Q$5:$Q$665,MATCH($A525-90,$A$5:$A$665,1)):INDEX($Q$5:$Q$665,MATCH($A525+90,$A$5:$A$665,1))),"")</f>
        <v>0.0701760293634825</v>
      </c>
    </row>
    <row r="526" customFormat="false" ht="15" hidden="false" customHeight="false" outlineLevel="0" collapsed="false">
      <c r="A526" s="13" t="n">
        <v>45955.0416653472</v>
      </c>
      <c r="B526" s="8" t="n">
        <v>0</v>
      </c>
      <c r="C526" s="8" t="s">
        <v>68</v>
      </c>
      <c r="D526" s="8"/>
      <c r="E526" s="14" t="s">
        <v>66</v>
      </c>
      <c r="F526" s="9" t="n">
        <v>28656</v>
      </c>
      <c r="G526" s="9" t="n">
        <v>10621</v>
      </c>
      <c r="H526" s="9" t="n">
        <v>7222</v>
      </c>
      <c r="I526" s="9" t="n">
        <v>0</v>
      </c>
      <c r="J526" s="9" t="n">
        <v>63</v>
      </c>
      <c r="K526" s="9" t="n">
        <v>1</v>
      </c>
      <c r="L526" s="9" t="n">
        <v>6</v>
      </c>
      <c r="M526" s="10" t="n">
        <f aca="false">IFERROR(G526/F526,"")</f>
        <v>0.370637911781128</v>
      </c>
      <c r="N526" s="10" t="n">
        <f aca="false">IFERROR(H526/G526,"")</f>
        <v>0.67997363713398</v>
      </c>
      <c r="O526" s="11" t="n">
        <f aca="false">IFERROR(I526/H526,"")</f>
        <v>0</v>
      </c>
      <c r="P526" s="10" t="n">
        <f aca="false">IFERROR(J526/H526,"")</f>
        <v>0.00872334533370258</v>
      </c>
      <c r="Q526" s="10" t="n">
        <f aca="false">IFERROR(K526/H526,"")</f>
        <v>0.00013846579894766</v>
      </c>
      <c r="R526" s="10" t="n">
        <f aca="false">IFERROR(L526/H526,"")</f>
        <v>0.00083079479368596</v>
      </c>
      <c r="S526" s="11" t="n">
        <f aca="false">IFERROR(M526/MEDIAN(INDEX($M$5:$M$665,MATCH($A526-90,$A$5:$A$665,1)):INDEX($M$5:$M$665,MATCH($A526+90,$A$5:$A$665,1))),"")</f>
        <v>1.1479293867532</v>
      </c>
      <c r="T526" s="11" t="n">
        <f aca="false">IFERROR(N526/MEDIAN(INDEX($N$5:$N$665,MATCH($A526-90,$A$5:$A$665,1)):INDEX($N$5:$N$665,MATCH($A526+90,$A$5:$A$665,1))),"")</f>
        <v>1.00154251165522</v>
      </c>
      <c r="U526" s="11" t="n">
        <f aca="false">IFERROR(Q526/MEDIAN(INDEX($Q$5:$Q$665,MATCH($A526-90,$A$5:$A$665,1)):INDEX($Q$5:$Q$665,MATCH($A526+90,$A$5:$A$665,1))),"")</f>
        <v>0.591450780231142</v>
      </c>
    </row>
    <row r="527" customFormat="false" ht="15" hidden="false" customHeight="false" outlineLevel="0" collapsed="false">
      <c r="A527" s="13" t="n">
        <v>45955.2916348843</v>
      </c>
      <c r="B527" s="8" t="n">
        <v>6</v>
      </c>
      <c r="C527" s="8" t="s">
        <v>68</v>
      </c>
      <c r="D527" s="8"/>
      <c r="E527" s="14" t="s">
        <v>66</v>
      </c>
      <c r="F527" s="9" t="n">
        <v>300089</v>
      </c>
      <c r="G527" s="9" t="n">
        <v>98844</v>
      </c>
      <c r="H527" s="9" t="n">
        <v>67858</v>
      </c>
      <c r="I527" s="9" t="n">
        <v>0</v>
      </c>
      <c r="J527" s="9" t="n">
        <v>160</v>
      </c>
      <c r="K527" s="9" t="n">
        <v>26</v>
      </c>
      <c r="L527" s="9" t="n">
        <v>22</v>
      </c>
      <c r="M527" s="10" t="n">
        <f aca="false">IFERROR(G527/F527,"")</f>
        <v>0.329382283255967</v>
      </c>
      <c r="N527" s="10" t="n">
        <f aca="false">IFERROR(H527/G527,"")</f>
        <v>0.686516126421432</v>
      </c>
      <c r="O527" s="11" t="n">
        <f aca="false">IFERROR(I527/H527,"")</f>
        <v>0</v>
      </c>
      <c r="P527" s="10" t="n">
        <f aca="false">IFERROR(J527/H527,"")</f>
        <v>0.0023578649532848</v>
      </c>
      <c r="Q527" s="10" t="n">
        <f aca="false">IFERROR(K527/H527,"")</f>
        <v>0.00038315305490878</v>
      </c>
      <c r="R527" s="10" t="n">
        <f aca="false">IFERROR(L527/H527,"")</f>
        <v>0.00032420643107666</v>
      </c>
      <c r="S527" s="11" t="n">
        <f aca="false">IFERROR(M527/MEDIAN(INDEX($M$5:$M$665,MATCH($A527-90,$A$5:$A$665,1)):INDEX($M$5:$M$665,MATCH($A527+90,$A$5:$A$665,1))),"")</f>
        <v>1.02015360654383</v>
      </c>
      <c r="T527" s="11" t="n">
        <f aca="false">IFERROR(N527/MEDIAN(INDEX($N$5:$N$665,MATCH($A527-90,$A$5:$A$665,1)):INDEX($N$5:$N$665,MATCH($A527+90,$A$5:$A$665,1))),"")</f>
        <v>1.01117903400783</v>
      </c>
      <c r="U527" s="11" t="n">
        <f aca="false">IFERROR(Q527/MEDIAN(INDEX($Q$5:$Q$665,MATCH($A527-90,$A$5:$A$665,1)):INDEX($Q$5:$Q$665,MATCH($A527+90,$A$5:$A$665,1))),"")</f>
        <v>1.63662200338298</v>
      </c>
    </row>
    <row r="528" customFormat="false" ht="15" hidden="false" customHeight="false" outlineLevel="0" collapsed="false">
      <c r="A528" s="13" t="n">
        <v>45957.8147027778</v>
      </c>
      <c r="B528" s="8" t="n">
        <v>19</v>
      </c>
      <c r="C528" s="8" t="s">
        <v>80</v>
      </c>
      <c r="D528" s="8"/>
      <c r="E528" s="14" t="s">
        <v>66</v>
      </c>
      <c r="F528" s="9" t="n">
        <v>31285</v>
      </c>
      <c r="G528" s="9" t="n">
        <v>8923</v>
      </c>
      <c r="H528" s="9" t="n">
        <v>4473</v>
      </c>
      <c r="I528" s="9" t="n">
        <v>0</v>
      </c>
      <c r="J528" s="9" t="n">
        <v>40</v>
      </c>
      <c r="K528" s="9" t="n">
        <v>3</v>
      </c>
      <c r="L528" s="9" t="n">
        <v>2</v>
      </c>
      <c r="M528" s="10" t="n">
        <f aca="false">IFERROR(G528/F528,"")</f>
        <v>0.28521655745565</v>
      </c>
      <c r="N528" s="10" t="n">
        <f aca="false">IFERROR(H528/G528,"")</f>
        <v>0.501288804213829</v>
      </c>
      <c r="O528" s="11" t="n">
        <f aca="false">IFERROR(I528/H528,"")</f>
        <v>0</v>
      </c>
      <c r="P528" s="10" t="n">
        <f aca="false">IFERROR(J528/H528,"")</f>
        <v>0.00894254415381176</v>
      </c>
      <c r="Q528" s="10" t="n">
        <f aca="false">IFERROR(K528/H528,"")</f>
        <v>0.000670690811535882</v>
      </c>
      <c r="R528" s="10" t="n">
        <f aca="false">IFERROR(L528/H528,"")</f>
        <v>0.000447127207690588</v>
      </c>
      <c r="S528" s="11" t="n">
        <f aca="false">IFERROR(M528/MEDIAN(INDEX($M$5:$M$665,MATCH($A528-90,$A$5:$A$665,1)):INDEX($M$5:$M$665,MATCH($A528+90,$A$5:$A$665,1))),"")</f>
        <v>0.893467343902059</v>
      </c>
      <c r="T528" s="11" t="n">
        <f aca="false">IFERROR(N528/MEDIAN(INDEX($N$5:$N$665,MATCH($A528-90,$A$5:$A$665,1)):INDEX($N$5:$N$665,MATCH($A528+90,$A$5:$A$665,1))),"")</f>
        <v>0.737217999107599</v>
      </c>
      <c r="U528" s="11" t="n">
        <f aca="false">IFERROR(Q528/MEDIAN(INDEX($Q$5:$Q$665,MATCH($A528-90,$A$5:$A$665,1)):INDEX($Q$5:$Q$665,MATCH($A528+90,$A$5:$A$665,1))),"")</f>
        <v>3.60283268236872</v>
      </c>
    </row>
    <row r="529" customFormat="false" ht="15" hidden="false" customHeight="false" outlineLevel="0" collapsed="false">
      <c r="A529" s="13" t="n">
        <v>45959.7018093287</v>
      </c>
      <c r="B529" s="8" t="n">
        <v>16</v>
      </c>
      <c r="C529" s="8" t="s">
        <v>71</v>
      </c>
      <c r="D529" s="8"/>
      <c r="E529" s="14" t="s">
        <v>66</v>
      </c>
      <c r="F529" s="9" t="n">
        <v>10485</v>
      </c>
      <c r="G529" s="9" t="n">
        <v>414</v>
      </c>
      <c r="H529" s="9" t="n">
        <v>1566</v>
      </c>
      <c r="I529" s="9" t="n">
        <v>0</v>
      </c>
      <c r="J529" s="9" t="n">
        <v>21</v>
      </c>
      <c r="K529" s="9" t="n">
        <v>2</v>
      </c>
      <c r="L529" s="9" t="n">
        <v>5</v>
      </c>
      <c r="M529" s="10" t="n">
        <f aca="false">IFERROR(G529/F529,"")</f>
        <v>0.0394849785407725</v>
      </c>
      <c r="N529" s="10" t="n">
        <f aca="false">IFERROR(H529/G529,"")</f>
        <v>3.78260869565217</v>
      </c>
      <c r="O529" s="11" t="n">
        <f aca="false">IFERROR(I529/H529,"")</f>
        <v>0</v>
      </c>
      <c r="P529" s="10" t="n">
        <f aca="false">IFERROR(J529/H529,"")</f>
        <v>0.0134099616858238</v>
      </c>
      <c r="Q529" s="10" t="n">
        <f aca="false">IFERROR(K529/H529,"")</f>
        <v>0.00127713920817369</v>
      </c>
      <c r="R529" s="10" t="n">
        <f aca="false">IFERROR(L529/H529,"")</f>
        <v>0.00319284802043423</v>
      </c>
      <c r="S529" s="11" t="n">
        <f aca="false">IFERROR(M529/MEDIAN(INDEX($M$5:$M$665,MATCH($A529-90,$A$5:$A$665,1)):INDEX($M$5:$M$665,MATCH($A529+90,$A$5:$A$665,1))),"")</f>
        <v>0.120924458801238</v>
      </c>
      <c r="T529" s="11" t="n">
        <f aca="false">IFERROR(N529/MEDIAN(INDEX($N$5:$N$665,MATCH($A529-90,$A$5:$A$665,1)):INDEX($N$5:$N$665,MATCH($A529+90,$A$5:$A$665,1))),"")</f>
        <v>5.58006362672322</v>
      </c>
      <c r="U529" s="11" t="n">
        <f aca="false">IFERROR(Q529/MEDIAN(INDEX($Q$5:$Q$665,MATCH($A529-90,$A$5:$A$665,1)):INDEX($Q$5:$Q$665,MATCH($A529+90,$A$5:$A$665,1))),"")</f>
        <v>6.86056644880174</v>
      </c>
    </row>
    <row r="530" customFormat="false" ht="15" hidden="false" customHeight="false" outlineLevel="0" collapsed="false">
      <c r="A530" s="13" t="n">
        <v>45961.5962129977</v>
      </c>
      <c r="B530" s="8" t="n">
        <v>14</v>
      </c>
      <c r="C530" s="8" t="s">
        <v>84</v>
      </c>
      <c r="D530" s="8"/>
      <c r="E530" s="14" t="s">
        <v>66</v>
      </c>
      <c r="F530" s="9" t="n">
        <v>8908</v>
      </c>
      <c r="G530" s="9" t="n">
        <v>771</v>
      </c>
      <c r="H530" s="9" t="n">
        <v>1370</v>
      </c>
      <c r="I530" s="9" t="n">
        <v>0</v>
      </c>
      <c r="J530" s="9" t="n">
        <v>28</v>
      </c>
      <c r="K530" s="9" t="n">
        <v>4</v>
      </c>
      <c r="L530" s="9" t="n">
        <v>6</v>
      </c>
      <c r="M530" s="10" t="n">
        <f aca="false">IFERROR(G530/F530,"")</f>
        <v>0.0865514144589133</v>
      </c>
      <c r="N530" s="10" t="n">
        <f aca="false">IFERROR(H530/G530,"")</f>
        <v>1.7769130998703</v>
      </c>
      <c r="O530" s="11" t="n">
        <f aca="false">IFERROR(I530/H530,"")</f>
        <v>0</v>
      </c>
      <c r="P530" s="10" t="n">
        <f aca="false">IFERROR(J530/H530,"")</f>
        <v>0.0204379562043796</v>
      </c>
      <c r="Q530" s="10" t="n">
        <f aca="false">IFERROR(K530/H530,"")</f>
        <v>0.00291970802919708</v>
      </c>
      <c r="R530" s="10" t="n">
        <f aca="false">IFERROR(L530/H530,"")</f>
        <v>0.00437956204379562</v>
      </c>
      <c r="S530" s="11" t="n">
        <f aca="false">IFERROR(M530/MEDIAN(INDEX($M$5:$M$665,MATCH($A530-90,$A$5:$A$665,1)):INDEX($M$5:$M$665,MATCH($A530+90,$A$5:$A$665,1))),"")</f>
        <v>0.268064623084521</v>
      </c>
      <c r="T530" s="11" t="n">
        <f aca="false">IFERROR(N530/MEDIAN(INDEX($N$5:$N$665,MATCH($A530-90,$A$5:$A$665,1)):INDEX($N$5:$N$665,MATCH($A530+90,$A$5:$A$665,1))),"")</f>
        <v>2.67130347214812</v>
      </c>
      <c r="U530" s="11" t="n">
        <f aca="false">IFERROR(Q530/MEDIAN(INDEX($Q$5:$Q$665,MATCH($A530-90,$A$5:$A$665,1)):INDEX($Q$5:$Q$665,MATCH($A530+90,$A$5:$A$665,1))),"")</f>
        <v>15.7019120359893</v>
      </c>
    </row>
    <row r="531" customFormat="false" ht="15" hidden="false" customHeight="false" outlineLevel="0" collapsed="false">
      <c r="A531" s="13" t="n">
        <v>45962.7755677778</v>
      </c>
      <c r="B531" s="8" t="n">
        <v>18</v>
      </c>
      <c r="C531" s="8" t="s">
        <v>68</v>
      </c>
      <c r="D531" s="8"/>
      <c r="E531" s="14" t="s">
        <v>66</v>
      </c>
      <c r="F531" s="9" t="n">
        <v>22236</v>
      </c>
      <c r="G531" s="9" t="n">
        <v>7856</v>
      </c>
      <c r="H531" s="9" t="n">
        <v>4883</v>
      </c>
      <c r="I531" s="9" t="n">
        <v>0</v>
      </c>
      <c r="J531" s="9" t="n">
        <v>84</v>
      </c>
      <c r="K531" s="9" t="n">
        <v>6</v>
      </c>
      <c r="L531" s="9" t="n">
        <v>6</v>
      </c>
      <c r="M531" s="10" t="n">
        <f aca="false">IFERROR(G531/F531,"")</f>
        <v>0.353300953408887</v>
      </c>
      <c r="N531" s="10" t="n">
        <f aca="false">IFERROR(H531/G531,"")</f>
        <v>0.621563136456212</v>
      </c>
      <c r="O531" s="11" t="n">
        <f aca="false">IFERROR(I531/H531,"")</f>
        <v>0</v>
      </c>
      <c r="P531" s="10" t="n">
        <f aca="false">IFERROR(J531/H531,"")</f>
        <v>0.0172025394224862</v>
      </c>
      <c r="Q531" s="10" t="n">
        <f aca="false">IFERROR(K531/H531,"")</f>
        <v>0.00122875281589187</v>
      </c>
      <c r="R531" s="10" t="n">
        <f aca="false">IFERROR(L531/H531,"")</f>
        <v>0.00122875281589187</v>
      </c>
      <c r="S531" s="11" t="n">
        <f aca="false">IFERROR(M531/MEDIAN(INDEX($M$5:$M$665,MATCH($A531-90,$A$5:$A$665,1)):INDEX($M$5:$M$665,MATCH($A531+90,$A$5:$A$665,1))),"")</f>
        <v>1.08199948850966</v>
      </c>
      <c r="T531" s="11" t="n">
        <f aca="false">IFERROR(N531/MEDIAN(INDEX($N$5:$N$665,MATCH($A531-90,$A$5:$A$665,1)):INDEX($N$5:$N$665,MATCH($A531+90,$A$5:$A$665,1))),"")</f>
        <v>0.952598221251305</v>
      </c>
      <c r="U531" s="11" t="n">
        <f aca="false">IFERROR(Q531/MEDIAN(INDEX($Q$5:$Q$665,MATCH($A531-90,$A$5:$A$665,1)):INDEX($Q$5:$Q$665,MATCH($A531+90,$A$5:$A$665,1))),"")</f>
        <v>6.60064328823891</v>
      </c>
    </row>
    <row r="532" customFormat="false" ht="15" hidden="false" customHeight="false" outlineLevel="0" collapsed="false">
      <c r="A532" s="13" t="n">
        <v>45964.8309921991</v>
      </c>
      <c r="B532" s="8" t="n">
        <v>19</v>
      </c>
      <c r="C532" s="8" t="s">
        <v>80</v>
      </c>
      <c r="D532" s="8"/>
      <c r="E532" s="14" t="s">
        <v>66</v>
      </c>
      <c r="F532" s="9" t="n">
        <v>9681</v>
      </c>
      <c r="G532" s="9" t="n">
        <v>3508</v>
      </c>
      <c r="H532" s="9" t="n">
        <v>2378</v>
      </c>
      <c r="I532" s="9" t="n">
        <v>0</v>
      </c>
      <c r="J532" s="9" t="n">
        <v>51</v>
      </c>
      <c r="K532" s="9" t="n">
        <v>2</v>
      </c>
      <c r="L532" s="9" t="n">
        <v>2</v>
      </c>
      <c r="M532" s="10" t="n">
        <f aca="false">IFERROR(G532/F532,"")</f>
        <v>0.362359260406983</v>
      </c>
      <c r="N532" s="10" t="n">
        <f aca="false">IFERROR(H532/G532,"")</f>
        <v>0.67787913340935</v>
      </c>
      <c r="O532" s="11" t="n">
        <f aca="false">IFERROR(I532/H532,"")</f>
        <v>0</v>
      </c>
      <c r="P532" s="10" t="n">
        <f aca="false">IFERROR(J532/H532,"")</f>
        <v>0.0214465937762826</v>
      </c>
      <c r="Q532" s="10" t="n">
        <f aca="false">IFERROR(K532/H532,"")</f>
        <v>0.000841042893187553</v>
      </c>
      <c r="R532" s="10" t="n">
        <f aca="false">IFERROR(L532/H532,"")</f>
        <v>0.000841042893187553</v>
      </c>
      <c r="S532" s="11" t="n">
        <f aca="false">IFERROR(M532/MEDIAN(INDEX($M$5:$M$665,MATCH($A532-90,$A$5:$A$665,1)):INDEX($M$5:$M$665,MATCH($A532+90,$A$5:$A$665,1))),"")</f>
        <v>1.10490834029072</v>
      </c>
      <c r="T532" s="11" t="n">
        <f aca="false">IFERROR(N532/MEDIAN(INDEX($N$5:$N$665,MATCH($A532-90,$A$5:$A$665,1)):INDEX($N$5:$N$665,MATCH($A532+90,$A$5:$A$665,1))),"")</f>
        <v>1.04142583017123</v>
      </c>
      <c r="U532" s="11" t="n">
        <f aca="false">IFERROR(Q532/MEDIAN(INDEX($Q$5:$Q$665,MATCH($A532-90,$A$5:$A$665,1)):INDEX($Q$5:$Q$665,MATCH($A532+90,$A$5:$A$665,1))),"")</f>
        <v>3.94781913227297</v>
      </c>
    </row>
    <row r="533" customFormat="false" ht="15" hidden="false" customHeight="false" outlineLevel="0" collapsed="false">
      <c r="A533" s="13" t="n">
        <v>45966.9602461921</v>
      </c>
      <c r="B533" s="8" t="n">
        <v>23</v>
      </c>
      <c r="C533" s="8" t="s">
        <v>71</v>
      </c>
      <c r="D533" s="8"/>
      <c r="E533" s="14" t="s">
        <v>66</v>
      </c>
      <c r="F533" s="9" t="n">
        <v>22179</v>
      </c>
      <c r="G533" s="9" t="n">
        <v>8162</v>
      </c>
      <c r="H533" s="9" t="n">
        <v>5299</v>
      </c>
      <c r="I533" s="9" t="n">
        <v>0</v>
      </c>
      <c r="J533" s="9" t="n">
        <v>45</v>
      </c>
      <c r="K533" s="9" t="n">
        <v>0</v>
      </c>
      <c r="L533" s="9" t="n">
        <v>3</v>
      </c>
      <c r="M533" s="10" t="n">
        <f aca="false">IFERROR(G533/F533,"")</f>
        <v>0.368005771225033</v>
      </c>
      <c r="N533" s="10" t="n">
        <f aca="false">IFERROR(H533/G533,"")</f>
        <v>0.649228130360206</v>
      </c>
      <c r="O533" s="11" t="n">
        <f aca="false">IFERROR(I533/H533,"")</f>
        <v>0</v>
      </c>
      <c r="P533" s="10" t="n">
        <f aca="false">IFERROR(J533/H533,"")</f>
        <v>0.00849216833364786</v>
      </c>
      <c r="Q533" s="10" t="n">
        <f aca="false">IFERROR(K533/H533,"")</f>
        <v>0</v>
      </c>
      <c r="R533" s="10" t="n">
        <f aca="false">IFERROR(L533/H533,"")</f>
        <v>0.000566144555576524</v>
      </c>
      <c r="S533" s="11" t="n">
        <f aca="false">IFERROR(M533/MEDIAN(INDEX($M$5:$M$665,MATCH($A533-90,$A$5:$A$665,1)):INDEX($M$5:$M$665,MATCH($A533+90,$A$5:$A$665,1))),"")</f>
        <v>1.11726036867335</v>
      </c>
      <c r="T533" s="11" t="n">
        <f aca="false">IFERROR(N533/MEDIAN(INDEX($N$5:$N$665,MATCH($A533-90,$A$5:$A$665,1)):INDEX($N$5:$N$665,MATCH($A533+90,$A$5:$A$665,1))),"")</f>
        <v>0.999833131330205</v>
      </c>
      <c r="U533" s="11" t="n">
        <f aca="false">IFERROR(Q533/MEDIAN(INDEX($Q$5:$Q$665,MATCH($A533-90,$A$5:$A$665,1)):INDEX($Q$5:$Q$665,MATCH($A533+90,$A$5:$A$665,1))),"")</f>
        <v>0</v>
      </c>
    </row>
    <row r="534" customFormat="false" ht="15" hidden="false" customHeight="false" outlineLevel="0" collapsed="false">
      <c r="A534" s="13" t="n">
        <v>45967.2083202778</v>
      </c>
      <c r="B534" s="8" t="n">
        <v>4</v>
      </c>
      <c r="C534" s="8" t="s">
        <v>73</v>
      </c>
      <c r="D534" s="8" t="s">
        <v>1185</v>
      </c>
      <c r="E534" s="14" t="s">
        <v>66</v>
      </c>
      <c r="F534" s="9" t="n">
        <v>12676</v>
      </c>
      <c r="G534" s="9" t="n">
        <v>908</v>
      </c>
      <c r="H534" s="9" t="n">
        <v>1711</v>
      </c>
      <c r="I534" s="9" t="n">
        <v>0</v>
      </c>
      <c r="J534" s="9" t="n">
        <v>29</v>
      </c>
      <c r="K534" s="9" t="n">
        <v>4</v>
      </c>
      <c r="L534" s="9" t="n">
        <v>1</v>
      </c>
      <c r="M534" s="10" t="n">
        <f aca="false">IFERROR(G534/F534,"")</f>
        <v>0.0716314294730199</v>
      </c>
      <c r="N534" s="10" t="n">
        <f aca="false">IFERROR(H534/G534,"")</f>
        <v>1.88436123348018</v>
      </c>
      <c r="O534" s="11" t="n">
        <f aca="false">IFERROR(I534/H534,"")</f>
        <v>0</v>
      </c>
      <c r="P534" s="10" t="n">
        <f aca="false">IFERROR(J534/H534,"")</f>
        <v>0.0169491525423729</v>
      </c>
      <c r="Q534" s="10" t="n">
        <f aca="false">IFERROR(K534/H534,"")</f>
        <v>0.00233781414377557</v>
      </c>
      <c r="R534" s="10" t="n">
        <f aca="false">IFERROR(L534/H534,"")</f>
        <v>0.000584453535943892</v>
      </c>
      <c r="S534" s="11" t="n">
        <f aca="false">IFERROR(M534/MEDIAN(INDEX($M$5:$M$665,MATCH($A534-90,$A$5:$A$665,1)):INDEX($M$5:$M$665,MATCH($A534+90,$A$5:$A$665,1))),"")</f>
        <v>0.217472016906732</v>
      </c>
      <c r="T534" s="11" t="n">
        <f aca="false">IFERROR(N534/MEDIAN(INDEX($N$5:$N$665,MATCH($A534-90,$A$5:$A$665,1)):INDEX($N$5:$N$665,MATCH($A534+90,$A$5:$A$665,1))),"")</f>
        <v>2.90197960396821</v>
      </c>
      <c r="U534" s="11" t="n">
        <f aca="false">IFERROR(Q534/MEDIAN(INDEX($Q$5:$Q$665,MATCH($A534-90,$A$5:$A$665,1)):INDEX($Q$5:$Q$665,MATCH($A534+90,$A$5:$A$665,1))),"")</f>
        <v>9.74400935125657</v>
      </c>
    </row>
    <row r="535" customFormat="false" ht="15" hidden="false" customHeight="false" outlineLevel="0" collapsed="false">
      <c r="A535" s="13" t="n">
        <v>45968.0547241898</v>
      </c>
      <c r="B535" s="8" t="n">
        <v>1</v>
      </c>
      <c r="C535" s="8" t="s">
        <v>84</v>
      </c>
      <c r="D535" s="8"/>
      <c r="E535" s="14" t="s">
        <v>66</v>
      </c>
      <c r="F535" s="9" t="n">
        <v>29858</v>
      </c>
      <c r="G535" s="9" t="n">
        <v>12203</v>
      </c>
      <c r="H535" s="9" t="n">
        <v>7825</v>
      </c>
      <c r="I535" s="9" t="n">
        <v>0</v>
      </c>
      <c r="J535" s="9" t="n">
        <v>57</v>
      </c>
      <c r="K535" s="9" t="n">
        <v>1</v>
      </c>
      <c r="L535" s="9" t="n">
        <v>7</v>
      </c>
      <c r="M535" s="10" t="n">
        <f aca="false">IFERROR(G535/F535,"")</f>
        <v>0.408701185611896</v>
      </c>
      <c r="N535" s="10" t="n">
        <f aca="false">IFERROR(H535/G535,"")</f>
        <v>0.641235761697943</v>
      </c>
      <c r="O535" s="11" t="n">
        <f aca="false">IFERROR(I535/H535,"")</f>
        <v>0</v>
      </c>
      <c r="P535" s="10" t="n">
        <f aca="false">IFERROR(J535/H535,"")</f>
        <v>0.00728434504792332</v>
      </c>
      <c r="Q535" s="10" t="n">
        <f aca="false">IFERROR(K535/H535,"")</f>
        <v>0.00012779552715655</v>
      </c>
      <c r="R535" s="10" t="n">
        <f aca="false">IFERROR(L535/H535,"")</f>
        <v>0.000894568690095847</v>
      </c>
      <c r="S535" s="11" t="n">
        <f aca="false">IFERROR(M535/MEDIAN(INDEX($M$5:$M$665,MATCH($A535-90,$A$5:$A$665,1)):INDEX($M$5:$M$665,MATCH($A535+90,$A$5:$A$665,1))),"")</f>
        <v>1.24621445623358</v>
      </c>
      <c r="T535" s="11" t="n">
        <f aca="false">IFERROR(N535/MEDIAN(INDEX($N$5:$N$665,MATCH($A535-90,$A$5:$A$665,1)):INDEX($N$5:$N$665,MATCH($A535+90,$A$5:$A$665,1))),"")</f>
        <v>0.985130611858647</v>
      </c>
      <c r="U535" s="11" t="n">
        <f aca="false">IFERROR(Q535/MEDIAN(INDEX($Q$5:$Q$665,MATCH($A535-90,$A$5:$A$665,1)):INDEX($Q$5:$Q$665,MATCH($A535+90,$A$5:$A$665,1))),"")</f>
        <v>0.528992606168301</v>
      </c>
    </row>
    <row r="536" customFormat="false" ht="15" hidden="false" customHeight="false" outlineLevel="0" collapsed="false">
      <c r="A536" s="13" t="n">
        <v>45968.7392546644</v>
      </c>
      <c r="B536" s="8" t="n">
        <v>17</v>
      </c>
      <c r="C536" s="8" t="s">
        <v>84</v>
      </c>
      <c r="D536" s="8"/>
      <c r="E536" s="14" t="s">
        <v>66</v>
      </c>
      <c r="F536" s="9" t="n">
        <v>818946</v>
      </c>
      <c r="G536" s="9" t="n">
        <v>131877</v>
      </c>
      <c r="H536" s="9" t="n">
        <v>147798</v>
      </c>
      <c r="I536" s="9" t="n">
        <v>0</v>
      </c>
      <c r="J536" s="9" t="n">
        <v>194</v>
      </c>
      <c r="K536" s="9" t="n">
        <v>14</v>
      </c>
      <c r="L536" s="9" t="n">
        <v>18</v>
      </c>
      <c r="M536" s="10" t="n">
        <f aca="false">IFERROR(G536/F536,"")</f>
        <v>0.161032595555751</v>
      </c>
      <c r="N536" s="10" t="n">
        <f aca="false">IFERROR(H536/G536,"")</f>
        <v>1.12072613116768</v>
      </c>
      <c r="O536" s="11" t="n">
        <f aca="false">IFERROR(I536/H536,"")</f>
        <v>0</v>
      </c>
      <c r="P536" s="10" t="n">
        <f aca="false">IFERROR(J536/H536,"")</f>
        <v>0.00131260233562024</v>
      </c>
      <c r="Q536" s="10" t="n">
        <f aca="false">IFERROR(K536/H536,"")</f>
        <v>9.47238798901203E-005</v>
      </c>
      <c r="R536" s="10" t="n">
        <f aca="false">IFERROR(L536/H536,"")</f>
        <v>0.000121787845573012</v>
      </c>
      <c r="S536" s="11" t="n">
        <f aca="false">IFERROR(M536/MEDIAN(INDEX($M$5:$M$665,MATCH($A536-90,$A$5:$A$665,1)):INDEX($M$5:$M$665,MATCH($A536+90,$A$5:$A$665,1))),"")</f>
        <v>0.491021694018179</v>
      </c>
      <c r="T536" s="11" t="n">
        <f aca="false">IFERROR(N536/MEDIAN(INDEX($N$5:$N$665,MATCH($A536-90,$A$5:$A$665,1)):INDEX($N$5:$N$665,MATCH($A536+90,$A$5:$A$665,1))),"")</f>
        <v>1.72177174959756</v>
      </c>
      <c r="U536" s="11" t="n">
        <f aca="false">IFERROR(Q536/MEDIAN(INDEX($Q$5:$Q$665,MATCH($A536-90,$A$5:$A$665,1)):INDEX($Q$5:$Q$665,MATCH($A536+90,$A$5:$A$665,1))),"")</f>
        <v>0.392096916099929</v>
      </c>
    </row>
    <row r="537" customFormat="false" ht="15" hidden="false" customHeight="false" outlineLevel="0" collapsed="false">
      <c r="A537" s="13" t="n">
        <v>45970.0288403009</v>
      </c>
      <c r="B537" s="8" t="n">
        <v>0</v>
      </c>
      <c r="C537" s="8" t="s">
        <v>86</v>
      </c>
      <c r="D537" s="8"/>
      <c r="E537" s="14" t="s">
        <v>66</v>
      </c>
      <c r="F537" s="9" t="n">
        <v>686473</v>
      </c>
      <c r="G537" s="9" t="n">
        <v>132176</v>
      </c>
      <c r="H537" s="9" t="n">
        <v>132076</v>
      </c>
      <c r="I537" s="9" t="n">
        <v>0</v>
      </c>
      <c r="J537" s="9" t="n">
        <v>157</v>
      </c>
      <c r="K537" s="9" t="n">
        <v>3</v>
      </c>
      <c r="L537" s="9" t="n">
        <v>32</v>
      </c>
      <c r="M537" s="10" t="n">
        <f aca="false">IFERROR(G537/F537,"")</f>
        <v>0.192543625168069</v>
      </c>
      <c r="N537" s="10" t="n">
        <f aca="false">IFERROR(H537/G537,"")</f>
        <v>0.999243432998426</v>
      </c>
      <c r="O537" s="11" t="n">
        <f aca="false">IFERROR(I537/H537,"")</f>
        <v>0</v>
      </c>
      <c r="P537" s="10" t="n">
        <f aca="false">IFERROR(J537/H537,"")</f>
        <v>0.00118870953087616</v>
      </c>
      <c r="Q537" s="10" t="n">
        <f aca="false">IFERROR(K537/H537,"")</f>
        <v>2.27141948575063E-005</v>
      </c>
      <c r="R537" s="10" t="n">
        <f aca="false">IFERROR(L537/H537,"")</f>
        <v>0.000242284745146734</v>
      </c>
      <c r="S537" s="11" t="n">
        <f aca="false">IFERROR(M537/MEDIAN(INDEX($M$5:$M$665,MATCH($A537-90,$A$5:$A$665,1)):INDEX($M$5:$M$665,MATCH($A537+90,$A$5:$A$665,1))),"")</f>
        <v>0.584559750041082</v>
      </c>
      <c r="T537" s="11" t="n">
        <f aca="false">IFERROR(N537/MEDIAN(INDEX($N$5:$N$665,MATCH($A537-90,$A$5:$A$665,1)):INDEX($N$5:$N$665,MATCH($A537+90,$A$5:$A$665,1))),"")</f>
        <v>1.53886845602585</v>
      </c>
      <c r="U537" s="11" t="n">
        <f aca="false">IFERROR(Q537/MEDIAN(INDEX($Q$5:$Q$665,MATCH($A537-90,$A$5:$A$665,1)):INDEX($Q$5:$Q$665,MATCH($A537+90,$A$5:$A$665,1))),"")</f>
        <v>0.0933808943335655</v>
      </c>
    </row>
    <row r="538" customFormat="false" ht="15" hidden="false" customHeight="false" outlineLevel="0" collapsed="false">
      <c r="A538" s="13" t="n">
        <v>45971.6114042824</v>
      </c>
      <c r="B538" s="8" t="n">
        <v>14</v>
      </c>
      <c r="C538" s="8" t="s">
        <v>80</v>
      </c>
      <c r="D538" s="8"/>
      <c r="E538" s="14" t="s">
        <v>66</v>
      </c>
      <c r="F538" s="9" t="n">
        <v>406356</v>
      </c>
      <c r="G538" s="9" t="n">
        <v>104758</v>
      </c>
      <c r="H538" s="9" t="n">
        <v>74258</v>
      </c>
      <c r="I538" s="9" t="n">
        <v>0</v>
      </c>
      <c r="J538" s="9" t="n">
        <v>113</v>
      </c>
      <c r="K538" s="9" t="n">
        <v>5</v>
      </c>
      <c r="L538" s="9" t="n">
        <v>9</v>
      </c>
      <c r="M538" s="10" t="n">
        <f aca="false">IFERROR(G538/F538,"")</f>
        <v>0.257798580554981</v>
      </c>
      <c r="N538" s="10" t="n">
        <f aca="false">IFERROR(H538/G538,"")</f>
        <v>0.708852784512877</v>
      </c>
      <c r="O538" s="11" t="n">
        <f aca="false">IFERROR(I538/H538,"")</f>
        <v>0</v>
      </c>
      <c r="P538" s="10" t="n">
        <f aca="false">IFERROR(J538/H538,"")</f>
        <v>0.00152172156535323</v>
      </c>
      <c r="Q538" s="10" t="n">
        <f aca="false">IFERROR(K538/H538,"")</f>
        <v>6.7332812626249E-005</v>
      </c>
      <c r="R538" s="10" t="n">
        <f aca="false">IFERROR(L538/H538,"")</f>
        <v>0.000121199062727248</v>
      </c>
      <c r="S538" s="11" t="n">
        <f aca="false">IFERROR(M538/MEDIAN(INDEX($M$5:$M$665,MATCH($A538-90,$A$5:$A$665,1)):INDEX($M$5:$M$665,MATCH($A538+90,$A$5:$A$665,1))),"")</f>
        <v>0.775874544001053</v>
      </c>
      <c r="T538" s="11" t="n">
        <f aca="false">IFERROR(N538/MEDIAN(INDEX($N$5:$N$665,MATCH($A538-90,$A$5:$A$665,1)):INDEX($N$5:$N$665,MATCH($A538+90,$A$5:$A$665,1))),"")</f>
        <v>1.08901065573105</v>
      </c>
      <c r="U538" s="11" t="n">
        <f aca="false">IFERROR(Q538/MEDIAN(INDEX($Q$5:$Q$665,MATCH($A538-90,$A$5:$A$665,1)):INDEX($Q$5:$Q$665,MATCH($A538+90,$A$5:$A$665,1))),"")</f>
        <v>0.267552155788</v>
      </c>
    </row>
    <row r="539" customFormat="false" ht="15" hidden="false" customHeight="false" outlineLevel="0" collapsed="false">
      <c r="A539" s="13" t="n">
        <v>45973.6221804398</v>
      </c>
      <c r="B539" s="8" t="n">
        <v>14</v>
      </c>
      <c r="C539" s="8" t="s">
        <v>71</v>
      </c>
      <c r="D539" s="8"/>
      <c r="E539" s="14" t="s">
        <v>66</v>
      </c>
      <c r="F539" s="9" t="n">
        <v>76801</v>
      </c>
      <c r="G539" s="9" t="n">
        <v>40007</v>
      </c>
      <c r="H539" s="9" t="n">
        <v>20573</v>
      </c>
      <c r="I539" s="9" t="n">
        <v>0</v>
      </c>
      <c r="J539" s="9" t="n">
        <v>100</v>
      </c>
      <c r="K539" s="9" t="n">
        <v>3</v>
      </c>
      <c r="L539" s="9" t="n">
        <v>8</v>
      </c>
      <c r="M539" s="10" t="n">
        <f aca="false">IFERROR(G539/F539,"")</f>
        <v>0.520917696384162</v>
      </c>
      <c r="N539" s="10" t="n">
        <f aca="false">IFERROR(H539/G539,"")</f>
        <v>0.514235008873447</v>
      </c>
      <c r="O539" s="11" t="n">
        <f aca="false">IFERROR(I539/H539,"")</f>
        <v>0</v>
      </c>
      <c r="P539" s="10" t="n">
        <f aca="false">IFERROR(J539/H539,"")</f>
        <v>0.00486073980459826</v>
      </c>
      <c r="Q539" s="10" t="n">
        <f aca="false">IFERROR(K539/H539,"")</f>
        <v>0.000145822194137948</v>
      </c>
      <c r="R539" s="10" t="n">
        <f aca="false">IFERROR(L539/H539,"")</f>
        <v>0.000388859184367861</v>
      </c>
      <c r="S539" s="11" t="n">
        <f aca="false">IFERROR(M539/MEDIAN(INDEX($M$5:$M$665,MATCH($A539-90,$A$5:$A$665,1)):INDEX($M$5:$M$665,MATCH($A539+90,$A$5:$A$665,1))),"")</f>
        <v>1.55426145722717</v>
      </c>
      <c r="T539" s="11" t="n">
        <f aca="false">IFERROR(N539/MEDIAN(INDEX($N$5:$N$665,MATCH($A539-90,$A$5:$A$665,1)):INDEX($N$5:$N$665,MATCH($A539+90,$A$5:$A$665,1))),"")</f>
        <v>0.788108763255951</v>
      </c>
      <c r="U539" s="11" t="n">
        <f aca="false">IFERROR(Q539/MEDIAN(INDEX($Q$5:$Q$665,MATCH($A539-90,$A$5:$A$665,1)):INDEX($Q$5:$Q$665,MATCH($A539+90,$A$5:$A$665,1))),"")</f>
        <v>0.560677028660783</v>
      </c>
    </row>
    <row r="540" customFormat="false" ht="15" hidden="false" customHeight="false" outlineLevel="0" collapsed="false">
      <c r="A540" s="13" t="n">
        <v>45975.978641088</v>
      </c>
      <c r="B540" s="8" t="n">
        <v>23</v>
      </c>
      <c r="C540" s="8" t="s">
        <v>84</v>
      </c>
      <c r="D540" s="8"/>
      <c r="E540" s="14" t="s">
        <v>66</v>
      </c>
      <c r="F540" s="9" t="n">
        <v>15007</v>
      </c>
      <c r="G540" s="9" t="n">
        <v>5482</v>
      </c>
      <c r="H540" s="9" t="n">
        <v>2203</v>
      </c>
      <c r="I540" s="9" t="n">
        <v>0</v>
      </c>
      <c r="J540" s="9" t="n">
        <v>69</v>
      </c>
      <c r="K540" s="9" t="n">
        <v>2</v>
      </c>
      <c r="L540" s="9" t="n">
        <v>2</v>
      </c>
      <c r="M540" s="10" t="n">
        <f aca="false">IFERROR(G540/F540,"")</f>
        <v>0.365296195108949</v>
      </c>
      <c r="N540" s="10" t="n">
        <f aca="false">IFERROR(H540/G540,"")</f>
        <v>0.401860634804816</v>
      </c>
      <c r="O540" s="11" t="n">
        <f aca="false">IFERROR(I540/H540,"")</f>
        <v>0</v>
      </c>
      <c r="P540" s="10" t="n">
        <f aca="false">IFERROR(J540/H540,"")</f>
        <v>0.0313209260099864</v>
      </c>
      <c r="Q540" s="10" t="n">
        <f aca="false">IFERROR(K540/H540,"")</f>
        <v>0.000907852927825692</v>
      </c>
      <c r="R540" s="10" t="n">
        <f aca="false">IFERROR(L540/H540,"")</f>
        <v>0.000907852927825692</v>
      </c>
      <c r="S540" s="11" t="n">
        <f aca="false">IFERROR(M540/MEDIAN(INDEX($M$5:$M$665,MATCH($A540-90,$A$5:$A$665,1)):INDEX($M$5:$M$665,MATCH($A540+90,$A$5:$A$665,1))),"")</f>
        <v>1.09940100599208</v>
      </c>
      <c r="T540" s="11" t="n">
        <f aca="false">IFERROR(N540/MEDIAN(INDEX($N$5:$N$665,MATCH($A540-90,$A$5:$A$665,1)):INDEX($N$5:$N$665,MATCH($A540+90,$A$5:$A$665,1))),"")</f>
        <v>0.604132925325447</v>
      </c>
      <c r="U540" s="11" t="n">
        <f aca="false">IFERROR(Q540/MEDIAN(INDEX($Q$5:$Q$665,MATCH($A540-90,$A$5:$A$665,1)):INDEX($Q$5:$Q$665,MATCH($A540+90,$A$5:$A$665,1))),"")</f>
        <v>3.60742405528921</v>
      </c>
    </row>
    <row r="541" customFormat="false" ht="15" hidden="false" customHeight="false" outlineLevel="0" collapsed="false">
      <c r="A541" s="13" t="n">
        <v>45976.5671262153</v>
      </c>
      <c r="B541" s="8" t="n">
        <v>13</v>
      </c>
      <c r="C541" s="8" t="s">
        <v>68</v>
      </c>
      <c r="D541" s="8"/>
      <c r="E541" s="14" t="s">
        <v>66</v>
      </c>
      <c r="F541" s="9" t="n">
        <v>7839</v>
      </c>
      <c r="G541" s="9" t="n">
        <v>248</v>
      </c>
      <c r="H541" s="9" t="n">
        <v>1081</v>
      </c>
      <c r="I541" s="9" t="n">
        <v>0</v>
      </c>
      <c r="J541" s="9" t="n">
        <v>33</v>
      </c>
      <c r="K541" s="9" t="n">
        <v>2</v>
      </c>
      <c r="L541" s="9" t="n">
        <v>4</v>
      </c>
      <c r="M541" s="10" t="n">
        <f aca="false">IFERROR(G541/F541,"")</f>
        <v>0.0316366883531063</v>
      </c>
      <c r="N541" s="10" t="n">
        <f aca="false">IFERROR(H541/G541,"")</f>
        <v>4.35887096774194</v>
      </c>
      <c r="O541" s="11" t="n">
        <f aca="false">IFERROR(I541/H541,"")</f>
        <v>0</v>
      </c>
      <c r="P541" s="10" t="n">
        <f aca="false">IFERROR(J541/H541,"")</f>
        <v>0.030527289546716</v>
      </c>
      <c r="Q541" s="10" t="n">
        <f aca="false">IFERROR(K541/H541,"")</f>
        <v>0.00185013876040703</v>
      </c>
      <c r="R541" s="10" t="n">
        <f aca="false">IFERROR(L541/H541,"")</f>
        <v>0.00370027752081406</v>
      </c>
      <c r="S541" s="11" t="n">
        <f aca="false">IFERROR(M541/MEDIAN(INDEX($M$5:$M$665,MATCH($A541-90,$A$5:$A$665,1)):INDEX($M$5:$M$665,MATCH($A541+90,$A$5:$A$665,1))),"")</f>
        <v>0.0960485428675014</v>
      </c>
      <c r="T541" s="11" t="n">
        <f aca="false">IFERROR(N541/MEDIAN(INDEX($N$5:$N$665,MATCH($A541-90,$A$5:$A$665,1)):INDEX($N$5:$N$665,MATCH($A541+90,$A$5:$A$665,1))),"")</f>
        <v>6.43015952684555</v>
      </c>
      <c r="U541" s="11" t="n">
        <f aca="false">IFERROR(Q541/MEDIAN(INDEX($Q$5:$Q$665,MATCH($A541-90,$A$5:$A$665,1)):INDEX($Q$5:$Q$665,MATCH($A541+90,$A$5:$A$665,1))),"")</f>
        <v>7.1136654398016</v>
      </c>
    </row>
    <row r="542" customFormat="false" ht="15" hidden="false" customHeight="false" outlineLevel="0" collapsed="false">
      <c r="A542" s="13" t="n">
        <v>45978.426450463</v>
      </c>
      <c r="B542" s="8" t="n">
        <v>10</v>
      </c>
      <c r="C542" s="8" t="s">
        <v>80</v>
      </c>
      <c r="D542" s="8"/>
      <c r="E542" s="14" t="s">
        <v>66</v>
      </c>
      <c r="F542" s="9" t="n">
        <v>58442</v>
      </c>
      <c r="G542" s="9" t="n">
        <v>26348</v>
      </c>
      <c r="H542" s="9" t="n">
        <v>11047</v>
      </c>
      <c r="I542" s="9" t="n">
        <v>0</v>
      </c>
      <c r="J542" s="9" t="n">
        <v>72</v>
      </c>
      <c r="K542" s="9" t="n">
        <v>0</v>
      </c>
      <c r="L542" s="9" t="n">
        <v>10</v>
      </c>
      <c r="M542" s="10" t="n">
        <f aca="false">IFERROR(G542/F542,"")</f>
        <v>0.450840149207762</v>
      </c>
      <c r="N542" s="10" t="n">
        <f aca="false">IFERROR(H542/G542,"")</f>
        <v>0.419272810080462</v>
      </c>
      <c r="O542" s="11" t="n">
        <f aca="false">IFERROR(I542/H542,"")</f>
        <v>0</v>
      </c>
      <c r="P542" s="10" t="n">
        <f aca="false">IFERROR(J542/H542,"")</f>
        <v>0.00651760659002444</v>
      </c>
      <c r="Q542" s="10" t="n">
        <f aca="false">IFERROR(K542/H542,"")</f>
        <v>0</v>
      </c>
      <c r="R542" s="10" t="n">
        <f aca="false">IFERROR(L542/H542,"")</f>
        <v>0.000905223137503395</v>
      </c>
      <c r="S542" s="11" t="n">
        <f aca="false">IFERROR(M542/MEDIAN(INDEX($M$5:$M$665,MATCH($A542-90,$A$5:$A$665,1)):INDEX($M$5:$M$665,MATCH($A542+90,$A$5:$A$665,1))),"")</f>
        <v>1.3568553962978</v>
      </c>
      <c r="T542" s="11" t="n">
        <f aca="false">IFERROR(N542/MEDIAN(INDEX($N$5:$N$665,MATCH($A542-90,$A$5:$A$665,1)):INDEX($N$5:$N$665,MATCH($A542+90,$A$5:$A$665,1))),"")</f>
        <v>0.630309334444654</v>
      </c>
      <c r="U542" s="11" t="n">
        <f aca="false">IFERROR(Q542/MEDIAN(INDEX($Q$5:$Q$665,MATCH($A542-90,$A$5:$A$665,1)):INDEX($Q$5:$Q$665,MATCH($A542+90,$A$5:$A$665,1))),"")</f>
        <v>0</v>
      </c>
    </row>
    <row r="543" customFormat="false" ht="15" hidden="false" customHeight="false" outlineLevel="0" collapsed="false">
      <c r="A543" s="13" t="n">
        <v>45982.8816892477</v>
      </c>
      <c r="B543" s="8" t="n">
        <v>21</v>
      </c>
      <c r="C543" s="8" t="s">
        <v>84</v>
      </c>
      <c r="D543" s="8"/>
      <c r="E543" s="14" t="s">
        <v>66</v>
      </c>
      <c r="F543" s="9" t="n">
        <v>9743</v>
      </c>
      <c r="G543" s="9" t="n">
        <v>2486</v>
      </c>
      <c r="H543" s="9" t="n">
        <v>1733</v>
      </c>
      <c r="I543" s="9" t="n">
        <v>0</v>
      </c>
      <c r="J543" s="9" t="n">
        <v>49</v>
      </c>
      <c r="K543" s="9" t="n">
        <v>0</v>
      </c>
      <c r="L543" s="9" t="n">
        <v>0</v>
      </c>
      <c r="M543" s="10" t="n">
        <f aca="false">IFERROR(G543/F543,"")</f>
        <v>0.255157549009545</v>
      </c>
      <c r="N543" s="10" t="n">
        <f aca="false">IFERROR(H543/G543,"")</f>
        <v>0.697103781174578</v>
      </c>
      <c r="O543" s="11" t="n">
        <f aca="false">IFERROR(I543/H543,"")</f>
        <v>0</v>
      </c>
      <c r="P543" s="10" t="n">
        <f aca="false">IFERROR(J543/H543,"")</f>
        <v>0.0282746682054241</v>
      </c>
      <c r="Q543" s="10" t="n">
        <f aca="false">IFERROR(K543/H543,"")</f>
        <v>0</v>
      </c>
      <c r="R543" s="10" t="n">
        <f aca="false">IFERROR(L543/H543,"")</f>
        <v>0</v>
      </c>
      <c r="S543" s="11" t="n">
        <f aca="false">IFERROR(M543/MEDIAN(INDEX($M$5:$M$665,MATCH($A543-90,$A$5:$A$665,1)):INDEX($M$5:$M$665,MATCH($A543+90,$A$5:$A$665,1))),"")</f>
        <v>0.753739811413644</v>
      </c>
      <c r="T543" s="11" t="n">
        <f aca="false">IFERROR(N543/MEDIAN(INDEX($N$5:$N$665,MATCH($A543-90,$A$5:$A$665,1)):INDEX($N$5:$N$665,MATCH($A543+90,$A$5:$A$665,1))),"")</f>
        <v>1.07096065986566</v>
      </c>
      <c r="U543" s="11" t="n">
        <f aca="false">IFERROR(Q543/MEDIAN(INDEX($Q$5:$Q$665,MATCH($A543-90,$A$5:$A$665,1)):INDEX($Q$5:$Q$665,MATCH($A543+90,$A$5:$A$665,1))),"")</f>
        <v>0</v>
      </c>
    </row>
    <row r="544" customFormat="false" ht="15" hidden="false" customHeight="false" outlineLevel="0" collapsed="false">
      <c r="A544" s="13" t="n">
        <v>45983.7514997454</v>
      </c>
      <c r="B544" s="8" t="n">
        <v>18</v>
      </c>
      <c r="C544" s="8" t="s">
        <v>68</v>
      </c>
      <c r="D544" s="8"/>
      <c r="E544" s="14" t="s">
        <v>66</v>
      </c>
      <c r="F544" s="9" t="n">
        <v>15470</v>
      </c>
      <c r="G544" s="9" t="n">
        <v>4560</v>
      </c>
      <c r="H544" s="9" t="n">
        <v>3694</v>
      </c>
      <c r="I544" s="9" t="n">
        <v>0</v>
      </c>
      <c r="J544" s="9" t="n">
        <v>61</v>
      </c>
      <c r="K544" s="9" t="n">
        <v>1</v>
      </c>
      <c r="L544" s="9" t="n">
        <v>5</v>
      </c>
      <c r="M544" s="10" t="n">
        <f aca="false">IFERROR(G544/F544,"")</f>
        <v>0.294764059469942</v>
      </c>
      <c r="N544" s="10" t="n">
        <f aca="false">IFERROR(H544/G544,"")</f>
        <v>0.810087719298246</v>
      </c>
      <c r="O544" s="11" t="n">
        <f aca="false">IFERROR(I544/H544,"")</f>
        <v>0</v>
      </c>
      <c r="P544" s="10" t="n">
        <f aca="false">IFERROR(J544/H544,"")</f>
        <v>0.0165132647536546</v>
      </c>
      <c r="Q544" s="10" t="n">
        <f aca="false">IFERROR(K544/H544,"")</f>
        <v>0.000270709258256632</v>
      </c>
      <c r="R544" s="10" t="n">
        <f aca="false">IFERROR(L544/H544,"")</f>
        <v>0.00135354629128316</v>
      </c>
      <c r="S544" s="11" t="n">
        <f aca="false">IFERROR(M544/MEDIAN(INDEX($M$5:$M$665,MATCH($A544-90,$A$5:$A$665,1)):INDEX($M$5:$M$665,MATCH($A544+90,$A$5:$A$665,1))),"")</f>
        <v>0.862161466465793</v>
      </c>
      <c r="T544" s="11" t="n">
        <f aca="false">IFERROR(N544/MEDIAN(INDEX($N$5:$N$665,MATCH($A544-90,$A$5:$A$665,1)):INDEX($N$5:$N$665,MATCH($A544+90,$A$5:$A$665,1))),"")</f>
        <v>1.24756230231233</v>
      </c>
      <c r="U544" s="11" t="n">
        <f aca="false">IFERROR(Q544/MEDIAN(INDEX($Q$5:$Q$665,MATCH($A544-90,$A$5:$A$665,1)):INDEX($Q$5:$Q$665,MATCH($A544+90,$A$5:$A$665,1))),"")</f>
        <v>1.04085981868239</v>
      </c>
    </row>
    <row r="545" customFormat="false" ht="15" hidden="false" customHeight="false" outlineLevel="0" collapsed="false">
      <c r="A545" s="13" t="n">
        <v>45987.6829792824</v>
      </c>
      <c r="B545" s="8" t="n">
        <v>16</v>
      </c>
      <c r="C545" s="8" t="s">
        <v>71</v>
      </c>
      <c r="D545" s="8"/>
      <c r="E545" s="14" t="s">
        <v>66</v>
      </c>
      <c r="F545" s="9" t="n">
        <v>13678</v>
      </c>
      <c r="G545" s="9" t="n">
        <v>5501</v>
      </c>
      <c r="H545" s="9" t="n">
        <v>3572</v>
      </c>
      <c r="I545" s="9" t="n">
        <v>0</v>
      </c>
      <c r="J545" s="9" t="n">
        <v>84</v>
      </c>
      <c r="K545" s="9" t="n">
        <v>0</v>
      </c>
      <c r="L545" s="9" t="n">
        <v>1</v>
      </c>
      <c r="M545" s="10" t="n">
        <f aca="false">IFERROR(G545/F545,"")</f>
        <v>0.402178681093727</v>
      </c>
      <c r="N545" s="10" t="n">
        <f aca="false">IFERROR(H545/G545,"")</f>
        <v>0.649336484275586</v>
      </c>
      <c r="O545" s="11" t="n">
        <f aca="false">IFERROR(I545/H545,"")</f>
        <v>0</v>
      </c>
      <c r="P545" s="10" t="n">
        <f aca="false">IFERROR(J545/H545,"")</f>
        <v>0.0235162374020157</v>
      </c>
      <c r="Q545" s="10" t="n">
        <f aca="false">IFERROR(K545/H545,"")</f>
        <v>0</v>
      </c>
      <c r="R545" s="10" t="n">
        <f aca="false">IFERROR(L545/H545,"")</f>
        <v>0.000279955207166853</v>
      </c>
      <c r="S545" s="11" t="n">
        <f aca="false">IFERROR(M545/MEDIAN(INDEX($M$5:$M$665,MATCH($A545-90,$A$5:$A$665,1)):INDEX($M$5:$M$665,MATCH($A545+90,$A$5:$A$665,1))),"")</f>
        <v>1.11498380303991</v>
      </c>
      <c r="T545" s="11" t="n">
        <f aca="false">IFERROR(N545/MEDIAN(INDEX($N$5:$N$665,MATCH($A545-90,$A$5:$A$665,1)):INDEX($N$5:$N$665,MATCH($A545+90,$A$5:$A$665,1))),"")</f>
        <v>1.00362226813265</v>
      </c>
      <c r="U545" s="11" t="n">
        <f aca="false">IFERROR(Q545/MEDIAN(INDEX($Q$5:$Q$665,MATCH($A545-90,$A$5:$A$665,1)):INDEX($Q$5:$Q$665,MATCH($A545+90,$A$5:$A$665,1))),"")</f>
        <v>0</v>
      </c>
    </row>
    <row r="546" customFormat="false" ht="15" hidden="false" customHeight="false" outlineLevel="0" collapsed="false">
      <c r="A546" s="13" t="n">
        <v>45989.705164456</v>
      </c>
      <c r="B546" s="8" t="n">
        <v>16</v>
      </c>
      <c r="C546" s="8" t="s">
        <v>84</v>
      </c>
      <c r="D546" s="8"/>
      <c r="E546" s="14" t="s">
        <v>66</v>
      </c>
      <c r="F546" s="9" t="n">
        <v>5442</v>
      </c>
      <c r="G546" s="9" t="n">
        <v>527</v>
      </c>
      <c r="H546" s="9" t="n">
        <v>682</v>
      </c>
      <c r="I546" s="9" t="n">
        <v>0</v>
      </c>
      <c r="J546" s="9" t="n">
        <v>66</v>
      </c>
      <c r="K546" s="9" t="n">
        <v>2</v>
      </c>
      <c r="L546" s="9" t="n">
        <v>0</v>
      </c>
      <c r="M546" s="10" t="n">
        <f aca="false">IFERROR(G546/F546,"")</f>
        <v>0.0968393972804116</v>
      </c>
      <c r="N546" s="10" t="n">
        <f aca="false">IFERROR(H546/G546,"")</f>
        <v>1.29411764705882</v>
      </c>
      <c r="O546" s="11" t="n">
        <f aca="false">IFERROR(I546/H546,"")</f>
        <v>0</v>
      </c>
      <c r="P546" s="10" t="n">
        <f aca="false">IFERROR(J546/H546,"")</f>
        <v>0.0967741935483871</v>
      </c>
      <c r="Q546" s="10" t="n">
        <f aca="false">IFERROR(K546/H546,"")</f>
        <v>0.00293255131964809</v>
      </c>
      <c r="R546" s="10" t="n">
        <f aca="false">IFERROR(L546/H546,"")</f>
        <v>0</v>
      </c>
      <c r="S546" s="11" t="n">
        <f aca="false">IFERROR(M546/MEDIAN(INDEX($M$5:$M$665,MATCH($A546-90,$A$5:$A$665,1)):INDEX($M$5:$M$665,MATCH($A546+90,$A$5:$A$665,1))),"")</f>
        <v>0.267246922768434</v>
      </c>
      <c r="T546" s="11" t="n">
        <f aca="false">IFERROR(N546/MEDIAN(INDEX($N$5:$N$665,MATCH($A546-90,$A$5:$A$665,1)):INDEX($N$5:$N$665,MATCH($A546+90,$A$5:$A$665,1))),"")</f>
        <v>2.01816199962413</v>
      </c>
      <c r="U546" s="11" t="n">
        <f aca="false">IFERROR(Q546/MEDIAN(INDEX($Q$5:$Q$665,MATCH($A546-90,$A$5:$A$665,1)):INDEX($Q$5:$Q$665,MATCH($A546+90,$A$5:$A$665,1))),"")</f>
        <v>10.4510263929619</v>
      </c>
    </row>
    <row r="547" customFormat="false" ht="15" hidden="false" customHeight="false" outlineLevel="0" collapsed="false">
      <c r="A547" s="13" t="n">
        <v>45990.6985394792</v>
      </c>
      <c r="B547" s="8" t="n">
        <v>16</v>
      </c>
      <c r="C547" s="8" t="s">
        <v>68</v>
      </c>
      <c r="D547" s="8"/>
      <c r="E547" s="14" t="s">
        <v>66</v>
      </c>
      <c r="F547" s="9" t="n">
        <v>70747</v>
      </c>
      <c r="G547" s="9" t="n">
        <v>13390</v>
      </c>
      <c r="H547" s="9" t="n">
        <v>11491</v>
      </c>
      <c r="I547" s="9" t="n">
        <v>0</v>
      </c>
      <c r="J547" s="9" t="n">
        <v>107</v>
      </c>
      <c r="K547" s="9" t="n">
        <v>8</v>
      </c>
      <c r="L547" s="9" t="n">
        <v>8</v>
      </c>
      <c r="M547" s="10" t="n">
        <f aca="false">IFERROR(G547/F547,"")</f>
        <v>0.189265975942443</v>
      </c>
      <c r="N547" s="10" t="n">
        <f aca="false">IFERROR(H547/G547,"")</f>
        <v>0.858177744585512</v>
      </c>
      <c r="O547" s="11" t="n">
        <f aca="false">IFERROR(I547/H547,"")</f>
        <v>0</v>
      </c>
      <c r="P547" s="10" t="n">
        <f aca="false">IFERROR(J547/H547,"")</f>
        <v>0.00931163519275955</v>
      </c>
      <c r="Q547" s="10" t="n">
        <f aca="false">IFERROR(K547/H547,"")</f>
        <v>0.000696197023757723</v>
      </c>
      <c r="R547" s="10" t="n">
        <f aca="false">IFERROR(L547/H547,"")</f>
        <v>0.000696197023757723</v>
      </c>
      <c r="S547" s="11" t="n">
        <f aca="false">IFERROR(M547/MEDIAN(INDEX($M$5:$M$665,MATCH($A547-90,$A$5:$A$665,1)):INDEX($M$5:$M$665,MATCH($A547+90,$A$5:$A$665,1))),"")</f>
        <v>0.521696864286594</v>
      </c>
      <c r="T547" s="11" t="n">
        <f aca="false">IFERROR(N547/MEDIAN(INDEX($N$5:$N$665,MATCH($A547-90,$A$5:$A$665,1)):INDEX($N$5:$N$665,MATCH($A547+90,$A$5:$A$665,1))),"")</f>
        <v>1.38067670724222</v>
      </c>
      <c r="U547" s="11" t="n">
        <f aca="false">IFERROR(Q547/MEDIAN(INDEX($Q$5:$Q$665,MATCH($A547-90,$A$5:$A$665,1)):INDEX($Q$5:$Q$665,MATCH($A547+90,$A$5:$A$665,1))),"")</f>
        <v>2.48110695326778</v>
      </c>
    </row>
    <row r="548" customFormat="false" ht="15" hidden="false" customHeight="false" outlineLevel="0" collapsed="false">
      <c r="A548" s="13" t="n">
        <v>45992.6806003588</v>
      </c>
      <c r="B548" s="8" t="n">
        <v>16</v>
      </c>
      <c r="C548" s="8" t="s">
        <v>80</v>
      </c>
      <c r="D548" s="8"/>
      <c r="E548" s="14" t="s">
        <v>66</v>
      </c>
      <c r="F548" s="9" t="n">
        <v>39883</v>
      </c>
      <c r="G548" s="9" t="n">
        <v>20701</v>
      </c>
      <c r="H548" s="9" t="n">
        <v>7546</v>
      </c>
      <c r="I548" s="9" t="n">
        <v>0</v>
      </c>
      <c r="J548" s="9" t="n">
        <v>111</v>
      </c>
      <c r="K548" s="9" t="n">
        <v>4</v>
      </c>
      <c r="L548" s="9" t="n">
        <v>2</v>
      </c>
      <c r="M548" s="10" t="n">
        <f aca="false">IFERROR(G548/F548,"")</f>
        <v>0.51904320136399</v>
      </c>
      <c r="N548" s="10" t="n">
        <f aca="false">IFERROR(H548/G548,"")</f>
        <v>0.364523452973286</v>
      </c>
      <c r="O548" s="11" t="n">
        <f aca="false">IFERROR(I548/H548,"")</f>
        <v>0</v>
      </c>
      <c r="P548" s="10" t="n">
        <f aca="false">IFERROR(J548/H548,"")</f>
        <v>0.0147097800159025</v>
      </c>
      <c r="Q548" s="10" t="n">
        <f aca="false">IFERROR(K548/H548,"")</f>
        <v>0.000530082162735224</v>
      </c>
      <c r="R548" s="10" t="n">
        <f aca="false">IFERROR(L548/H548,"")</f>
        <v>0.000265041081367612</v>
      </c>
      <c r="S548" s="11" t="n">
        <f aca="false">IFERROR(M548/MEDIAN(INDEX($M$5:$M$665,MATCH($A548-90,$A$5:$A$665,1)):INDEX($M$5:$M$665,MATCH($A548+90,$A$5:$A$665,1))),"")</f>
        <v>1.43070200141633</v>
      </c>
      <c r="T548" s="11" t="n">
        <f aca="false">IFERROR(N548/MEDIAN(INDEX($N$5:$N$665,MATCH($A548-90,$A$5:$A$665,1)):INDEX($N$5:$N$665,MATCH($A548+90,$A$5:$A$665,1))),"")</f>
        <v>0.586462471136215</v>
      </c>
      <c r="U548" s="11" t="n">
        <f aca="false">IFERROR(Q548/MEDIAN(INDEX($Q$5:$Q$665,MATCH($A548-90,$A$5:$A$665,1)):INDEX($Q$5:$Q$665,MATCH($A548+90,$A$5:$A$665,1))),"")</f>
        <v>1.88910681155579</v>
      </c>
    </row>
    <row r="549" customFormat="false" ht="15" hidden="false" customHeight="false" outlineLevel="0" collapsed="false">
      <c r="A549" s="13" t="n">
        <v>45994.5296535185</v>
      </c>
      <c r="B549" s="8" t="n">
        <v>12</v>
      </c>
      <c r="C549" s="8" t="s">
        <v>71</v>
      </c>
      <c r="D549" s="8"/>
      <c r="E549" s="14" t="s">
        <v>66</v>
      </c>
      <c r="F549" s="9" t="n">
        <v>372264</v>
      </c>
      <c r="G549" s="9" t="n">
        <v>154063</v>
      </c>
      <c r="H549" s="9" t="n">
        <v>91188</v>
      </c>
      <c r="I549" s="9" t="n">
        <v>0</v>
      </c>
      <c r="J549" s="9" t="n">
        <v>242</v>
      </c>
      <c r="K549" s="9" t="n">
        <v>4</v>
      </c>
      <c r="L549" s="9" t="n">
        <v>21</v>
      </c>
      <c r="M549" s="10" t="n">
        <f aca="false">IFERROR(G549/F549,"")</f>
        <v>0.413854146519674</v>
      </c>
      <c r="N549" s="10" t="n">
        <f aca="false">IFERROR(H549/G549,"")</f>
        <v>0.591887734238591</v>
      </c>
      <c r="O549" s="11" t="n">
        <f aca="false">IFERROR(I549/H549,"")</f>
        <v>0</v>
      </c>
      <c r="P549" s="10" t="n">
        <f aca="false">IFERROR(J549/H549,"")</f>
        <v>0.00265385796376716</v>
      </c>
      <c r="Q549" s="10" t="n">
        <f aca="false">IFERROR(K549/H549,"")</f>
        <v>4.38654208887134E-005</v>
      </c>
      <c r="R549" s="10" t="n">
        <f aca="false">IFERROR(L549/H549,"")</f>
        <v>0.000230293459665746</v>
      </c>
      <c r="S549" s="11" t="n">
        <f aca="false">IFERROR(M549/MEDIAN(INDEX($M$5:$M$665,MATCH($A549-90,$A$5:$A$665,1)):INDEX($M$5:$M$665,MATCH($A549+90,$A$5:$A$665,1))),"")</f>
        <v>1.14143291297463</v>
      </c>
      <c r="T549" s="11" t="n">
        <f aca="false">IFERROR(N549/MEDIAN(INDEX($N$5:$N$665,MATCH($A549-90,$A$5:$A$665,1)):INDEX($N$5:$N$665,MATCH($A549+90,$A$5:$A$665,1))),"")</f>
        <v>0.937421999819225</v>
      </c>
      <c r="U549" s="11" t="n">
        <f aca="false">IFERROR(Q549/MEDIAN(INDEX($Q$5:$Q$665,MATCH($A549-90,$A$5:$A$665,1)):INDEX($Q$5:$Q$665,MATCH($A549+90,$A$5:$A$665,1))),"")</f>
        <v>0.151981396912077</v>
      </c>
    </row>
    <row r="550" customFormat="false" ht="15" hidden="false" customHeight="false" outlineLevel="0" collapsed="false">
      <c r="A550" s="13" t="n">
        <v>45996.5222477894</v>
      </c>
      <c r="B550" s="8" t="n">
        <v>12</v>
      </c>
      <c r="C550" s="8" t="s">
        <v>84</v>
      </c>
      <c r="D550" s="8"/>
      <c r="E550" s="14" t="s">
        <v>66</v>
      </c>
      <c r="F550" s="9" t="n">
        <v>254</v>
      </c>
      <c r="G550" s="9" t="n">
        <v>5</v>
      </c>
      <c r="H550" s="9" t="n">
        <v>49</v>
      </c>
      <c r="I550" s="9" t="n">
        <v>0</v>
      </c>
      <c r="J550" s="9" t="n">
        <v>2</v>
      </c>
      <c r="K550" s="9" t="n">
        <v>1</v>
      </c>
      <c r="L550" s="9" t="n">
        <v>1</v>
      </c>
      <c r="M550" s="10" t="n">
        <f aca="false">IFERROR(G550/F550,"")</f>
        <v>0.0196850393700787</v>
      </c>
      <c r="N550" s="10" t="n">
        <f aca="false">IFERROR(H550/G550,"")</f>
        <v>9.8</v>
      </c>
      <c r="O550" s="11" t="n">
        <f aca="false">IFERROR(I550/H550,"")</f>
        <v>0</v>
      </c>
      <c r="P550" s="10" t="n">
        <f aca="false">IFERROR(J550/H550,"")</f>
        <v>0.0408163265306122</v>
      </c>
      <c r="Q550" s="10" t="n">
        <f aca="false">IFERROR(K550/H550,"")</f>
        <v>0.0204081632653061</v>
      </c>
      <c r="R550" s="10" t="n">
        <f aca="false">IFERROR(L550/H550,"")</f>
        <v>0.0204081632653061</v>
      </c>
      <c r="S550" s="11" t="n">
        <f aca="false">IFERROR(M550/MEDIAN(INDEX($M$5:$M$665,MATCH($A550-90,$A$5:$A$665,1)):INDEX($M$5:$M$665,MATCH($A550+90,$A$5:$A$665,1))),"")</f>
        <v>0.0544490395470963</v>
      </c>
      <c r="T550" s="11" t="n">
        <f aca="false">IFERROR(N550/MEDIAN(INDEX($N$5:$N$665,MATCH($A550-90,$A$5:$A$665,1)):INDEX($N$5:$N$665,MATCH($A550+90,$A$5:$A$665,1))),"")</f>
        <v>15.4459765092679</v>
      </c>
      <c r="U550" s="11" t="n">
        <f aca="false">IFERROR(Q550/MEDIAN(INDEX($Q$5:$Q$665,MATCH($A550-90,$A$5:$A$665,1)):INDEX($Q$5:$Q$665,MATCH($A550+90,$A$5:$A$665,1))),"")</f>
        <v>72.998427094211</v>
      </c>
    </row>
    <row r="551" customFormat="false" ht="15" hidden="false" customHeight="false" outlineLevel="0" collapsed="false">
      <c r="A551" s="13" t="n">
        <v>45996.7582393171</v>
      </c>
      <c r="B551" s="8" t="n">
        <v>18</v>
      </c>
      <c r="C551" s="8" t="s">
        <v>84</v>
      </c>
      <c r="D551" s="8"/>
      <c r="E551" s="14" t="s">
        <v>66</v>
      </c>
      <c r="F551" s="9" t="n">
        <v>16312</v>
      </c>
      <c r="G551" s="9" t="n">
        <v>7373</v>
      </c>
      <c r="H551" s="9" t="n">
        <v>4205</v>
      </c>
      <c r="I551" s="9" t="n">
        <v>0</v>
      </c>
      <c r="J551" s="9" t="n">
        <v>129</v>
      </c>
      <c r="K551" s="9" t="n">
        <v>5</v>
      </c>
      <c r="L551" s="9" t="n">
        <v>3</v>
      </c>
      <c r="M551" s="10" t="n">
        <f aca="false">IFERROR(G551/F551,"")</f>
        <v>0.451998528690535</v>
      </c>
      <c r="N551" s="10" t="n">
        <f aca="false">IFERROR(H551/G551,"")</f>
        <v>0.570324155703242</v>
      </c>
      <c r="O551" s="11" t="n">
        <f aca="false">IFERROR(I551/H551,"")</f>
        <v>0</v>
      </c>
      <c r="P551" s="10" t="n">
        <f aca="false">IFERROR(J551/H551,"")</f>
        <v>0.0306777645659929</v>
      </c>
      <c r="Q551" s="10" t="n">
        <f aca="false">IFERROR(K551/H551,"")</f>
        <v>0.00118906064209275</v>
      </c>
      <c r="R551" s="10" t="n">
        <f aca="false">IFERROR(L551/H551,"")</f>
        <v>0.000713436385255648</v>
      </c>
      <c r="S551" s="11" t="n">
        <f aca="false">IFERROR(M551/MEDIAN(INDEX($M$5:$M$665,MATCH($A551-90,$A$5:$A$665,1)):INDEX($M$5:$M$665,MATCH($A551+90,$A$5:$A$665,1))),"")</f>
        <v>1.24737678342448</v>
      </c>
      <c r="T551" s="11" t="n">
        <f aca="false">IFERROR(N551/MEDIAN(INDEX($N$5:$N$665,MATCH($A551-90,$A$5:$A$665,1)):INDEX($N$5:$N$665,MATCH($A551+90,$A$5:$A$665,1))),"")</f>
        <v>0.908589023774642</v>
      </c>
      <c r="U551" s="11" t="n">
        <f aca="false">IFERROR(Q551/MEDIAN(INDEX($Q$5:$Q$665,MATCH($A551-90,$A$5:$A$665,1)):INDEX($Q$5:$Q$665,MATCH($A551+90,$A$5:$A$665,1))),"")</f>
        <v>4.23757431629013</v>
      </c>
    </row>
    <row r="552" customFormat="false" ht="15" hidden="false" customHeight="false" outlineLevel="0" collapsed="false">
      <c r="A552" s="13" t="n">
        <v>45997.4632827083</v>
      </c>
      <c r="B552" s="8" t="n">
        <v>11</v>
      </c>
      <c r="C552" s="8" t="s">
        <v>68</v>
      </c>
      <c r="D552" s="8"/>
      <c r="E552" s="14" t="s">
        <v>66</v>
      </c>
      <c r="F552" s="9" t="n">
        <v>40788</v>
      </c>
      <c r="G552" s="9" t="n">
        <v>27162</v>
      </c>
      <c r="H552" s="9" t="n">
        <v>9949</v>
      </c>
      <c r="I552" s="9" t="n">
        <v>0</v>
      </c>
      <c r="J552" s="9" t="n">
        <v>172</v>
      </c>
      <c r="K552" s="9" t="n">
        <v>1</v>
      </c>
      <c r="L552" s="9" t="n">
        <v>4</v>
      </c>
      <c r="M552" s="10" t="n">
        <f aca="false">IFERROR(G552/F552,"")</f>
        <v>0.665931156222418</v>
      </c>
      <c r="N552" s="10" t="n">
        <f aca="false">IFERROR(H552/G552,"")</f>
        <v>0.36628377880863</v>
      </c>
      <c r="O552" s="11" t="n">
        <f aca="false">IFERROR(I552/H552,"")</f>
        <v>0</v>
      </c>
      <c r="P552" s="10" t="n">
        <f aca="false">IFERROR(J552/H552,"")</f>
        <v>0.017288169665293</v>
      </c>
      <c r="Q552" s="10" t="n">
        <f aca="false">IFERROR(K552/H552,"")</f>
        <v>0.000100512614333099</v>
      </c>
      <c r="R552" s="10" t="n">
        <f aca="false">IFERROR(L552/H552,"")</f>
        <v>0.000402050457332395</v>
      </c>
      <c r="S552" s="11" t="n">
        <f aca="false">IFERROR(M552/MEDIAN(INDEX($M$5:$M$665,MATCH($A552-90,$A$5:$A$665,1)):INDEX($M$5:$M$665,MATCH($A552+90,$A$5:$A$665,1))),"")</f>
        <v>1.83776497245987</v>
      </c>
      <c r="T552" s="11" t="n">
        <f aca="false">IFERROR(N552/MEDIAN(INDEX($N$5:$N$665,MATCH($A552-90,$A$5:$A$665,1)):INDEX($N$5:$N$665,MATCH($A552+90,$A$5:$A$665,1))),"")</f>
        <v>0.583530291824755</v>
      </c>
      <c r="U552" s="11" t="n">
        <f aca="false">IFERROR(Q552/MEDIAN(INDEX($Q$5:$Q$665,MATCH($A552-90,$A$5:$A$665,1)):INDEX($Q$5:$Q$665,MATCH($A552+90,$A$5:$A$665,1))),"")</f>
        <v>0.358206854960298</v>
      </c>
    </row>
    <row r="553" customFormat="false" ht="15" hidden="false" customHeight="false" outlineLevel="0" collapsed="false">
      <c r="A553" s="13" t="n">
        <v>45999.5197037153</v>
      </c>
      <c r="B553" s="8" t="n">
        <v>12</v>
      </c>
      <c r="C553" s="8" t="s">
        <v>80</v>
      </c>
      <c r="D553" s="8"/>
      <c r="E553" s="14" t="s">
        <v>66</v>
      </c>
      <c r="F553" s="9" t="n">
        <v>77764</v>
      </c>
      <c r="G553" s="9" t="n">
        <v>30351</v>
      </c>
      <c r="H553" s="9" t="n">
        <v>11192</v>
      </c>
      <c r="I553" s="9" t="n">
        <v>0</v>
      </c>
      <c r="J553" s="9" t="n">
        <v>156</v>
      </c>
      <c r="K553" s="9" t="n">
        <v>4</v>
      </c>
      <c r="L553" s="9" t="n">
        <v>2</v>
      </c>
      <c r="M553" s="10" t="n">
        <f aca="false">IFERROR(G553/F553,"")</f>
        <v>0.390296281055501</v>
      </c>
      <c r="N553" s="10" t="n">
        <f aca="false">IFERROR(H553/G553,"")</f>
        <v>0.368752265164245</v>
      </c>
      <c r="O553" s="11" t="n">
        <f aca="false">IFERROR(I553/H553,"")</f>
        <v>0</v>
      </c>
      <c r="P553" s="10" t="n">
        <f aca="false">IFERROR(J553/H553,"")</f>
        <v>0.0139385275196569</v>
      </c>
      <c r="Q553" s="10" t="n">
        <f aca="false">IFERROR(K553/H553,"")</f>
        <v>0.000357398141529664</v>
      </c>
      <c r="R553" s="10" t="n">
        <f aca="false">IFERROR(L553/H553,"")</f>
        <v>0.000178699070764832</v>
      </c>
      <c r="S553" s="11" t="n">
        <f aca="false">IFERROR(M553/MEDIAN(INDEX($M$5:$M$665,MATCH($A553-90,$A$5:$A$665,1)):INDEX($M$5:$M$665,MATCH($A553+90,$A$5:$A$665,1))),"")</f>
        <v>1.07645900072471</v>
      </c>
      <c r="T553" s="11" t="n">
        <f aca="false">IFERROR(N553/MEDIAN(INDEX($N$5:$N$665,MATCH($A553-90,$A$5:$A$665,1)):INDEX($N$5:$N$665,MATCH($A553+90,$A$5:$A$665,1))),"")</f>
        <v>0.590350161601887</v>
      </c>
      <c r="U553" s="11" t="n">
        <f aca="false">IFERROR(Q553/MEDIAN(INDEX($Q$5:$Q$665,MATCH($A553-90,$A$5:$A$665,1)):INDEX($Q$5:$Q$665,MATCH($A553+90,$A$5:$A$665,1))),"")</f>
        <v>1.23828445511245</v>
      </c>
    </row>
    <row r="554" customFormat="false" ht="15" hidden="false" customHeight="false" outlineLevel="0" collapsed="false">
      <c r="A554" s="13" t="n">
        <v>46001.5140921065</v>
      </c>
      <c r="B554" s="8" t="n">
        <v>12</v>
      </c>
      <c r="C554" s="8" t="s">
        <v>71</v>
      </c>
      <c r="D554" s="8" t="s">
        <v>1186</v>
      </c>
      <c r="E554" s="14" t="s">
        <v>66</v>
      </c>
      <c r="F554" s="9" t="n">
        <v>38620</v>
      </c>
      <c r="G554" s="9" t="n">
        <v>4947</v>
      </c>
      <c r="H554" s="9" t="n">
        <v>5451</v>
      </c>
      <c r="I554" s="9" t="n">
        <v>0</v>
      </c>
      <c r="J554" s="9" t="n">
        <v>106</v>
      </c>
      <c r="K554" s="9" t="n">
        <v>6</v>
      </c>
      <c r="L554" s="9" t="n">
        <v>4</v>
      </c>
      <c r="M554" s="10" t="n">
        <f aca="false">IFERROR(G554/F554,"")</f>
        <v>0.128094251683066</v>
      </c>
      <c r="N554" s="10" t="n">
        <f aca="false">IFERROR(H554/G554,"")</f>
        <v>1.10187992722862</v>
      </c>
      <c r="O554" s="11" t="n">
        <f aca="false">IFERROR(I554/H554,"")</f>
        <v>0</v>
      </c>
      <c r="P554" s="10" t="n">
        <f aca="false">IFERROR(J554/H554,"")</f>
        <v>0.0194459732159237</v>
      </c>
      <c r="Q554" s="10" t="n">
        <f aca="false">IFERROR(K554/H554,"")</f>
        <v>0.00110071546505228</v>
      </c>
      <c r="R554" s="10" t="n">
        <f aca="false">IFERROR(L554/H554,"")</f>
        <v>0.000733810310034856</v>
      </c>
      <c r="S554" s="11" t="n">
        <f aca="false">IFERROR(M554/MEDIAN(INDEX($M$5:$M$665,MATCH($A554-90,$A$5:$A$665,1)):INDEX($M$5:$M$665,MATCH($A554+90,$A$5:$A$665,1))),"")</f>
        <v>0.353291119742245</v>
      </c>
      <c r="T554" s="11" t="n">
        <f aca="false">IFERROR(N554/MEDIAN(INDEX($N$5:$N$665,MATCH($A554-90,$A$5:$A$665,1)):INDEX($N$5:$N$665,MATCH($A554+90,$A$5:$A$665,1))),"")</f>
        <v>1.76404338239267</v>
      </c>
      <c r="U554" s="11" t="n">
        <f aca="false">IFERROR(Q554/MEDIAN(INDEX($Q$5:$Q$665,MATCH($A554-90,$A$5:$A$665,1)):INDEX($Q$5:$Q$665,MATCH($A554+90,$A$5:$A$665,1))),"")</f>
        <v>3.81367078195336</v>
      </c>
    </row>
    <row r="555" customFormat="false" ht="15" hidden="false" customHeight="false" outlineLevel="0" collapsed="false">
      <c r="A555" s="13" t="n">
        <v>46002.507814132</v>
      </c>
      <c r="B555" s="8" t="n">
        <v>12</v>
      </c>
      <c r="C555" s="8" t="s">
        <v>73</v>
      </c>
      <c r="D555" s="8"/>
      <c r="E555" s="14" t="s">
        <v>66</v>
      </c>
      <c r="F555" s="9" t="n">
        <v>5460</v>
      </c>
      <c r="G555" s="9" t="n">
        <v>2081</v>
      </c>
      <c r="H555" s="9" t="n">
        <v>1073</v>
      </c>
      <c r="I555" s="9" t="n">
        <v>0</v>
      </c>
      <c r="J555" s="9" t="n">
        <v>87</v>
      </c>
      <c r="K555" s="9" t="n">
        <v>0</v>
      </c>
      <c r="L555" s="9" t="n">
        <v>2</v>
      </c>
      <c r="M555" s="10" t="n">
        <f aca="false">IFERROR(G555/F555,"")</f>
        <v>0.381135531135531</v>
      </c>
      <c r="N555" s="10" t="n">
        <f aca="false">IFERROR(H555/G555,"")</f>
        <v>0.515617491590582</v>
      </c>
      <c r="O555" s="11" t="n">
        <f aca="false">IFERROR(I555/H555,"")</f>
        <v>0</v>
      </c>
      <c r="P555" s="10" t="n">
        <f aca="false">IFERROR(J555/H555,"")</f>
        <v>0.0810810810810811</v>
      </c>
      <c r="Q555" s="10" t="n">
        <f aca="false">IFERROR(K555/H555,"")</f>
        <v>0</v>
      </c>
      <c r="R555" s="10" t="n">
        <f aca="false">IFERROR(L555/H555,"")</f>
        <v>0.00186393289841566</v>
      </c>
      <c r="S555" s="11" t="n">
        <f aca="false">IFERROR(M555/MEDIAN(INDEX($M$5:$M$665,MATCH($A555-90,$A$5:$A$665,1)):INDEX($M$5:$M$665,MATCH($A555+90,$A$5:$A$665,1))),"")</f>
        <v>1.05181672660293</v>
      </c>
      <c r="T555" s="11" t="n">
        <f aca="false">IFERROR(N555/MEDIAN(INDEX($N$5:$N$665,MATCH($A555-90,$A$5:$A$665,1)):INDEX($N$5:$N$665,MATCH($A555+90,$A$5:$A$665,1))),"")</f>
        <v>0.821435298927061</v>
      </c>
      <c r="U555" s="11" t="n">
        <f aca="false">IFERROR(Q555/MEDIAN(INDEX($Q$5:$Q$665,MATCH($A555-90,$A$5:$A$665,1)):INDEX($Q$5:$Q$665,MATCH($A555+90,$A$5:$A$665,1))),"")</f>
        <v>0</v>
      </c>
    </row>
    <row r="556" customFormat="false" ht="15" hidden="false" customHeight="false" outlineLevel="0" collapsed="false">
      <c r="A556" s="13" t="n">
        <v>46003.5488072222</v>
      </c>
      <c r="B556" s="8" t="n">
        <v>13</v>
      </c>
      <c r="C556" s="8" t="s">
        <v>84</v>
      </c>
      <c r="D556" s="8"/>
      <c r="E556" s="14" t="s">
        <v>66</v>
      </c>
      <c r="F556" s="9" t="n">
        <v>3066</v>
      </c>
      <c r="G556" s="9" t="n">
        <v>209</v>
      </c>
      <c r="H556" s="9" t="n">
        <v>390</v>
      </c>
      <c r="I556" s="9" t="n">
        <v>0</v>
      </c>
      <c r="J556" s="9" t="n">
        <v>53</v>
      </c>
      <c r="K556" s="9" t="n">
        <v>2</v>
      </c>
      <c r="L556" s="9" t="n">
        <v>0</v>
      </c>
      <c r="M556" s="10" t="n">
        <f aca="false">IFERROR(G556/F556,"")</f>
        <v>0.0681669928245271</v>
      </c>
      <c r="N556" s="10" t="n">
        <f aca="false">IFERROR(H556/G556,"")</f>
        <v>1.86602870813397</v>
      </c>
      <c r="O556" s="11" t="n">
        <f aca="false">IFERROR(I556/H556,"")</f>
        <v>0</v>
      </c>
      <c r="P556" s="10" t="n">
        <f aca="false">IFERROR(J556/H556,"")</f>
        <v>0.135897435897436</v>
      </c>
      <c r="Q556" s="10" t="n">
        <f aca="false">IFERROR(K556/H556,"")</f>
        <v>0.00512820512820513</v>
      </c>
      <c r="R556" s="10" t="n">
        <f aca="false">IFERROR(L556/H556,"")</f>
        <v>0</v>
      </c>
      <c r="S556" s="11" t="n">
        <f aca="false">IFERROR(M556/MEDIAN(INDEX($M$5:$M$665,MATCH($A556-90,$A$5:$A$665,1)):INDEX($M$5:$M$665,MATCH($A556+90,$A$5:$A$665,1))),"")</f>
        <v>0.188008383733136</v>
      </c>
      <c r="T556" s="11" t="n">
        <f aca="false">IFERROR(N556/MEDIAN(INDEX($N$5:$N$665,MATCH($A556-90,$A$5:$A$665,1)):INDEX($N$5:$N$665,MATCH($A556+90,$A$5:$A$665,1))),"")</f>
        <v>2.98739954562716</v>
      </c>
      <c r="U556" s="11" t="n">
        <f aca="false">IFERROR(Q556/MEDIAN(INDEX($Q$5:$Q$665,MATCH($A556-90,$A$5:$A$665,1)):INDEX($Q$5:$Q$665,MATCH($A556+90,$A$5:$A$665,1))),"")</f>
        <v>16.9339527230249</v>
      </c>
    </row>
    <row r="557" customFormat="false" ht="15" hidden="false" customHeight="false" outlineLevel="0" collapsed="false">
      <c r="A557" s="13" t="n">
        <v>46004.5379732523</v>
      </c>
      <c r="B557" s="8" t="n">
        <v>12</v>
      </c>
      <c r="C557" s="8" t="s">
        <v>68</v>
      </c>
      <c r="D557" s="8"/>
      <c r="E557" s="14" t="s">
        <v>66</v>
      </c>
      <c r="F557" s="9" t="n">
        <v>3121</v>
      </c>
      <c r="G557" s="9" t="n">
        <v>195</v>
      </c>
      <c r="H557" s="9" t="n">
        <v>399</v>
      </c>
      <c r="I557" s="9" t="n">
        <v>0</v>
      </c>
      <c r="J557" s="9" t="n">
        <v>44</v>
      </c>
      <c r="K557" s="9" t="n">
        <v>3</v>
      </c>
      <c r="L557" s="9" t="n">
        <v>0</v>
      </c>
      <c r="M557" s="10" t="n">
        <f aca="false">IFERROR(G557/F557,"")</f>
        <v>0.06247997436719</v>
      </c>
      <c r="N557" s="10" t="n">
        <f aca="false">IFERROR(H557/G557,"")</f>
        <v>2.04615384615385</v>
      </c>
      <c r="O557" s="11" t="n">
        <f aca="false">IFERROR(I557/H557,"")</f>
        <v>0</v>
      </c>
      <c r="P557" s="10" t="n">
        <f aca="false">IFERROR(J557/H557,"")</f>
        <v>0.110275689223058</v>
      </c>
      <c r="Q557" s="10" t="n">
        <f aca="false">IFERROR(K557/H557,"")</f>
        <v>0.0075187969924812</v>
      </c>
      <c r="R557" s="10" t="n">
        <f aca="false">IFERROR(L557/H557,"")</f>
        <v>0</v>
      </c>
      <c r="S557" s="11" t="n">
        <f aca="false">IFERROR(M557/MEDIAN(INDEX($M$5:$M$665,MATCH($A557-90,$A$5:$A$665,1)):INDEX($M$5:$M$665,MATCH($A557+90,$A$5:$A$665,1))),"")</f>
        <v>0.17222116413561</v>
      </c>
      <c r="T557" s="11" t="n">
        <f aca="false">IFERROR(N557/MEDIAN(INDEX($N$5:$N$665,MATCH($A557-90,$A$5:$A$665,1)):INDEX($N$5:$N$665,MATCH($A557+90,$A$5:$A$665,1))),"")</f>
        <v>3.29194851840766</v>
      </c>
      <c r="U557" s="11" t="n">
        <f aca="false">IFERROR(Q557/MEDIAN(INDEX($Q$5:$Q$665,MATCH($A557-90,$A$5:$A$665,1)):INDEX($Q$5:$Q$665,MATCH($A557+90,$A$5:$A$665,1))),"")</f>
        <v>25.3458646616541</v>
      </c>
    </row>
    <row r="558" customFormat="false" ht="15" hidden="false" customHeight="false" outlineLevel="0" collapsed="false">
      <c r="A558" s="13" t="n">
        <v>46006.5913912616</v>
      </c>
      <c r="B558" s="8" t="n">
        <v>14</v>
      </c>
      <c r="C558" s="8" t="s">
        <v>80</v>
      </c>
      <c r="D558" s="8"/>
      <c r="E558" s="14" t="s">
        <v>66</v>
      </c>
      <c r="F558" s="9" t="n">
        <v>113533</v>
      </c>
      <c r="G558" s="9" t="n">
        <v>44635</v>
      </c>
      <c r="H558" s="9" t="n">
        <v>29124</v>
      </c>
      <c r="I558" s="9" t="n">
        <v>0</v>
      </c>
      <c r="J558" s="9" t="n">
        <v>87</v>
      </c>
      <c r="K558" s="9" t="n">
        <v>9</v>
      </c>
      <c r="L558" s="9" t="n">
        <v>20</v>
      </c>
      <c r="M558" s="10" t="n">
        <f aca="false">IFERROR(G558/F558,"")</f>
        <v>0.393145605242529</v>
      </c>
      <c r="N558" s="10" t="n">
        <f aca="false">IFERROR(H558/G558,"")</f>
        <v>0.652492438669206</v>
      </c>
      <c r="O558" s="11" t="n">
        <f aca="false">IFERROR(I558/H558,"")</f>
        <v>0</v>
      </c>
      <c r="P558" s="10" t="n">
        <f aca="false">IFERROR(J558/H558,"")</f>
        <v>0.00298722702925422</v>
      </c>
      <c r="Q558" s="10" t="n">
        <f aca="false">IFERROR(K558/H558,"")</f>
        <v>0.00030902348578492</v>
      </c>
      <c r="R558" s="10" t="n">
        <f aca="false">IFERROR(L558/H558,"")</f>
        <v>0.000686718857299821</v>
      </c>
      <c r="S558" s="11" t="n">
        <f aca="false">IFERROR(M558/MEDIAN(INDEX($M$5:$M$665,MATCH($A558-90,$A$5:$A$665,1)):INDEX($M$5:$M$665,MATCH($A558+90,$A$5:$A$665,1))),"")</f>
        <v>1.07623788724455</v>
      </c>
      <c r="T558" s="11" t="n">
        <f aca="false">IFERROR(N558/MEDIAN(INDEX($N$5:$N$665,MATCH($A558-90,$A$5:$A$665,1)):INDEX($N$5:$N$665,MATCH($A558+90,$A$5:$A$665,1))),"")</f>
        <v>1.04620863529448</v>
      </c>
      <c r="U558" s="11" t="n">
        <f aca="false">IFERROR(Q558/MEDIAN(INDEX($Q$5:$Q$665,MATCH($A558-90,$A$5:$A$665,1)):INDEX($Q$5:$Q$665,MATCH($A558+90,$A$5:$A$665,1))),"")</f>
        <v>1</v>
      </c>
    </row>
    <row r="559" customFormat="false" ht="15" hidden="false" customHeight="false" outlineLevel="0" collapsed="false">
      <c r="A559" s="13" t="n">
        <v>46008.5358749421</v>
      </c>
      <c r="B559" s="8" t="n">
        <v>12</v>
      </c>
      <c r="C559" s="8" t="s">
        <v>71</v>
      </c>
      <c r="D559" s="8"/>
      <c r="E559" s="14" t="s">
        <v>66</v>
      </c>
      <c r="F559" s="9" t="n">
        <v>31228</v>
      </c>
      <c r="G559" s="9" t="n">
        <v>19203</v>
      </c>
      <c r="H559" s="9" t="n">
        <v>5923</v>
      </c>
      <c r="I559" s="9" t="n">
        <v>0</v>
      </c>
      <c r="J559" s="9" t="n">
        <v>67</v>
      </c>
      <c r="K559" s="9" t="n">
        <v>1</v>
      </c>
      <c r="L559" s="9" t="n">
        <v>1</v>
      </c>
      <c r="M559" s="10" t="n">
        <f aca="false">IFERROR(G559/F559,"")</f>
        <v>0.614928909952607</v>
      </c>
      <c r="N559" s="10" t="n">
        <f aca="false">IFERROR(H559/G559,"")</f>
        <v>0.308441389366245</v>
      </c>
      <c r="O559" s="11" t="n">
        <f aca="false">IFERROR(I559/H559,"")</f>
        <v>0</v>
      </c>
      <c r="P559" s="10" t="n">
        <f aca="false">IFERROR(J559/H559,"")</f>
        <v>0.0113118352186392</v>
      </c>
      <c r="Q559" s="10" t="n">
        <f aca="false">IFERROR(K559/H559,"")</f>
        <v>0.000168833361472227</v>
      </c>
      <c r="R559" s="10" t="n">
        <f aca="false">IFERROR(L559/H559,"")</f>
        <v>0.000168833361472227</v>
      </c>
      <c r="S559" s="11" t="n">
        <f aca="false">IFERROR(M559/MEDIAN(INDEX($M$5:$M$665,MATCH($A559-90,$A$5:$A$665,1)):INDEX($M$5:$M$665,MATCH($A559+90,$A$5:$A$665,1))),"")</f>
        <v>1.68337069530441</v>
      </c>
      <c r="T559" s="11" t="n">
        <f aca="false">IFERROR(N559/MEDIAN(INDEX($N$5:$N$665,MATCH($A559-90,$A$5:$A$665,1)):INDEX($N$5:$N$665,MATCH($A559+90,$A$5:$A$665,1))),"")</f>
        <v>0.4945559916301</v>
      </c>
      <c r="U559" s="11" t="n">
        <f aca="false">IFERROR(Q559/MEDIAN(INDEX($Q$5:$Q$665,MATCH($A559-90,$A$5:$A$665,1)):INDEX($Q$5:$Q$665,MATCH($A559+90,$A$5:$A$665,1))),"")</f>
        <v>0.519795711632619</v>
      </c>
    </row>
    <row r="560" customFormat="false" ht="15" hidden="false" customHeight="false" outlineLevel="0" collapsed="false">
      <c r="A560" s="13" t="n">
        <v>46009.9881653241</v>
      </c>
      <c r="B560" s="8" t="n">
        <v>23</v>
      </c>
      <c r="C560" s="8" t="s">
        <v>73</v>
      </c>
      <c r="D560" s="8"/>
      <c r="E560" s="14" t="s">
        <v>66</v>
      </c>
      <c r="F560" s="9" t="n">
        <v>117738</v>
      </c>
      <c r="G560" s="9" t="n">
        <v>83384</v>
      </c>
      <c r="H560" s="9" t="n">
        <v>17322</v>
      </c>
      <c r="I560" s="9" t="n">
        <v>0</v>
      </c>
      <c r="J560" s="9" t="n">
        <v>119</v>
      </c>
      <c r="K560" s="9" t="n">
        <v>8</v>
      </c>
      <c r="L560" s="9" t="n">
        <v>8</v>
      </c>
      <c r="M560" s="10" t="n">
        <f aca="false">IFERROR(G560/F560,"")</f>
        <v>0.708216548607926</v>
      </c>
      <c r="N560" s="10" t="n">
        <f aca="false">IFERROR(H560/G560,"")</f>
        <v>0.207737695481147</v>
      </c>
      <c r="O560" s="11" t="n">
        <f aca="false">IFERROR(I560/H560,"")</f>
        <v>0</v>
      </c>
      <c r="P560" s="10" t="n">
        <f aca="false">IFERROR(J560/H560,"")</f>
        <v>0.00686987645768387</v>
      </c>
      <c r="Q560" s="10" t="n">
        <f aca="false">IFERROR(K560/H560,"")</f>
        <v>0.000461840434130008</v>
      </c>
      <c r="R560" s="10" t="n">
        <f aca="false">IFERROR(L560/H560,"")</f>
        <v>0.000461840434130008</v>
      </c>
      <c r="S560" s="11" t="n">
        <f aca="false">IFERROR(M560/MEDIAN(INDEX($M$5:$M$665,MATCH($A560-90,$A$5:$A$665,1)):INDEX($M$5:$M$665,MATCH($A560+90,$A$5:$A$665,1))),"")</f>
        <v>1.924471309921</v>
      </c>
      <c r="T560" s="11" t="n">
        <f aca="false">IFERROR(N560/MEDIAN(INDEX($N$5:$N$665,MATCH($A560-90,$A$5:$A$665,1)):INDEX($N$5:$N$665,MATCH($A560+90,$A$5:$A$665,1))),"")</f>
        <v>0.334218172373519</v>
      </c>
      <c r="U560" s="11" t="n">
        <f aca="false">IFERROR(Q560/MEDIAN(INDEX($Q$5:$Q$665,MATCH($A560-90,$A$5:$A$665,1)):INDEX($Q$5:$Q$665,MATCH($A560+90,$A$5:$A$665,1))),"")</f>
        <v>1.42189123657776</v>
      </c>
    </row>
    <row r="561" customFormat="false" ht="15" hidden="false" customHeight="false" outlineLevel="0" collapsed="false">
      <c r="A561" s="13" t="n">
        <v>46010.5486133102</v>
      </c>
      <c r="B561" s="8" t="n">
        <v>13</v>
      </c>
      <c r="C561" s="8" t="s">
        <v>84</v>
      </c>
      <c r="D561" s="8"/>
      <c r="E561" s="14" t="s">
        <v>66</v>
      </c>
      <c r="F561" s="9" t="n">
        <v>202212</v>
      </c>
      <c r="G561" s="9" t="n">
        <v>64551</v>
      </c>
      <c r="H561" s="9" t="n">
        <v>50843</v>
      </c>
      <c r="I561" s="9" t="n">
        <v>0</v>
      </c>
      <c r="J561" s="9" t="n">
        <v>107</v>
      </c>
      <c r="K561" s="9" t="n">
        <v>3</v>
      </c>
      <c r="L561" s="9" t="n">
        <v>21</v>
      </c>
      <c r="M561" s="10" t="n">
        <f aca="false">IFERROR(G561/F561,"")</f>
        <v>0.319224378375171</v>
      </c>
      <c r="N561" s="10" t="n">
        <f aca="false">IFERROR(H561/G561,"")</f>
        <v>0.787640780158324</v>
      </c>
      <c r="O561" s="11" t="n">
        <f aca="false">IFERROR(I561/H561,"")</f>
        <v>0</v>
      </c>
      <c r="P561" s="10" t="n">
        <f aca="false">IFERROR(J561/H561,"")</f>
        <v>0.00210451782939638</v>
      </c>
      <c r="Q561" s="10" t="n">
        <f aca="false">IFERROR(K561/H561,"")</f>
        <v>5.90051727868143E-005</v>
      </c>
      <c r="R561" s="10" t="n">
        <f aca="false">IFERROR(L561/H561,"")</f>
        <v>0.0004130362095077</v>
      </c>
      <c r="S561" s="11" t="n">
        <f aca="false">IFERROR(M561/MEDIAN(INDEX($M$5:$M$665,MATCH($A561-90,$A$5:$A$665,1)):INDEX($M$5:$M$665,MATCH($A561+90,$A$5:$A$665,1))),"")</f>
        <v>0.864352828622263</v>
      </c>
      <c r="T561" s="11" t="n">
        <f aca="false">IFERROR(N561/MEDIAN(INDEX($N$5:$N$665,MATCH($A561-90,$A$5:$A$665,1)):INDEX($N$5:$N$665,MATCH($A561+90,$A$5:$A$665,1))),"")</f>
        <v>1.27531333629216</v>
      </c>
      <c r="U561" s="11" t="n">
        <f aca="false">IFERROR(Q561/MEDIAN(INDEX($Q$5:$Q$665,MATCH($A561-90,$A$5:$A$665,1)):INDEX($Q$5:$Q$665,MATCH($A561+90,$A$5:$A$665,1))),"")</f>
        <v>0.180362201039402</v>
      </c>
    </row>
    <row r="562" customFormat="false" ht="15" hidden="false" customHeight="false" outlineLevel="0" collapsed="false">
      <c r="A562" s="13" t="n">
        <v>46011.6588358912</v>
      </c>
      <c r="B562" s="8" t="n">
        <v>15</v>
      </c>
      <c r="C562" s="8" t="s">
        <v>68</v>
      </c>
      <c r="D562" s="8"/>
      <c r="E562" s="14" t="s">
        <v>66</v>
      </c>
      <c r="F562" s="9" t="n">
        <v>101675</v>
      </c>
      <c r="G562" s="9" t="n">
        <v>40137</v>
      </c>
      <c r="H562" s="9" t="n">
        <v>24630</v>
      </c>
      <c r="I562" s="9" t="n">
        <v>0</v>
      </c>
      <c r="J562" s="9" t="n">
        <v>125</v>
      </c>
      <c r="K562" s="9" t="n">
        <v>8</v>
      </c>
      <c r="L562" s="9" t="n">
        <v>15</v>
      </c>
      <c r="M562" s="10" t="n">
        <f aca="false">IFERROR(G562/F562,"")</f>
        <v>0.394757806737153</v>
      </c>
      <c r="N562" s="10" t="n">
        <f aca="false">IFERROR(H562/G562,"")</f>
        <v>0.613648254727558</v>
      </c>
      <c r="O562" s="11" t="n">
        <f aca="false">IFERROR(I562/H562,"")</f>
        <v>0</v>
      </c>
      <c r="P562" s="10" t="n">
        <f aca="false">IFERROR(J562/H562,"")</f>
        <v>0.00507511165245635</v>
      </c>
      <c r="Q562" s="10" t="n">
        <f aca="false">IFERROR(K562/H562,"")</f>
        <v>0.000324807145757207</v>
      </c>
      <c r="R562" s="10" t="n">
        <f aca="false">IFERROR(L562/H562,"")</f>
        <v>0.000609013398294763</v>
      </c>
      <c r="S562" s="11" t="n">
        <f aca="false">IFERROR(M562/MEDIAN(INDEX($M$5:$M$665,MATCH($A562-90,$A$5:$A$665,1)):INDEX($M$5:$M$665,MATCH($A562+90,$A$5:$A$665,1))),"")</f>
        <v>1.06507670745314</v>
      </c>
      <c r="T562" s="11" t="n">
        <f aca="false">IFERROR(N562/MEDIAN(INDEX($N$5:$N$665,MATCH($A562-90,$A$5:$A$665,1)):INDEX($N$5:$N$665,MATCH($A562+90,$A$5:$A$665,1))),"")</f>
        <v>1</v>
      </c>
      <c r="U562" s="11" t="n">
        <f aca="false">IFERROR(Q562/MEDIAN(INDEX($Q$5:$Q$665,MATCH($A562-90,$A$5:$A$665,1)):INDEX($Q$5:$Q$665,MATCH($A562+90,$A$5:$A$665,1))),"")</f>
        <v>0.985789687373122</v>
      </c>
    </row>
    <row r="563" customFormat="false" ht="15" hidden="false" customHeight="false" outlineLevel="0" collapsed="false">
      <c r="A563" s="13" t="n">
        <v>46013.6224629514</v>
      </c>
      <c r="B563" s="8" t="n">
        <v>14</v>
      </c>
      <c r="C563" s="8" t="s">
        <v>80</v>
      </c>
      <c r="D563" s="8"/>
      <c r="E563" s="14" t="s">
        <v>66</v>
      </c>
      <c r="F563" s="9" t="n">
        <v>19849</v>
      </c>
      <c r="G563" s="9" t="n">
        <v>12348</v>
      </c>
      <c r="H563" s="9" t="n">
        <v>5161</v>
      </c>
      <c r="I563" s="9" t="n">
        <v>0</v>
      </c>
      <c r="J563" s="9" t="n">
        <v>44</v>
      </c>
      <c r="K563" s="9" t="n">
        <v>2</v>
      </c>
      <c r="L563" s="9" t="n">
        <v>2</v>
      </c>
      <c r="M563" s="10" t="n">
        <f aca="false">IFERROR(G563/F563,"")</f>
        <v>0.622096831074613</v>
      </c>
      <c r="N563" s="10" t="n">
        <f aca="false">IFERROR(H563/G563,"")</f>
        <v>0.417962423064464</v>
      </c>
      <c r="O563" s="11" t="n">
        <f aca="false">IFERROR(I563/H563,"")</f>
        <v>0</v>
      </c>
      <c r="P563" s="10" t="n">
        <f aca="false">IFERROR(J563/H563,"")</f>
        <v>0.00852547955822515</v>
      </c>
      <c r="Q563" s="10" t="n">
        <f aca="false">IFERROR(K563/H563,"")</f>
        <v>0.000387521798101143</v>
      </c>
      <c r="R563" s="10" t="n">
        <f aca="false">IFERROR(L563/H563,"")</f>
        <v>0.000387521798101143</v>
      </c>
      <c r="S563" s="11" t="n">
        <f aca="false">IFERROR(M563/MEDIAN(INDEX($M$5:$M$665,MATCH($A563-90,$A$5:$A$665,1)):INDEX($M$5:$M$665,MATCH($A563+90,$A$5:$A$665,1))),"")</f>
        <v>1.66539863297717</v>
      </c>
      <c r="T563" s="11" t="n">
        <f aca="false">IFERROR(N563/MEDIAN(INDEX($N$5:$N$665,MATCH($A563-90,$A$5:$A$665,1)):INDEX($N$5:$N$665,MATCH($A563+90,$A$5:$A$665,1))),"")</f>
        <v>0.683666211017208</v>
      </c>
      <c r="U563" s="11" t="n">
        <f aca="false">IFERROR(Q563/MEDIAN(INDEX($Q$5:$Q$665,MATCH($A563-90,$A$5:$A$665,1)):INDEX($Q$5:$Q$665,MATCH($A563+90,$A$5:$A$665,1))),"")</f>
        <v>1.18454503487003</v>
      </c>
    </row>
    <row r="564" customFormat="false" ht="15" hidden="false" customHeight="false" outlineLevel="0" collapsed="false">
      <c r="A564" s="13" t="n">
        <v>46015.4228896875</v>
      </c>
      <c r="B564" s="8" t="n">
        <v>10</v>
      </c>
      <c r="C564" s="8" t="s">
        <v>71</v>
      </c>
      <c r="D564" s="8"/>
      <c r="E564" s="14" t="s">
        <v>66</v>
      </c>
      <c r="F564" s="9" t="n">
        <v>44213</v>
      </c>
      <c r="G564" s="9" t="n">
        <v>29755</v>
      </c>
      <c r="H564" s="9" t="n">
        <v>7542</v>
      </c>
      <c r="I564" s="9" t="n">
        <v>0</v>
      </c>
      <c r="J564" s="9" t="n">
        <v>53</v>
      </c>
      <c r="K564" s="9" t="n">
        <v>0</v>
      </c>
      <c r="L564" s="9" t="n">
        <v>6</v>
      </c>
      <c r="M564" s="10" t="n">
        <f aca="false">IFERROR(G564/F564,"")</f>
        <v>0.672992106394047</v>
      </c>
      <c r="N564" s="10" t="n">
        <f aca="false">IFERROR(H564/G564,"")</f>
        <v>0.25347000504117</v>
      </c>
      <c r="O564" s="11" t="n">
        <f aca="false">IFERROR(I564/H564,"")</f>
        <v>0</v>
      </c>
      <c r="P564" s="10" t="n">
        <f aca="false">IFERROR(J564/H564,"")</f>
        <v>0.00702731370989128</v>
      </c>
      <c r="Q564" s="10" t="n">
        <f aca="false">IFERROR(K564/H564,"")</f>
        <v>0</v>
      </c>
      <c r="R564" s="10" t="n">
        <f aca="false">IFERROR(L564/H564,"")</f>
        <v>0.000795544948289578</v>
      </c>
      <c r="S564" s="11" t="n">
        <f aca="false">IFERROR(M564/MEDIAN(INDEX($M$5:$M$665,MATCH($A564-90,$A$5:$A$665,1)):INDEX($M$5:$M$665,MATCH($A564+90,$A$5:$A$665,1))),"")</f>
        <v>1.78774880363159</v>
      </c>
      <c r="T564" s="11" t="n">
        <f aca="false">IFERROR(N564/MEDIAN(INDEX($N$5:$N$665,MATCH($A564-90,$A$5:$A$665,1)):INDEX($N$5:$N$665,MATCH($A564+90,$A$5:$A$665,1))),"")</f>
        <v>0.416165377111527</v>
      </c>
      <c r="U564" s="11" t="n">
        <f aca="false">IFERROR(Q564/MEDIAN(INDEX($Q$5:$Q$665,MATCH($A564-90,$A$5:$A$665,1)):INDEX($Q$5:$Q$665,MATCH($A564+90,$A$5:$A$665,1))),"")</f>
        <v>0</v>
      </c>
    </row>
    <row r="565" customFormat="false" ht="15" hidden="false" customHeight="false" outlineLevel="0" collapsed="false">
      <c r="A565" s="13" t="n">
        <v>46015.5733481134</v>
      </c>
      <c r="B565" s="8" t="n">
        <v>13</v>
      </c>
      <c r="C565" s="8" t="s">
        <v>71</v>
      </c>
      <c r="D565" s="8"/>
      <c r="E565" s="14" t="s">
        <v>66</v>
      </c>
      <c r="F565" s="9" t="n">
        <v>124142</v>
      </c>
      <c r="G565" s="9" t="n">
        <v>51848</v>
      </c>
      <c r="H565" s="9" t="n">
        <v>29312</v>
      </c>
      <c r="I565" s="9" t="n">
        <v>0</v>
      </c>
      <c r="J565" s="9" t="n">
        <v>86</v>
      </c>
      <c r="K565" s="9" t="n">
        <v>1</v>
      </c>
      <c r="L565" s="9" t="n">
        <v>4</v>
      </c>
      <c r="M565" s="10" t="n">
        <f aca="false">IFERROR(G565/F565,"")</f>
        <v>0.417650754780816</v>
      </c>
      <c r="N565" s="10" t="n">
        <f aca="false">IFERROR(H565/G565,"")</f>
        <v>0.565344854189168</v>
      </c>
      <c r="O565" s="11" t="n">
        <f aca="false">IFERROR(I565/H565,"")</f>
        <v>0</v>
      </c>
      <c r="P565" s="10" t="n">
        <f aca="false">IFERROR(J565/H565,"")</f>
        <v>0.0029339519650655</v>
      </c>
      <c r="Q565" s="10" t="n">
        <f aca="false">IFERROR(K565/H565,"")</f>
        <v>3.41157205240175E-005</v>
      </c>
      <c r="R565" s="10" t="n">
        <f aca="false">IFERROR(L565/H565,"")</f>
        <v>0.00013646288209607</v>
      </c>
      <c r="S565" s="11" t="n">
        <f aca="false">IFERROR(M565/MEDIAN(INDEX($M$5:$M$665,MATCH($A565-90,$A$5:$A$665,1)):INDEX($M$5:$M$665,MATCH($A565+90,$A$5:$A$665,1))),"")</f>
        <v>1.11808156114917</v>
      </c>
      <c r="T565" s="11" t="n">
        <f aca="false">IFERROR(N565/MEDIAN(INDEX($N$5:$N$665,MATCH($A565-90,$A$5:$A$665,1)):INDEX($N$5:$N$665,MATCH($A565+90,$A$5:$A$665,1))),"")</f>
        <v>0.924741443376053</v>
      </c>
      <c r="U565" s="11" t="n">
        <f aca="false">IFERROR(Q565/MEDIAN(INDEX($Q$5:$Q$665,MATCH($A565-90,$A$5:$A$665,1)):INDEX($Q$5:$Q$665,MATCH($A565+90,$A$5:$A$665,1))),"")</f>
        <v>0.103472935356637</v>
      </c>
    </row>
    <row r="566" customFormat="false" ht="15" hidden="false" customHeight="false" outlineLevel="0" collapsed="false">
      <c r="A566" s="13" t="n">
        <v>46017.3992100116</v>
      </c>
      <c r="B566" s="8" t="n">
        <v>9</v>
      </c>
      <c r="C566" s="8" t="s">
        <v>84</v>
      </c>
      <c r="D566" s="8"/>
      <c r="E566" s="14" t="s">
        <v>66</v>
      </c>
      <c r="F566" s="9" t="n">
        <v>53302</v>
      </c>
      <c r="G566" s="9" t="n">
        <v>26568</v>
      </c>
      <c r="H566" s="9" t="n">
        <v>14668</v>
      </c>
      <c r="I566" s="9" t="n">
        <v>0</v>
      </c>
      <c r="J566" s="9" t="n">
        <v>55</v>
      </c>
      <c r="K566" s="9" t="n">
        <v>1</v>
      </c>
      <c r="L566" s="9" t="n">
        <v>1</v>
      </c>
      <c r="M566" s="10" t="n">
        <f aca="false">IFERROR(G566/F566,"")</f>
        <v>0.49844283516566</v>
      </c>
      <c r="N566" s="10" t="n">
        <f aca="false">IFERROR(H566/G566,"")</f>
        <v>0.552092743149654</v>
      </c>
      <c r="O566" s="11" t="n">
        <f aca="false">IFERROR(I566/H566,"")</f>
        <v>0</v>
      </c>
      <c r="P566" s="10" t="n">
        <f aca="false">IFERROR(J566/H566,"")</f>
        <v>0.00374965912189801</v>
      </c>
      <c r="Q566" s="10" t="n">
        <f aca="false">IFERROR(K566/H566,"")</f>
        <v>6.81756203981456E-005</v>
      </c>
      <c r="R566" s="10" t="n">
        <f aca="false">IFERROR(L566/H566,"")</f>
        <v>6.81756203981456E-005</v>
      </c>
      <c r="S566" s="11" t="n">
        <f aca="false">IFERROR(M566/MEDIAN(INDEX($M$5:$M$665,MATCH($A566-90,$A$5:$A$665,1)):INDEX($M$5:$M$665,MATCH($A566+90,$A$5:$A$665,1))),"")</f>
        <v>1.32407285877496</v>
      </c>
      <c r="T566" s="11" t="n">
        <f aca="false">IFERROR(N566/MEDIAN(INDEX($N$5:$N$665,MATCH($A566-90,$A$5:$A$665,1)):INDEX($N$5:$N$665,MATCH($A566+90,$A$5:$A$665,1))),"")</f>
        <v>0.906465775372885</v>
      </c>
      <c r="U566" s="11" t="n">
        <f aca="false">IFERROR(Q566/MEDIAN(INDEX($Q$5:$Q$665,MATCH($A566-90,$A$5:$A$665,1)):INDEX($Q$5:$Q$665,MATCH($A566+90,$A$5:$A$665,1))),"")</f>
        <v>0.206640305426779</v>
      </c>
    </row>
    <row r="567" customFormat="false" ht="15" hidden="false" customHeight="false" outlineLevel="0" collapsed="false">
      <c r="A567" s="13" t="n">
        <v>46018.4843956134</v>
      </c>
      <c r="B567" s="8" t="n">
        <v>11</v>
      </c>
      <c r="C567" s="8" t="s">
        <v>68</v>
      </c>
      <c r="D567" s="8"/>
      <c r="E567" s="14" t="s">
        <v>66</v>
      </c>
      <c r="F567" s="9" t="n">
        <v>16078</v>
      </c>
      <c r="G567" s="9" t="n">
        <v>7608</v>
      </c>
      <c r="H567" s="9" t="n">
        <v>3707</v>
      </c>
      <c r="I567" s="9" t="n">
        <v>0</v>
      </c>
      <c r="J567" s="9" t="n">
        <v>54</v>
      </c>
      <c r="K567" s="9" t="n">
        <v>4</v>
      </c>
      <c r="L567" s="9" t="n">
        <v>1</v>
      </c>
      <c r="M567" s="10" t="n">
        <f aca="false">IFERROR(G567/F567,"")</f>
        <v>0.473193183231745</v>
      </c>
      <c r="N567" s="10" t="n">
        <f aca="false">IFERROR(H567/G567,"")</f>
        <v>0.487250262881178</v>
      </c>
      <c r="O567" s="11" t="n">
        <f aca="false">IFERROR(I567/H567,"")</f>
        <v>0</v>
      </c>
      <c r="P567" s="10" t="n">
        <f aca="false">IFERROR(J567/H567,"")</f>
        <v>0.0145670353385487</v>
      </c>
      <c r="Q567" s="10" t="n">
        <f aca="false">IFERROR(K567/H567,"")</f>
        <v>0.00107903965470731</v>
      </c>
      <c r="R567" s="10" t="n">
        <f aca="false">IFERROR(L567/H567,"")</f>
        <v>0.000269759913676828</v>
      </c>
      <c r="S567" s="11" t="n">
        <f aca="false">IFERROR(M567/MEDIAN(INDEX($M$5:$M$665,MATCH($A567-90,$A$5:$A$665,1)):INDEX($M$5:$M$665,MATCH($A567+90,$A$5:$A$665,1))),"")</f>
        <v>1.24921935777182</v>
      </c>
      <c r="T567" s="11" t="n">
        <f aca="false">IFERROR(N567/MEDIAN(INDEX($N$5:$N$665,MATCH($A567-90,$A$5:$A$665,1)):INDEX($N$5:$N$665,MATCH($A567+90,$A$5:$A$665,1))),"")</f>
        <v>0.803721842459223</v>
      </c>
      <c r="U567" s="11" t="n">
        <f aca="false">IFERROR(Q567/MEDIAN(INDEX($Q$5:$Q$665,MATCH($A567-90,$A$5:$A$665,1)):INDEX($Q$5:$Q$665,MATCH($A567+90,$A$5:$A$665,1))),"")</f>
        <v>3.2222068901839</v>
      </c>
    </row>
    <row r="568" customFormat="false" ht="15" hidden="false" customHeight="false" outlineLevel="0" collapsed="false">
      <c r="A568" s="13" t="n">
        <v>46020.5093552894</v>
      </c>
      <c r="B568" s="8" t="n">
        <v>12</v>
      </c>
      <c r="C568" s="8" t="s">
        <v>80</v>
      </c>
      <c r="D568" s="8"/>
      <c r="E568" s="14" t="s">
        <v>66</v>
      </c>
      <c r="F568" s="9" t="n">
        <v>57389</v>
      </c>
      <c r="G568" s="9" t="n">
        <v>18739</v>
      </c>
      <c r="H568" s="9" t="n">
        <v>12124</v>
      </c>
      <c r="I568" s="9" t="n">
        <v>0</v>
      </c>
      <c r="J568" s="9" t="n">
        <v>89</v>
      </c>
      <c r="K568" s="9" t="n">
        <v>4</v>
      </c>
      <c r="L568" s="9" t="n">
        <v>2</v>
      </c>
      <c r="M568" s="10" t="n">
        <f aca="false">IFERROR(G568/F568,"")</f>
        <v>0.326525989301086</v>
      </c>
      <c r="N568" s="10" t="n">
        <f aca="false">IFERROR(H568/G568,"")</f>
        <v>0.646992902502802</v>
      </c>
      <c r="O568" s="11" t="n">
        <f aca="false">IFERROR(I568/H568,"")</f>
        <v>0</v>
      </c>
      <c r="P568" s="10" t="n">
        <f aca="false">IFERROR(J568/H568,"")</f>
        <v>0.00734081161332893</v>
      </c>
      <c r="Q568" s="10" t="n">
        <f aca="false">IFERROR(K568/H568,"")</f>
        <v>0.000329924117452986</v>
      </c>
      <c r="R568" s="10" t="n">
        <f aca="false">IFERROR(L568/H568,"")</f>
        <v>0.000164962058726493</v>
      </c>
      <c r="S568" s="11" t="n">
        <f aca="false">IFERROR(M568/MEDIAN(INDEX($M$5:$M$665,MATCH($A568-90,$A$5:$A$665,1)):INDEX($M$5:$M$665,MATCH($A568+90,$A$5:$A$665,1))),"")</f>
        <v>0.853076055203975</v>
      </c>
      <c r="T568" s="11" t="n">
        <f aca="false">IFERROR(N568/MEDIAN(INDEX($N$5:$N$665,MATCH($A568-90,$A$5:$A$665,1)):INDEX($N$5:$N$665,MATCH($A568+90,$A$5:$A$665,1))),"")</f>
        <v>1.06721815722119</v>
      </c>
      <c r="U568" s="11" t="n">
        <f aca="false">IFERROR(Q568/MEDIAN(INDEX($Q$5:$Q$665,MATCH($A568-90,$A$5:$A$665,1)):INDEX($Q$5:$Q$665,MATCH($A568+90,$A$5:$A$665,1))),"")</f>
        <v>0.985212878745606</v>
      </c>
    </row>
    <row r="569" customFormat="false" ht="15" hidden="false" customHeight="false" outlineLevel="0" collapsed="false">
      <c r="A569" s="13" t="n">
        <v>46022.6279231482</v>
      </c>
      <c r="B569" s="8" t="n">
        <v>15</v>
      </c>
      <c r="C569" s="8" t="s">
        <v>71</v>
      </c>
      <c r="D569" s="8"/>
      <c r="E569" s="14" t="s">
        <v>66</v>
      </c>
      <c r="F569" s="9" t="n">
        <v>72147</v>
      </c>
      <c r="G569" s="9" t="n">
        <v>35765</v>
      </c>
      <c r="H569" s="9" t="n">
        <v>12825</v>
      </c>
      <c r="I569" s="9" t="n">
        <v>0</v>
      </c>
      <c r="J569" s="9" t="n">
        <v>75</v>
      </c>
      <c r="K569" s="9" t="n">
        <v>1</v>
      </c>
      <c r="L569" s="9" t="n">
        <v>2</v>
      </c>
      <c r="M569" s="10" t="n">
        <f aca="false">IFERROR(G569/F569,"")</f>
        <v>0.495724007928258</v>
      </c>
      <c r="N569" s="10" t="n">
        <f aca="false">IFERROR(H569/G569,"")</f>
        <v>0.358590801062491</v>
      </c>
      <c r="O569" s="11" t="n">
        <f aca="false">IFERROR(I569/H569,"")</f>
        <v>0</v>
      </c>
      <c r="P569" s="10" t="n">
        <f aca="false">IFERROR(J569/H569,"")</f>
        <v>0.00584795321637427</v>
      </c>
      <c r="Q569" s="10" t="n">
        <f aca="false">IFERROR(K569/H569,"")</f>
        <v>7.79727095516569E-005</v>
      </c>
      <c r="R569" s="10" t="n">
        <f aca="false">IFERROR(L569/H569,"")</f>
        <v>0.000155945419103314</v>
      </c>
      <c r="S569" s="11" t="n">
        <f aca="false">IFERROR(M569/MEDIAN(INDEX($M$5:$M$665,MATCH($A569-90,$A$5:$A$665,1)):INDEX($M$5:$M$665,MATCH($A569+90,$A$5:$A$665,1))),"")</f>
        <v>1.29511982203475</v>
      </c>
      <c r="T569" s="11" t="n">
        <f aca="false">IFERROR(N569/MEDIAN(INDEX($N$5:$N$665,MATCH($A569-90,$A$5:$A$665,1)):INDEX($N$5:$N$665,MATCH($A569+90,$A$5:$A$665,1))),"")</f>
        <v>0.591497391124358</v>
      </c>
      <c r="U569" s="11" t="n">
        <f aca="false">IFERROR(Q569/MEDIAN(INDEX($Q$5:$Q$665,MATCH($A569-90,$A$5:$A$665,1)):INDEX($Q$5:$Q$665,MATCH($A569+90,$A$5:$A$665,1))),"")</f>
        <v>0.232840564169819</v>
      </c>
    </row>
    <row r="570" customFormat="false" ht="15" hidden="false" customHeight="false" outlineLevel="0" collapsed="false">
      <c r="A570" s="13" t="n">
        <v>46024.5765165046</v>
      </c>
      <c r="B570" s="8" t="n">
        <v>13</v>
      </c>
      <c r="C570" s="8" t="s">
        <v>84</v>
      </c>
      <c r="D570" s="8"/>
      <c r="E570" s="14" t="s">
        <v>66</v>
      </c>
      <c r="F570" s="9" t="n">
        <v>5375</v>
      </c>
      <c r="G570" s="9" t="n">
        <v>1248</v>
      </c>
      <c r="H570" s="9" t="n">
        <v>1085</v>
      </c>
      <c r="I570" s="9" t="n">
        <v>0</v>
      </c>
      <c r="J570" s="9" t="n">
        <v>25</v>
      </c>
      <c r="K570" s="9" t="n">
        <v>0</v>
      </c>
      <c r="L570" s="9" t="n">
        <v>2</v>
      </c>
      <c r="M570" s="10" t="n">
        <f aca="false">IFERROR(G570/F570,"")</f>
        <v>0.232186046511628</v>
      </c>
      <c r="N570" s="10" t="n">
        <f aca="false">IFERROR(H570/G570,"")</f>
        <v>0.869391025641026</v>
      </c>
      <c r="O570" s="11" t="n">
        <f aca="false">IFERROR(I570/H570,"")</f>
        <v>0</v>
      </c>
      <c r="P570" s="10" t="n">
        <f aca="false">IFERROR(J570/H570,"")</f>
        <v>0.0230414746543779</v>
      </c>
      <c r="Q570" s="10" t="n">
        <f aca="false">IFERROR(K570/H570,"")</f>
        <v>0</v>
      </c>
      <c r="R570" s="10" t="n">
        <f aca="false">IFERROR(L570/H570,"")</f>
        <v>0.00184331797235023</v>
      </c>
      <c r="S570" s="11" t="n">
        <f aca="false">IFERROR(M570/MEDIAN(INDEX($M$5:$M$665,MATCH($A570-90,$A$5:$A$665,1)):INDEX($M$5:$M$665,MATCH($A570+90,$A$5:$A$665,1))),"")</f>
        <v>0.604036805878462</v>
      </c>
      <c r="T570" s="11" t="n">
        <f aca="false">IFERROR(N570/MEDIAN(INDEX($N$5:$N$665,MATCH($A570-90,$A$5:$A$665,1)):INDEX($N$5:$N$665,MATCH($A570+90,$A$5:$A$665,1))),"")</f>
        <v>1.4407629916623</v>
      </c>
      <c r="U570" s="11" t="n">
        <f aca="false">IFERROR(Q570/MEDIAN(INDEX($Q$5:$Q$665,MATCH($A570-90,$A$5:$A$665,1)):INDEX($Q$5:$Q$665,MATCH($A570+90,$A$5:$A$665,1))),"")</f>
        <v>0</v>
      </c>
    </row>
    <row r="571" customFormat="false" ht="15" hidden="false" customHeight="false" outlineLevel="0" collapsed="false">
      <c r="A571" s="13" t="n">
        <v>46034.4823982176</v>
      </c>
      <c r="B571" s="8" t="n">
        <v>11</v>
      </c>
      <c r="C571" s="8" t="s">
        <v>80</v>
      </c>
      <c r="D571" s="8"/>
      <c r="E571" s="14" t="s">
        <v>66</v>
      </c>
      <c r="F571" s="9" t="n">
        <v>51286</v>
      </c>
      <c r="G571" s="9" t="n">
        <v>20533</v>
      </c>
      <c r="H571" s="9" t="n">
        <v>8828</v>
      </c>
      <c r="I571" s="9" t="n">
        <v>0</v>
      </c>
      <c r="J571" s="9" t="n">
        <v>49</v>
      </c>
      <c r="K571" s="9" t="n">
        <v>3</v>
      </c>
      <c r="L571" s="9" t="n">
        <v>5</v>
      </c>
      <c r="M571" s="10" t="n">
        <f aca="false">IFERROR(G571/F571,"")</f>
        <v>0.40036267207425</v>
      </c>
      <c r="N571" s="10" t="n">
        <f aca="false">IFERROR(H571/G571,"")</f>
        <v>0.42994204451371</v>
      </c>
      <c r="O571" s="11" t="n">
        <f aca="false">IFERROR(I571/H571,"")</f>
        <v>0</v>
      </c>
      <c r="P571" s="10" t="n">
        <f aca="false">IFERROR(J571/H571,"")</f>
        <v>0.00555052106932488</v>
      </c>
      <c r="Q571" s="10" t="n">
        <f aca="false">IFERROR(K571/H571,"")</f>
        <v>0.000339827820570911</v>
      </c>
      <c r="R571" s="10" t="n">
        <f aca="false">IFERROR(L571/H571,"")</f>
        <v>0.000566379700951518</v>
      </c>
      <c r="S571" s="11" t="n">
        <f aca="false">IFERROR(M571/MEDIAN(INDEX($M$5:$M$665,MATCH($A571-90,$A$5:$A$665,1)):INDEX($M$5:$M$665,MATCH($A571+90,$A$5:$A$665,1))),"")</f>
        <v>1.02648895955139</v>
      </c>
      <c r="T571" s="11" t="n">
        <f aca="false">IFERROR(N571/MEDIAN(INDEX($N$5:$N$665,MATCH($A571-90,$A$5:$A$665,1)):INDEX($N$5:$N$665,MATCH($A571+90,$A$5:$A$665,1))),"")</f>
        <v>0.72815389254506</v>
      </c>
      <c r="U571" s="11" t="n">
        <f aca="false">IFERROR(Q571/MEDIAN(INDEX($Q$5:$Q$665,MATCH($A571-90,$A$5:$A$665,1)):INDEX($Q$5:$Q$665,MATCH($A571+90,$A$5:$A$665,1))),"")</f>
        <v>0.989918441323063</v>
      </c>
    </row>
    <row r="572" customFormat="false" ht="15" hidden="false" customHeight="false" outlineLevel="0" collapsed="false">
      <c r="A572" s="13" t="n">
        <v>46035.6235733333</v>
      </c>
      <c r="B572" s="8" t="n">
        <v>14</v>
      </c>
      <c r="C572" s="8" t="s">
        <v>64</v>
      </c>
      <c r="D572" s="8" t="s">
        <v>1187</v>
      </c>
      <c r="E572" s="14" t="s">
        <v>66</v>
      </c>
      <c r="F572" s="9" t="n">
        <v>3929</v>
      </c>
      <c r="G572" s="9" t="n">
        <v>466</v>
      </c>
      <c r="H572" s="9" t="n">
        <v>416</v>
      </c>
      <c r="I572" s="9" t="n">
        <v>0</v>
      </c>
      <c r="J572" s="9" t="n">
        <v>23</v>
      </c>
      <c r="K572" s="9" t="n">
        <v>0</v>
      </c>
      <c r="L572" s="9" t="n">
        <v>1</v>
      </c>
      <c r="M572" s="10" t="n">
        <f aca="false">IFERROR(G572/F572,"")</f>
        <v>0.118605243064393</v>
      </c>
      <c r="N572" s="10" t="n">
        <f aca="false">IFERROR(H572/G572,"")</f>
        <v>0.892703862660944</v>
      </c>
      <c r="O572" s="11" t="n">
        <f aca="false">IFERROR(I572/H572,"")</f>
        <v>0</v>
      </c>
      <c r="P572" s="10" t="n">
        <f aca="false">IFERROR(J572/H572,"")</f>
        <v>0.0552884615384615</v>
      </c>
      <c r="Q572" s="10" t="n">
        <f aca="false">IFERROR(K572/H572,"")</f>
        <v>0</v>
      </c>
      <c r="R572" s="10" t="n">
        <f aca="false">IFERROR(L572/H572,"")</f>
        <v>0.00240384615384615</v>
      </c>
      <c r="S572" s="11" t="n">
        <f aca="false">IFERROR(M572/MEDIAN(INDEX($M$5:$M$665,MATCH($A572-90,$A$5:$A$665,1)):INDEX($M$5:$M$665,MATCH($A572+90,$A$5:$A$665,1))),"")</f>
        <v>0.304749705573074</v>
      </c>
      <c r="T572" s="11" t="n">
        <f aca="false">IFERROR(N572/MEDIAN(INDEX($N$5:$N$665,MATCH($A572-90,$A$5:$A$665,1)):INDEX($N$5:$N$665,MATCH($A572+90,$A$5:$A$665,1))),"")</f>
        <v>1.53273997773848</v>
      </c>
      <c r="U572" s="11" t="n">
        <f aca="false">IFERROR(Q572/MEDIAN(INDEX($Q$5:$Q$665,MATCH($A572-90,$A$5:$A$665,1)):INDEX($Q$5:$Q$665,MATCH($A572+90,$A$5:$A$665,1))),"")</f>
        <v>0</v>
      </c>
    </row>
    <row r="573" customFormat="false" ht="15" hidden="false" customHeight="false" outlineLevel="0" collapsed="false">
      <c r="A573" s="13" t="n">
        <v>46035.624596412</v>
      </c>
      <c r="B573" s="8" t="n">
        <v>14</v>
      </c>
      <c r="C573" s="8" t="s">
        <v>64</v>
      </c>
      <c r="D573" s="8"/>
      <c r="E573" s="14" t="s">
        <v>66</v>
      </c>
      <c r="F573" s="9" t="n">
        <v>168253</v>
      </c>
      <c r="G573" s="9" t="n">
        <v>42418</v>
      </c>
      <c r="H573" s="9" t="n">
        <v>33011</v>
      </c>
      <c r="I573" s="9" t="n">
        <v>0</v>
      </c>
      <c r="J573" s="9" t="n">
        <v>80</v>
      </c>
      <c r="K573" s="9" t="n">
        <v>1</v>
      </c>
      <c r="L573" s="9" t="n">
        <v>2</v>
      </c>
      <c r="M573" s="10" t="n">
        <f aca="false">IFERROR(G573/F573,"")</f>
        <v>0.25210843194475</v>
      </c>
      <c r="N573" s="10" t="n">
        <f aca="false">IFERROR(H573/G573,"")</f>
        <v>0.778230939695412</v>
      </c>
      <c r="O573" s="11" t="n">
        <f aca="false">IFERROR(I573/H573,"")</f>
        <v>0</v>
      </c>
      <c r="P573" s="10" t="n">
        <f aca="false">IFERROR(J573/H573,"")</f>
        <v>0.00242343461270486</v>
      </c>
      <c r="Q573" s="10" t="n">
        <f aca="false">IFERROR(K573/H573,"")</f>
        <v>3.02929326588107E-005</v>
      </c>
      <c r="R573" s="10" t="n">
        <f aca="false">IFERROR(L573/H573,"")</f>
        <v>6.05858653176214E-005</v>
      </c>
      <c r="S573" s="11" t="n">
        <f aca="false">IFERROR(M573/MEDIAN(INDEX($M$5:$M$665,MATCH($A573-90,$A$5:$A$665,1)):INDEX($M$5:$M$665,MATCH($A573+90,$A$5:$A$665,1))),"")</f>
        <v>0.647778870668807</v>
      </c>
      <c r="T573" s="11" t="n">
        <f aca="false">IFERROR(N573/MEDIAN(INDEX($N$5:$N$665,MATCH($A573-90,$A$5:$A$665,1)):INDEX($N$5:$N$665,MATCH($A573+90,$A$5:$A$665,1))),"")</f>
        <v>1.33619414351877</v>
      </c>
      <c r="U573" s="11" t="n">
        <f aca="false">IFERROR(Q573/MEDIAN(INDEX($Q$5:$Q$665,MATCH($A573-90,$A$5:$A$665,1)):INDEX($Q$5:$Q$665,MATCH($A573+90,$A$5:$A$665,1))),"")</f>
        <v>0.0869679872273645</v>
      </c>
    </row>
    <row r="574" customFormat="false" ht="15" hidden="false" customHeight="false" outlineLevel="0" collapsed="false">
      <c r="A574" s="13" t="n">
        <v>46036.5943944444</v>
      </c>
      <c r="B574" s="8" t="n">
        <v>14</v>
      </c>
      <c r="C574" s="8" t="s">
        <v>71</v>
      </c>
      <c r="D574" s="8"/>
      <c r="E574" s="14" t="s">
        <v>66</v>
      </c>
      <c r="F574" s="9" t="n">
        <v>31848</v>
      </c>
      <c r="G574" s="9" t="n">
        <v>10674</v>
      </c>
      <c r="H574" s="9" t="n">
        <v>5560</v>
      </c>
      <c r="I574" s="9" t="n">
        <v>0</v>
      </c>
      <c r="J574" s="9" t="n">
        <v>44</v>
      </c>
      <c r="K574" s="9" t="n">
        <v>0</v>
      </c>
      <c r="L574" s="9" t="n">
        <v>3</v>
      </c>
      <c r="M574" s="10" t="n">
        <f aca="false">IFERROR(G574/F574,"")</f>
        <v>0.335154483798041</v>
      </c>
      <c r="N574" s="10" t="n">
        <f aca="false">IFERROR(H574/G574,"")</f>
        <v>0.520891886827806</v>
      </c>
      <c r="O574" s="11" t="n">
        <f aca="false">IFERROR(I574/H574,"")</f>
        <v>0</v>
      </c>
      <c r="P574" s="10" t="n">
        <f aca="false">IFERROR(J574/H574,"")</f>
        <v>0.0079136690647482</v>
      </c>
      <c r="Q574" s="10" t="n">
        <f aca="false">IFERROR(K574/H574,"")</f>
        <v>0</v>
      </c>
      <c r="R574" s="10" t="n">
        <f aca="false">IFERROR(L574/H574,"")</f>
        <v>0.000539568345323741</v>
      </c>
      <c r="S574" s="11" t="n">
        <f aca="false">IFERROR(M574/MEDIAN(INDEX($M$5:$M$665,MATCH($A574-90,$A$5:$A$665,1)):INDEX($M$5:$M$665,MATCH($A574+90,$A$5:$A$665,1))),"")</f>
        <v>0.861161173148945</v>
      </c>
      <c r="T574" s="11" t="n">
        <f aca="false">IFERROR(N574/MEDIAN(INDEX($N$5:$N$665,MATCH($A574-90,$A$5:$A$665,1)):INDEX($N$5:$N$665,MATCH($A574+90,$A$5:$A$665,1))),"")</f>
        <v>0.894352374191349</v>
      </c>
      <c r="U574" s="11" t="n">
        <f aca="false">IFERROR(Q574/MEDIAN(INDEX($Q$5:$Q$665,MATCH($A574-90,$A$5:$A$665,1)):INDEX($Q$5:$Q$665,MATCH($A574+90,$A$5:$A$665,1))),"")</f>
        <v>0</v>
      </c>
    </row>
    <row r="575" customFormat="false" ht="15" hidden="false" customHeight="false" outlineLevel="0" collapsed="false">
      <c r="A575" s="13" t="n">
        <v>46038.5424059838</v>
      </c>
      <c r="B575" s="8" t="n">
        <v>13</v>
      </c>
      <c r="C575" s="8" t="s">
        <v>84</v>
      </c>
      <c r="D575" s="8"/>
      <c r="E575" s="14" t="s">
        <v>66</v>
      </c>
      <c r="F575" s="9" t="n">
        <v>167910</v>
      </c>
      <c r="G575" s="9" t="n">
        <v>52792</v>
      </c>
      <c r="H575" s="9" t="n">
        <v>29176</v>
      </c>
      <c r="I575" s="9" t="n">
        <v>0</v>
      </c>
      <c r="J575" s="9" t="n">
        <v>78</v>
      </c>
      <c r="K575" s="9" t="n">
        <v>7</v>
      </c>
      <c r="L575" s="9" t="n">
        <v>7</v>
      </c>
      <c r="M575" s="10" t="n">
        <f aca="false">IFERROR(G575/F575,"")</f>
        <v>0.314406527306295</v>
      </c>
      <c r="N575" s="10" t="n">
        <f aca="false">IFERROR(H575/G575,"")</f>
        <v>0.552659493862707</v>
      </c>
      <c r="O575" s="11" t="n">
        <f aca="false">IFERROR(I575/H575,"")</f>
        <v>0</v>
      </c>
      <c r="P575" s="10" t="n">
        <f aca="false">IFERROR(J575/H575,"")</f>
        <v>0.0026734302166164</v>
      </c>
      <c r="Q575" s="10" t="n">
        <f aca="false">IFERROR(K575/H575,"")</f>
        <v>0.000239923224568138</v>
      </c>
      <c r="R575" s="10" t="n">
        <f aca="false">IFERROR(L575/H575,"")</f>
        <v>0.000239923224568138</v>
      </c>
      <c r="S575" s="11" t="n">
        <f aca="false">IFERROR(M575/MEDIAN(INDEX($M$5:$M$665,MATCH($A575-90,$A$5:$A$665,1)):INDEX($M$5:$M$665,MATCH($A575+90,$A$5:$A$665,1))),"")</f>
        <v>0.80960223274096</v>
      </c>
      <c r="T575" s="11" t="n">
        <f aca="false">IFERROR(N575/MEDIAN(INDEX($N$5:$N$665,MATCH($A575-90,$A$5:$A$665,1)):INDEX($N$5:$N$665,MATCH($A575+90,$A$5:$A$665,1))),"")</f>
        <v>0.962164011786144</v>
      </c>
      <c r="U575" s="11" t="n">
        <f aca="false">IFERROR(Q575/MEDIAN(INDEX($Q$5:$Q$665,MATCH($A575-90,$A$5:$A$665,1)):INDEX($Q$5:$Q$665,MATCH($A575+90,$A$5:$A$665,1))),"")</f>
        <v>0.678982725527831</v>
      </c>
    </row>
    <row r="576" customFormat="false" ht="15" hidden="false" customHeight="false" outlineLevel="0" collapsed="false">
      <c r="A576" s="13" t="n">
        <v>46039.5356407176</v>
      </c>
      <c r="B576" s="8" t="n">
        <v>12</v>
      </c>
      <c r="C576" s="8" t="s">
        <v>68</v>
      </c>
      <c r="D576" s="8"/>
      <c r="E576" s="14" t="s">
        <v>66</v>
      </c>
      <c r="F576" s="9" t="n">
        <v>21149</v>
      </c>
      <c r="G576" s="9" t="n">
        <v>12819</v>
      </c>
      <c r="H576" s="9" t="n">
        <v>5508</v>
      </c>
      <c r="I576" s="9" t="n">
        <v>0</v>
      </c>
      <c r="J576" s="9" t="n">
        <v>63</v>
      </c>
      <c r="K576" s="9" t="n">
        <v>1</v>
      </c>
      <c r="L576" s="9" t="n">
        <v>2</v>
      </c>
      <c r="M576" s="10" t="n">
        <f aca="false">IFERROR(G576/F576,"")</f>
        <v>0.606127949312024</v>
      </c>
      <c r="N576" s="10" t="n">
        <f aca="false">IFERROR(H576/G576,"")</f>
        <v>0.429674701614791</v>
      </c>
      <c r="O576" s="11" t="n">
        <f aca="false">IFERROR(I576/H576,"")</f>
        <v>0</v>
      </c>
      <c r="P576" s="10" t="n">
        <f aca="false">IFERROR(J576/H576,"")</f>
        <v>0.011437908496732</v>
      </c>
      <c r="Q576" s="10" t="n">
        <f aca="false">IFERROR(K576/H576,"")</f>
        <v>0.000181554103122731</v>
      </c>
      <c r="R576" s="10" t="n">
        <f aca="false">IFERROR(L576/H576,"")</f>
        <v>0.000363108206245461</v>
      </c>
      <c r="S576" s="11" t="n">
        <f aca="false">IFERROR(M576/MEDIAN(INDEX($M$5:$M$665,MATCH($A576-90,$A$5:$A$665,1)):INDEX($M$5:$M$665,MATCH($A576+90,$A$5:$A$665,1))),"")</f>
        <v>1.56078992791283</v>
      </c>
      <c r="T576" s="11" t="n">
        <f aca="false">IFERROR(N576/MEDIAN(INDEX($N$5:$N$665,MATCH($A576-90,$A$5:$A$665,1)):INDEX($N$5:$N$665,MATCH($A576+90,$A$5:$A$665,1))),"")</f>
        <v>0.748051086174598</v>
      </c>
      <c r="U576" s="11" t="n">
        <f aca="false">IFERROR(Q576/MEDIAN(INDEX($Q$5:$Q$665,MATCH($A576-90,$A$5:$A$665,1)):INDEX($Q$5:$Q$665,MATCH($A576+90,$A$5:$A$665,1))),"")</f>
        <v>0.513798111837328</v>
      </c>
    </row>
    <row r="577" customFormat="false" ht="15" hidden="false" customHeight="false" outlineLevel="0" collapsed="false">
      <c r="A577" s="13" t="n">
        <v>46041.6299981019</v>
      </c>
      <c r="B577" s="8" t="n">
        <v>15</v>
      </c>
      <c r="C577" s="8" t="s">
        <v>80</v>
      </c>
      <c r="D577" s="8"/>
      <c r="E577" s="14" t="s">
        <v>66</v>
      </c>
      <c r="F577" s="9" t="n">
        <v>15248</v>
      </c>
      <c r="G577" s="9" t="n">
        <v>9526</v>
      </c>
      <c r="H577" s="9" t="n">
        <v>3371</v>
      </c>
      <c r="I577" s="9" t="n">
        <v>0</v>
      </c>
      <c r="J577" s="9" t="n">
        <v>20</v>
      </c>
      <c r="K577" s="9" t="n">
        <v>1</v>
      </c>
      <c r="L577" s="9" t="n">
        <v>1</v>
      </c>
      <c r="M577" s="10" t="n">
        <f aca="false">IFERROR(G577/F577,"")</f>
        <v>0.624737670514166</v>
      </c>
      <c r="N577" s="10" t="n">
        <f aca="false">IFERROR(H577/G577,"")</f>
        <v>0.353873609069914</v>
      </c>
      <c r="O577" s="11" t="n">
        <f aca="false">IFERROR(I577/H577,"")</f>
        <v>0</v>
      </c>
      <c r="P577" s="10" t="n">
        <f aca="false">IFERROR(J577/H577,"")</f>
        <v>0.00593295757935331</v>
      </c>
      <c r="Q577" s="10" t="n">
        <f aca="false">IFERROR(K577/H577,"")</f>
        <v>0.000296647878967665</v>
      </c>
      <c r="R577" s="10" t="n">
        <f aca="false">IFERROR(L577/H577,"")</f>
        <v>0.000296647878967665</v>
      </c>
      <c r="S577" s="11" t="n">
        <f aca="false">IFERROR(M577/MEDIAN(INDEX($M$5:$M$665,MATCH($A577-90,$A$5:$A$665,1)):INDEX($M$5:$M$665,MATCH($A577+90,$A$5:$A$665,1))),"")</f>
        <v>1.60121929213517</v>
      </c>
      <c r="T577" s="11" t="n">
        <f aca="false">IFERROR(N577/MEDIAN(INDEX($N$5:$N$665,MATCH($A577-90,$A$5:$A$665,1)):INDEX($N$5:$N$665,MATCH($A577+90,$A$5:$A$665,1))),"")</f>
        <v>0.619494110984567</v>
      </c>
      <c r="U577" s="11" t="n">
        <f aca="false">IFERROR(Q577/MEDIAN(INDEX($Q$5:$Q$665,MATCH($A577-90,$A$5:$A$665,1)):INDEX($Q$5:$Q$665,MATCH($A577+90,$A$5:$A$665,1))),"")</f>
        <v>0.819142085658821</v>
      </c>
    </row>
    <row r="578" customFormat="false" ht="15" hidden="false" customHeight="false" outlineLevel="0" collapsed="false">
      <c r="A578" s="13" t="n">
        <v>46043.5519273843</v>
      </c>
      <c r="B578" s="8" t="n">
        <v>13</v>
      </c>
      <c r="C578" s="8" t="s">
        <v>71</v>
      </c>
      <c r="D578" s="8"/>
      <c r="E578" s="14" t="s">
        <v>66</v>
      </c>
      <c r="F578" s="9" t="n">
        <v>21193</v>
      </c>
      <c r="G578" s="9" t="n">
        <v>10711</v>
      </c>
      <c r="H578" s="9" t="n">
        <v>5384</v>
      </c>
      <c r="I578" s="9" t="n">
        <v>0</v>
      </c>
      <c r="J578" s="9" t="n">
        <v>38</v>
      </c>
      <c r="K578" s="9" t="n">
        <v>1</v>
      </c>
      <c r="L578" s="9" t="n">
        <v>3</v>
      </c>
      <c r="M578" s="10" t="n">
        <f aca="false">IFERROR(G578/F578,"")</f>
        <v>0.505402727315623</v>
      </c>
      <c r="N578" s="10" t="n">
        <f aca="false">IFERROR(H578/G578,"")</f>
        <v>0.502660815983568</v>
      </c>
      <c r="O578" s="11" t="n">
        <f aca="false">IFERROR(I578/H578,"")</f>
        <v>0</v>
      </c>
      <c r="P578" s="10" t="n">
        <f aca="false">IFERROR(J578/H578,"")</f>
        <v>0.00705794947994057</v>
      </c>
      <c r="Q578" s="10" t="n">
        <f aca="false">IFERROR(K578/H578,"")</f>
        <v>0.000185735512630015</v>
      </c>
      <c r="R578" s="10" t="n">
        <f aca="false">IFERROR(L578/H578,"")</f>
        <v>0.000557206537890045</v>
      </c>
      <c r="S578" s="11" t="n">
        <f aca="false">IFERROR(M578/MEDIAN(INDEX($M$5:$M$665,MATCH($A578-90,$A$5:$A$665,1)):INDEX($M$5:$M$665,MATCH($A578+90,$A$5:$A$665,1))),"")</f>
        <v>1.29021114687596</v>
      </c>
      <c r="T578" s="11" t="n">
        <f aca="false">IFERROR(N578/MEDIAN(INDEX($N$5:$N$665,MATCH($A578-90,$A$5:$A$665,1)):INDEX($N$5:$N$665,MATCH($A578+90,$A$5:$A$665,1))),"")</f>
        <v>0.885224148242258</v>
      </c>
      <c r="U578" s="11" t="n">
        <f aca="false">IFERROR(Q578/MEDIAN(INDEX($Q$5:$Q$665,MATCH($A578-90,$A$5:$A$665,1)):INDEX($Q$5:$Q$665,MATCH($A578+90,$A$5:$A$665,1))),"")</f>
        <v>0.505231531626408</v>
      </c>
    </row>
    <row r="579" customFormat="false" ht="15" hidden="false" customHeight="false" outlineLevel="0" collapsed="false">
      <c r="A579" s="13" t="n">
        <v>46045.6001312384</v>
      </c>
      <c r="B579" s="8" t="n">
        <v>14</v>
      </c>
      <c r="C579" s="8" t="s">
        <v>84</v>
      </c>
      <c r="D579" s="8"/>
      <c r="E579" s="14" t="s">
        <v>66</v>
      </c>
      <c r="F579" s="9" t="n">
        <v>370205</v>
      </c>
      <c r="G579" s="9" t="n">
        <v>54565</v>
      </c>
      <c r="H579" s="9" t="n">
        <v>61140</v>
      </c>
      <c r="I579" s="9" t="n">
        <v>0</v>
      </c>
      <c r="J579" s="9" t="n">
        <v>102</v>
      </c>
      <c r="K579" s="9" t="n">
        <v>4</v>
      </c>
      <c r="L579" s="9" t="n">
        <v>15</v>
      </c>
      <c r="M579" s="10" t="n">
        <f aca="false">IFERROR(G579/F579,"")</f>
        <v>0.147391310220013</v>
      </c>
      <c r="N579" s="10" t="n">
        <f aca="false">IFERROR(H579/G579,"")</f>
        <v>1.12049848804179</v>
      </c>
      <c r="O579" s="11" t="n">
        <f aca="false">IFERROR(I579/H579,"")</f>
        <v>0</v>
      </c>
      <c r="P579" s="10" t="n">
        <f aca="false">IFERROR(J579/H579,"")</f>
        <v>0.00166830225711482</v>
      </c>
      <c r="Q579" s="10" t="n">
        <f aca="false">IFERROR(K579/H579,"")</f>
        <v>6.54236179260713E-005</v>
      </c>
      <c r="R579" s="10" t="n">
        <f aca="false">IFERROR(L579/H579,"")</f>
        <v>0.000245338567222767</v>
      </c>
      <c r="S579" s="11" t="n">
        <f aca="false">IFERROR(M579/MEDIAN(INDEX($M$5:$M$665,MATCH($A579-90,$A$5:$A$665,1)):INDEX($M$5:$M$665,MATCH($A579+90,$A$5:$A$665,1))),"")</f>
        <v>0.374135478991464</v>
      </c>
      <c r="T579" s="11" t="n">
        <f aca="false">IFERROR(N579/MEDIAN(INDEX($N$5:$N$665,MATCH($A579-90,$A$5:$A$665,1)):INDEX($N$5:$N$665,MATCH($A579+90,$A$5:$A$665,1))),"")</f>
        <v>2.00446177153829</v>
      </c>
      <c r="U579" s="11" t="n">
        <f aca="false">IFERROR(Q579/MEDIAN(INDEX($Q$5:$Q$665,MATCH($A579-90,$A$5:$A$665,1)):INDEX($Q$5:$Q$665,MATCH($A579+90,$A$5:$A$665,1))),"")</f>
        <v>0.172821098708127</v>
      </c>
    </row>
    <row r="580" customFormat="false" ht="15" hidden="false" customHeight="false" outlineLevel="0" collapsed="false">
      <c r="A580" s="13" t="n">
        <v>46046.683948912</v>
      </c>
      <c r="B580" s="8" t="n">
        <v>16</v>
      </c>
      <c r="C580" s="8" t="s">
        <v>68</v>
      </c>
      <c r="D580" s="8"/>
      <c r="E580" s="14" t="s">
        <v>66</v>
      </c>
      <c r="F580" s="9" t="n">
        <v>171910</v>
      </c>
      <c r="G580" s="9" t="n">
        <v>40973</v>
      </c>
      <c r="H580" s="9" t="n">
        <v>29535</v>
      </c>
      <c r="I580" s="9" t="n">
        <v>0</v>
      </c>
      <c r="J580" s="9" t="n">
        <v>70</v>
      </c>
      <c r="K580" s="9" t="n">
        <v>2</v>
      </c>
      <c r="L580" s="9" t="n">
        <v>4</v>
      </c>
      <c r="M580" s="10" t="n">
        <f aca="false">IFERROR(G580/F580,"")</f>
        <v>0.23833982898028</v>
      </c>
      <c r="N580" s="10" t="n">
        <f aca="false">IFERROR(H580/G580,"")</f>
        <v>0.720840553535255</v>
      </c>
      <c r="O580" s="11" t="n">
        <f aca="false">IFERROR(I580/H580,"")</f>
        <v>0</v>
      </c>
      <c r="P580" s="10" t="n">
        <f aca="false">IFERROR(J580/H580,"")</f>
        <v>0.00237006940917555</v>
      </c>
      <c r="Q580" s="10" t="n">
        <f aca="false">IFERROR(K580/H580,"")</f>
        <v>6.77162688335873E-005</v>
      </c>
      <c r="R580" s="10" t="n">
        <f aca="false">IFERROR(L580/H580,"")</f>
        <v>0.000135432537667175</v>
      </c>
      <c r="S580" s="11" t="n">
        <f aca="false">IFERROR(M580/MEDIAN(INDEX($M$5:$M$665,MATCH($A580-90,$A$5:$A$665,1)):INDEX($M$5:$M$665,MATCH($A580+90,$A$5:$A$665,1))),"")</f>
        <v>0.606238059899589</v>
      </c>
      <c r="T580" s="11" t="n">
        <f aca="false">IFERROR(N580/MEDIAN(INDEX($N$5:$N$665,MATCH($A580-90,$A$5:$A$665,1)):INDEX($N$5:$N$665,MATCH($A580+90,$A$5:$A$665,1))),"")</f>
        <v>1.27504574985316</v>
      </c>
      <c r="U580" s="11" t="n">
        <f aca="false">IFERROR(Q580/MEDIAN(INDEX($Q$5:$Q$665,MATCH($A580-90,$A$5:$A$665,1)):INDEX($Q$5:$Q$665,MATCH($A580+90,$A$5:$A$665,1))),"")</f>
        <v>0.178983772279862</v>
      </c>
    </row>
    <row r="581" customFormat="false" ht="15" hidden="false" customHeight="false" outlineLevel="0" collapsed="false">
      <c r="A581" s="13" t="n">
        <v>46048.6945242477</v>
      </c>
      <c r="B581" s="8" t="n">
        <v>16</v>
      </c>
      <c r="C581" s="8" t="s">
        <v>80</v>
      </c>
      <c r="D581" s="8"/>
      <c r="E581" s="14" t="s">
        <v>66</v>
      </c>
      <c r="F581" s="9" t="n">
        <v>26105</v>
      </c>
      <c r="G581" s="9" t="n">
        <v>14238</v>
      </c>
      <c r="H581" s="9" t="n">
        <v>5660</v>
      </c>
      <c r="I581" s="9" t="n">
        <v>0</v>
      </c>
      <c r="J581" s="9" t="n">
        <v>24</v>
      </c>
      <c r="K581" s="9" t="n">
        <v>2</v>
      </c>
      <c r="L581" s="9" t="n">
        <v>6</v>
      </c>
      <c r="M581" s="10" t="n">
        <f aca="false">IFERROR(G581/F581,"")</f>
        <v>0.545412756176978</v>
      </c>
      <c r="N581" s="10" t="n">
        <f aca="false">IFERROR(H581/G581,"")</f>
        <v>0.397527742660486</v>
      </c>
      <c r="O581" s="11" t="n">
        <f aca="false">IFERROR(I581/H581,"")</f>
        <v>0</v>
      </c>
      <c r="P581" s="10" t="n">
        <f aca="false">IFERROR(J581/H581,"")</f>
        <v>0.00424028268551237</v>
      </c>
      <c r="Q581" s="10" t="n">
        <f aca="false">IFERROR(K581/H581,"")</f>
        <v>0.000353356890459364</v>
      </c>
      <c r="R581" s="10" t="n">
        <f aca="false">IFERROR(L581/H581,"")</f>
        <v>0.00106007067137809</v>
      </c>
      <c r="S581" s="11" t="n">
        <f aca="false">IFERROR(M581/MEDIAN(INDEX($M$5:$M$665,MATCH($A581-90,$A$5:$A$665,1)):INDEX($M$5:$M$665,MATCH($A581+90,$A$5:$A$665,1))),"")</f>
        <v>1.3873047260455</v>
      </c>
      <c r="T581" s="11" t="n">
        <f aca="false">IFERROR(N581/MEDIAN(INDEX($N$5:$N$665,MATCH($A581-90,$A$5:$A$665,1)):INDEX($N$5:$N$665,MATCH($A581+90,$A$5:$A$665,1))),"")</f>
        <v>0.703159743499621</v>
      </c>
      <c r="U581" s="11" t="n">
        <f aca="false">IFERROR(Q581/MEDIAN(INDEX($Q$5:$Q$665,MATCH($A581-90,$A$5:$A$665,1)):INDEX($Q$5:$Q$665,MATCH($A581+90,$A$5:$A$665,1))),"")</f>
        <v>0.959275618374558</v>
      </c>
    </row>
    <row r="582" customFormat="false" ht="15" hidden="false" customHeight="false" outlineLevel="0" collapsed="false">
      <c r="A582" s="13" t="n">
        <v>46050.6319343287</v>
      </c>
      <c r="B582" s="8" t="n">
        <v>15</v>
      </c>
      <c r="C582" s="8" t="s">
        <v>71</v>
      </c>
      <c r="D582" s="8"/>
      <c r="E582" s="14" t="s">
        <v>66</v>
      </c>
      <c r="F582" s="9" t="n">
        <v>224089</v>
      </c>
      <c r="G582" s="9" t="n">
        <v>63946</v>
      </c>
      <c r="H582" s="9" t="n">
        <v>38947</v>
      </c>
      <c r="I582" s="9" t="n">
        <v>0</v>
      </c>
      <c r="J582" s="9" t="n">
        <v>68</v>
      </c>
      <c r="K582" s="9" t="n">
        <v>4</v>
      </c>
      <c r="L582" s="9" t="n">
        <v>19</v>
      </c>
      <c r="M582" s="10" t="n">
        <f aca="false">IFERROR(G582/F582,"")</f>
        <v>0.285359834708531</v>
      </c>
      <c r="N582" s="10" t="n">
        <f aca="false">IFERROR(H582/G582,"")</f>
        <v>0.609060770024708</v>
      </c>
      <c r="O582" s="11" t="n">
        <f aca="false">IFERROR(I582/H582,"")</f>
        <v>0</v>
      </c>
      <c r="P582" s="10" t="n">
        <f aca="false">IFERROR(J582/H582,"")</f>
        <v>0.00174596246180707</v>
      </c>
      <c r="Q582" s="10" t="n">
        <f aca="false">IFERROR(K582/H582,"")</f>
        <v>0.000102703674223945</v>
      </c>
      <c r="R582" s="10" t="n">
        <f aca="false">IFERROR(L582/H582,"")</f>
        <v>0.000487842452563741</v>
      </c>
      <c r="S582" s="11" t="n">
        <f aca="false">IFERROR(M582/MEDIAN(INDEX($M$5:$M$665,MATCH($A582-90,$A$5:$A$665,1)):INDEX($M$5:$M$665,MATCH($A582+90,$A$5:$A$665,1))),"")</f>
        <v>0.722873189176817</v>
      </c>
      <c r="T582" s="11" t="n">
        <f aca="false">IFERROR(N582/MEDIAN(INDEX($N$5:$N$665,MATCH($A582-90,$A$5:$A$665,1)):INDEX($N$5:$N$665,MATCH($A582+90,$A$5:$A$665,1))),"")</f>
        <v>1.07732610549403</v>
      </c>
      <c r="U582" s="11" t="n">
        <f aca="false">IFERROR(Q582/MEDIAN(INDEX($Q$5:$Q$665,MATCH($A582-90,$A$5:$A$665,1)):INDEX($Q$5:$Q$665,MATCH($A582+90,$A$5:$A$665,1))),"")</f>
        <v>0.278814799599456</v>
      </c>
    </row>
    <row r="583" customFormat="false" ht="15" hidden="false" customHeight="false" outlineLevel="0" collapsed="false">
      <c r="A583" s="13" t="n">
        <v>46052.6340510417</v>
      </c>
      <c r="B583" s="8" t="n">
        <v>15</v>
      </c>
      <c r="C583" s="8" t="s">
        <v>84</v>
      </c>
      <c r="D583" s="8"/>
      <c r="E583" s="14" t="s">
        <v>66</v>
      </c>
      <c r="F583" s="9" t="n">
        <v>171262</v>
      </c>
      <c r="G583" s="9" t="n">
        <v>62132</v>
      </c>
      <c r="H583" s="9" t="n">
        <v>32889</v>
      </c>
      <c r="I583" s="9" t="n">
        <v>0</v>
      </c>
      <c r="J583" s="9" t="n">
        <v>53</v>
      </c>
      <c r="K583" s="9" t="n">
        <v>8</v>
      </c>
      <c r="L583" s="9" t="n">
        <v>7</v>
      </c>
      <c r="M583" s="10" t="n">
        <f aca="false">IFERROR(G583/F583,"")</f>
        <v>0.362789176816807</v>
      </c>
      <c r="N583" s="10" t="n">
        <f aca="false">IFERROR(H583/G583,"")</f>
        <v>0.529340758385373</v>
      </c>
      <c r="O583" s="11" t="n">
        <f aca="false">IFERROR(I583/H583,"")</f>
        <v>0</v>
      </c>
      <c r="P583" s="10" t="n">
        <f aca="false">IFERROR(J583/H583,"")</f>
        <v>0.00161148104229378</v>
      </c>
      <c r="Q583" s="10" t="n">
        <f aca="false">IFERROR(K583/H583,"")</f>
        <v>0.000243242421478306</v>
      </c>
      <c r="R583" s="10" t="n">
        <f aca="false">IFERROR(L583/H583,"")</f>
        <v>0.000212837118793518</v>
      </c>
      <c r="S583" s="11" t="n">
        <f aca="false">IFERROR(M583/MEDIAN(INDEX($M$5:$M$665,MATCH($A583-90,$A$5:$A$665,1)):INDEX($M$5:$M$665,MATCH($A583+90,$A$5:$A$665,1))),"")</f>
        <v>0.914303230145968</v>
      </c>
      <c r="T583" s="11" t="n">
        <f aca="false">IFERROR(N583/MEDIAN(INDEX($N$5:$N$665,MATCH($A583-90,$A$5:$A$665,1)):INDEX($N$5:$N$665,MATCH($A583+90,$A$5:$A$665,1))),"")</f>
        <v>0.957806324262429</v>
      </c>
      <c r="U583" s="11" t="n">
        <f aca="false">IFERROR(Q583/MEDIAN(INDEX($Q$5:$Q$665,MATCH($A583-90,$A$5:$A$665,1)):INDEX($Q$5:$Q$665,MATCH($A583+90,$A$5:$A$665,1))),"")</f>
        <v>0.660342363708231</v>
      </c>
    </row>
    <row r="584" customFormat="false" ht="15" hidden="false" customHeight="false" outlineLevel="0" collapsed="false">
      <c r="A584" s="13" t="n">
        <v>46053.5661951157</v>
      </c>
      <c r="B584" s="8" t="n">
        <v>13</v>
      </c>
      <c r="C584" s="8" t="s">
        <v>68</v>
      </c>
      <c r="D584" s="8"/>
      <c r="E584" s="14" t="s">
        <v>66</v>
      </c>
      <c r="F584" s="9" t="n">
        <v>46077</v>
      </c>
      <c r="G584" s="9" t="n">
        <v>24620</v>
      </c>
      <c r="H584" s="9" t="n">
        <v>14537</v>
      </c>
      <c r="I584" s="9" t="n">
        <v>0</v>
      </c>
      <c r="J584" s="9" t="n">
        <v>58</v>
      </c>
      <c r="K584" s="9" t="n">
        <v>4</v>
      </c>
      <c r="L584" s="9" t="n">
        <v>7</v>
      </c>
      <c r="M584" s="10" t="n">
        <f aca="false">IFERROR(G584/F584,"")</f>
        <v>0.53432298109686</v>
      </c>
      <c r="N584" s="10" t="n">
        <f aca="false">IFERROR(H584/G584,"")</f>
        <v>0.590454914703493</v>
      </c>
      <c r="O584" s="11" t="n">
        <f aca="false">IFERROR(I584/H584,"")</f>
        <v>0</v>
      </c>
      <c r="P584" s="10" t="n">
        <f aca="false">IFERROR(J584/H584,"")</f>
        <v>0.00398981908234161</v>
      </c>
      <c r="Q584" s="10" t="n">
        <f aca="false">IFERROR(K584/H584,"")</f>
        <v>0.000275159936713215</v>
      </c>
      <c r="R584" s="10" t="n">
        <f aca="false">IFERROR(L584/H584,"")</f>
        <v>0.000481529889248125</v>
      </c>
      <c r="S584" s="11" t="n">
        <f aca="false">IFERROR(M584/MEDIAN(INDEX($M$5:$M$665,MATCH($A584-90,$A$5:$A$665,1)):INDEX($M$5:$M$665,MATCH($A584+90,$A$5:$A$665,1))),"")</f>
        <v>1.34660364414556</v>
      </c>
      <c r="T584" s="11" t="n">
        <f aca="false">IFERROR(N584/MEDIAN(INDEX($N$5:$N$665,MATCH($A584-90,$A$5:$A$665,1)):INDEX($N$5:$N$665,MATCH($A584+90,$A$5:$A$665,1))),"")</f>
        <v>1.06838825942647</v>
      </c>
      <c r="U584" s="11" t="n">
        <f aca="false">IFERROR(Q584/MEDIAN(INDEX($Q$5:$Q$665,MATCH($A584-90,$A$5:$A$665,1)):INDEX($Q$5:$Q$665,MATCH($A584+90,$A$5:$A$665,1))),"")</f>
        <v>0.749977241636971</v>
      </c>
    </row>
    <row r="585" customFormat="false" ht="15" hidden="false" customHeight="false" outlineLevel="0" collapsed="false">
      <c r="A585" s="13" t="n">
        <v>46055.5806668634</v>
      </c>
      <c r="B585" s="8" t="n">
        <v>13</v>
      </c>
      <c r="C585" s="8" t="s">
        <v>80</v>
      </c>
      <c r="D585" s="8"/>
      <c r="E585" s="14" t="s">
        <v>66</v>
      </c>
      <c r="F585" s="9" t="n">
        <v>312273</v>
      </c>
      <c r="G585" s="9" t="n">
        <v>69206</v>
      </c>
      <c r="H585" s="9" t="n">
        <v>53844</v>
      </c>
      <c r="I585" s="9" t="n">
        <v>0</v>
      </c>
      <c r="J585" s="9" t="n">
        <v>106</v>
      </c>
      <c r="K585" s="9" t="n">
        <v>12</v>
      </c>
      <c r="L585" s="9" t="n">
        <v>26</v>
      </c>
      <c r="M585" s="10" t="n">
        <f aca="false">IFERROR(G585/F585,"")</f>
        <v>0.221620184902313</v>
      </c>
      <c r="N585" s="10" t="n">
        <f aca="false">IFERROR(H585/G585,"")</f>
        <v>0.778025026731786</v>
      </c>
      <c r="O585" s="11" t="n">
        <f aca="false">IFERROR(I585/H585,"")</f>
        <v>0</v>
      </c>
      <c r="P585" s="10" t="n">
        <f aca="false">IFERROR(J585/H585,"")</f>
        <v>0.00196865017457841</v>
      </c>
      <c r="Q585" s="10" t="n">
        <f aca="false">IFERROR(K585/H585,"")</f>
        <v>0.000222866057499443</v>
      </c>
      <c r="R585" s="10" t="n">
        <f aca="false">IFERROR(L585/H585,"")</f>
        <v>0.00048287645791546</v>
      </c>
      <c r="S585" s="11" t="n">
        <f aca="false">IFERROR(M585/MEDIAN(INDEX($M$5:$M$665,MATCH($A585-90,$A$5:$A$665,1)):INDEX($M$5:$M$665,MATCH($A585+90,$A$5:$A$665,1))),"")</f>
        <v>0.556027325341785</v>
      </c>
      <c r="T585" s="11" t="n">
        <f aca="false">IFERROR(N585/MEDIAN(INDEX($N$5:$N$665,MATCH($A585-90,$A$5:$A$665,1)):INDEX($N$5:$N$665,MATCH($A585+90,$A$5:$A$665,1))),"")</f>
        <v>1.40850590868382</v>
      </c>
      <c r="U585" s="11" t="n">
        <f aca="false">IFERROR(Q585/MEDIAN(INDEX($Q$5:$Q$665,MATCH($A585-90,$A$5:$A$665,1)):INDEX($Q$5:$Q$665,MATCH($A585+90,$A$5:$A$665,1))),"")</f>
        <v>0.615406278305301</v>
      </c>
    </row>
    <row r="586" customFormat="false" ht="15" hidden="false" customHeight="false" outlineLevel="0" collapsed="false">
      <c r="A586" s="13" t="n">
        <v>46056.4653805903</v>
      </c>
      <c r="B586" s="8" t="n">
        <v>11</v>
      </c>
      <c r="C586" s="8" t="s">
        <v>64</v>
      </c>
      <c r="D586" s="8"/>
      <c r="E586" s="14" t="s">
        <v>66</v>
      </c>
      <c r="F586" s="9" t="n">
        <v>18248</v>
      </c>
      <c r="G586" s="9" t="n">
        <v>9110</v>
      </c>
      <c r="H586" s="9" t="n">
        <v>4264</v>
      </c>
      <c r="I586" s="9" t="n">
        <v>0</v>
      </c>
      <c r="J586" s="9" t="n">
        <v>62</v>
      </c>
      <c r="K586" s="9" t="n">
        <v>8</v>
      </c>
      <c r="L586" s="9" t="n">
        <v>10</v>
      </c>
      <c r="M586" s="10" t="n">
        <f aca="false">IFERROR(G586/F586,"")</f>
        <v>0.499232792634809</v>
      </c>
      <c r="N586" s="10" t="n">
        <f aca="false">IFERROR(H586/G586,"")</f>
        <v>0.468057080131723</v>
      </c>
      <c r="O586" s="11" t="n">
        <f aca="false">IFERROR(I586/H586,"")</f>
        <v>0</v>
      </c>
      <c r="P586" s="10" t="n">
        <f aca="false">IFERROR(J586/H586,"")</f>
        <v>0.0145403377110694</v>
      </c>
      <c r="Q586" s="10" t="n">
        <f aca="false">IFERROR(K586/H586,"")</f>
        <v>0.00187617260787993</v>
      </c>
      <c r="R586" s="10" t="n">
        <f aca="false">IFERROR(L586/H586,"")</f>
        <v>0.00234521575984991</v>
      </c>
      <c r="S586" s="11" t="n">
        <f aca="false">IFERROR(M586/MEDIAN(INDEX($M$5:$M$665,MATCH($A586-90,$A$5:$A$665,1)):INDEX($M$5:$M$665,MATCH($A586+90,$A$5:$A$665,1))),"")</f>
        <v>1.25253516295909</v>
      </c>
      <c r="T586" s="11" t="n">
        <f aca="false">IFERROR(N586/MEDIAN(INDEX($N$5:$N$665,MATCH($A586-90,$A$5:$A$665,1)):INDEX($N$5:$N$665,MATCH($A586+90,$A$5:$A$665,1))),"")</f>
        <v>0.847352129193266</v>
      </c>
      <c r="U586" s="11" t="n">
        <f aca="false">IFERROR(Q586/MEDIAN(INDEX($Q$5:$Q$665,MATCH($A586-90,$A$5:$A$665,1)):INDEX($Q$5:$Q$665,MATCH($A586+90,$A$5:$A$665,1))),"")</f>
        <v>5.18072790010485</v>
      </c>
    </row>
    <row r="587" customFormat="false" ht="15" hidden="false" customHeight="false" outlineLevel="0" collapsed="false">
      <c r="A587" s="13" t="n">
        <v>46056.5340847685</v>
      </c>
      <c r="B587" s="8" t="n">
        <v>12</v>
      </c>
      <c r="C587" s="8" t="s">
        <v>64</v>
      </c>
      <c r="D587" s="8"/>
      <c r="E587" s="14" t="s">
        <v>66</v>
      </c>
      <c r="F587" s="9" t="n">
        <v>20755</v>
      </c>
      <c r="G587" s="9" t="n">
        <v>9444</v>
      </c>
      <c r="H587" s="9" t="n">
        <v>4469</v>
      </c>
      <c r="I587" s="9" t="n">
        <v>0</v>
      </c>
      <c r="J587" s="9" t="n">
        <v>42</v>
      </c>
      <c r="K587" s="9" t="n">
        <v>3</v>
      </c>
      <c r="L587" s="9" t="n">
        <v>5</v>
      </c>
      <c r="M587" s="10" t="n">
        <f aca="false">IFERROR(G587/F587,"")</f>
        <v>0.455022886051554</v>
      </c>
      <c r="N587" s="10" t="n">
        <f aca="false">IFERROR(H587/G587,"")</f>
        <v>0.473210504023719</v>
      </c>
      <c r="O587" s="11" t="n">
        <f aca="false">IFERROR(I587/H587,"")</f>
        <v>0</v>
      </c>
      <c r="P587" s="10" t="n">
        <f aca="false">IFERROR(J587/H587,"")</f>
        <v>0.00939807563213247</v>
      </c>
      <c r="Q587" s="10" t="n">
        <f aca="false">IFERROR(K587/H587,"")</f>
        <v>0.000671291116580891</v>
      </c>
      <c r="R587" s="10" t="n">
        <f aca="false">IFERROR(L587/H587,"")</f>
        <v>0.00111881852763482</v>
      </c>
      <c r="S587" s="11" t="n">
        <f aca="false">IFERROR(M587/MEDIAN(INDEX($M$5:$M$665,MATCH($A587-90,$A$5:$A$665,1)):INDEX($M$5:$M$665,MATCH($A587+90,$A$5:$A$665,1))),"")</f>
        <v>1.14161604193258</v>
      </c>
      <c r="T587" s="11" t="n">
        <f aca="false">IFERROR(N587/MEDIAN(INDEX($N$5:$N$665,MATCH($A587-90,$A$5:$A$665,1)):INDEX($N$5:$N$665,MATCH($A587+90,$A$5:$A$665,1))),"")</f>
        <v>0.856681685123258</v>
      </c>
      <c r="U587" s="11" t="n">
        <f aca="false">IFERROR(Q587/MEDIAN(INDEX($Q$5:$Q$665,MATCH($A587-90,$A$5:$A$665,1)):INDEX($Q$5:$Q$665,MATCH($A587+90,$A$5:$A$665,1))),"")</f>
        <v>1.85365493673476</v>
      </c>
    </row>
    <row r="588" customFormat="false" ht="15" hidden="false" customHeight="false" outlineLevel="0" collapsed="false">
      <c r="A588" s="13" t="n">
        <v>46057.5950779745</v>
      </c>
      <c r="B588" s="8" t="n">
        <v>14</v>
      </c>
      <c r="C588" s="8" t="s">
        <v>71</v>
      </c>
      <c r="D588" s="8"/>
      <c r="E588" s="14" t="s">
        <v>66</v>
      </c>
      <c r="F588" s="9" t="n">
        <v>3741</v>
      </c>
      <c r="G588" s="9" t="n">
        <v>232</v>
      </c>
      <c r="H588" s="9" t="n">
        <v>501</v>
      </c>
      <c r="I588" s="9" t="n">
        <v>0</v>
      </c>
      <c r="J588" s="9" t="n">
        <v>18</v>
      </c>
      <c r="K588" s="9" t="n">
        <v>3</v>
      </c>
      <c r="L588" s="9" t="n">
        <v>4</v>
      </c>
      <c r="M588" s="10" t="n">
        <f aca="false">IFERROR(G588/F588,"")</f>
        <v>0.062015503875969</v>
      </c>
      <c r="N588" s="10" t="n">
        <f aca="false">IFERROR(H588/G588,"")</f>
        <v>2.15948275862069</v>
      </c>
      <c r="O588" s="11" t="n">
        <f aca="false">IFERROR(I588/H588,"")</f>
        <v>0</v>
      </c>
      <c r="P588" s="10" t="n">
        <f aca="false">IFERROR(J588/H588,"")</f>
        <v>0.0359281437125749</v>
      </c>
      <c r="Q588" s="10" t="n">
        <f aca="false">IFERROR(K588/H588,"")</f>
        <v>0.00598802395209581</v>
      </c>
      <c r="R588" s="10" t="n">
        <f aca="false">IFERROR(L588/H588,"")</f>
        <v>0.00798403193612774</v>
      </c>
      <c r="S588" s="11" t="n">
        <f aca="false">IFERROR(M588/MEDIAN(INDEX($M$5:$M$665,MATCH($A588-90,$A$5:$A$665,1)):INDEX($M$5:$M$665,MATCH($A588+90,$A$5:$A$665,1))),"")</f>
        <v>0.154898316455605</v>
      </c>
      <c r="T588" s="11" t="n">
        <f aca="false">IFERROR(N588/MEDIAN(INDEX($N$5:$N$665,MATCH($A588-90,$A$5:$A$665,1)):INDEX($N$5:$N$665,MATCH($A588+90,$A$5:$A$665,1))),"")</f>
        <v>3.91144927263666</v>
      </c>
      <c r="U588" s="11" t="n">
        <f aca="false">IFERROR(Q588/MEDIAN(INDEX($Q$5:$Q$665,MATCH($A588-90,$A$5:$A$665,1)):INDEX($Q$5:$Q$665,MATCH($A588+90,$A$5:$A$665,1))),"")</f>
        <v>16.320986768977</v>
      </c>
    </row>
    <row r="589" customFormat="false" ht="15" hidden="false" customHeight="false" outlineLevel="0" collapsed="false">
      <c r="A589" s="13" t="n">
        <v>46059.5891727431</v>
      </c>
      <c r="B589" s="8" t="n">
        <v>14</v>
      </c>
      <c r="C589" s="8" t="s">
        <v>84</v>
      </c>
      <c r="D589" s="8"/>
      <c r="E589" s="14" t="s">
        <v>66</v>
      </c>
      <c r="F589" s="9" t="n">
        <v>11455</v>
      </c>
      <c r="G589" s="9" t="n">
        <v>6109</v>
      </c>
      <c r="H589" s="9" t="n">
        <v>2456</v>
      </c>
      <c r="I589" s="9" t="n">
        <v>0</v>
      </c>
      <c r="J589" s="9" t="n">
        <v>28</v>
      </c>
      <c r="K589" s="9" t="n">
        <v>1</v>
      </c>
      <c r="L589" s="9" t="n">
        <v>1</v>
      </c>
      <c r="M589" s="10" t="n">
        <f aca="false">IFERROR(G589/F589,"")</f>
        <v>0.53330423395897</v>
      </c>
      <c r="N589" s="10" t="n">
        <f aca="false">IFERROR(H589/G589,"")</f>
        <v>0.402029792110002</v>
      </c>
      <c r="O589" s="11" t="n">
        <f aca="false">IFERROR(I589/H589,"")</f>
        <v>0</v>
      </c>
      <c r="P589" s="10" t="n">
        <f aca="false">IFERROR(J589/H589,"")</f>
        <v>0.011400651465798</v>
      </c>
      <c r="Q589" s="10" t="n">
        <f aca="false">IFERROR(K589/H589,"")</f>
        <v>0.000407166123778502</v>
      </c>
      <c r="R589" s="10" t="n">
        <f aca="false">IFERROR(L589/H589,"")</f>
        <v>0.000407166123778502</v>
      </c>
      <c r="S589" s="11" t="n">
        <f aca="false">IFERROR(M589/MEDIAN(INDEX($M$5:$M$665,MATCH($A589-90,$A$5:$A$665,1)):INDEX($M$5:$M$665,MATCH($A589+90,$A$5:$A$665,1))),"")</f>
        <v>1.33801768522286</v>
      </c>
      <c r="T589" s="11" t="n">
        <f aca="false">IFERROR(N589/MEDIAN(INDEX($N$5:$N$665,MATCH($A589-90,$A$5:$A$665,1)):INDEX($N$5:$N$665,MATCH($A589+90,$A$5:$A$665,1))),"")</f>
        <v>0.728869765286335</v>
      </c>
      <c r="U589" s="11" t="n">
        <f aca="false">IFERROR(Q589/MEDIAN(INDEX($Q$5:$Q$665,MATCH($A589-90,$A$5:$A$665,1)):INDEX($Q$5:$Q$665,MATCH($A589+90,$A$5:$A$665,1))),"")</f>
        <v>1.12431920633383</v>
      </c>
    </row>
    <row r="590" customFormat="false" ht="15" hidden="false" customHeight="false" outlineLevel="0" collapsed="false">
      <c r="A590" s="13" t="n">
        <v>46060.753829213</v>
      </c>
      <c r="B590" s="8" t="n">
        <v>18</v>
      </c>
      <c r="C590" s="8" t="s">
        <v>68</v>
      </c>
      <c r="D590" s="8"/>
      <c r="E590" s="14" t="s">
        <v>66</v>
      </c>
      <c r="F590" s="9" t="n">
        <v>15217</v>
      </c>
      <c r="G590" s="9" t="n">
        <v>6038</v>
      </c>
      <c r="H590" s="9" t="n">
        <v>4170</v>
      </c>
      <c r="I590" s="9" t="n">
        <v>0</v>
      </c>
      <c r="J590" s="9" t="n">
        <v>52</v>
      </c>
      <c r="K590" s="9" t="n">
        <v>3</v>
      </c>
      <c r="L590" s="9" t="n">
        <v>1</v>
      </c>
      <c r="M590" s="10" t="n">
        <f aca="false">IFERROR(G590/F590,"")</f>
        <v>0.396793060392982</v>
      </c>
      <c r="N590" s="10" t="n">
        <f aca="false">IFERROR(H590/G590,"")</f>
        <v>0.690626035110964</v>
      </c>
      <c r="O590" s="11" t="n">
        <f aca="false">IFERROR(I590/H590,"")</f>
        <v>0</v>
      </c>
      <c r="P590" s="10" t="n">
        <f aca="false">IFERROR(J590/H590,"")</f>
        <v>0.0124700239808153</v>
      </c>
      <c r="Q590" s="10" t="n">
        <f aca="false">IFERROR(K590/H590,"")</f>
        <v>0.000719424460431655</v>
      </c>
      <c r="R590" s="10" t="n">
        <f aca="false">IFERROR(L590/H590,"")</f>
        <v>0.000239808153477218</v>
      </c>
      <c r="S590" s="11" t="n">
        <f aca="false">IFERROR(M590/MEDIAN(INDEX($M$5:$M$665,MATCH($A590-90,$A$5:$A$665,1)):INDEX($M$5:$M$665,MATCH($A590+90,$A$5:$A$665,1))),"")</f>
        <v>0.991084054707761</v>
      </c>
      <c r="T590" s="11" t="n">
        <f aca="false">IFERROR(N590/MEDIAN(INDEX($N$5:$N$665,MATCH($A590-90,$A$5:$A$665,1)):INDEX($N$5:$N$665,MATCH($A590+90,$A$5:$A$665,1))),"")</f>
        <v>1.25325301099625</v>
      </c>
      <c r="U590" s="11" t="n">
        <f aca="false">IFERROR(Q590/MEDIAN(INDEX($Q$5:$Q$665,MATCH($A590-90,$A$5:$A$665,1)):INDEX($Q$5:$Q$665,MATCH($A590+90,$A$5:$A$665,1))),"")</f>
        <v>1.96086675569724</v>
      </c>
    </row>
    <row r="591" customFormat="false" ht="15" hidden="false" customHeight="false" outlineLevel="0" collapsed="false">
      <c r="A591" s="13" t="n">
        <v>46062.6443106482</v>
      </c>
      <c r="B591" s="8" t="n">
        <v>15</v>
      </c>
      <c r="C591" s="8" t="s">
        <v>80</v>
      </c>
      <c r="D591" s="8"/>
      <c r="E591" s="14" t="s">
        <v>66</v>
      </c>
      <c r="F591" s="9" t="n">
        <v>10129</v>
      </c>
      <c r="G591" s="9" t="n">
        <v>3463</v>
      </c>
      <c r="H591" s="9" t="n">
        <v>2418</v>
      </c>
      <c r="I591" s="9" t="n">
        <v>0</v>
      </c>
      <c r="J591" s="9" t="n">
        <v>38</v>
      </c>
      <c r="K591" s="9" t="n">
        <v>3</v>
      </c>
      <c r="L591" s="9" t="n">
        <v>0</v>
      </c>
      <c r="M591" s="10" t="n">
        <f aca="false">IFERROR(G591/F591,"")</f>
        <v>0.341889623852305</v>
      </c>
      <c r="N591" s="10" t="n">
        <f aca="false">IFERROR(H591/G591,"")</f>
        <v>0.698238521513139</v>
      </c>
      <c r="O591" s="11" t="n">
        <f aca="false">IFERROR(I591/H591,"")</f>
        <v>0</v>
      </c>
      <c r="P591" s="10" t="n">
        <f aca="false">IFERROR(J591/H591,"")</f>
        <v>0.0157154673283706</v>
      </c>
      <c r="Q591" s="10" t="n">
        <f aca="false">IFERROR(K591/H591,"")</f>
        <v>0.00124069478908189</v>
      </c>
      <c r="R591" s="10" t="n">
        <f aca="false">IFERROR(L591/H591,"")</f>
        <v>0</v>
      </c>
      <c r="S591" s="11" t="n">
        <f aca="false">IFERROR(M591/MEDIAN(INDEX($M$5:$M$665,MATCH($A591-90,$A$5:$A$665,1)):INDEX($M$5:$M$665,MATCH($A591+90,$A$5:$A$665,1))),"")</f>
        <v>0.852017463032202</v>
      </c>
      <c r="T591" s="11" t="n">
        <f aca="false">IFERROR(N591/MEDIAN(INDEX($N$5:$N$665,MATCH($A591-90,$A$5:$A$665,1)):INDEX($N$5:$N$665,MATCH($A591+90,$A$5:$A$665,1))),"")</f>
        <v>1.27748607697988</v>
      </c>
      <c r="U591" s="11" t="n">
        <f aca="false">IFERROR(Q591/MEDIAN(INDEX($Q$5:$Q$665,MATCH($A591-90,$A$5:$A$665,1)):INDEX($Q$5:$Q$665,MATCH($A591+90,$A$5:$A$665,1))),"")</f>
        <v>3.37489648421412</v>
      </c>
    </row>
    <row r="592" customFormat="false" ht="15" hidden="false" customHeight="false" outlineLevel="0" collapsed="false">
      <c r="A592" s="13" t="n">
        <v>46064.5361509144</v>
      </c>
      <c r="B592" s="8" t="n">
        <v>12</v>
      </c>
      <c r="C592" s="8" t="s">
        <v>71</v>
      </c>
      <c r="D592" s="8"/>
      <c r="E592" s="14" t="s">
        <v>66</v>
      </c>
      <c r="F592" s="9" t="n">
        <v>1577630</v>
      </c>
      <c r="G592" s="9" t="n">
        <v>245360</v>
      </c>
      <c r="H592" s="9" t="n">
        <v>422052</v>
      </c>
      <c r="I592" s="9" t="n">
        <v>0</v>
      </c>
      <c r="J592" s="9" t="n">
        <v>507</v>
      </c>
      <c r="K592" s="9" t="n">
        <v>63</v>
      </c>
      <c r="L592" s="9" t="n">
        <v>82</v>
      </c>
      <c r="M592" s="10" t="n">
        <f aca="false">IFERROR(G592/F592,"")</f>
        <v>0.155524425879325</v>
      </c>
      <c r="N592" s="10" t="n">
        <f aca="false">IFERROR(H592/G592,"")</f>
        <v>1.72013368112162</v>
      </c>
      <c r="O592" s="11" t="n">
        <f aca="false">IFERROR(I592/H592,"")</f>
        <v>0</v>
      </c>
      <c r="P592" s="10" t="n">
        <f aca="false">IFERROR(J592/H592,"")</f>
        <v>0.00120127377669102</v>
      </c>
      <c r="Q592" s="10" t="n">
        <f aca="false">IFERROR(K592/H592,"")</f>
        <v>0.000149270705979358</v>
      </c>
      <c r="R592" s="10" t="n">
        <f aca="false">IFERROR(L592/H592,"")</f>
        <v>0.000194288855401704</v>
      </c>
      <c r="S592" s="11" t="n">
        <f aca="false">IFERROR(M592/MEDIAN(INDEX($M$5:$M$665,MATCH($A592-90,$A$5:$A$665,1)):INDEX($M$5:$M$665,MATCH($A592+90,$A$5:$A$665,1))),"")</f>
        <v>0.386704798614327</v>
      </c>
      <c r="T592" s="11" t="n">
        <f aca="false">IFERROR(N592/MEDIAN(INDEX($N$5:$N$665,MATCH($A592-90,$A$5:$A$665,1)):INDEX($N$5:$N$665,MATCH($A592+90,$A$5:$A$665,1))),"")</f>
        <v>3.17322229329904</v>
      </c>
      <c r="U592" s="11" t="n">
        <f aca="false">IFERROR(Q592/MEDIAN(INDEX($Q$5:$Q$665,MATCH($A592-90,$A$5:$A$665,1)):INDEX($Q$5:$Q$665,MATCH($A592+90,$A$5:$A$665,1))),"")</f>
        <v>0.405232649057462</v>
      </c>
    </row>
    <row r="593" customFormat="false" ht="15" hidden="false" customHeight="false" outlineLevel="0" collapsed="false">
      <c r="A593" s="13" t="n">
        <v>46066.5113327894</v>
      </c>
      <c r="B593" s="8" t="n">
        <v>12</v>
      </c>
      <c r="C593" s="8" t="s">
        <v>84</v>
      </c>
      <c r="D593" s="8"/>
      <c r="E593" s="14" t="s">
        <v>66</v>
      </c>
      <c r="F593" s="9" t="n">
        <v>109798</v>
      </c>
      <c r="G593" s="9" t="n">
        <v>33601</v>
      </c>
      <c r="H593" s="9" t="n">
        <v>25131</v>
      </c>
      <c r="I593" s="9" t="n">
        <v>0</v>
      </c>
      <c r="J593" s="9" t="n">
        <v>64</v>
      </c>
      <c r="K593" s="9" t="n">
        <v>7</v>
      </c>
      <c r="L593" s="9" t="n">
        <v>5</v>
      </c>
      <c r="M593" s="10" t="n">
        <f aca="false">IFERROR(G593/F593,"")</f>
        <v>0.306025610666861</v>
      </c>
      <c r="N593" s="10" t="n">
        <f aca="false">IFERROR(H593/G593,"")</f>
        <v>0.747924168923544</v>
      </c>
      <c r="O593" s="11" t="n">
        <f aca="false">IFERROR(I593/H593,"")</f>
        <v>0</v>
      </c>
      <c r="P593" s="10" t="n">
        <f aca="false">IFERROR(J593/H593,"")</f>
        <v>0.00254665552504874</v>
      </c>
      <c r="Q593" s="10" t="n">
        <f aca="false">IFERROR(K593/H593,"")</f>
        <v>0.000278540448052206</v>
      </c>
      <c r="R593" s="10" t="n">
        <f aca="false">IFERROR(L593/H593,"")</f>
        <v>0.000198957462894433</v>
      </c>
      <c r="S593" s="11" t="n">
        <f aca="false">IFERROR(M593/MEDIAN(INDEX($M$5:$M$665,MATCH($A593-90,$A$5:$A$665,1)):INDEX($M$5:$M$665,MATCH($A593+90,$A$5:$A$665,1))),"")</f>
        <v>0.7643709866391</v>
      </c>
      <c r="T593" s="11" t="n">
        <f aca="false">IFERROR(N593/MEDIAN(INDEX($N$5:$N$665,MATCH($A593-90,$A$5:$A$665,1)):INDEX($N$5:$N$665,MATCH($A593+90,$A$5:$A$665,1))),"")</f>
        <v>1.37973558251462</v>
      </c>
      <c r="U593" s="11" t="n">
        <f aca="false">IFERROR(Q593/MEDIAN(INDEX($Q$5:$Q$665,MATCH($A593-90,$A$5:$A$665,1)):INDEX($Q$5:$Q$665,MATCH($A593+90,$A$5:$A$665,1))),"")</f>
        <v>0.756167681349727</v>
      </c>
    </row>
    <row r="594" customFormat="false" ht="15" hidden="false" customHeight="false" outlineLevel="0" collapsed="false">
      <c r="A594" s="13" t="n">
        <v>46067.4349585532</v>
      </c>
      <c r="B594" s="8" t="n">
        <v>10</v>
      </c>
      <c r="C594" s="8" t="s">
        <v>68</v>
      </c>
      <c r="D594" s="8"/>
      <c r="E594" s="14" t="s">
        <v>66</v>
      </c>
      <c r="F594" s="9" t="n">
        <v>40204</v>
      </c>
      <c r="G594" s="9" t="n">
        <v>25612</v>
      </c>
      <c r="H594" s="9" t="n">
        <v>10859</v>
      </c>
      <c r="I594" s="9" t="n">
        <v>0</v>
      </c>
      <c r="J594" s="9" t="n">
        <v>39</v>
      </c>
      <c r="K594" s="9" t="n">
        <v>4</v>
      </c>
      <c r="L594" s="9" t="n">
        <v>5</v>
      </c>
      <c r="M594" s="10" t="n">
        <f aca="false">IFERROR(G594/F594,"")</f>
        <v>0.637051039697543</v>
      </c>
      <c r="N594" s="10" t="n">
        <f aca="false">IFERROR(H594/G594,"")</f>
        <v>0.42398094643136</v>
      </c>
      <c r="O594" s="11" t="n">
        <f aca="false">IFERROR(I594/H594,"")</f>
        <v>0</v>
      </c>
      <c r="P594" s="10" t="n">
        <f aca="false">IFERROR(J594/H594,"")</f>
        <v>0.00359149092918317</v>
      </c>
      <c r="Q594" s="10" t="n">
        <f aca="false">IFERROR(K594/H594,"")</f>
        <v>0.000368358044018786</v>
      </c>
      <c r="R594" s="10" t="n">
        <f aca="false">IFERROR(L594/H594,"")</f>
        <v>0.000460447555023483</v>
      </c>
      <c r="S594" s="11" t="n">
        <f aca="false">IFERROR(M594/MEDIAN(INDEX($M$5:$M$665,MATCH($A594-90,$A$5:$A$665,1)):INDEX($M$5:$M$665,MATCH($A594+90,$A$5:$A$665,1))),"")</f>
        <v>1.58758433364917</v>
      </c>
      <c r="T594" s="11" t="n">
        <f aca="false">IFERROR(N594/MEDIAN(INDEX($N$5:$N$665,MATCH($A594-90,$A$5:$A$665,1)):INDEX($N$5:$N$665,MATCH($A594+90,$A$5:$A$665,1))),"")</f>
        <v>0.775708786156713</v>
      </c>
      <c r="U594" s="11" t="n">
        <f aca="false">IFERROR(Q594/MEDIAN(INDEX($Q$5:$Q$665,MATCH($A594-90,$A$5:$A$665,1)):INDEX($Q$5:$Q$665,MATCH($A594+90,$A$5:$A$665,1))),"")</f>
        <v>1.00199523575894</v>
      </c>
    </row>
    <row r="595" customFormat="false" ht="15" hidden="false" customHeight="false" outlineLevel="0" collapsed="false">
      <c r="A595" s="13" t="n">
        <v>46069.5787181019</v>
      </c>
      <c r="B595" s="8" t="n">
        <v>13</v>
      </c>
      <c r="C595" s="8" t="s">
        <v>80</v>
      </c>
      <c r="D595" s="8"/>
      <c r="E595" s="14" t="s">
        <v>66</v>
      </c>
      <c r="F595" s="9" t="n">
        <v>237728</v>
      </c>
      <c r="G595" s="9" t="n">
        <v>83235</v>
      </c>
      <c r="H595" s="9" t="n">
        <v>50226</v>
      </c>
      <c r="I595" s="9" t="n">
        <v>0</v>
      </c>
      <c r="J595" s="9" t="n">
        <v>101</v>
      </c>
      <c r="K595" s="9" t="n">
        <v>4</v>
      </c>
      <c r="L595" s="9" t="n">
        <v>19</v>
      </c>
      <c r="M595" s="10" t="n">
        <f aca="false">IFERROR(G595/F595,"")</f>
        <v>0.350127035940234</v>
      </c>
      <c r="N595" s="10" t="n">
        <f aca="false">IFERROR(H595/G595,"")</f>
        <v>0.603424040367634</v>
      </c>
      <c r="O595" s="11" t="n">
        <f aca="false">IFERROR(I595/H595,"")</f>
        <v>0</v>
      </c>
      <c r="P595" s="10" t="n">
        <f aca="false">IFERROR(J595/H595,"")</f>
        <v>0.00201091068370963</v>
      </c>
      <c r="Q595" s="10" t="n">
        <f aca="false">IFERROR(K595/H595,"")</f>
        <v>7.96400270776092E-005</v>
      </c>
      <c r="R595" s="10" t="n">
        <f aca="false">IFERROR(L595/H595,"")</f>
        <v>0.000378290128618644</v>
      </c>
      <c r="S595" s="11" t="n">
        <f aca="false">IFERROR(M595/MEDIAN(INDEX($M$5:$M$665,MATCH($A595-90,$A$5:$A$665,1)):INDEX($M$5:$M$665,MATCH($A595+90,$A$5:$A$665,1))),"")</f>
        <v>0.870575822139706</v>
      </c>
      <c r="T595" s="11" t="n">
        <f aca="false">IFERROR(N595/MEDIAN(INDEX($N$5:$N$665,MATCH($A595-90,$A$5:$A$665,1)):INDEX($N$5:$N$665,MATCH($A595+90,$A$5:$A$665,1))),"")</f>
        <v>1.1131684927875</v>
      </c>
      <c r="U595" s="11" t="n">
        <f aca="false">IFERROR(Q595/MEDIAN(INDEX($Q$5:$Q$665,MATCH($A595-90,$A$5:$A$665,1)):INDEX($Q$5:$Q$665,MATCH($A595+90,$A$5:$A$665,1))),"")</f>
        <v>0.217067239311843</v>
      </c>
    </row>
    <row r="596" customFormat="false" ht="15" hidden="false" customHeight="false" outlineLevel="0" collapsed="false">
      <c r="A596" s="13" t="n">
        <v>46071.5440239236</v>
      </c>
      <c r="B596" s="8" t="n">
        <v>13</v>
      </c>
      <c r="C596" s="8" t="s">
        <v>71</v>
      </c>
      <c r="D596" s="8"/>
      <c r="E596" s="14" t="s">
        <v>66</v>
      </c>
      <c r="F596" s="9" t="n">
        <v>25967</v>
      </c>
      <c r="G596" s="9" t="n">
        <v>14988</v>
      </c>
      <c r="H596" s="9" t="n">
        <v>6593</v>
      </c>
      <c r="I596" s="9" t="n">
        <v>0</v>
      </c>
      <c r="J596" s="9" t="n">
        <v>22</v>
      </c>
      <c r="K596" s="9" t="n">
        <v>3</v>
      </c>
      <c r="L596" s="9" t="n">
        <v>2</v>
      </c>
      <c r="M596" s="10" t="n">
        <f aca="false">IFERROR(G596/F596,"")</f>
        <v>0.577194131012439</v>
      </c>
      <c r="N596" s="10" t="n">
        <f aca="false">IFERROR(H596/G596,"")</f>
        <v>0.439885241526555</v>
      </c>
      <c r="O596" s="11" t="n">
        <f aca="false">IFERROR(I596/H596,"")</f>
        <v>0</v>
      </c>
      <c r="P596" s="10" t="n">
        <f aca="false">IFERROR(J596/H596,"")</f>
        <v>0.00333687244046716</v>
      </c>
      <c r="Q596" s="10" t="n">
        <f aca="false">IFERROR(K596/H596,"")</f>
        <v>0.000455028060063704</v>
      </c>
      <c r="R596" s="10" t="n">
        <f aca="false">IFERROR(L596/H596,"")</f>
        <v>0.000303352040042469</v>
      </c>
      <c r="S596" s="11" t="n">
        <f aca="false">IFERROR(M596/MEDIAN(INDEX($M$5:$M$665,MATCH($A596-90,$A$5:$A$665,1)):INDEX($M$5:$M$665,MATCH($A596+90,$A$5:$A$665,1))),"")</f>
        <v>1.43516839192658</v>
      </c>
      <c r="T596" s="11" t="n">
        <f aca="false">IFERROR(N596/MEDIAN(INDEX($N$5:$N$665,MATCH($A596-90,$A$5:$A$665,1)):INDEX($N$5:$N$665,MATCH($A596+90,$A$5:$A$665,1))),"")</f>
        <v>0.811479753128912</v>
      </c>
      <c r="U596" s="11" t="n">
        <f aca="false">IFERROR(Q596/MEDIAN(INDEX($Q$5:$Q$665,MATCH($A596-90,$A$5:$A$665,1)):INDEX($Q$5:$Q$665,MATCH($A596+90,$A$5:$A$665,1))),"")</f>
        <v>1.24022666028477</v>
      </c>
    </row>
    <row r="597" customFormat="false" ht="15" hidden="false" customHeight="false" outlineLevel="0" collapsed="false">
      <c r="A597" s="13" t="n">
        <v>46073.5433737153</v>
      </c>
      <c r="B597" s="8" t="n">
        <v>13</v>
      </c>
      <c r="C597" s="8" t="s">
        <v>84</v>
      </c>
      <c r="D597" s="8"/>
      <c r="E597" s="14" t="s">
        <v>66</v>
      </c>
      <c r="F597" s="9" t="n">
        <v>55428</v>
      </c>
      <c r="G597" s="9" t="n">
        <v>21306</v>
      </c>
      <c r="H597" s="9" t="n">
        <v>12238</v>
      </c>
      <c r="I597" s="9" t="n">
        <v>0</v>
      </c>
      <c r="J597" s="9" t="n">
        <v>47</v>
      </c>
      <c r="K597" s="9" t="n">
        <v>1</v>
      </c>
      <c r="L597" s="9" t="n">
        <v>2</v>
      </c>
      <c r="M597" s="10" t="n">
        <f aca="false">IFERROR(G597/F597,"")</f>
        <v>0.38439056072743</v>
      </c>
      <c r="N597" s="10" t="n">
        <f aca="false">IFERROR(H597/G597,"")</f>
        <v>0.574392189993429</v>
      </c>
      <c r="O597" s="11" t="n">
        <f aca="false">IFERROR(I597/H597,"")</f>
        <v>0</v>
      </c>
      <c r="P597" s="10" t="n">
        <f aca="false">IFERROR(J597/H597,"")</f>
        <v>0.00384049681320477</v>
      </c>
      <c r="Q597" s="10" t="n">
        <f aca="false">IFERROR(K597/H597,"")</f>
        <v>8.1712698153293E-005</v>
      </c>
      <c r="R597" s="10" t="n">
        <f aca="false">IFERROR(L597/H597,"")</f>
        <v>0.000163425396306586</v>
      </c>
      <c r="S597" s="11" t="n">
        <f aca="false">IFERROR(M597/MEDIAN(INDEX($M$5:$M$665,MATCH($A597-90,$A$5:$A$665,1)):INDEX($M$5:$M$665,MATCH($A597+90,$A$5:$A$665,1))),"")</f>
        <v>0.957933343148174</v>
      </c>
      <c r="T597" s="11" t="n">
        <f aca="false">IFERROR(N597/MEDIAN(INDEX($N$5:$N$665,MATCH($A597-90,$A$5:$A$665,1)):INDEX($N$5:$N$665,MATCH($A597+90,$A$5:$A$665,1))),"")</f>
        <v>1.05089880153337</v>
      </c>
      <c r="U597" s="11" t="n">
        <f aca="false">IFERROR(Q597/MEDIAN(INDEX($Q$5:$Q$665,MATCH($A597-90,$A$5:$A$665,1)):INDEX($Q$5:$Q$665,MATCH($A597+90,$A$5:$A$665,1))),"")</f>
        <v>0.222272149556838</v>
      </c>
    </row>
    <row r="598" customFormat="false" ht="15" hidden="false" customHeight="false" outlineLevel="0" collapsed="false">
      <c r="A598" s="13" t="n">
        <v>46074.6400140046</v>
      </c>
      <c r="B598" s="8" t="n">
        <v>15</v>
      </c>
      <c r="C598" s="8" t="s">
        <v>68</v>
      </c>
      <c r="D598" s="8"/>
      <c r="E598" s="14" t="s">
        <v>66</v>
      </c>
      <c r="F598" s="9" t="n">
        <v>12302</v>
      </c>
      <c r="G598" s="9" t="n">
        <v>5208</v>
      </c>
      <c r="H598" s="9" t="n">
        <v>2640</v>
      </c>
      <c r="I598" s="9" t="n">
        <v>0</v>
      </c>
      <c r="J598" s="9" t="n">
        <v>21</v>
      </c>
      <c r="K598" s="9" t="n">
        <v>1</v>
      </c>
      <c r="L598" s="9" t="n">
        <v>0</v>
      </c>
      <c r="M598" s="10" t="n">
        <f aca="false">IFERROR(G598/F598,"")</f>
        <v>0.423345797431312</v>
      </c>
      <c r="N598" s="10" t="n">
        <f aca="false">IFERROR(H598/G598,"")</f>
        <v>0.506912442396313</v>
      </c>
      <c r="O598" s="11" t="n">
        <f aca="false">IFERROR(I598/H598,"")</f>
        <v>0</v>
      </c>
      <c r="P598" s="10" t="n">
        <f aca="false">IFERROR(J598/H598,"")</f>
        <v>0.00795454545454545</v>
      </c>
      <c r="Q598" s="10" t="n">
        <f aca="false">IFERROR(K598/H598,"")</f>
        <v>0.000378787878787879</v>
      </c>
      <c r="R598" s="10" t="n">
        <f aca="false">IFERROR(L598/H598,"")</f>
        <v>0</v>
      </c>
      <c r="S598" s="11" t="n">
        <f aca="false">IFERROR(M598/MEDIAN(INDEX($M$5:$M$665,MATCH($A598-90,$A$5:$A$665,1)):INDEX($M$5:$M$665,MATCH($A598+90,$A$5:$A$665,1))),"")</f>
        <v>1.05263112475286</v>
      </c>
      <c r="T598" s="11" t="n">
        <f aca="false">IFERROR(N598/MEDIAN(INDEX($N$5:$N$665,MATCH($A598-90,$A$5:$A$665,1)):INDEX($N$5:$N$665,MATCH($A598+90,$A$5:$A$665,1))),"")</f>
        <v>0.935128403458615</v>
      </c>
      <c r="U598" s="11" t="n">
        <f aca="false">IFERROR(Q598/MEDIAN(INDEX($Q$5:$Q$665,MATCH($A598-90,$A$5:$A$665,1)):INDEX($Q$5:$Q$665,MATCH($A598+90,$A$5:$A$665,1))),"")</f>
        <v>1.02831439393939</v>
      </c>
    </row>
    <row r="599" customFormat="false" ht="15" hidden="false" customHeight="false" outlineLevel="0" collapsed="false">
      <c r="A599" s="13" t="n">
        <v>46076.6254192593</v>
      </c>
      <c r="B599" s="8" t="n">
        <v>15</v>
      </c>
      <c r="C599" s="8" t="s">
        <v>80</v>
      </c>
      <c r="D599" s="8" t="s">
        <v>1188</v>
      </c>
      <c r="E599" s="14" t="s">
        <v>66</v>
      </c>
      <c r="F599" s="9" t="n">
        <v>14383</v>
      </c>
      <c r="G599" s="9" t="n">
        <v>5188</v>
      </c>
      <c r="H599" s="9" t="n">
        <v>3922</v>
      </c>
      <c r="I599" s="9" t="n">
        <v>0</v>
      </c>
      <c r="J599" s="9" t="n">
        <v>38</v>
      </c>
      <c r="K599" s="9" t="n">
        <v>8</v>
      </c>
      <c r="L599" s="9" t="n">
        <v>1</v>
      </c>
      <c r="M599" s="10" t="n">
        <f aca="false">IFERROR(G599/F599,"")</f>
        <v>0.360703608426615</v>
      </c>
      <c r="N599" s="10" t="n">
        <f aca="false">IFERROR(H599/G599,"")</f>
        <v>0.75597532767926</v>
      </c>
      <c r="O599" s="11" t="n">
        <f aca="false">IFERROR(I599/H599,"")</f>
        <v>0</v>
      </c>
      <c r="P599" s="10" t="n">
        <f aca="false">IFERROR(J599/H599,"")</f>
        <v>0.0096889342172361</v>
      </c>
      <c r="Q599" s="10" t="n">
        <f aca="false">IFERROR(K599/H599,"")</f>
        <v>0.00203977562468129</v>
      </c>
      <c r="R599" s="10" t="n">
        <f aca="false">IFERROR(L599/H599,"")</f>
        <v>0.000254971953085161</v>
      </c>
      <c r="S599" s="11" t="n">
        <f aca="false">IFERROR(M599/MEDIAN(INDEX($M$5:$M$665,MATCH($A599-90,$A$5:$A$665,1)):INDEX($M$5:$M$665,MATCH($A599+90,$A$5:$A$665,1))),"")</f>
        <v>0.896874014917149</v>
      </c>
      <c r="T599" s="11" t="n">
        <f aca="false">IFERROR(N599/MEDIAN(INDEX($N$5:$N$665,MATCH($A599-90,$A$5:$A$665,1)):INDEX($N$5:$N$665,MATCH($A599+90,$A$5:$A$665,1))),"")</f>
        <v>1.39458798423834</v>
      </c>
      <c r="U599" s="11" t="n">
        <f aca="false">IFERROR(Q599/MEDIAN(INDEX($Q$5:$Q$665,MATCH($A599-90,$A$5:$A$665,1)):INDEX($Q$5:$Q$665,MATCH($A599+90,$A$5:$A$665,1))),"")</f>
        <v>5.53748087710352</v>
      </c>
    </row>
    <row r="600" customFormat="false" ht="15" hidden="false" customHeight="false" outlineLevel="0" collapsed="false">
      <c r="A600" s="13" t="n">
        <v>46076.6266904167</v>
      </c>
      <c r="B600" s="8" t="n">
        <v>15</v>
      </c>
      <c r="C600" s="8" t="s">
        <v>80</v>
      </c>
      <c r="D600" s="8"/>
      <c r="E600" s="14" t="s">
        <v>66</v>
      </c>
      <c r="F600" s="9" t="n">
        <v>13580</v>
      </c>
      <c r="G600" s="9" t="n">
        <v>7005</v>
      </c>
      <c r="H600" s="9" t="n">
        <v>3081</v>
      </c>
      <c r="I600" s="9" t="n">
        <v>0</v>
      </c>
      <c r="J600" s="9" t="n">
        <v>29</v>
      </c>
      <c r="K600" s="9" t="n">
        <v>2</v>
      </c>
      <c r="L600" s="9" t="n">
        <v>4</v>
      </c>
      <c r="M600" s="10" t="n">
        <f aca="false">IFERROR(G600/F600,"")</f>
        <v>0.515832106038292</v>
      </c>
      <c r="N600" s="10" t="n">
        <f aca="false">IFERROR(H600/G600,"")</f>
        <v>0.43982869379015</v>
      </c>
      <c r="O600" s="11" t="n">
        <f aca="false">IFERROR(I600/H600,"")</f>
        <v>0</v>
      </c>
      <c r="P600" s="10" t="n">
        <f aca="false">IFERROR(J600/H600,"")</f>
        <v>0.00941252839987017</v>
      </c>
      <c r="Q600" s="10" t="n">
        <f aca="false">IFERROR(K600/H600,"")</f>
        <v>0.000649139889646219</v>
      </c>
      <c r="R600" s="10" t="n">
        <f aca="false">IFERROR(L600/H600,"")</f>
        <v>0.00129827977929244</v>
      </c>
      <c r="S600" s="11" t="n">
        <f aca="false">IFERROR(M600/MEDIAN(INDEX($M$5:$M$665,MATCH($A600-90,$A$5:$A$665,1)):INDEX($M$5:$M$665,MATCH($A600+90,$A$5:$A$665,1))),"")</f>
        <v>1.28259435491579</v>
      </c>
      <c r="T600" s="11" t="n">
        <f aca="false">IFERROR(N600/MEDIAN(INDEX($N$5:$N$665,MATCH($A600-90,$A$5:$A$665,1)):INDEX($N$5:$N$665,MATCH($A600+90,$A$5:$A$665,1))),"")</f>
        <v>0.811375436505289</v>
      </c>
      <c r="U600" s="11" t="n">
        <f aca="false">IFERROR(Q600/MEDIAN(INDEX($Q$5:$Q$665,MATCH($A600-90,$A$5:$A$665,1)):INDEX($Q$5:$Q$665,MATCH($A600+90,$A$5:$A$665,1))),"")</f>
        <v>1.76225251541707</v>
      </c>
    </row>
    <row r="601" customFormat="false" ht="15" hidden="false" customHeight="false" outlineLevel="0" collapsed="false">
      <c r="A601" s="13" t="n">
        <v>46077.6463959144</v>
      </c>
      <c r="B601" s="8" t="n">
        <v>15</v>
      </c>
      <c r="C601" s="8" t="s">
        <v>64</v>
      </c>
      <c r="D601" s="8" t="s">
        <v>1189</v>
      </c>
      <c r="E601" s="14" t="s">
        <v>66</v>
      </c>
      <c r="F601" s="9" t="n">
        <v>17495</v>
      </c>
      <c r="G601" s="9" t="n">
        <v>8933</v>
      </c>
      <c r="H601" s="9" t="n">
        <v>4257</v>
      </c>
      <c r="I601" s="9" t="n">
        <v>0</v>
      </c>
      <c r="J601" s="9" t="n">
        <v>64</v>
      </c>
      <c r="K601" s="9" t="n">
        <v>2</v>
      </c>
      <c r="L601" s="9" t="n">
        <v>4</v>
      </c>
      <c r="M601" s="10" t="n">
        <f aca="false">IFERROR(G601/F601,"")</f>
        <v>0.510603029436982</v>
      </c>
      <c r="N601" s="10" t="n">
        <f aca="false">IFERROR(H601/G601,"")</f>
        <v>0.476547632374342</v>
      </c>
      <c r="O601" s="11" t="n">
        <f aca="false">IFERROR(I601/H601,"")</f>
        <v>0</v>
      </c>
      <c r="P601" s="10" t="n">
        <f aca="false">IFERROR(J601/H601,"")</f>
        <v>0.0150340615456895</v>
      </c>
      <c r="Q601" s="10" t="n">
        <f aca="false">IFERROR(K601/H601,"")</f>
        <v>0.000469814423302795</v>
      </c>
      <c r="R601" s="10" t="n">
        <f aca="false">IFERROR(L601/H601,"")</f>
        <v>0.000939628846605591</v>
      </c>
      <c r="S601" s="11" t="n">
        <f aca="false">IFERROR(M601/MEDIAN(INDEX($M$5:$M$665,MATCH($A601-90,$A$5:$A$665,1)):INDEX($M$5:$M$665,MATCH($A601+90,$A$5:$A$665,1))),"")</f>
        <v>1.26959248075605</v>
      </c>
      <c r="T601" s="11" t="n">
        <f aca="false">IFERROR(N601/MEDIAN(INDEX($N$5:$N$665,MATCH($A601-90,$A$5:$A$665,1)):INDEX($N$5:$N$665,MATCH($A601+90,$A$5:$A$665,1))),"")</f>
        <v>0.879112819814743</v>
      </c>
      <c r="U601" s="11" t="n">
        <f aca="false">IFERROR(Q601/MEDIAN(INDEX($Q$5:$Q$665,MATCH($A601-90,$A$5:$A$665,1)):INDEX($Q$5:$Q$665,MATCH($A601+90,$A$5:$A$665,1))),"")</f>
        <v>1.27542870566126</v>
      </c>
    </row>
    <row r="602" customFormat="false" ht="15" hidden="false" customHeight="false" outlineLevel="0" collapsed="false">
      <c r="A602" s="13" t="n">
        <v>46077.7605473727</v>
      </c>
      <c r="B602" s="8" t="n">
        <v>18</v>
      </c>
      <c r="C602" s="8" t="s">
        <v>64</v>
      </c>
      <c r="D602" s="8"/>
      <c r="E602" s="14" t="s">
        <v>66</v>
      </c>
      <c r="F602" s="9" t="n">
        <v>62873</v>
      </c>
      <c r="G602" s="9" t="n">
        <v>33066</v>
      </c>
      <c r="H602" s="9" t="n">
        <v>17819</v>
      </c>
      <c r="I602" s="9" t="n">
        <v>0</v>
      </c>
      <c r="J602" s="9" t="n">
        <v>68</v>
      </c>
      <c r="K602" s="9" t="n">
        <v>5</v>
      </c>
      <c r="L602" s="9" t="n">
        <v>3</v>
      </c>
      <c r="M602" s="10" t="n">
        <f aca="false">IFERROR(G602/F602,"")</f>
        <v>0.525917325402001</v>
      </c>
      <c r="N602" s="10" t="n">
        <f aca="false">IFERROR(H602/G602,"")</f>
        <v>0.53889191314341</v>
      </c>
      <c r="O602" s="11" t="n">
        <f aca="false">IFERROR(I602/H602,"")</f>
        <v>0</v>
      </c>
      <c r="P602" s="10" t="n">
        <f aca="false">IFERROR(J602/H602,"")</f>
        <v>0.00381615129917504</v>
      </c>
      <c r="Q602" s="10" t="n">
        <f aca="false">IFERROR(K602/H602,"")</f>
        <v>0.000280599360233459</v>
      </c>
      <c r="R602" s="10" t="n">
        <f aca="false">IFERROR(L602/H602,"")</f>
        <v>0.000168359616140075</v>
      </c>
      <c r="S602" s="11" t="n">
        <f aca="false">IFERROR(M602/MEDIAN(INDEX($M$5:$M$665,MATCH($A602-90,$A$5:$A$665,1)):INDEX($M$5:$M$665,MATCH($A602+90,$A$5:$A$665,1))),"")</f>
        <v>1.30496777085219</v>
      </c>
      <c r="T602" s="11" t="n">
        <f aca="false">IFERROR(N602/MEDIAN(INDEX($N$5:$N$665,MATCH($A602-90,$A$5:$A$665,1)):INDEX($N$5:$N$665,MATCH($A602+90,$A$5:$A$665,1))),"")</f>
        <v>0.995347253163568</v>
      </c>
      <c r="U602" s="11" t="n">
        <f aca="false">IFERROR(Q602/MEDIAN(INDEX($Q$5:$Q$665,MATCH($A602-90,$A$5:$A$665,1)):INDEX($Q$5:$Q$665,MATCH($A602+90,$A$5:$A$665,1))),"")</f>
        <v>0.751576385082694</v>
      </c>
    </row>
    <row r="603" customFormat="false" ht="15" hidden="false" customHeight="false" outlineLevel="0" collapsed="false">
      <c r="A603" s="13" t="n">
        <v>46078.5262651852</v>
      </c>
      <c r="B603" s="8" t="n">
        <v>12</v>
      </c>
      <c r="C603" s="8" t="s">
        <v>71</v>
      </c>
      <c r="D603" s="8"/>
      <c r="E603" s="14" t="s">
        <v>66</v>
      </c>
      <c r="F603" s="9" t="n">
        <v>8853</v>
      </c>
      <c r="G603" s="9" t="n">
        <v>3784</v>
      </c>
      <c r="H603" s="9" t="n">
        <v>1707</v>
      </c>
      <c r="I603" s="9" t="n">
        <v>0</v>
      </c>
      <c r="J603" s="9" t="n">
        <v>15</v>
      </c>
      <c r="K603" s="9" t="n">
        <v>1</v>
      </c>
      <c r="L603" s="9" t="n">
        <v>1</v>
      </c>
      <c r="M603" s="10" t="n">
        <f aca="false">IFERROR(G603/F603,"")</f>
        <v>0.427425731390489</v>
      </c>
      <c r="N603" s="10" t="n">
        <f aca="false">IFERROR(H603/G603,"")</f>
        <v>0.451109936575053</v>
      </c>
      <c r="O603" s="11" t="n">
        <f aca="false">IFERROR(I603/H603,"")</f>
        <v>0</v>
      </c>
      <c r="P603" s="10" t="n">
        <f aca="false">IFERROR(J603/H603,"")</f>
        <v>0.00878734622144113</v>
      </c>
      <c r="Q603" s="10" t="n">
        <f aca="false">IFERROR(K603/H603,"")</f>
        <v>0.000585823081429408</v>
      </c>
      <c r="R603" s="10" t="n">
        <f aca="false">IFERROR(L603/H603,"")</f>
        <v>0.000585823081429408</v>
      </c>
      <c r="S603" s="11" t="n">
        <f aca="false">IFERROR(M603/MEDIAN(INDEX($M$5:$M$665,MATCH($A603-90,$A$5:$A$665,1)):INDEX($M$5:$M$665,MATCH($A603+90,$A$5:$A$665,1))),"")</f>
        <v>1.06057887229929</v>
      </c>
      <c r="T603" s="11" t="n">
        <f aca="false">IFERROR(N603/MEDIAN(INDEX($N$5:$N$665,MATCH($A603-90,$A$5:$A$665,1)):INDEX($N$5:$N$665,MATCH($A603+90,$A$5:$A$665,1))),"")</f>
        <v>0.833211679918602</v>
      </c>
      <c r="U603" s="11" t="n">
        <f aca="false">IFERROR(Q603/MEDIAN(INDEX($Q$5:$Q$665,MATCH($A603-90,$A$5:$A$665,1)):INDEX($Q$5:$Q$665,MATCH($A603+90,$A$5:$A$665,1))),"")</f>
        <v>1.56910833108243</v>
      </c>
    </row>
    <row r="604" customFormat="false" ht="15" hidden="false" customHeight="false" outlineLevel="0" collapsed="false">
      <c r="A604" s="13" t="n">
        <v>46078.7058641782</v>
      </c>
      <c r="B604" s="8" t="n">
        <v>16</v>
      </c>
      <c r="C604" s="8" t="s">
        <v>71</v>
      </c>
      <c r="D604" s="8" t="s">
        <v>1190</v>
      </c>
      <c r="E604" s="14" t="s">
        <v>66</v>
      </c>
      <c r="F604" s="9" t="n">
        <v>222359</v>
      </c>
      <c r="G604" s="9" t="n">
        <v>51383</v>
      </c>
      <c r="H604" s="9" t="n">
        <v>37004</v>
      </c>
      <c r="I604" s="9" t="n">
        <v>0</v>
      </c>
      <c r="J604" s="9" t="n">
        <v>157</v>
      </c>
      <c r="K604" s="9" t="n">
        <v>14</v>
      </c>
      <c r="L604" s="9" t="n">
        <v>23</v>
      </c>
      <c r="M604" s="10" t="n">
        <f aca="false">IFERROR(G604/F604,"")</f>
        <v>0.231081269478636</v>
      </c>
      <c r="N604" s="10" t="n">
        <f aca="false">IFERROR(H604/G604,"")</f>
        <v>0.720160364322831</v>
      </c>
      <c r="O604" s="11" t="n">
        <f aca="false">IFERROR(I604/H604,"")</f>
        <v>0</v>
      </c>
      <c r="P604" s="10" t="n">
        <f aca="false">IFERROR(J604/H604,"")</f>
        <v>0.00424278456383094</v>
      </c>
      <c r="Q604" s="10" t="n">
        <f aca="false">IFERROR(K604/H604,"")</f>
        <v>0.00037833747702951</v>
      </c>
      <c r="R604" s="10" t="n">
        <f aca="false">IFERROR(L604/H604,"")</f>
        <v>0.000621554426548481</v>
      </c>
      <c r="S604" s="11" t="n">
        <f aca="false">IFERROR(M604/MEDIAN(INDEX($M$5:$M$665,MATCH($A604-90,$A$5:$A$665,1)):INDEX($M$5:$M$665,MATCH($A604+90,$A$5:$A$665,1))),"")</f>
        <v>0.573385957358845</v>
      </c>
      <c r="T604" s="11" t="n">
        <f aca="false">IFERROR(N604/MEDIAN(INDEX($N$5:$N$665,MATCH($A604-90,$A$5:$A$665,1)):INDEX($N$5:$N$665,MATCH($A604+90,$A$5:$A$665,1))),"")</f>
        <v>1.33015475456809</v>
      </c>
      <c r="U604" s="11" t="n">
        <f aca="false">IFERROR(Q604/MEDIAN(INDEX($Q$5:$Q$665,MATCH($A604-90,$A$5:$A$665,1)):INDEX($Q$5:$Q$665,MATCH($A604+90,$A$5:$A$665,1))),"")</f>
        <v>1.01336479559528</v>
      </c>
    </row>
    <row r="605" customFormat="false" ht="15" hidden="false" customHeight="false" outlineLevel="0" collapsed="false">
      <c r="A605" s="13" t="n">
        <v>46079.3065996644</v>
      </c>
      <c r="B605" s="8" t="n">
        <v>7</v>
      </c>
      <c r="C605" s="8" t="s">
        <v>73</v>
      </c>
      <c r="D605" s="8" t="s">
        <v>1191</v>
      </c>
      <c r="E605" s="14" t="s">
        <v>66</v>
      </c>
      <c r="F605" s="9" t="n">
        <v>11319</v>
      </c>
      <c r="G605" s="9" t="n">
        <v>4261</v>
      </c>
      <c r="H605" s="9" t="n">
        <v>1848</v>
      </c>
      <c r="I605" s="9" t="n">
        <v>0</v>
      </c>
      <c r="J605" s="9" t="n">
        <v>26</v>
      </c>
      <c r="K605" s="9" t="n">
        <v>8</v>
      </c>
      <c r="L605" s="9" t="n">
        <v>1</v>
      </c>
      <c r="M605" s="10" t="n">
        <f aca="false">IFERROR(G605/F605,"")</f>
        <v>0.376446682569132</v>
      </c>
      <c r="N605" s="10" t="n">
        <f aca="false">IFERROR(H605/G605,"")</f>
        <v>0.433701009152781</v>
      </c>
      <c r="O605" s="11" t="n">
        <f aca="false">IFERROR(I605/H605,"")</f>
        <v>0</v>
      </c>
      <c r="P605" s="10" t="n">
        <f aca="false">IFERROR(J605/H605,"")</f>
        <v>0.0140692640692641</v>
      </c>
      <c r="Q605" s="10" t="n">
        <f aca="false">IFERROR(K605/H605,"")</f>
        <v>0.00432900432900433</v>
      </c>
      <c r="R605" s="10" t="n">
        <f aca="false">IFERROR(L605/H605,"")</f>
        <v>0.000541125541125541</v>
      </c>
      <c r="S605" s="11" t="n">
        <f aca="false">IFERROR(M605/MEDIAN(INDEX($M$5:$M$665,MATCH($A605-90,$A$5:$A$665,1)):INDEX($M$5:$M$665,MATCH($A605+90,$A$5:$A$665,1))),"")</f>
        <v>0.934083675264812</v>
      </c>
      <c r="T605" s="11" t="n">
        <f aca="false">IFERROR(N605/MEDIAN(INDEX($N$5:$N$665,MATCH($A605-90,$A$5:$A$665,1)):INDEX($N$5:$N$665,MATCH($A605+90,$A$5:$A$665,1))),"")</f>
        <v>0.801056942265913</v>
      </c>
      <c r="U605" s="11" t="n">
        <f aca="false">IFERROR(Q605/MEDIAN(INDEX($Q$5:$Q$665,MATCH($A605-90,$A$5:$A$665,1)):INDEX($Q$5:$Q$665,MATCH($A605+90,$A$5:$A$665,1))),"")</f>
        <v>11.5950992257909</v>
      </c>
    </row>
    <row r="606" customFormat="false" ht="15" hidden="false" customHeight="false" outlineLevel="0" collapsed="false">
      <c r="A606" s="13" t="n">
        <v>46080.2982621181</v>
      </c>
      <c r="B606" s="8" t="n">
        <v>7</v>
      </c>
      <c r="C606" s="8" t="s">
        <v>84</v>
      </c>
      <c r="D606" s="8" t="s">
        <v>1192</v>
      </c>
      <c r="E606" s="14" t="s">
        <v>66</v>
      </c>
      <c r="F606" s="9" t="n">
        <v>84530</v>
      </c>
      <c r="G606" s="9" t="n">
        <v>34137</v>
      </c>
      <c r="H606" s="9" t="n">
        <v>19531</v>
      </c>
      <c r="I606" s="9" t="n">
        <v>0</v>
      </c>
      <c r="J606" s="9" t="n">
        <v>104</v>
      </c>
      <c r="K606" s="9" t="n">
        <v>10</v>
      </c>
      <c r="L606" s="9" t="n">
        <v>24</v>
      </c>
      <c r="M606" s="10" t="n">
        <f aca="false">IFERROR(G606/F606,"")</f>
        <v>0.403844788832367</v>
      </c>
      <c r="N606" s="10" t="n">
        <f aca="false">IFERROR(H606/G606,"")</f>
        <v>0.572135805723995</v>
      </c>
      <c r="O606" s="11" t="n">
        <f aca="false">IFERROR(I606/H606,"")</f>
        <v>0</v>
      </c>
      <c r="P606" s="10" t="n">
        <f aca="false">IFERROR(J606/H606,"")</f>
        <v>0.00532486815831243</v>
      </c>
      <c r="Q606" s="10" t="n">
        <f aca="false">IFERROR(K606/H606,"")</f>
        <v>0.000512006553683887</v>
      </c>
      <c r="R606" s="10" t="n">
        <f aca="false">IFERROR(L606/H606,"")</f>
        <v>0.00122881572884133</v>
      </c>
      <c r="S606" s="11" t="n">
        <f aca="false">IFERROR(M606/MEDIAN(INDEX($M$5:$M$665,MATCH($A606-90,$A$5:$A$665,1)):INDEX($M$5:$M$665,MATCH($A606+90,$A$5:$A$665,1))),"")</f>
        <v>1</v>
      </c>
      <c r="T606" s="11" t="n">
        <f aca="false">IFERROR(N606/MEDIAN(INDEX($N$5:$N$665,MATCH($A606-90,$A$5:$A$665,1)):INDEX($N$5:$N$665,MATCH($A606+90,$A$5:$A$665,1))),"")</f>
        <v>1.05805294784994</v>
      </c>
      <c r="U606" s="11" t="n">
        <f aca="false">IFERROR(Q606/MEDIAN(INDEX($Q$5:$Q$665,MATCH($A606-90,$A$5:$A$665,1)):INDEX($Q$5:$Q$665,MATCH($A606+90,$A$5:$A$665,1))),"")</f>
        <v>1.3533064651799</v>
      </c>
    </row>
    <row r="607" customFormat="false" ht="15" hidden="false" customHeight="false" outlineLevel="0" collapsed="false">
      <c r="A607" s="13" t="n">
        <v>46080.6566917708</v>
      </c>
      <c r="B607" s="8" t="n">
        <v>15</v>
      </c>
      <c r="C607" s="8" t="s">
        <v>84</v>
      </c>
      <c r="D607" s="8"/>
      <c r="E607" s="14" t="s">
        <v>66</v>
      </c>
      <c r="F607" s="9" t="n">
        <v>16689</v>
      </c>
      <c r="G607" s="9" t="n">
        <v>7296</v>
      </c>
      <c r="H607" s="9" t="n">
        <v>3869</v>
      </c>
      <c r="I607" s="9" t="n">
        <v>0</v>
      </c>
      <c r="J607" s="9" t="n">
        <v>37</v>
      </c>
      <c r="K607" s="9" t="n">
        <v>0</v>
      </c>
      <c r="L607" s="9" t="n">
        <v>1</v>
      </c>
      <c r="M607" s="10" t="n">
        <f aca="false">IFERROR(G607/F607,"")</f>
        <v>0.437174186589969</v>
      </c>
      <c r="N607" s="10" t="n">
        <f aca="false">IFERROR(H607/G607,"")</f>
        <v>0.530290570175439</v>
      </c>
      <c r="O607" s="11" t="n">
        <f aca="false">IFERROR(I607/H607,"")</f>
        <v>0</v>
      </c>
      <c r="P607" s="10" t="n">
        <f aca="false">IFERROR(J607/H607,"")</f>
        <v>0.00956319462393383</v>
      </c>
      <c r="Q607" s="10" t="n">
        <f aca="false">IFERROR(K607/H607,"")</f>
        <v>0</v>
      </c>
      <c r="R607" s="10" t="n">
        <f aca="false">IFERROR(L607/H607,"")</f>
        <v>0.000258464719565779</v>
      </c>
      <c r="S607" s="11" t="n">
        <f aca="false">IFERROR(M607/MEDIAN(INDEX($M$5:$M$665,MATCH($A607-90,$A$5:$A$665,1)):INDEX($M$5:$M$665,MATCH($A607+90,$A$5:$A$665,1))),"")</f>
        <v>1.08253021625949</v>
      </c>
      <c r="T607" s="11" t="n">
        <f aca="false">IFERROR(N607/MEDIAN(INDEX($N$5:$N$665,MATCH($A607-90,$A$5:$A$665,1)):INDEX($N$5:$N$665,MATCH($A607+90,$A$5:$A$665,1))),"")</f>
        <v>0.980668392674972</v>
      </c>
      <c r="U607" s="11" t="n">
        <f aca="false">IFERROR(Q607/MEDIAN(INDEX($Q$5:$Q$665,MATCH($A607-90,$A$5:$A$665,1)):INDEX($Q$5:$Q$665,MATCH($A607+90,$A$5:$A$665,1))),"")</f>
        <v>0</v>
      </c>
    </row>
    <row r="608" customFormat="false" ht="15" hidden="false" customHeight="false" outlineLevel="0" collapsed="false">
      <c r="A608" s="13" t="n">
        <v>46081.5084992245</v>
      </c>
      <c r="B608" s="8" t="n">
        <v>12</v>
      </c>
      <c r="C608" s="8" t="s">
        <v>68</v>
      </c>
      <c r="D608" s="8"/>
      <c r="E608" s="14" t="s">
        <v>66</v>
      </c>
      <c r="F608" s="9" t="n">
        <v>130465</v>
      </c>
      <c r="G608" s="9" t="n">
        <v>40393</v>
      </c>
      <c r="H608" s="9" t="n">
        <v>31952</v>
      </c>
      <c r="I608" s="9" t="n">
        <v>0</v>
      </c>
      <c r="J608" s="9" t="n">
        <v>88</v>
      </c>
      <c r="K608" s="9" t="n">
        <v>6</v>
      </c>
      <c r="L608" s="9" t="n">
        <v>11</v>
      </c>
      <c r="M608" s="10" t="n">
        <f aca="false">IFERROR(G608/F608,"")</f>
        <v>0.309607940827042</v>
      </c>
      <c r="N608" s="10" t="n">
        <f aca="false">IFERROR(H608/G608,"")</f>
        <v>0.791028148441562</v>
      </c>
      <c r="O608" s="11" t="n">
        <f aca="false">IFERROR(I608/H608,"")</f>
        <v>0</v>
      </c>
      <c r="P608" s="10" t="n">
        <f aca="false">IFERROR(J608/H608,"")</f>
        <v>0.00275413119679519</v>
      </c>
      <c r="Q608" s="10" t="n">
        <f aca="false">IFERROR(K608/H608,"")</f>
        <v>0.000187781672508763</v>
      </c>
      <c r="R608" s="10" t="n">
        <f aca="false">IFERROR(L608/H608,"")</f>
        <v>0.000344266399599399</v>
      </c>
      <c r="S608" s="11" t="n">
        <f aca="false">IFERROR(M608/MEDIAN(INDEX($M$5:$M$665,MATCH($A608-90,$A$5:$A$665,1)):INDEX($M$5:$M$665,MATCH($A608+90,$A$5:$A$665,1))),"")</f>
        <v>0.763284074328801</v>
      </c>
      <c r="T608" s="11" t="n">
        <f aca="false">IFERROR(N608/MEDIAN(INDEX($N$5:$N$665,MATCH($A608-90,$A$5:$A$665,1)):INDEX($N$5:$N$665,MATCH($A608+90,$A$5:$A$665,1))),"")</f>
        <v>1.46536091146377</v>
      </c>
      <c r="U608" s="11" t="n">
        <f aca="false">IFERROR(Q608/MEDIAN(INDEX($Q$5:$Q$665,MATCH($A608-90,$A$5:$A$665,1)):INDEX($Q$5:$Q$665,MATCH($A608+90,$A$5:$A$665,1))),"")</f>
        <v>0.502967185996064</v>
      </c>
    </row>
    <row r="609" customFormat="false" ht="15" hidden="false" customHeight="false" outlineLevel="0" collapsed="false">
      <c r="A609" s="13" t="n">
        <v>46084.4487182639</v>
      </c>
      <c r="B609" s="8" t="n">
        <v>10</v>
      </c>
      <c r="C609" s="8" t="s">
        <v>64</v>
      </c>
      <c r="D609" s="8"/>
      <c r="E609" s="14" t="s">
        <v>66</v>
      </c>
      <c r="F609" s="9" t="n">
        <v>14745</v>
      </c>
      <c r="G609" s="9" t="n">
        <v>4689</v>
      </c>
      <c r="H609" s="9" t="n">
        <v>3861</v>
      </c>
      <c r="I609" s="9" t="n">
        <v>0</v>
      </c>
      <c r="J609" s="9" t="n">
        <v>29</v>
      </c>
      <c r="K609" s="9" t="n">
        <v>5</v>
      </c>
      <c r="L609" s="9" t="n">
        <v>2</v>
      </c>
      <c r="M609" s="10" t="n">
        <f aca="false">IFERROR(G609/F609,"")</f>
        <v>0.318006103763988</v>
      </c>
      <c r="N609" s="10" t="n">
        <f aca="false">IFERROR(H609/G609,"")</f>
        <v>0.82341650671785</v>
      </c>
      <c r="O609" s="11" t="n">
        <f aca="false">IFERROR(I609/H609,"")</f>
        <v>0</v>
      </c>
      <c r="P609" s="10" t="n">
        <f aca="false">IFERROR(J609/H609,"")</f>
        <v>0.00751100751100751</v>
      </c>
      <c r="Q609" s="10" t="n">
        <f aca="false">IFERROR(K609/H609,"")</f>
        <v>0.0012950012950013</v>
      </c>
      <c r="R609" s="10" t="n">
        <f aca="false">IFERROR(L609/H609,"")</f>
        <v>0.000518000518000518</v>
      </c>
      <c r="S609" s="11" t="n">
        <f aca="false">IFERROR(M609/MEDIAN(INDEX($M$5:$M$665,MATCH($A609-90,$A$5:$A$665,1)):INDEX($M$5:$M$665,MATCH($A609+90,$A$5:$A$665,1))),"")</f>
        <v>0.780560436511606</v>
      </c>
      <c r="T609" s="11" t="n">
        <f aca="false">IFERROR(N609/MEDIAN(INDEX($N$5:$N$665,MATCH($A609-90,$A$5:$A$665,1)):INDEX($N$5:$N$665,MATCH($A609+90,$A$5:$A$665,1))),"")</f>
        <v>1.52798081885249</v>
      </c>
      <c r="U609" s="11" t="n">
        <f aca="false">IFERROR(Q609/MEDIAN(INDEX($Q$5:$Q$665,MATCH($A609-90,$A$5:$A$665,1)):INDEX($Q$5:$Q$665,MATCH($A609+90,$A$5:$A$665,1))),"")</f>
        <v>3.51560476560477</v>
      </c>
    </row>
    <row r="610" customFormat="false" ht="15" hidden="false" customHeight="false" outlineLevel="0" collapsed="false">
      <c r="A610" s="13" t="n">
        <v>46084.5845280671</v>
      </c>
      <c r="B610" s="8" t="n">
        <v>14</v>
      </c>
      <c r="C610" s="8" t="s">
        <v>64</v>
      </c>
      <c r="D610" s="8" t="s">
        <v>1193</v>
      </c>
      <c r="E610" s="14" t="s">
        <v>66</v>
      </c>
      <c r="F610" s="9" t="n">
        <v>3477</v>
      </c>
      <c r="G610" s="9" t="n">
        <v>491</v>
      </c>
      <c r="H610" s="9" t="n">
        <v>443</v>
      </c>
      <c r="I610" s="9" t="n">
        <v>0</v>
      </c>
      <c r="J610" s="9" t="n">
        <v>7</v>
      </c>
      <c r="K610" s="9" t="n">
        <v>0</v>
      </c>
      <c r="L610" s="9" t="n">
        <v>1</v>
      </c>
      <c r="M610" s="10" t="n">
        <f aca="false">IFERROR(G610/F610,"")</f>
        <v>0.141213689962611</v>
      </c>
      <c r="N610" s="10" t="n">
        <f aca="false">IFERROR(H610/G610,"")</f>
        <v>0.902240325865581</v>
      </c>
      <c r="O610" s="11" t="n">
        <f aca="false">IFERROR(I610/H610,"")</f>
        <v>0</v>
      </c>
      <c r="P610" s="10" t="n">
        <f aca="false">IFERROR(J610/H610,"")</f>
        <v>0.0158013544018059</v>
      </c>
      <c r="Q610" s="10" t="n">
        <f aca="false">IFERROR(K610/H610,"")</f>
        <v>0</v>
      </c>
      <c r="R610" s="10" t="n">
        <f aca="false">IFERROR(L610/H610,"")</f>
        <v>0.00225733634311512</v>
      </c>
      <c r="S610" s="11" t="n">
        <f aca="false">IFERROR(M610/MEDIAN(INDEX($M$5:$M$665,MATCH($A610-90,$A$5:$A$665,1)):INDEX($M$5:$M$665,MATCH($A610+90,$A$5:$A$665,1))),"")</f>
        <v>0.348137584384115</v>
      </c>
      <c r="T610" s="11" t="n">
        <f aca="false">IFERROR(N610/MEDIAN(INDEX($N$5:$N$665,MATCH($A610-90,$A$5:$A$665,1)):INDEX($N$5:$N$665,MATCH($A610+90,$A$5:$A$665,1))),"")</f>
        <v>1.67137883635936</v>
      </c>
      <c r="U610" s="11" t="n">
        <f aca="false">IFERROR(Q610/MEDIAN(INDEX($Q$5:$Q$665,MATCH($A610-90,$A$5:$A$665,1)):INDEX($Q$5:$Q$665,MATCH($A610+90,$A$5:$A$665,1))),"")</f>
        <v>0</v>
      </c>
    </row>
    <row r="611" customFormat="false" ht="15" hidden="false" customHeight="false" outlineLevel="0" collapsed="false">
      <c r="A611" s="13" t="n">
        <v>46085.5622784375</v>
      </c>
      <c r="B611" s="8" t="n">
        <v>13</v>
      </c>
      <c r="C611" s="8" t="s">
        <v>71</v>
      </c>
      <c r="D611" s="8"/>
      <c r="E611" s="14" t="s">
        <v>66</v>
      </c>
      <c r="F611" s="9" t="n">
        <v>145177</v>
      </c>
      <c r="G611" s="9" t="n">
        <v>48139</v>
      </c>
      <c r="H611" s="9" t="n">
        <v>30217</v>
      </c>
      <c r="I611" s="9" t="n">
        <v>0</v>
      </c>
      <c r="J611" s="9" t="n">
        <v>94</v>
      </c>
      <c r="K611" s="9" t="n">
        <v>6</v>
      </c>
      <c r="L611" s="9" t="n">
        <v>15</v>
      </c>
      <c r="M611" s="10" t="n">
        <f aca="false">IFERROR(G611/F611,"")</f>
        <v>0.33158833699553</v>
      </c>
      <c r="N611" s="10" t="n">
        <f aca="false">IFERROR(H611/G611,"")</f>
        <v>0.627703109744698</v>
      </c>
      <c r="O611" s="11" t="n">
        <f aca="false">IFERROR(I611/H611,"")</f>
        <v>0</v>
      </c>
      <c r="P611" s="10" t="n">
        <f aca="false">IFERROR(J611/H611,"")</f>
        <v>0.00311083165105735</v>
      </c>
      <c r="Q611" s="10" t="n">
        <f aca="false">IFERROR(K611/H611,"")</f>
        <v>0.000198563722407916</v>
      </c>
      <c r="R611" s="10" t="n">
        <f aca="false">IFERROR(L611/H611,"")</f>
        <v>0.00049640930601979</v>
      </c>
      <c r="S611" s="11" t="n">
        <f aca="false">IFERROR(M611/MEDIAN(INDEX($M$5:$M$665,MATCH($A611-90,$A$5:$A$665,1)):INDEX($M$5:$M$665,MATCH($A611+90,$A$5:$A$665,1))),"")</f>
        <v>0.817472885823843</v>
      </c>
      <c r="T611" s="11" t="n">
        <f aca="false">IFERROR(N611/MEDIAN(INDEX($N$5:$N$665,MATCH($A611-90,$A$5:$A$665,1)):INDEX($N$5:$N$665,MATCH($A611+90,$A$5:$A$665,1))),"")</f>
        <v>1.16280514522308</v>
      </c>
      <c r="U611" s="11" t="n">
        <f aca="false">IFERROR(Q611/MEDIAN(INDEX($Q$5:$Q$665,MATCH($A611-90,$A$5:$A$665,1)):INDEX($Q$5:$Q$665,MATCH($A611+90,$A$5:$A$665,1))),"")</f>
        <v>0.540126398969437</v>
      </c>
    </row>
    <row r="612" customFormat="false" ht="15" hidden="false" customHeight="false" outlineLevel="0" collapsed="false">
      <c r="A612" s="13" t="n">
        <v>46086.5838559375</v>
      </c>
      <c r="B612" s="8" t="n">
        <v>14</v>
      </c>
      <c r="C612" s="8" t="s">
        <v>73</v>
      </c>
      <c r="D612" s="8" t="s">
        <v>1194</v>
      </c>
      <c r="E612" s="14" t="s">
        <v>66</v>
      </c>
      <c r="F612" s="9" t="n">
        <v>20289</v>
      </c>
      <c r="G612" s="9" t="n">
        <v>11326</v>
      </c>
      <c r="H612" s="9" t="n">
        <v>5020</v>
      </c>
      <c r="I612" s="9" t="n">
        <v>0</v>
      </c>
      <c r="J612" s="9" t="n">
        <v>62</v>
      </c>
      <c r="K612" s="9" t="n">
        <v>3</v>
      </c>
      <c r="L612" s="9" t="n">
        <v>3</v>
      </c>
      <c r="M612" s="10" t="n">
        <f aca="false">IFERROR(G612/F612,"")</f>
        <v>0.55823352555572</v>
      </c>
      <c r="N612" s="10" t="n">
        <f aca="false">IFERROR(H612/G612,"")</f>
        <v>0.443227971040085</v>
      </c>
      <c r="O612" s="11" t="n">
        <f aca="false">IFERROR(I612/H612,"")</f>
        <v>0</v>
      </c>
      <c r="P612" s="10" t="n">
        <f aca="false">IFERROR(J612/H612,"")</f>
        <v>0.0123505976095618</v>
      </c>
      <c r="Q612" s="10" t="n">
        <f aca="false">IFERROR(K612/H612,"")</f>
        <v>0.000597609561752988</v>
      </c>
      <c r="R612" s="10" t="n">
        <f aca="false">IFERROR(L612/H612,"")</f>
        <v>0.000597609561752988</v>
      </c>
      <c r="S612" s="11" t="n">
        <f aca="false">IFERROR(M612/MEDIAN(INDEX($M$5:$M$665,MATCH($A612-90,$A$5:$A$665,1)):INDEX($M$5:$M$665,MATCH($A612+90,$A$5:$A$665,1))),"")</f>
        <v>1.38229721168307</v>
      </c>
      <c r="T612" s="11" t="n">
        <f aca="false">IFERROR(N612/MEDIAN(INDEX($N$5:$N$665,MATCH($A612-90,$A$5:$A$665,1)):INDEX($N$5:$N$665,MATCH($A612+90,$A$5:$A$665,1))),"")</f>
        <v>0.822480278938854</v>
      </c>
      <c r="U612" s="11" t="n">
        <f aca="false">IFERROR(Q612/MEDIAN(INDEX($Q$5:$Q$665,MATCH($A612-90,$A$5:$A$665,1)):INDEX($Q$5:$Q$665,MATCH($A612+90,$A$5:$A$665,1))),"")</f>
        <v>1.62236055776892</v>
      </c>
    </row>
    <row r="613" customFormat="false" ht="15" hidden="false" customHeight="false" outlineLevel="0" collapsed="false">
      <c r="A613" s="13" t="n">
        <v>46087.4783508102</v>
      </c>
      <c r="B613" s="8" t="n">
        <v>11</v>
      </c>
      <c r="C613" s="8" t="s">
        <v>84</v>
      </c>
      <c r="D613" s="8"/>
      <c r="E613" s="14" t="s">
        <v>66</v>
      </c>
      <c r="F613" s="9" t="n">
        <v>402096</v>
      </c>
      <c r="G613" s="9" t="n">
        <v>79580</v>
      </c>
      <c r="H613" s="9" t="n">
        <v>82069</v>
      </c>
      <c r="I613" s="9" t="n">
        <v>0</v>
      </c>
      <c r="J613" s="9" t="n">
        <v>196</v>
      </c>
      <c r="K613" s="9" t="n">
        <v>22</v>
      </c>
      <c r="L613" s="9" t="n">
        <v>22</v>
      </c>
      <c r="M613" s="10" t="n">
        <f aca="false">IFERROR(G613/F613,"")</f>
        <v>0.197912936214237</v>
      </c>
      <c r="N613" s="10" t="n">
        <f aca="false">IFERROR(H613/G613,"")</f>
        <v>1.03127670268912</v>
      </c>
      <c r="O613" s="11" t="n">
        <f aca="false">IFERROR(I613/H613,"")</f>
        <v>0</v>
      </c>
      <c r="P613" s="10" t="n">
        <f aca="false">IFERROR(J613/H613,"")</f>
        <v>0.00238823429065786</v>
      </c>
      <c r="Q613" s="10" t="n">
        <f aca="false">IFERROR(K613/H613,"")</f>
        <v>0.000268067114257515</v>
      </c>
      <c r="R613" s="10" t="n">
        <f aca="false">IFERROR(L613/H613,"")</f>
        <v>0.000268067114257515</v>
      </c>
      <c r="S613" s="11" t="n">
        <f aca="false">IFERROR(M613/MEDIAN(INDEX($M$5:$M$665,MATCH($A613-90,$A$5:$A$665,1)):INDEX($M$5:$M$665,MATCH($A613+90,$A$5:$A$665,1))),"")</f>
        <v>0.490071784227949</v>
      </c>
      <c r="T613" s="11" t="n">
        <f aca="false">IFERROR(N613/MEDIAN(INDEX($N$5:$N$665,MATCH($A613-90,$A$5:$A$665,1)):INDEX($N$5:$N$665,MATCH($A613+90,$A$5:$A$665,1))),"")</f>
        <v>1.94473890483841</v>
      </c>
      <c r="U613" s="11" t="n">
        <f aca="false">IFERROR(Q613/MEDIAN(INDEX($Q$5:$Q$665,MATCH($A613-90,$A$5:$A$665,1)):INDEX($Q$5:$Q$665,MATCH($A613+90,$A$5:$A$665,1))),"")</f>
        <v>0.730645010774124</v>
      </c>
    </row>
    <row r="614" customFormat="false" ht="15" hidden="false" customHeight="false" outlineLevel="0" collapsed="false">
      <c r="A614" s="13" t="n">
        <v>46088.5871555324</v>
      </c>
      <c r="B614" s="8" t="n">
        <v>14</v>
      </c>
      <c r="C614" s="8" t="s">
        <v>68</v>
      </c>
      <c r="D614" s="8"/>
      <c r="E614" s="14" t="s">
        <v>66</v>
      </c>
      <c r="F614" s="9" t="n">
        <v>20865</v>
      </c>
      <c r="G614" s="9" t="n">
        <v>8138</v>
      </c>
      <c r="H614" s="9" t="n">
        <v>4050</v>
      </c>
      <c r="I614" s="9" t="n">
        <v>0</v>
      </c>
      <c r="J614" s="9" t="n">
        <v>45</v>
      </c>
      <c r="K614" s="9" t="n">
        <v>2</v>
      </c>
      <c r="L614" s="9" t="n">
        <v>1</v>
      </c>
      <c r="M614" s="10" t="n">
        <f aca="false">IFERROR(G614/F614,"")</f>
        <v>0.390031152647975</v>
      </c>
      <c r="N614" s="10" t="n">
        <f aca="false">IFERROR(H614/G614,"")</f>
        <v>0.497665274023102</v>
      </c>
      <c r="O614" s="11" t="n">
        <f aca="false">IFERROR(I614/H614,"")</f>
        <v>0</v>
      </c>
      <c r="P614" s="10" t="n">
        <f aca="false">IFERROR(J614/H614,"")</f>
        <v>0.0111111111111111</v>
      </c>
      <c r="Q614" s="10" t="n">
        <f aca="false">IFERROR(K614/H614,"")</f>
        <v>0.000493827160493827</v>
      </c>
      <c r="R614" s="10" t="n">
        <f aca="false">IFERROR(L614/H614,"")</f>
        <v>0.000246913580246914</v>
      </c>
      <c r="S614" s="11" t="n">
        <f aca="false">IFERROR(M614/MEDIAN(INDEX($M$5:$M$665,MATCH($A614-90,$A$5:$A$665,1)):INDEX($M$5:$M$665,MATCH($A614+90,$A$5:$A$665,1))),"")</f>
        <v>0.974194598680371</v>
      </c>
      <c r="T614" s="11" t="n">
        <f aca="false">IFERROR(N614/MEDIAN(INDEX($N$5:$N$665,MATCH($A614-90,$A$5:$A$665,1)):INDEX($N$5:$N$665,MATCH($A614+90,$A$5:$A$665,1))),"")</f>
        <v>0.923497387667539</v>
      </c>
      <c r="U614" s="11" t="n">
        <f aca="false">IFERROR(Q614/MEDIAN(INDEX($Q$5:$Q$665,MATCH($A614-90,$A$5:$A$665,1)):INDEX($Q$5:$Q$665,MATCH($A614+90,$A$5:$A$665,1))),"")</f>
        <v>1.34597767428107</v>
      </c>
    </row>
    <row r="615" customFormat="false" ht="15" hidden="false" customHeight="false" outlineLevel="0" collapsed="false">
      <c r="A615" s="13" t="n">
        <v>46091.5656491435</v>
      </c>
      <c r="B615" s="8" t="n">
        <v>13</v>
      </c>
      <c r="C615" s="8" t="s">
        <v>64</v>
      </c>
      <c r="D615" s="8" t="s">
        <v>1117</v>
      </c>
      <c r="E615" s="14" t="s">
        <v>66</v>
      </c>
      <c r="F615" s="9" t="n">
        <v>1887542</v>
      </c>
      <c r="G615" s="9" t="n">
        <v>377093</v>
      </c>
      <c r="H615" s="9" t="n">
        <v>455176</v>
      </c>
      <c r="I615" s="9" t="n">
        <v>0</v>
      </c>
      <c r="J615" s="9" t="n">
        <v>1335</v>
      </c>
      <c r="K615" s="9" t="n">
        <v>167</v>
      </c>
      <c r="L615" s="9" t="n">
        <v>240</v>
      </c>
      <c r="M615" s="10" t="n">
        <f aca="false">IFERROR(G615/F615,"")</f>
        <v>0.199779925426825</v>
      </c>
      <c r="N615" s="10" t="n">
        <f aca="false">IFERROR(H615/G615,"")</f>
        <v>1.20706563102471</v>
      </c>
      <c r="O615" s="11" t="n">
        <f aca="false">IFERROR(I615/H615,"")</f>
        <v>0</v>
      </c>
      <c r="P615" s="10" t="n">
        <f aca="false">IFERROR(J615/H615,"")</f>
        <v>0.00293293143750989</v>
      </c>
      <c r="Q615" s="10" t="n">
        <f aca="false">IFERROR(K615/H615,"")</f>
        <v>0.000366891048737192</v>
      </c>
      <c r="R615" s="10" t="n">
        <f aca="false">IFERROR(L615/H615,"")</f>
        <v>0.000527268573035485</v>
      </c>
      <c r="S615" s="11" t="n">
        <f aca="false">IFERROR(M615/MEDIAN(INDEX($M$5:$M$665,MATCH($A615-90,$A$5:$A$665,1)):INDEX($M$5:$M$665,MATCH($A615+90,$A$5:$A$665,1))),"")</f>
        <v>0.501231860450899</v>
      </c>
      <c r="T615" s="11" t="n">
        <f aca="false">IFERROR(N615/MEDIAN(INDEX($N$5:$N$665,MATCH($A615-90,$A$5:$A$665,1)):INDEX($N$5:$N$665,MATCH($A615+90,$A$5:$A$665,1))),"")</f>
        <v>2.22948133183224</v>
      </c>
      <c r="U615" s="11" t="n">
        <f aca="false">IFERROR(Q615/MEDIAN(INDEX($Q$5:$Q$665,MATCH($A615-90,$A$5:$A$665,1)):INDEX($Q$5:$Q$665,MATCH($A615+90,$A$5:$A$665,1))),"")</f>
        <v>0.982705904602476</v>
      </c>
    </row>
    <row r="616" customFormat="false" ht="15" hidden="false" customHeight="false" outlineLevel="0" collapsed="false">
      <c r="A616" s="13" t="n">
        <v>46092.5357265972</v>
      </c>
      <c r="B616" s="8" t="n">
        <v>12</v>
      </c>
      <c r="C616" s="8" t="s">
        <v>71</v>
      </c>
      <c r="D616" s="8"/>
      <c r="E616" s="14" t="s">
        <v>66</v>
      </c>
      <c r="F616" s="9" t="n">
        <v>22181</v>
      </c>
      <c r="G616" s="9" t="n">
        <v>11015</v>
      </c>
      <c r="H616" s="9" t="n">
        <v>6070</v>
      </c>
      <c r="I616" s="9" t="n">
        <v>0</v>
      </c>
      <c r="J616" s="9" t="n">
        <v>47</v>
      </c>
      <c r="K616" s="9" t="n">
        <v>2</v>
      </c>
      <c r="L616" s="9" t="n">
        <v>8</v>
      </c>
      <c r="M616" s="10" t="n">
        <f aca="false">IFERROR(G616/F616,"")</f>
        <v>0.496596185924891</v>
      </c>
      <c r="N616" s="10" t="n">
        <f aca="false">IFERROR(H616/G616,"")</f>
        <v>0.551066727190195</v>
      </c>
      <c r="O616" s="11" t="n">
        <f aca="false">IFERROR(I616/H616,"")</f>
        <v>0</v>
      </c>
      <c r="P616" s="10" t="n">
        <f aca="false">IFERROR(J616/H616,"")</f>
        <v>0.00774299835255354</v>
      </c>
      <c r="Q616" s="10" t="n">
        <f aca="false">IFERROR(K616/H616,"")</f>
        <v>0.000329489291598023</v>
      </c>
      <c r="R616" s="10" t="n">
        <f aca="false">IFERROR(L616/H616,"")</f>
        <v>0.00131795716639209</v>
      </c>
      <c r="S616" s="11" t="n">
        <f aca="false">IFERROR(M616/MEDIAN(INDEX($M$5:$M$665,MATCH($A616-90,$A$5:$A$665,1)):INDEX($M$5:$M$665,MATCH($A616+90,$A$5:$A$665,1))),"")</f>
        <v>1.2403658496734</v>
      </c>
      <c r="T616" s="11" t="n">
        <f aca="false">IFERROR(N616/MEDIAN(INDEX($N$5:$N$665,MATCH($A616-90,$A$5:$A$665,1)):INDEX($N$5:$N$665,MATCH($A616+90,$A$5:$A$665,1))),"")</f>
        <v>1.0190898198161</v>
      </c>
      <c r="U616" s="11" t="n">
        <f aca="false">IFERROR(Q616/MEDIAN(INDEX($Q$5:$Q$665,MATCH($A616-90,$A$5:$A$665,1)):INDEX($Q$5:$Q$665,MATCH($A616+90,$A$5:$A$665,1))),"")</f>
        <v>0.894481054365733</v>
      </c>
    </row>
    <row r="617" customFormat="false" ht="15" hidden="false" customHeight="false" outlineLevel="0" collapsed="false">
      <c r="A617" s="13" t="n">
        <v>46093.5676879051</v>
      </c>
      <c r="B617" s="8" t="n">
        <v>13</v>
      </c>
      <c r="C617" s="8" t="s">
        <v>73</v>
      </c>
      <c r="D617" s="8" t="s">
        <v>1195</v>
      </c>
      <c r="E617" s="14" t="s">
        <v>66</v>
      </c>
      <c r="F617" s="9" t="n">
        <v>56390</v>
      </c>
      <c r="G617" s="9" t="n">
        <v>27381</v>
      </c>
      <c r="H617" s="9" t="n">
        <v>10115</v>
      </c>
      <c r="I617" s="9" t="n">
        <v>0</v>
      </c>
      <c r="J617" s="9" t="n">
        <v>53</v>
      </c>
      <c r="K617" s="9" t="n">
        <v>1</v>
      </c>
      <c r="L617" s="9" t="n">
        <v>0</v>
      </c>
      <c r="M617" s="10" t="n">
        <f aca="false">IFERROR(G617/F617,"")</f>
        <v>0.485564816456819</v>
      </c>
      <c r="N617" s="10" t="n">
        <f aca="false">IFERROR(H617/G617,"")</f>
        <v>0.369416748840437</v>
      </c>
      <c r="O617" s="11" t="n">
        <f aca="false">IFERROR(I617/H617,"")</f>
        <v>0</v>
      </c>
      <c r="P617" s="10" t="n">
        <f aca="false">IFERROR(J617/H617,"")</f>
        <v>0.00523974295600593</v>
      </c>
      <c r="Q617" s="10" t="n">
        <f aca="false">IFERROR(K617/H617,"")</f>
        <v>9.88630746416214E-005</v>
      </c>
      <c r="R617" s="10" t="n">
        <f aca="false">IFERROR(L617/H617,"")</f>
        <v>0</v>
      </c>
      <c r="S617" s="11" t="n">
        <f aca="false">IFERROR(M617/MEDIAN(INDEX($M$5:$M$665,MATCH($A617-90,$A$5:$A$665,1)):INDEX($M$5:$M$665,MATCH($A617+90,$A$5:$A$665,1))),"")</f>
        <v>1.20756108357766</v>
      </c>
      <c r="T617" s="11" t="n">
        <f aca="false">IFERROR(N617/MEDIAN(INDEX($N$5:$N$665,MATCH($A617-90,$A$5:$A$665,1)):INDEX($N$5:$N$665,MATCH($A617+90,$A$5:$A$665,1))),"")</f>
        <v>0.682322256584119</v>
      </c>
      <c r="U617" s="11" t="n">
        <f aca="false">IFERROR(Q617/MEDIAN(INDEX($Q$5:$Q$665,MATCH($A617-90,$A$5:$A$665,1)):INDEX($Q$5:$Q$665,MATCH($A617+90,$A$5:$A$665,1))),"")</f>
        <v>0.264801574014603</v>
      </c>
    </row>
    <row r="618" customFormat="false" ht="15" hidden="false" customHeight="false" outlineLevel="0" collapsed="false">
      <c r="A618" s="13" t="n">
        <v>46094.5979453472</v>
      </c>
      <c r="B618" s="8" t="n">
        <v>14</v>
      </c>
      <c r="C618" s="8" t="s">
        <v>84</v>
      </c>
      <c r="D618" s="8"/>
      <c r="E618" s="14" t="s">
        <v>66</v>
      </c>
      <c r="F618" s="9" t="n">
        <v>9783</v>
      </c>
      <c r="G618" s="9" t="n">
        <v>4274</v>
      </c>
      <c r="H618" s="9" t="n">
        <v>3615</v>
      </c>
      <c r="I618" s="9" t="n">
        <v>0</v>
      </c>
      <c r="J618" s="9" t="n">
        <v>16</v>
      </c>
      <c r="K618" s="9" t="n">
        <v>2</v>
      </c>
      <c r="L618" s="9" t="n">
        <v>0</v>
      </c>
      <c r="M618" s="10" t="n">
        <f aca="false">IFERROR(G618/F618,"")</f>
        <v>0.436880302565675</v>
      </c>
      <c r="N618" s="10" t="n">
        <f aca="false">IFERROR(H618/G618,"")</f>
        <v>0.845811885821245</v>
      </c>
      <c r="O618" s="11" t="n">
        <f aca="false">IFERROR(I618/H618,"")</f>
        <v>0</v>
      </c>
      <c r="P618" s="10" t="n">
        <f aca="false">IFERROR(J618/H618,"")</f>
        <v>0.00442600276625173</v>
      </c>
      <c r="Q618" s="10" t="n">
        <f aca="false">IFERROR(K618/H618,"")</f>
        <v>0.000553250345781466</v>
      </c>
      <c r="R618" s="10" t="n">
        <f aca="false">IFERROR(L618/H618,"")</f>
        <v>0</v>
      </c>
      <c r="S618" s="11" t="n">
        <f aca="false">IFERROR(M618/MEDIAN(INDEX($M$5:$M$665,MATCH($A618-90,$A$5:$A$665,1)):INDEX($M$5:$M$665,MATCH($A618+90,$A$5:$A$665,1))),"")</f>
        <v>1.08180250097772</v>
      </c>
      <c r="T618" s="11" t="n">
        <f aca="false">IFERROR(N618/MEDIAN(INDEX($N$5:$N$665,MATCH($A618-90,$A$5:$A$665,1)):INDEX($N$5:$N$665,MATCH($A618+90,$A$5:$A$665,1))),"")</f>
        <v>1.56416317623618</v>
      </c>
      <c r="U618" s="11" t="n">
        <f aca="false">IFERROR(Q618/MEDIAN(INDEX($Q$5:$Q$665,MATCH($A618-90,$A$5:$A$665,1)):INDEX($Q$5:$Q$665,MATCH($A618+90,$A$5:$A$665,1))),"")</f>
        <v>1.50193637621024</v>
      </c>
    </row>
    <row r="619" customFormat="false" ht="15" hidden="false" customHeight="false" outlineLevel="0" collapsed="false">
      <c r="A619" s="13" t="n">
        <v>46095.582983507</v>
      </c>
      <c r="B619" s="8" t="n">
        <v>13</v>
      </c>
      <c r="C619" s="8" t="s">
        <v>68</v>
      </c>
      <c r="D619" s="8"/>
      <c r="E619" s="14" t="s">
        <v>66</v>
      </c>
      <c r="F619" s="9" t="n">
        <v>63845</v>
      </c>
      <c r="G619" s="9" t="n">
        <v>32695</v>
      </c>
      <c r="H619" s="9" t="n">
        <v>20391</v>
      </c>
      <c r="I619" s="9" t="n">
        <v>0</v>
      </c>
      <c r="J619" s="9" t="n">
        <v>86</v>
      </c>
      <c r="K619" s="9" t="n">
        <v>7</v>
      </c>
      <c r="L619" s="9" t="n">
        <v>9</v>
      </c>
      <c r="M619" s="10" t="n">
        <f aca="false">IFERROR(G619/F619,"")</f>
        <v>0.512099616258125</v>
      </c>
      <c r="N619" s="10" t="n">
        <f aca="false">IFERROR(H619/G619,"")</f>
        <v>0.623673344548096</v>
      </c>
      <c r="O619" s="11" t="n">
        <f aca="false">IFERROR(I619/H619,"")</f>
        <v>0</v>
      </c>
      <c r="P619" s="10" t="n">
        <f aca="false">IFERROR(J619/H619,"")</f>
        <v>0.00421754695699083</v>
      </c>
      <c r="Q619" s="10" t="n">
        <f aca="false">IFERROR(K619/H619,"")</f>
        <v>0.000343288705801579</v>
      </c>
      <c r="R619" s="10" t="n">
        <f aca="false">IFERROR(L619/H619,"")</f>
        <v>0.000441371193173459</v>
      </c>
      <c r="S619" s="11" t="n">
        <f aca="false">IFERROR(M619/MEDIAN(INDEX($M$5:$M$665,MATCH($A619-90,$A$5:$A$665,1)):INDEX($M$5:$M$665,MATCH($A619+90,$A$5:$A$665,1))),"")</f>
        <v>1.26806047872687</v>
      </c>
      <c r="T619" s="11" t="n">
        <f aca="false">IFERROR(N619/MEDIAN(INDEX($N$5:$N$665,MATCH($A619-90,$A$5:$A$665,1)):INDEX($N$5:$N$665,MATCH($A619+90,$A$5:$A$665,1))),"")</f>
        <v>1.153361516781</v>
      </c>
      <c r="U619" s="11" t="n">
        <f aca="false">IFERROR(Q619/MEDIAN(INDEX($Q$5:$Q$665,MATCH($A619-90,$A$5:$A$665,1)):INDEX($Q$5:$Q$665,MATCH($A619+90,$A$5:$A$665,1))),"")</f>
        <v>0.931943014074837</v>
      </c>
    </row>
    <row r="620" customFormat="false" ht="15" hidden="false" customHeight="false" outlineLevel="0" collapsed="false">
      <c r="A620" s="13" t="n">
        <v>46097.5399837616</v>
      </c>
      <c r="B620" s="8" t="n">
        <v>12</v>
      </c>
      <c r="C620" s="8" t="s">
        <v>80</v>
      </c>
      <c r="D620" s="8"/>
      <c r="E620" s="14" t="s">
        <v>66</v>
      </c>
      <c r="F620" s="9" t="n">
        <v>3522</v>
      </c>
      <c r="G620" s="9" t="n">
        <v>404</v>
      </c>
      <c r="H620" s="9" t="n">
        <v>579</v>
      </c>
      <c r="I620" s="9" t="n">
        <v>0</v>
      </c>
      <c r="J620" s="9" t="n">
        <v>8</v>
      </c>
      <c r="K620" s="9" t="n">
        <v>1</v>
      </c>
      <c r="L620" s="9" t="n">
        <v>0</v>
      </c>
      <c r="M620" s="10" t="n">
        <f aca="false">IFERROR(G620/F620,"")</f>
        <v>0.114707552526973</v>
      </c>
      <c r="N620" s="10" t="n">
        <f aca="false">IFERROR(H620/G620,"")</f>
        <v>1.43316831683168</v>
      </c>
      <c r="O620" s="11" t="n">
        <f aca="false">IFERROR(I620/H620,"")</f>
        <v>0</v>
      </c>
      <c r="P620" s="10" t="n">
        <f aca="false">IFERROR(J620/H620,"")</f>
        <v>0.0138169257340242</v>
      </c>
      <c r="Q620" s="10" t="n">
        <f aca="false">IFERROR(K620/H620,"")</f>
        <v>0.00172711571675302</v>
      </c>
      <c r="R620" s="10" t="n">
        <f aca="false">IFERROR(L620/H620,"")</f>
        <v>0</v>
      </c>
      <c r="S620" s="11" t="n">
        <f aca="false">IFERROR(M620/MEDIAN(INDEX($M$5:$M$665,MATCH($A620-90,$A$5:$A$665,1)):INDEX($M$5:$M$665,MATCH($A620+90,$A$5:$A$665,1))),"")</f>
        <v>0.284038709174944</v>
      </c>
      <c r="T620" s="11" t="n">
        <f aca="false">IFERROR(N620/MEDIAN(INDEX($N$5:$N$665,MATCH($A620-90,$A$5:$A$665,1)):INDEX($N$5:$N$665,MATCH($A620+90,$A$5:$A$665,1))),"")</f>
        <v>2.65947267323399</v>
      </c>
      <c r="U620" s="11" t="n">
        <f aca="false">IFERROR(Q620/MEDIAN(INDEX($Q$5:$Q$665,MATCH($A620-90,$A$5:$A$665,1)):INDEX($Q$5:$Q$665,MATCH($A620+90,$A$5:$A$665,1))),"")</f>
        <v>4.68868739205527</v>
      </c>
    </row>
    <row r="621" customFormat="false" ht="15" hidden="false" customHeight="false" outlineLevel="0" collapsed="false">
      <c r="A621" s="13" t="n">
        <v>46098.5840053935</v>
      </c>
      <c r="B621" s="8" t="n">
        <v>14</v>
      </c>
      <c r="C621" s="8" t="s">
        <v>64</v>
      </c>
      <c r="D621" s="8" t="s">
        <v>313</v>
      </c>
      <c r="E621" s="14" t="s">
        <v>66</v>
      </c>
      <c r="F621" s="9" t="n">
        <v>18217</v>
      </c>
      <c r="G621" s="9" t="n">
        <v>9032</v>
      </c>
      <c r="H621" s="9" t="n">
        <v>4884</v>
      </c>
      <c r="I621" s="9" t="n">
        <v>0</v>
      </c>
      <c r="J621" s="9" t="n">
        <v>90</v>
      </c>
      <c r="K621" s="9" t="n">
        <v>2</v>
      </c>
      <c r="L621" s="9" t="n">
        <v>7</v>
      </c>
      <c r="M621" s="10" t="n">
        <f aca="false">IFERROR(G621/F621,"")</f>
        <v>0.495800625789098</v>
      </c>
      <c r="N621" s="10" t="n">
        <f aca="false">IFERROR(H621/G621,"")</f>
        <v>0.54074402125775</v>
      </c>
      <c r="O621" s="11" t="n">
        <f aca="false">IFERROR(I621/H621,"")</f>
        <v>0</v>
      </c>
      <c r="P621" s="10" t="n">
        <f aca="false">IFERROR(J621/H621,"")</f>
        <v>0.0184275184275184</v>
      </c>
      <c r="Q621" s="10" t="n">
        <f aca="false">IFERROR(K621/H621,"")</f>
        <v>0.00040950040950041</v>
      </c>
      <c r="R621" s="10" t="n">
        <f aca="false">IFERROR(L621/H621,"")</f>
        <v>0.00143325143325143</v>
      </c>
      <c r="S621" s="11" t="n">
        <f aca="false">IFERROR(M621/MEDIAN(INDEX($M$5:$M$665,MATCH($A621-90,$A$5:$A$665,1)):INDEX($M$5:$M$665,MATCH($A621+90,$A$5:$A$665,1))),"")</f>
        <v>1.22770093733932</v>
      </c>
      <c r="T621" s="11" t="n">
        <f aca="false">IFERROR(N621/MEDIAN(INDEX($N$5:$N$665,MATCH($A621-90,$A$5:$A$665,1)):INDEX($N$5:$N$665,MATCH($A621+90,$A$5:$A$665,1))),"")</f>
        <v>1.00343688236763</v>
      </c>
      <c r="U621" s="11" t="n">
        <f aca="false">IFERROR(Q621/MEDIAN(INDEX($Q$5:$Q$665,MATCH($A621-90,$A$5:$A$665,1)):INDEX($Q$5:$Q$665,MATCH($A621+90,$A$5:$A$665,1))),"")</f>
        <v>1.08236808236808</v>
      </c>
    </row>
    <row r="622" customFormat="false" ht="15" hidden="false" customHeight="false" outlineLevel="0" collapsed="false">
      <c r="A622" s="13" t="n">
        <v>46099.5742427315</v>
      </c>
      <c r="B622" s="8" t="n">
        <v>13</v>
      </c>
      <c r="C622" s="8" t="s">
        <v>71</v>
      </c>
      <c r="D622" s="8"/>
      <c r="E622" s="14" t="s">
        <v>66</v>
      </c>
      <c r="F622" s="9" t="n">
        <v>19789</v>
      </c>
      <c r="G622" s="9" t="n">
        <v>11999</v>
      </c>
      <c r="H622" s="9" t="n">
        <v>6159</v>
      </c>
      <c r="I622" s="9" t="n">
        <v>0</v>
      </c>
      <c r="J622" s="9" t="n">
        <v>50</v>
      </c>
      <c r="K622" s="9" t="n">
        <v>2</v>
      </c>
      <c r="L622" s="9" t="n">
        <v>3</v>
      </c>
      <c r="M622" s="10" t="n">
        <f aca="false">IFERROR(G622/F622,"")</f>
        <v>0.606346960432564</v>
      </c>
      <c r="N622" s="10" t="n">
        <f aca="false">IFERROR(H622/G622,"")</f>
        <v>0.513292774397867</v>
      </c>
      <c r="O622" s="11" t="n">
        <f aca="false">IFERROR(I622/H622,"")</f>
        <v>0</v>
      </c>
      <c r="P622" s="10" t="n">
        <f aca="false">IFERROR(J622/H622,"")</f>
        <v>0.00811820100665693</v>
      </c>
      <c r="Q622" s="10" t="n">
        <f aca="false">IFERROR(K622/H622,"")</f>
        <v>0.000324728040266277</v>
      </c>
      <c r="R622" s="10" t="n">
        <f aca="false">IFERROR(L622/H622,"")</f>
        <v>0.000487092060399416</v>
      </c>
      <c r="S622" s="11" t="n">
        <f aca="false">IFERROR(M622/MEDIAN(INDEX($M$5:$M$665,MATCH($A622-90,$A$5:$A$665,1)):INDEX($M$5:$M$665,MATCH($A622+90,$A$5:$A$665,1))),"")</f>
        <v>1.49484208053435</v>
      </c>
      <c r="T622" s="11" t="n">
        <f aca="false">IFERROR(N622/MEDIAN(INDEX($N$5:$N$665,MATCH($A622-90,$A$5:$A$665,1)):INDEX($N$5:$N$665,MATCH($A622+90,$A$5:$A$665,1))),"")</f>
        <v>0.960159341190392</v>
      </c>
      <c r="U622" s="11" t="n">
        <f aca="false">IFERROR(Q622/MEDIAN(INDEX($Q$5:$Q$665,MATCH($A622-90,$A$5:$A$665,1)):INDEX($Q$5:$Q$665,MATCH($A622+90,$A$5:$A$665,1))),"")</f>
        <v>0.857792009661867</v>
      </c>
    </row>
    <row r="623" customFormat="false" ht="15" hidden="false" customHeight="false" outlineLevel="0" collapsed="false">
      <c r="A623" s="13" t="n">
        <v>46100.5446606713</v>
      </c>
      <c r="B623" s="8" t="n">
        <v>13</v>
      </c>
      <c r="C623" s="8" t="s">
        <v>73</v>
      </c>
      <c r="D623" s="8" t="s">
        <v>1196</v>
      </c>
      <c r="E623" s="14" t="s">
        <v>66</v>
      </c>
      <c r="F623" s="9" t="n">
        <v>25006</v>
      </c>
      <c r="G623" s="9" t="n">
        <v>13912</v>
      </c>
      <c r="H623" s="9" t="n">
        <v>5678</v>
      </c>
      <c r="I623" s="9" t="n">
        <v>0</v>
      </c>
      <c r="J623" s="9" t="n">
        <v>36</v>
      </c>
      <c r="K623" s="9" t="n">
        <v>3</v>
      </c>
      <c r="L623" s="9" t="n">
        <v>1</v>
      </c>
      <c r="M623" s="10" t="n">
        <f aca="false">IFERROR(G623/F623,"")</f>
        <v>0.556346476845557</v>
      </c>
      <c r="N623" s="10" t="n">
        <f aca="false">IFERROR(H623/G623,"")</f>
        <v>0.40813686026452</v>
      </c>
      <c r="O623" s="11" t="n">
        <f aca="false">IFERROR(I623/H623,"")</f>
        <v>0</v>
      </c>
      <c r="P623" s="10" t="n">
        <f aca="false">IFERROR(J623/H623,"")</f>
        <v>0.00634026065516027</v>
      </c>
      <c r="Q623" s="10" t="n">
        <f aca="false">IFERROR(K623/H623,"")</f>
        <v>0.000528355054596689</v>
      </c>
      <c r="R623" s="10" t="n">
        <f aca="false">IFERROR(L623/H623,"")</f>
        <v>0.00017611835153223</v>
      </c>
      <c r="S623" s="11" t="n">
        <f aca="false">IFERROR(M623/MEDIAN(INDEX($M$5:$M$665,MATCH($A623-90,$A$5:$A$665,1)):INDEX($M$5:$M$665,MATCH($A623+90,$A$5:$A$665,1))),"")</f>
        <v>1.37762450384495</v>
      </c>
      <c r="T623" s="11" t="n">
        <f aca="false">IFERROR(N623/MEDIAN(INDEX($N$5:$N$665,MATCH($A623-90,$A$5:$A$665,1)):INDEX($N$5:$N$665,MATCH($A623+90,$A$5:$A$665,1))),"")</f>
        <v>0.757363119227039</v>
      </c>
      <c r="U623" s="11" t="n">
        <f aca="false">IFERROR(Q623/MEDIAN(INDEX($Q$5:$Q$665,MATCH($A623-90,$A$5:$A$665,1)):INDEX($Q$5:$Q$665,MATCH($A623+90,$A$5:$A$665,1))),"")</f>
        <v>1.39485734413526</v>
      </c>
    </row>
    <row r="624" customFormat="false" ht="15" hidden="false" customHeight="false" outlineLevel="0" collapsed="false">
      <c r="A624" s="13" t="n">
        <v>46101.5644589468</v>
      </c>
      <c r="B624" s="8" t="n">
        <v>13</v>
      </c>
      <c r="C624" s="8" t="s">
        <v>84</v>
      </c>
      <c r="D624" s="8"/>
      <c r="E624" s="14" t="s">
        <v>66</v>
      </c>
      <c r="F624" s="9" t="n">
        <v>9763</v>
      </c>
      <c r="G624" s="9" t="n">
        <v>4218</v>
      </c>
      <c r="H624" s="9" t="n">
        <v>1849</v>
      </c>
      <c r="I624" s="9" t="n">
        <v>0</v>
      </c>
      <c r="J624" s="9" t="n">
        <v>22</v>
      </c>
      <c r="K624" s="9" t="n">
        <v>1</v>
      </c>
      <c r="L624" s="9" t="n">
        <v>1</v>
      </c>
      <c r="M624" s="10" t="n">
        <f aca="false">IFERROR(G624/F624,"")</f>
        <v>0.432039332172488</v>
      </c>
      <c r="N624" s="10" t="n">
        <f aca="false">IFERROR(H624/G624,"")</f>
        <v>0.438359412043623</v>
      </c>
      <c r="O624" s="11" t="n">
        <f aca="false">IFERROR(I624/H624,"")</f>
        <v>0</v>
      </c>
      <c r="P624" s="10" t="n">
        <f aca="false">IFERROR(J624/H624,"")</f>
        <v>0.0118983234180638</v>
      </c>
      <c r="Q624" s="10" t="n">
        <f aca="false">IFERROR(K624/H624,"")</f>
        <v>0.000540832882639265</v>
      </c>
      <c r="R624" s="10" t="n">
        <f aca="false">IFERROR(L624/H624,"")</f>
        <v>0.000540832882639265</v>
      </c>
      <c r="S624" s="11" t="n">
        <f aca="false">IFERROR(M624/MEDIAN(INDEX($M$5:$M$665,MATCH($A624-90,$A$5:$A$665,1)):INDEX($M$5:$M$665,MATCH($A624+90,$A$5:$A$665,1))),"")</f>
        <v>1.07444746082169</v>
      </c>
      <c r="T624" s="11" t="n">
        <f aca="false">IFERROR(N624/MEDIAN(INDEX($N$5:$N$665,MATCH($A624-90,$A$5:$A$665,1)):INDEX($N$5:$N$665,MATCH($A624+90,$A$5:$A$665,1))),"")</f>
        <v>0.812050429363981</v>
      </c>
      <c r="U624" s="11" t="n">
        <f aca="false">IFERROR(Q624/MEDIAN(INDEX($Q$5:$Q$665,MATCH($A624-90,$A$5:$A$665,1)):INDEX($Q$5:$Q$665,MATCH($A624+90,$A$5:$A$665,1))),"")</f>
        <v>1.42864818483165</v>
      </c>
    </row>
    <row r="625" customFormat="false" ht="15" hidden="false" customHeight="false" outlineLevel="0" collapsed="false">
      <c r="A625" s="13" t="n">
        <v>46102.4802409838</v>
      </c>
      <c r="B625" s="8" t="n">
        <v>11</v>
      </c>
      <c r="C625" s="8" t="s">
        <v>68</v>
      </c>
      <c r="D625" s="8"/>
      <c r="E625" s="14" t="s">
        <v>66</v>
      </c>
      <c r="F625" s="9" t="n">
        <v>146348</v>
      </c>
      <c r="G625" s="9" t="n">
        <v>62515</v>
      </c>
      <c r="H625" s="9" t="n">
        <v>33888</v>
      </c>
      <c r="I625" s="9" t="n">
        <v>0</v>
      </c>
      <c r="J625" s="9" t="n">
        <v>51</v>
      </c>
      <c r="K625" s="9" t="n">
        <v>3</v>
      </c>
      <c r="L625" s="9" t="n">
        <v>7</v>
      </c>
      <c r="M625" s="10" t="n">
        <f aca="false">IFERROR(G625/F625,"")</f>
        <v>0.427166753218356</v>
      </c>
      <c r="N625" s="10" t="n">
        <f aca="false">IFERROR(H625/G625,"")</f>
        <v>0.542077901303687</v>
      </c>
      <c r="O625" s="11" t="n">
        <f aca="false">IFERROR(I625/H625,"")</f>
        <v>0</v>
      </c>
      <c r="P625" s="10" t="n">
        <f aca="false">IFERROR(J625/H625,"")</f>
        <v>0.00150495750708215</v>
      </c>
      <c r="Q625" s="10" t="n">
        <f aca="false">IFERROR(K625/H625,"")</f>
        <v>8.85269121813031E-005</v>
      </c>
      <c r="R625" s="10" t="n">
        <f aca="false">IFERROR(L625/H625,"")</f>
        <v>0.000206562795089707</v>
      </c>
      <c r="S625" s="11" t="n">
        <f aca="false">IFERROR(M625/MEDIAN(INDEX($M$5:$M$665,MATCH($A625-90,$A$5:$A$665,1)):INDEX($M$5:$M$665,MATCH($A625+90,$A$5:$A$665,1))),"")</f>
        <v>1.05774982129501</v>
      </c>
      <c r="T625" s="11" t="n">
        <f aca="false">IFERROR(N625/MEDIAN(INDEX($N$5:$N$665,MATCH($A625-90,$A$5:$A$665,1)):INDEX($N$5:$N$665,MATCH($A625+90,$A$5:$A$665,1))),"")</f>
        <v>1.00591210979896</v>
      </c>
      <c r="U625" s="11" t="n">
        <f aca="false">IFERROR(Q625/MEDIAN(INDEX($Q$5:$Q$665,MATCH($A625-90,$A$5:$A$665,1)):INDEX($Q$5:$Q$665,MATCH($A625+90,$A$5:$A$665,1))),"")</f>
        <v>0.23371104815864</v>
      </c>
    </row>
    <row r="626" customFormat="false" ht="15" hidden="false" customHeight="false" outlineLevel="0" collapsed="false">
      <c r="A626" s="13" t="n">
        <v>46104.5682557639</v>
      </c>
      <c r="B626" s="8" t="n">
        <v>13</v>
      </c>
      <c r="C626" s="8" t="s">
        <v>80</v>
      </c>
      <c r="D626" s="8"/>
      <c r="E626" s="14" t="s">
        <v>66</v>
      </c>
      <c r="F626" s="9" t="n">
        <v>33382</v>
      </c>
      <c r="G626" s="9" t="n">
        <v>19729</v>
      </c>
      <c r="H626" s="9" t="n">
        <v>8734</v>
      </c>
      <c r="I626" s="9" t="n">
        <v>0</v>
      </c>
      <c r="J626" s="9" t="n">
        <v>51</v>
      </c>
      <c r="K626" s="9" t="n">
        <v>6</v>
      </c>
      <c r="L626" s="9" t="n">
        <v>7</v>
      </c>
      <c r="M626" s="10" t="n">
        <f aca="false">IFERROR(G626/F626,"")</f>
        <v>0.591007129590798</v>
      </c>
      <c r="N626" s="10" t="n">
        <f aca="false">IFERROR(H626/G626,"")</f>
        <v>0.442698565563384</v>
      </c>
      <c r="O626" s="11" t="n">
        <f aca="false">IFERROR(I626/H626,"")</f>
        <v>0</v>
      </c>
      <c r="P626" s="10" t="n">
        <f aca="false">IFERROR(J626/H626,"")</f>
        <v>0.00583924891229677</v>
      </c>
      <c r="Q626" s="10" t="n">
        <f aca="false">IFERROR(K626/H626,"")</f>
        <v>0.000686970460270208</v>
      </c>
      <c r="R626" s="10" t="n">
        <f aca="false">IFERROR(L626/H626,"")</f>
        <v>0.00080146553698191</v>
      </c>
      <c r="S626" s="11" t="n">
        <f aca="false">IFERROR(M626/MEDIAN(INDEX($M$5:$M$665,MATCH($A626-90,$A$5:$A$665,1)):INDEX($M$5:$M$665,MATCH($A626+90,$A$5:$A$665,1))),"")</f>
        <v>1.45702441812834</v>
      </c>
      <c r="T626" s="11" t="n">
        <f aca="false">IFERROR(N626/MEDIAN(INDEX($N$5:$N$665,MATCH($A626-90,$A$5:$A$665,1)):INDEX($N$5:$N$665,MATCH($A626+90,$A$5:$A$665,1))),"")</f>
        <v>0.828106656198114</v>
      </c>
      <c r="U626" s="11" t="n">
        <f aca="false">IFERROR(Q626/MEDIAN(INDEX($Q$5:$Q$665,MATCH($A626-90,$A$5:$A$665,1)):INDEX($Q$5:$Q$665,MATCH($A626+90,$A$5:$A$665,1))),"")</f>
        <v>1.79293171152188</v>
      </c>
    </row>
    <row r="627" customFormat="false" ht="15" hidden="false" customHeight="false" outlineLevel="0" collapsed="false">
      <c r="A627" s="13" t="n">
        <v>46105.5345308681</v>
      </c>
      <c r="B627" s="8" t="n">
        <v>12</v>
      </c>
      <c r="C627" s="8" t="s">
        <v>64</v>
      </c>
      <c r="D627" s="8" t="s">
        <v>1197</v>
      </c>
      <c r="E627" s="14" t="s">
        <v>66</v>
      </c>
      <c r="F627" s="9" t="n">
        <v>269489</v>
      </c>
      <c r="G627" s="9" t="n">
        <v>56408</v>
      </c>
      <c r="H627" s="9" t="n">
        <v>49227</v>
      </c>
      <c r="I627" s="9" t="n">
        <v>0</v>
      </c>
      <c r="J627" s="9" t="n">
        <v>160</v>
      </c>
      <c r="K627" s="9" t="n">
        <v>72</v>
      </c>
      <c r="L627" s="9" t="n">
        <v>27</v>
      </c>
      <c r="M627" s="10" t="n">
        <f aca="false">IFERROR(G627/F627,"")</f>
        <v>0.209314665904731</v>
      </c>
      <c r="N627" s="10" t="n">
        <f aca="false">IFERROR(H627/G627,"")</f>
        <v>0.872695362359949</v>
      </c>
      <c r="O627" s="11" t="n">
        <f aca="false">IFERROR(I627/H627,"")</f>
        <v>0</v>
      </c>
      <c r="P627" s="10" t="n">
        <f aca="false">IFERROR(J627/H627,"")</f>
        <v>0.00325024884717736</v>
      </c>
      <c r="Q627" s="10" t="n">
        <f aca="false">IFERROR(K627/H627,"")</f>
        <v>0.00146261198122981</v>
      </c>
      <c r="R627" s="10" t="n">
        <f aca="false">IFERROR(L627/H627,"")</f>
        <v>0.00054847949296118</v>
      </c>
      <c r="S627" s="11" t="n">
        <f aca="false">IFERROR(M627/MEDIAN(INDEX($M$5:$M$665,MATCH($A627-90,$A$5:$A$665,1)):INDEX($M$5:$M$665,MATCH($A627+90,$A$5:$A$665,1))),"")</f>
        <v>0.518304734127981</v>
      </c>
      <c r="T627" s="11" t="n">
        <f aca="false">IFERROR(N627/MEDIAN(INDEX($N$5:$N$665,MATCH($A627-90,$A$5:$A$665,1)):INDEX($N$5:$N$665,MATCH($A627+90,$A$5:$A$665,1))),"")</f>
        <v>1.6194256047923</v>
      </c>
      <c r="U627" s="11" t="n">
        <f aca="false">IFERROR(Q627/MEDIAN(INDEX($Q$5:$Q$665,MATCH($A627-90,$A$5:$A$665,1)):INDEX($Q$5:$Q$665,MATCH($A627+90,$A$5:$A$665,1))),"")</f>
        <v>3.86129563044671</v>
      </c>
    </row>
    <row r="628" customFormat="false" ht="15" hidden="false" customHeight="false" outlineLevel="0" collapsed="false">
      <c r="A628" s="13" t="n">
        <v>46106.7571258218</v>
      </c>
      <c r="B628" s="8" t="n">
        <v>18</v>
      </c>
      <c r="C628" s="8" t="s">
        <v>71</v>
      </c>
      <c r="D628" s="8"/>
      <c r="E628" s="14" t="s">
        <v>66</v>
      </c>
      <c r="F628" s="9" t="n">
        <v>22975</v>
      </c>
      <c r="G628" s="9" t="n">
        <v>12612</v>
      </c>
      <c r="H628" s="9" t="n">
        <v>6065</v>
      </c>
      <c r="I628" s="9" t="n">
        <v>0</v>
      </c>
      <c r="J628" s="9" t="n">
        <v>37</v>
      </c>
      <c r="K628" s="9" t="n">
        <v>3</v>
      </c>
      <c r="L628" s="9" t="n">
        <v>4</v>
      </c>
      <c r="M628" s="10" t="n">
        <f aca="false">IFERROR(G628/F628,"")</f>
        <v>0.548944504896627</v>
      </c>
      <c r="N628" s="10" t="n">
        <f aca="false">IFERROR(H628/G628,"")</f>
        <v>0.480891214716143</v>
      </c>
      <c r="O628" s="11" t="n">
        <f aca="false">IFERROR(I628/H628,"")</f>
        <v>0</v>
      </c>
      <c r="P628" s="10" t="n">
        <f aca="false">IFERROR(J628/H628,"")</f>
        <v>0.00610057708161583</v>
      </c>
      <c r="Q628" s="10" t="n">
        <f aca="false">IFERROR(K628/H628,"")</f>
        <v>0.000494641384995878</v>
      </c>
      <c r="R628" s="10" t="n">
        <f aca="false">IFERROR(L628/H628,"")</f>
        <v>0.000659521846661171</v>
      </c>
      <c r="S628" s="11" t="n">
        <f aca="false">IFERROR(M628/MEDIAN(INDEX($M$5:$M$665,MATCH($A628-90,$A$5:$A$665,1)):INDEX($M$5:$M$665,MATCH($A628+90,$A$5:$A$665,1))),"")</f>
        <v>1.36518132840443</v>
      </c>
      <c r="T628" s="11" t="n">
        <f aca="false">IFERROR(N628/MEDIAN(INDEX($N$5:$N$665,MATCH($A628-90,$A$5:$A$665,1)):INDEX($N$5:$N$665,MATCH($A628+90,$A$5:$A$665,1))),"")</f>
        <v>0.890839586555404</v>
      </c>
      <c r="U628" s="11" t="n">
        <f aca="false">IFERROR(Q628/MEDIAN(INDEX($Q$5:$Q$665,MATCH($A628-90,$A$5:$A$665,1)):INDEX($Q$5:$Q$665,MATCH($A628+90,$A$5:$A$665,1))),"")</f>
        <v>1.27418853145243</v>
      </c>
    </row>
    <row r="629" customFormat="false" ht="15" hidden="false" customHeight="false" outlineLevel="0" collapsed="false">
      <c r="A629" s="13" t="n">
        <v>46107.5240140278</v>
      </c>
      <c r="B629" s="8" t="n">
        <v>12</v>
      </c>
      <c r="C629" s="8" t="s">
        <v>73</v>
      </c>
      <c r="D629" s="8" t="s">
        <v>1198</v>
      </c>
      <c r="E629" s="14" t="s">
        <v>66</v>
      </c>
      <c r="F629" s="9" t="n">
        <v>35599</v>
      </c>
      <c r="G629" s="9" t="n">
        <v>21394</v>
      </c>
      <c r="H629" s="9" t="n">
        <v>5908</v>
      </c>
      <c r="I629" s="9" t="n">
        <v>0</v>
      </c>
      <c r="J629" s="9" t="n">
        <v>36</v>
      </c>
      <c r="K629" s="9" t="n">
        <v>9</v>
      </c>
      <c r="L629" s="9" t="n">
        <v>3</v>
      </c>
      <c r="M629" s="10" t="n">
        <f aca="false">IFERROR(G629/F629,"")</f>
        <v>0.600971937413972</v>
      </c>
      <c r="N629" s="10" t="n">
        <f aca="false">IFERROR(H629/G629,"")</f>
        <v>0.276152192203422</v>
      </c>
      <c r="O629" s="11" t="n">
        <f aca="false">IFERROR(I629/H629,"")</f>
        <v>0</v>
      </c>
      <c r="P629" s="10" t="n">
        <f aca="false">IFERROR(J629/H629,"")</f>
        <v>0.00609343263371699</v>
      </c>
      <c r="Q629" s="10" t="n">
        <f aca="false">IFERROR(K629/H629,"")</f>
        <v>0.00152335815842925</v>
      </c>
      <c r="R629" s="10" t="n">
        <f aca="false">IFERROR(L629/H629,"")</f>
        <v>0.00050778605280975</v>
      </c>
      <c r="S629" s="11" t="n">
        <f aca="false">IFERROR(M629/MEDIAN(INDEX($M$5:$M$665,MATCH($A629-90,$A$5:$A$665,1)):INDEX($M$5:$M$665,MATCH($A629+90,$A$5:$A$665,1))),"")</f>
        <v>1.50106885414762</v>
      </c>
      <c r="T629" s="11" t="n">
        <f aca="false">IFERROR(N629/MEDIAN(INDEX($N$5:$N$665,MATCH($A629-90,$A$5:$A$665,1)):INDEX($N$5:$N$665,MATCH($A629+90,$A$5:$A$665,1))),"")</f>
        <v>0.512444491127355</v>
      </c>
      <c r="U629" s="11" t="n">
        <f aca="false">IFERROR(Q629/MEDIAN(INDEX($Q$5:$Q$665,MATCH($A629-90,$A$5:$A$665,1)):INDEX($Q$5:$Q$665,MATCH($A629+90,$A$5:$A$665,1))),"")</f>
        <v>3.83124576844956</v>
      </c>
    </row>
    <row r="630" customFormat="false" ht="15" hidden="false" customHeight="false" outlineLevel="0" collapsed="false">
      <c r="A630" s="13" t="n">
        <v>46108.5357498611</v>
      </c>
      <c r="B630" s="8" t="n">
        <v>12</v>
      </c>
      <c r="C630" s="8" t="s">
        <v>84</v>
      </c>
      <c r="D630" s="8"/>
      <c r="E630" s="14" t="s">
        <v>66</v>
      </c>
      <c r="F630" s="9" t="n">
        <v>21378</v>
      </c>
      <c r="G630" s="9" t="n">
        <v>11347</v>
      </c>
      <c r="H630" s="9" t="n">
        <v>3036</v>
      </c>
      <c r="I630" s="9" t="n">
        <v>0</v>
      </c>
      <c r="J630" s="9" t="n">
        <v>31</v>
      </c>
      <c r="K630" s="9" t="n">
        <v>5</v>
      </c>
      <c r="L630" s="9" t="n">
        <v>0</v>
      </c>
      <c r="M630" s="10" t="n">
        <f aca="false">IFERROR(G630/F630,"")</f>
        <v>0.530779305828422</v>
      </c>
      <c r="N630" s="10" t="n">
        <f aca="false">IFERROR(H630/G630,"")</f>
        <v>0.267559707411651</v>
      </c>
      <c r="O630" s="11" t="n">
        <f aca="false">IFERROR(I630/H630,"")</f>
        <v>0</v>
      </c>
      <c r="P630" s="10" t="n">
        <f aca="false">IFERROR(J630/H630,"")</f>
        <v>0.0102108036890646</v>
      </c>
      <c r="Q630" s="10" t="n">
        <f aca="false">IFERROR(K630/H630,"")</f>
        <v>0.00164690382081686</v>
      </c>
      <c r="R630" s="10" t="n">
        <f aca="false">IFERROR(L630/H630,"")</f>
        <v>0</v>
      </c>
      <c r="S630" s="11" t="n">
        <f aca="false">IFERROR(M630/MEDIAN(INDEX($M$5:$M$665,MATCH($A630-90,$A$5:$A$665,1)):INDEX($M$5:$M$665,MATCH($A630+90,$A$5:$A$665,1))),"")</f>
        <v>1.33168284241182</v>
      </c>
      <c r="T630" s="11" t="n">
        <f aca="false">IFERROR(N630/MEDIAN(INDEX($N$5:$N$665,MATCH($A630-90,$A$5:$A$665,1)):INDEX($N$5:$N$665,MATCH($A630+90,$A$5:$A$665,1))),"")</f>
        <v>0.500493997210128</v>
      </c>
      <c r="U630" s="11" t="n">
        <f aca="false">IFERROR(Q630/MEDIAN(INDEX($Q$5:$Q$665,MATCH($A630-90,$A$5:$A$665,1)):INDEX($Q$5:$Q$665,MATCH($A630+90,$A$5:$A$665,1))),"")</f>
        <v>4.09280281495652</v>
      </c>
    </row>
    <row r="631" customFormat="false" ht="15" hidden="false" customHeight="false" outlineLevel="0" collapsed="false">
      <c r="A631" s="13" t="n">
        <v>46109.5090721644</v>
      </c>
      <c r="B631" s="8" t="n">
        <v>12</v>
      </c>
      <c r="C631" s="8" t="s">
        <v>68</v>
      </c>
      <c r="D631" s="8"/>
      <c r="E631" s="14" t="s">
        <v>66</v>
      </c>
      <c r="F631" s="9" t="n">
        <v>291013</v>
      </c>
      <c r="G631" s="9" t="n">
        <v>113014</v>
      </c>
      <c r="H631" s="9" t="n">
        <v>74438</v>
      </c>
      <c r="I631" s="9" t="n">
        <v>0</v>
      </c>
      <c r="J631" s="9" t="n">
        <v>89</v>
      </c>
      <c r="K631" s="9" t="n">
        <v>14</v>
      </c>
      <c r="L631" s="9" t="n">
        <v>14</v>
      </c>
      <c r="M631" s="10" t="n">
        <f aca="false">IFERROR(G631/F631,"")</f>
        <v>0.38834691233725</v>
      </c>
      <c r="N631" s="10" t="n">
        <f aca="false">IFERROR(H631/G631,"")</f>
        <v>0.658661758720159</v>
      </c>
      <c r="O631" s="11" t="n">
        <f aca="false">IFERROR(I631/H631,"")</f>
        <v>0</v>
      </c>
      <c r="P631" s="10" t="n">
        <f aca="false">IFERROR(J631/H631,"")</f>
        <v>0.00119562589000242</v>
      </c>
      <c r="Q631" s="10" t="n">
        <f aca="false">IFERROR(K631/H631,"")</f>
        <v>0.00018807598269701</v>
      </c>
      <c r="R631" s="10" t="n">
        <f aca="false">IFERROR(L631/H631,"")</f>
        <v>0.00018807598269701</v>
      </c>
      <c r="S631" s="11" t="n">
        <f aca="false">IFERROR(M631/MEDIAN(INDEX($M$5:$M$665,MATCH($A631-90,$A$5:$A$665,1)):INDEX($M$5:$M$665,MATCH($A631+90,$A$5:$A$665,1))),"")</f>
        <v>0.974331354640828</v>
      </c>
      <c r="T631" s="11" t="n">
        <f aca="false">IFERROR(N631/MEDIAN(INDEX($N$5:$N$665,MATCH($A631-90,$A$5:$A$665,1)):INDEX($N$5:$N$665,MATCH($A631+90,$A$5:$A$665,1))),"")</f>
        <v>1.23208482929052</v>
      </c>
      <c r="U631" s="11" t="n">
        <f aca="false">IFERROR(Q631/MEDIAN(INDEX($Q$5:$Q$665,MATCH($A631-90,$A$5:$A$665,1)):INDEX($Q$5:$Q$665,MATCH($A631+90,$A$5:$A$665,1))),"")</f>
        <v>0.467397003806959</v>
      </c>
    </row>
    <row r="632" customFormat="false" ht="15" hidden="false" customHeight="false" outlineLevel="0" collapsed="false">
      <c r="A632" s="13" t="n">
        <v>46111.7477661111</v>
      </c>
      <c r="B632" s="8" t="n">
        <v>17</v>
      </c>
      <c r="C632" s="8" t="s">
        <v>80</v>
      </c>
      <c r="D632" s="8"/>
      <c r="E632" s="14" t="s">
        <v>66</v>
      </c>
      <c r="F632" s="9" t="n">
        <v>27533</v>
      </c>
      <c r="G632" s="9" t="n">
        <v>18392</v>
      </c>
      <c r="H632" s="9" t="n">
        <v>6802</v>
      </c>
      <c r="I632" s="9" t="n">
        <v>0</v>
      </c>
      <c r="J632" s="9" t="n">
        <v>23</v>
      </c>
      <c r="K632" s="9" t="n">
        <v>6</v>
      </c>
      <c r="L632" s="9" t="n">
        <v>3</v>
      </c>
      <c r="M632" s="10" t="n">
        <f aca="false">IFERROR(G632/F632,"")</f>
        <v>0.667998401917699</v>
      </c>
      <c r="N632" s="10" t="n">
        <f aca="false">IFERROR(H632/G632,"")</f>
        <v>0.369834710743802</v>
      </c>
      <c r="O632" s="11" t="n">
        <f aca="false">IFERROR(I632/H632,"")</f>
        <v>0</v>
      </c>
      <c r="P632" s="10" t="n">
        <f aca="false">IFERROR(J632/H632,"")</f>
        <v>0.00338135842399294</v>
      </c>
      <c r="Q632" s="10" t="n">
        <f aca="false">IFERROR(K632/H632,"")</f>
        <v>0.000882093501911203</v>
      </c>
      <c r="R632" s="10" t="n">
        <f aca="false">IFERROR(L632/H632,"")</f>
        <v>0.000441046750955601</v>
      </c>
      <c r="S632" s="11" t="n">
        <f aca="false">IFERROR(M632/MEDIAN(INDEX($M$5:$M$665,MATCH($A632-90,$A$5:$A$665,1)):INDEX($M$5:$M$665,MATCH($A632+90,$A$5:$A$665,1))),"")</f>
        <v>1.71267960875065</v>
      </c>
      <c r="T632" s="11" t="n">
        <f aca="false">IFERROR(N632/MEDIAN(INDEX($N$5:$N$665,MATCH($A632-90,$A$5:$A$665,1)):INDEX($N$5:$N$665,MATCH($A632+90,$A$5:$A$665,1))),"")</f>
        <v>0.683936754184688</v>
      </c>
      <c r="U632" s="11" t="n">
        <f aca="false">IFERROR(Q632/MEDIAN(INDEX($Q$5:$Q$665,MATCH($A632-90,$A$5:$A$665,1)):INDEX($Q$5:$Q$665,MATCH($A632+90,$A$5:$A$665,1))),"")</f>
        <v>2.21846515730667</v>
      </c>
    </row>
    <row r="633" customFormat="false" ht="15" hidden="false" customHeight="false" outlineLevel="0" collapsed="false">
      <c r="A633" s="13" t="n">
        <v>46112.4811384954</v>
      </c>
      <c r="B633" s="8" t="n">
        <v>11</v>
      </c>
      <c r="C633" s="8" t="s">
        <v>64</v>
      </c>
      <c r="D633" s="8" t="s">
        <v>1199</v>
      </c>
      <c r="E633" s="14" t="s">
        <v>66</v>
      </c>
      <c r="F633" s="9" t="n">
        <v>373940</v>
      </c>
      <c r="G633" s="9" t="n">
        <v>115170</v>
      </c>
      <c r="H633" s="9" t="n">
        <v>87121</v>
      </c>
      <c r="I633" s="9" t="n">
        <v>0</v>
      </c>
      <c r="J633" s="9" t="n">
        <v>248</v>
      </c>
      <c r="K633" s="9" t="n">
        <v>27</v>
      </c>
      <c r="L633" s="9" t="n">
        <v>34</v>
      </c>
      <c r="M633" s="10" t="n">
        <f aca="false">IFERROR(G633/F633,"")</f>
        <v>0.307990586725143</v>
      </c>
      <c r="N633" s="10" t="n">
        <f aca="false">IFERROR(H633/G633,"")</f>
        <v>0.756455674220717</v>
      </c>
      <c r="O633" s="11" t="n">
        <f aca="false">IFERROR(I633/H633,"")</f>
        <v>0</v>
      </c>
      <c r="P633" s="10" t="n">
        <f aca="false">IFERROR(J633/H633,"")</f>
        <v>0.0028466156265424</v>
      </c>
      <c r="Q633" s="10" t="n">
        <f aca="false">IFERROR(K633/H633,"")</f>
        <v>0.000309913798050987</v>
      </c>
      <c r="R633" s="10" t="n">
        <f aca="false">IFERROR(L633/H633,"")</f>
        <v>0.000390261819767909</v>
      </c>
      <c r="S633" s="11" t="n">
        <f aca="false">IFERROR(M633/MEDIAN(INDEX($M$5:$M$665,MATCH($A633-90,$A$5:$A$665,1)):INDEX($M$5:$M$665,MATCH($A633+90,$A$5:$A$665,1))),"")</f>
        <v>0.789656376507755</v>
      </c>
      <c r="T633" s="11" t="n">
        <f aca="false">IFERROR(N633/MEDIAN(INDEX($N$5:$N$665,MATCH($A633-90,$A$5:$A$665,1)):INDEX($N$5:$N$665,MATCH($A633+90,$A$5:$A$665,1))),"")</f>
        <v>1.39891639016411</v>
      </c>
      <c r="U633" s="11" t="n">
        <f aca="false">IFERROR(Q633/MEDIAN(INDEX($Q$5:$Q$665,MATCH($A633-90,$A$5:$A$665,1)):INDEX($Q$5:$Q$665,MATCH($A633+90,$A$5:$A$665,1))),"")</f>
        <v>0.779433202098231</v>
      </c>
    </row>
    <row r="634" customFormat="false" ht="15" hidden="false" customHeight="false" outlineLevel="0" collapsed="false">
      <c r="A634" s="13" t="n">
        <v>46113.5077841551</v>
      </c>
      <c r="B634" s="8" t="n">
        <v>12</v>
      </c>
      <c r="C634" s="8" t="s">
        <v>71</v>
      </c>
      <c r="D634" s="8"/>
      <c r="E634" s="14" t="s">
        <v>66</v>
      </c>
      <c r="F634" s="9" t="n">
        <v>9022</v>
      </c>
      <c r="G634" s="9" t="n">
        <v>4047</v>
      </c>
      <c r="H634" s="9" t="n">
        <v>1861</v>
      </c>
      <c r="I634" s="9" t="n">
        <v>0</v>
      </c>
      <c r="J634" s="9" t="n">
        <v>27</v>
      </c>
      <c r="K634" s="9" t="n">
        <v>2</v>
      </c>
      <c r="L634" s="9" t="n">
        <v>2</v>
      </c>
      <c r="M634" s="10" t="n">
        <f aca="false">IFERROR(G634/F634,"")</f>
        <v>0.448570161826646</v>
      </c>
      <c r="N634" s="10" t="n">
        <f aca="false">IFERROR(H634/G634,"")</f>
        <v>0.459846800098839</v>
      </c>
      <c r="O634" s="11" t="n">
        <f aca="false">IFERROR(I634/H634,"")</f>
        <v>0</v>
      </c>
      <c r="P634" s="10" t="n">
        <f aca="false">IFERROR(J634/H634,"")</f>
        <v>0.0145083288554541</v>
      </c>
      <c r="Q634" s="10" t="n">
        <f aca="false">IFERROR(K634/H634,"")</f>
        <v>0.00107469102632993</v>
      </c>
      <c r="R634" s="10" t="n">
        <f aca="false">IFERROR(L634/H634,"")</f>
        <v>0.00107469102632993</v>
      </c>
      <c r="S634" s="11" t="n">
        <f aca="false">IFERROR(M634/MEDIAN(INDEX($M$5:$M$665,MATCH($A634-90,$A$5:$A$665,1)):INDEX($M$5:$M$665,MATCH($A634+90,$A$5:$A$665,1))),"")</f>
        <v>1.14020426517631</v>
      </c>
      <c r="T634" s="11" t="n">
        <f aca="false">IFERROR(N634/MEDIAN(INDEX($N$5:$N$665,MATCH($A634-90,$A$5:$A$665,1)):INDEX($N$5:$N$665,MATCH($A634+90,$A$5:$A$665,1))),"")</f>
        <v>0.851855306861199</v>
      </c>
      <c r="U634" s="11" t="n">
        <f aca="false">IFERROR(Q634/MEDIAN(INDEX($Q$5:$Q$665,MATCH($A634-90,$A$5:$A$665,1)):INDEX($Q$5:$Q$665,MATCH($A634+90,$A$5:$A$665,1))),"")</f>
        <v>2.67076826355895</v>
      </c>
    </row>
    <row r="635" customFormat="false" ht="15" hidden="false" customHeight="false" outlineLevel="0" collapsed="false">
      <c r="A635" s="13" t="n">
        <v>46114.5838678704</v>
      </c>
      <c r="B635" s="8" t="n">
        <v>14</v>
      </c>
      <c r="C635" s="8" t="s">
        <v>73</v>
      </c>
      <c r="D635" s="8" t="s">
        <v>1200</v>
      </c>
      <c r="E635" s="14" t="s">
        <v>66</v>
      </c>
      <c r="F635" s="9" t="n">
        <v>32095</v>
      </c>
      <c r="G635" s="9" t="n">
        <v>20648</v>
      </c>
      <c r="H635" s="9" t="n">
        <v>5990</v>
      </c>
      <c r="I635" s="9" t="n">
        <v>0</v>
      </c>
      <c r="J635" s="9" t="n">
        <v>42</v>
      </c>
      <c r="K635" s="9" t="n">
        <v>7</v>
      </c>
      <c r="L635" s="9" t="n">
        <v>4</v>
      </c>
      <c r="M635" s="10" t="n">
        <f aca="false">IFERROR(G635/F635,"")</f>
        <v>0.643340084125253</v>
      </c>
      <c r="N635" s="10" t="n">
        <f aca="false">IFERROR(H635/G635,"")</f>
        <v>0.29010073614878</v>
      </c>
      <c r="O635" s="11" t="n">
        <f aca="false">IFERROR(I635/H635,"")</f>
        <v>0</v>
      </c>
      <c r="P635" s="10" t="n">
        <f aca="false">IFERROR(J635/H635,"")</f>
        <v>0.00701168614357262</v>
      </c>
      <c r="Q635" s="10" t="n">
        <f aca="false">IFERROR(K635/H635,"")</f>
        <v>0.0011686143572621</v>
      </c>
      <c r="R635" s="10" t="n">
        <f aca="false">IFERROR(L635/H635,"")</f>
        <v>0.000667779632721202</v>
      </c>
      <c r="S635" s="11" t="n">
        <f aca="false">IFERROR(M635/MEDIAN(INDEX($M$5:$M$665,MATCH($A635-90,$A$5:$A$665,1)):INDEX($M$5:$M$665,MATCH($A635+90,$A$5:$A$665,1))),"")</f>
        <v>1.649458202909</v>
      </c>
      <c r="T635" s="11" t="n">
        <f aca="false">IFERROR(N635/MEDIAN(INDEX($N$5:$N$665,MATCH($A635-90,$A$5:$A$665,1)):INDEX($N$5:$N$665,MATCH($A635+90,$A$5:$A$665,1))),"")</f>
        <v>0.536484408045818</v>
      </c>
      <c r="U635" s="11" t="n">
        <f aca="false">IFERROR(Q635/MEDIAN(INDEX($Q$5:$Q$665,MATCH($A635-90,$A$5:$A$665,1)):INDEX($Q$5:$Q$665,MATCH($A635+90,$A$5:$A$665,1))),"")</f>
        <v>2.87011686143573</v>
      </c>
    </row>
    <row r="636" customFormat="false" ht="15" hidden="false" customHeight="false" outlineLevel="0" collapsed="false">
      <c r="A636" s="13" t="n">
        <v>46115.5274701273</v>
      </c>
      <c r="B636" s="8" t="n">
        <v>12</v>
      </c>
      <c r="C636" s="8" t="s">
        <v>84</v>
      </c>
      <c r="D636" s="8"/>
      <c r="E636" s="14" t="s">
        <v>66</v>
      </c>
      <c r="F636" s="9" t="n">
        <v>8532</v>
      </c>
      <c r="G636" s="9" t="n">
        <v>3476</v>
      </c>
      <c r="H636" s="9" t="n">
        <v>1038</v>
      </c>
      <c r="I636" s="9" t="n">
        <v>0</v>
      </c>
      <c r="J636" s="9" t="n">
        <v>29</v>
      </c>
      <c r="K636" s="9" t="n">
        <v>0</v>
      </c>
      <c r="L636" s="9" t="n">
        <v>4</v>
      </c>
      <c r="M636" s="10" t="n">
        <f aca="false">IFERROR(G636/F636,"")</f>
        <v>0.407407407407407</v>
      </c>
      <c r="N636" s="10" t="n">
        <f aca="false">IFERROR(H636/G636,"")</f>
        <v>0.298619102416571</v>
      </c>
      <c r="O636" s="11" t="n">
        <f aca="false">IFERROR(I636/H636,"")</f>
        <v>0</v>
      </c>
      <c r="P636" s="10" t="n">
        <f aca="false">IFERROR(J636/H636,"")</f>
        <v>0.0279383429672447</v>
      </c>
      <c r="Q636" s="10" t="n">
        <f aca="false">IFERROR(K636/H636,"")</f>
        <v>0</v>
      </c>
      <c r="R636" s="10" t="n">
        <f aca="false">IFERROR(L636/H636,"")</f>
        <v>0.00385356454720617</v>
      </c>
      <c r="S636" s="11" t="n">
        <f aca="false">IFERROR(M636/MEDIAN(INDEX($M$5:$M$665,MATCH($A636-90,$A$5:$A$665,1)):INDEX($M$5:$M$665,MATCH($A636+90,$A$5:$A$665,1))),"")</f>
        <v>1.04455094071708</v>
      </c>
      <c r="T636" s="11" t="n">
        <f aca="false">IFERROR(N636/MEDIAN(INDEX($N$5:$N$665,MATCH($A636-90,$A$5:$A$665,1)):INDEX($N$5:$N$665,MATCH($A636+90,$A$5:$A$665,1))),"")</f>
        <v>0.552237455574625</v>
      </c>
      <c r="U636" s="11" t="n">
        <f aca="false">IFERROR(Q636/MEDIAN(INDEX($Q$5:$Q$665,MATCH($A636-90,$A$5:$A$665,1)):INDEX($Q$5:$Q$665,MATCH($A636+90,$A$5:$A$665,1))),"")</f>
        <v>0</v>
      </c>
    </row>
    <row r="637" customFormat="false" ht="15" hidden="false" customHeight="false" outlineLevel="0" collapsed="false">
      <c r="A637" s="13" t="n">
        <v>46116.5211243171</v>
      </c>
      <c r="B637" s="8" t="n">
        <v>12</v>
      </c>
      <c r="C637" s="8" t="s">
        <v>68</v>
      </c>
      <c r="D637" s="8"/>
      <c r="E637" s="14" t="s">
        <v>66</v>
      </c>
      <c r="F637" s="9" t="n">
        <v>15413</v>
      </c>
      <c r="G637" s="9" t="n">
        <v>6867</v>
      </c>
      <c r="H637" s="9" t="n">
        <v>3385</v>
      </c>
      <c r="I637" s="9" t="n">
        <v>0</v>
      </c>
      <c r="J637" s="9" t="n">
        <v>28</v>
      </c>
      <c r="K637" s="9" t="n">
        <v>2</v>
      </c>
      <c r="L637" s="9" t="n">
        <v>2</v>
      </c>
      <c r="M637" s="10" t="n">
        <f aca="false">IFERROR(G637/F637,"")</f>
        <v>0.445532991630442</v>
      </c>
      <c r="N637" s="10" t="n">
        <f aca="false">IFERROR(H637/G637,"")</f>
        <v>0.492937236056502</v>
      </c>
      <c r="O637" s="11" t="n">
        <f aca="false">IFERROR(I637/H637,"")</f>
        <v>0</v>
      </c>
      <c r="P637" s="10" t="n">
        <f aca="false">IFERROR(J637/H637,"")</f>
        <v>0.00827178729689808</v>
      </c>
      <c r="Q637" s="10" t="n">
        <f aca="false">IFERROR(K637/H637,"")</f>
        <v>0.000590841949778434</v>
      </c>
      <c r="R637" s="10" t="n">
        <f aca="false">IFERROR(L637/H637,"")</f>
        <v>0.000590841949778434</v>
      </c>
      <c r="S637" s="11" t="n">
        <f aca="false">IFERROR(M637/MEDIAN(INDEX($M$5:$M$665,MATCH($A637-90,$A$5:$A$665,1)):INDEX($M$5:$M$665,MATCH($A637+90,$A$5:$A$665,1))),"")</f>
        <v>1.14230104084163</v>
      </c>
      <c r="T637" s="11" t="n">
        <f aca="false">IFERROR(N637/MEDIAN(INDEX($N$5:$N$665,MATCH($A637-90,$A$5:$A$665,1)):INDEX($N$5:$N$665,MATCH($A637+90,$A$5:$A$665,1))),"")</f>
        <v>0.91159072810449</v>
      </c>
      <c r="U637" s="11" t="n">
        <f aca="false">IFERROR(Q637/MEDIAN(INDEX($Q$5:$Q$665,MATCH($A637-90,$A$5:$A$665,1)):INDEX($Q$5:$Q$665,MATCH($A637+90,$A$5:$A$665,1))),"")</f>
        <v>1.45110782865583</v>
      </c>
    </row>
    <row r="638" customFormat="false" ht="15" hidden="false" customHeight="false" outlineLevel="0" collapsed="false">
      <c r="A638" s="13" t="n">
        <v>46118.6000659607</v>
      </c>
      <c r="B638" s="8" t="n">
        <v>14</v>
      </c>
      <c r="C638" s="8" t="s">
        <v>80</v>
      </c>
      <c r="D638" s="8"/>
      <c r="E638" s="14" t="s">
        <v>66</v>
      </c>
      <c r="F638" s="9" t="n">
        <v>80114</v>
      </c>
      <c r="G638" s="9" t="n">
        <v>44586</v>
      </c>
      <c r="H638" s="9" t="n">
        <v>11687</v>
      </c>
      <c r="I638" s="9" t="n">
        <v>0</v>
      </c>
      <c r="J638" s="9" t="n">
        <v>44</v>
      </c>
      <c r="K638" s="9" t="n">
        <v>9</v>
      </c>
      <c r="L638" s="9" t="n">
        <v>1</v>
      </c>
      <c r="M638" s="10" t="n">
        <f aca="false">IFERROR(G638/F638,"")</f>
        <v>0.556531941982675</v>
      </c>
      <c r="N638" s="10" t="n">
        <f aca="false">IFERROR(H638/G638,"")</f>
        <v>0.262122639393532</v>
      </c>
      <c r="O638" s="11" t="n">
        <f aca="false">IFERROR(I638/H638,"")</f>
        <v>0</v>
      </c>
      <c r="P638" s="10" t="n">
        <f aca="false">IFERROR(J638/H638,"")</f>
        <v>0.00376486694617952</v>
      </c>
      <c r="Q638" s="10" t="n">
        <f aca="false">IFERROR(K638/H638,"")</f>
        <v>0.000770086420809446</v>
      </c>
      <c r="R638" s="10" t="n">
        <f aca="false">IFERROR(L638/H638,"")</f>
        <v>8.55651578677163E-005</v>
      </c>
      <c r="S638" s="11" t="n">
        <f aca="false">IFERROR(M638/MEDIAN(INDEX($M$5:$M$665,MATCH($A638-90,$A$5:$A$665,1)):INDEX($M$5:$M$665,MATCH($A638+90,$A$5:$A$665,1))),"")</f>
        <v>1.42689100140925</v>
      </c>
      <c r="T638" s="11" t="n">
        <f aca="false">IFERROR(N638/MEDIAN(INDEX($N$5:$N$665,MATCH($A638-90,$A$5:$A$665,1)):INDEX($N$5:$N$665,MATCH($A638+90,$A$5:$A$665,1))),"")</f>
        <v>0.484744406020143</v>
      </c>
      <c r="U638" s="11" t="n">
        <f aca="false">IFERROR(Q638/MEDIAN(INDEX($Q$5:$Q$665,MATCH($A638-90,$A$5:$A$665,1)):INDEX($Q$5:$Q$665,MATCH($A638+90,$A$5:$A$665,1))),"")</f>
        <v>1.891332249508</v>
      </c>
    </row>
    <row r="639" customFormat="false" ht="15" hidden="false" customHeight="false" outlineLevel="0" collapsed="false">
      <c r="A639" s="13" t="n">
        <v>46119.4935605671</v>
      </c>
      <c r="B639" s="8" t="n">
        <v>11</v>
      </c>
      <c r="C639" s="8" t="s">
        <v>64</v>
      </c>
      <c r="D639" s="8" t="s">
        <v>1201</v>
      </c>
      <c r="E639" s="14" t="s">
        <v>66</v>
      </c>
      <c r="F639" s="9" t="n">
        <v>11661</v>
      </c>
      <c r="G639" s="9" t="n">
        <v>2871</v>
      </c>
      <c r="H639" s="9" t="n">
        <v>2286</v>
      </c>
      <c r="I639" s="9" t="n">
        <v>0</v>
      </c>
      <c r="J639" s="9" t="n">
        <v>45</v>
      </c>
      <c r="K639" s="9" t="n">
        <v>4</v>
      </c>
      <c r="L639" s="9" t="n">
        <v>0</v>
      </c>
      <c r="M639" s="10" t="n">
        <f aca="false">IFERROR(G639/F639,"")</f>
        <v>0.246205299717005</v>
      </c>
      <c r="N639" s="10" t="n">
        <f aca="false">IFERROR(H639/G639,"")</f>
        <v>0.796238244514107</v>
      </c>
      <c r="O639" s="11" t="n">
        <f aca="false">IFERROR(I639/H639,"")</f>
        <v>0</v>
      </c>
      <c r="P639" s="10" t="n">
        <f aca="false">IFERROR(J639/H639,"")</f>
        <v>0.0196850393700787</v>
      </c>
      <c r="Q639" s="10" t="n">
        <f aca="false">IFERROR(K639/H639,"")</f>
        <v>0.00174978127734033</v>
      </c>
      <c r="R639" s="10" t="n">
        <f aca="false">IFERROR(L639/H639,"")</f>
        <v>0</v>
      </c>
      <c r="S639" s="11" t="n">
        <f aca="false">IFERROR(M639/MEDIAN(INDEX($M$5:$M$665,MATCH($A639-90,$A$5:$A$665,1)):INDEX($M$5:$M$665,MATCH($A639+90,$A$5:$A$665,1))),"")</f>
        <v>0.631245217325549</v>
      </c>
      <c r="T639" s="11" t="n">
        <f aca="false">IFERROR(N639/MEDIAN(INDEX($N$5:$N$665,MATCH($A639-90,$A$5:$A$665,1)):INDEX($N$5:$N$665,MATCH($A639+90,$A$5:$A$665,1))),"")</f>
        <v>1.47248645054288</v>
      </c>
      <c r="U639" s="11" t="n">
        <f aca="false">IFERROR(Q639/MEDIAN(INDEX($Q$5:$Q$665,MATCH($A639-90,$A$5:$A$665,1)):INDEX($Q$5:$Q$665,MATCH($A639+90,$A$5:$A$665,1))),"")</f>
        <v>4.29746281714786</v>
      </c>
    </row>
    <row r="640" customFormat="false" ht="15" hidden="false" customHeight="false" outlineLevel="0" collapsed="false">
      <c r="A640" s="13" t="n">
        <v>46120.5320117361</v>
      </c>
      <c r="B640" s="8" t="n">
        <v>12</v>
      </c>
      <c r="C640" s="8" t="s">
        <v>71</v>
      </c>
      <c r="D640" s="8"/>
      <c r="E640" s="14" t="s">
        <v>66</v>
      </c>
      <c r="F640" s="9" t="n">
        <v>81273</v>
      </c>
      <c r="G640" s="9" t="n">
        <v>23095</v>
      </c>
      <c r="H640" s="9" t="n">
        <v>14941</v>
      </c>
      <c r="I640" s="9" t="n">
        <v>0</v>
      </c>
      <c r="J640" s="9" t="n">
        <v>39</v>
      </c>
      <c r="K640" s="9" t="n">
        <v>2</v>
      </c>
      <c r="L640" s="9" t="n">
        <v>2</v>
      </c>
      <c r="M640" s="10" t="n">
        <f aca="false">IFERROR(G640/F640,"")</f>
        <v>0.284165713090448</v>
      </c>
      <c r="N640" s="10" t="n">
        <f aca="false">IFERROR(H640/G640,"")</f>
        <v>0.646936566356354</v>
      </c>
      <c r="O640" s="11" t="n">
        <f aca="false">IFERROR(I640/H640,"")</f>
        <v>0</v>
      </c>
      <c r="P640" s="10" t="n">
        <f aca="false">IFERROR(J640/H640,"")</f>
        <v>0.00261026705039823</v>
      </c>
      <c r="Q640" s="10" t="n">
        <f aca="false">IFERROR(K640/H640,"")</f>
        <v>0.000133859848738371</v>
      </c>
      <c r="R640" s="10" t="n">
        <f aca="false">IFERROR(L640/H640,"")</f>
        <v>0.000133859848738371</v>
      </c>
      <c r="S640" s="11" t="n">
        <f aca="false">IFERROR(M640/MEDIAN(INDEX($M$5:$M$665,MATCH($A640-90,$A$5:$A$665,1)):INDEX($M$5:$M$665,MATCH($A640+90,$A$5:$A$665,1))),"")</f>
        <v>0.728571836278226</v>
      </c>
      <c r="T640" s="11" t="n">
        <f aca="false">IFERROR(N640/MEDIAN(INDEX($N$5:$N$665,MATCH($A640-90,$A$5:$A$665,1)):INDEX($N$5:$N$665,MATCH($A640+90,$A$5:$A$665,1))),"")</f>
        <v>1.19638228241822</v>
      </c>
      <c r="U640" s="11" t="n">
        <f aca="false">IFERROR(Q640/MEDIAN(INDEX($Q$5:$Q$665,MATCH($A640-90,$A$5:$A$665,1)):INDEX($Q$5:$Q$665,MATCH($A640+90,$A$5:$A$665,1))),"")</f>
        <v>0.328759788501439</v>
      </c>
    </row>
    <row r="641" customFormat="false" ht="15" hidden="false" customHeight="false" outlineLevel="0" collapsed="false">
      <c r="A641" s="13" t="n">
        <v>46122.778939375</v>
      </c>
      <c r="B641" s="8" t="n">
        <v>18</v>
      </c>
      <c r="C641" s="8" t="s">
        <v>84</v>
      </c>
      <c r="D641" s="8"/>
      <c r="E641" s="14" t="s">
        <v>66</v>
      </c>
      <c r="F641" s="9" t="n">
        <v>40463</v>
      </c>
      <c r="G641" s="9" t="n">
        <v>21463</v>
      </c>
      <c r="H641" s="9" t="n">
        <v>8581</v>
      </c>
      <c r="I641" s="9" t="n">
        <v>0</v>
      </c>
      <c r="J641" s="9" t="n">
        <v>56</v>
      </c>
      <c r="K641" s="9" t="n">
        <v>6</v>
      </c>
      <c r="L641" s="9" t="n">
        <v>2</v>
      </c>
      <c r="M641" s="10" t="n">
        <f aca="false">IFERROR(G641/F641,"")</f>
        <v>0.530435212416282</v>
      </c>
      <c r="N641" s="10" t="n">
        <f aca="false">IFERROR(H641/G641,"")</f>
        <v>0.399804314401528</v>
      </c>
      <c r="O641" s="11" t="n">
        <f aca="false">IFERROR(I641/H641,"")</f>
        <v>0</v>
      </c>
      <c r="P641" s="10" t="n">
        <f aca="false">IFERROR(J641/H641,"")</f>
        <v>0.00652604591539448</v>
      </c>
      <c r="Q641" s="10" t="n">
        <f aca="false">IFERROR(K641/H641,"")</f>
        <v>0.000699219205220837</v>
      </c>
      <c r="R641" s="10" t="n">
        <f aca="false">IFERROR(L641/H641,"")</f>
        <v>0.000233073068406946</v>
      </c>
      <c r="S641" s="11" t="n">
        <f aca="false">IFERROR(M641/MEDIAN(INDEX($M$5:$M$665,MATCH($A641-90,$A$5:$A$665,1)):INDEX($M$5:$M$665,MATCH($A641+90,$A$5:$A$665,1))),"")</f>
        <v>1.35998165483727</v>
      </c>
      <c r="T641" s="11" t="n">
        <f aca="false">IFERROR(N641/MEDIAN(INDEX($N$5:$N$665,MATCH($A641-90,$A$5:$A$665,1)):INDEX($N$5:$N$665,MATCH($A641+90,$A$5:$A$665,1))),"")</f>
        <v>0.739359657591033</v>
      </c>
      <c r="U641" s="11" t="n">
        <f aca="false">IFERROR(Q641/MEDIAN(INDEX($Q$5:$Q$665,MATCH($A641-90,$A$5:$A$665,1)):INDEX($Q$5:$Q$665,MATCH($A641+90,$A$5:$A$665,1))),"")</f>
        <v>1.71728236802237</v>
      </c>
    </row>
    <row r="642" customFormat="false" ht="15" hidden="false" customHeight="false" outlineLevel="0" collapsed="false">
      <c r="A642" s="13" t="n">
        <v>46125.5824495139</v>
      </c>
      <c r="B642" s="8" t="n">
        <v>13</v>
      </c>
      <c r="C642" s="8" t="s">
        <v>80</v>
      </c>
      <c r="D642" s="8"/>
      <c r="E642" s="14" t="s">
        <v>66</v>
      </c>
      <c r="F642" s="9" t="n">
        <v>134864</v>
      </c>
      <c r="G642" s="9" t="n">
        <v>47755</v>
      </c>
      <c r="H642" s="9" t="n">
        <v>24330</v>
      </c>
      <c r="I642" s="9" t="n">
        <v>0</v>
      </c>
      <c r="J642" s="9" t="n">
        <v>102</v>
      </c>
      <c r="K642" s="9" t="n">
        <v>12</v>
      </c>
      <c r="L642" s="9" t="n">
        <v>14</v>
      </c>
      <c r="M642" s="10" t="n">
        <f aca="false">IFERROR(G642/F642,"")</f>
        <v>0.354097461146043</v>
      </c>
      <c r="N642" s="10" t="n">
        <f aca="false">IFERROR(H642/G642,"")</f>
        <v>0.50947544759711</v>
      </c>
      <c r="O642" s="11" t="n">
        <f aca="false">IFERROR(I642/H642,"")</f>
        <v>0</v>
      </c>
      <c r="P642" s="10" t="n">
        <f aca="false">IFERROR(J642/H642,"")</f>
        <v>0.00419235511713933</v>
      </c>
      <c r="Q642" s="10" t="n">
        <f aca="false">IFERROR(K642/H642,"")</f>
        <v>0.000493218249075216</v>
      </c>
      <c r="R642" s="10" t="n">
        <f aca="false">IFERROR(L642/H642,"")</f>
        <v>0.000575421290587752</v>
      </c>
      <c r="S642" s="11" t="n">
        <f aca="false">IFERROR(M642/MEDIAN(INDEX($M$5:$M$665,MATCH($A642-90,$A$5:$A$665,1)):INDEX($M$5:$M$665,MATCH($A642+90,$A$5:$A$665,1))),"")</f>
        <v>0.900067525318038</v>
      </c>
      <c r="T642" s="11" t="n">
        <f aca="false">IFERROR(N642/MEDIAN(INDEX($N$5:$N$665,MATCH($A642-90,$A$5:$A$665,1)):INDEX($N$5:$N$665,MATCH($A642+90,$A$5:$A$665,1))),"")</f>
        <v>0.943791201021296</v>
      </c>
      <c r="U642" s="11" t="n">
        <f aca="false">IFERROR(Q642/MEDIAN(INDEX($Q$5:$Q$665,MATCH($A642-90,$A$5:$A$665,1)):INDEX($Q$5:$Q$665,MATCH($A642+90,$A$5:$A$665,1))),"")</f>
        <v>1.20788162359231</v>
      </c>
    </row>
    <row r="643" customFormat="false" ht="15" hidden="false" customHeight="false" outlineLevel="0" collapsed="false">
      <c r="A643" s="13" t="n">
        <v>46127.5790634607</v>
      </c>
      <c r="B643" s="8" t="n">
        <v>13</v>
      </c>
      <c r="C643" s="8" t="s">
        <v>71</v>
      </c>
      <c r="D643" s="8"/>
      <c r="E643" s="14" t="s">
        <v>66</v>
      </c>
      <c r="F643" s="9" t="n">
        <v>58800</v>
      </c>
      <c r="G643" s="9" t="n">
        <v>19786</v>
      </c>
      <c r="H643" s="9" t="n">
        <v>9968</v>
      </c>
      <c r="I643" s="9" t="n">
        <v>0</v>
      </c>
      <c r="J643" s="9" t="n">
        <v>33</v>
      </c>
      <c r="K643" s="9" t="n">
        <v>9</v>
      </c>
      <c r="L643" s="9" t="n">
        <v>3</v>
      </c>
      <c r="M643" s="10" t="n">
        <f aca="false">IFERROR(G643/F643,"")</f>
        <v>0.336496598639456</v>
      </c>
      <c r="N643" s="10" t="n">
        <f aca="false">IFERROR(H643/G643,"")</f>
        <v>0.503790558981098</v>
      </c>
      <c r="O643" s="11" t="n">
        <f aca="false">IFERROR(I643/H643,"")</f>
        <v>0</v>
      </c>
      <c r="P643" s="10" t="n">
        <f aca="false">IFERROR(J643/H643,"")</f>
        <v>0.00331059390048154</v>
      </c>
      <c r="Q643" s="10" t="n">
        <f aca="false">IFERROR(K643/H643,"")</f>
        <v>0.000902889245585875</v>
      </c>
      <c r="R643" s="10" t="n">
        <f aca="false">IFERROR(L643/H643,"")</f>
        <v>0.000300963081861958</v>
      </c>
      <c r="S643" s="11" t="n">
        <f aca="false">IFERROR(M643/MEDIAN(INDEX($M$5:$M$665,MATCH($A643-90,$A$5:$A$665,1)):INDEX($M$5:$M$665,MATCH($A643+90,$A$5:$A$665,1))),"")</f>
        <v>0.848040533537032</v>
      </c>
      <c r="T643" s="11" t="n">
        <f aca="false">IFERROR(N643/MEDIAN(INDEX($N$5:$N$665,MATCH($A643-90,$A$5:$A$665,1)):INDEX($N$5:$N$665,MATCH($A643+90,$A$5:$A$665,1))),"")</f>
        <v>0.934863832048318</v>
      </c>
      <c r="U643" s="11" t="n">
        <f aca="false">IFERROR(Q643/MEDIAN(INDEX($Q$5:$Q$665,MATCH($A643-90,$A$5:$A$665,1)):INDEX($Q$5:$Q$665,MATCH($A643+90,$A$5:$A$665,1))),"")</f>
        <v>2.08014396067416</v>
      </c>
    </row>
    <row r="644" customFormat="false" ht="15" hidden="false" customHeight="false" outlineLevel="0" collapsed="false">
      <c r="A644" s="13" t="n">
        <v>46129.6509807176</v>
      </c>
      <c r="B644" s="8" t="n">
        <v>15</v>
      </c>
      <c r="C644" s="8" t="s">
        <v>84</v>
      </c>
      <c r="D644" s="8"/>
      <c r="E644" s="14" t="s">
        <v>66</v>
      </c>
      <c r="F644" s="9" t="n">
        <v>26453</v>
      </c>
      <c r="G644" s="9" t="n">
        <v>15805</v>
      </c>
      <c r="H644" s="9" t="n">
        <v>6156</v>
      </c>
      <c r="I644" s="9" t="n">
        <v>0</v>
      </c>
      <c r="J644" s="9" t="n">
        <v>46</v>
      </c>
      <c r="K644" s="9" t="n">
        <v>7</v>
      </c>
      <c r="L644" s="9" t="n">
        <v>4</v>
      </c>
      <c r="M644" s="10" t="n">
        <f aca="false">IFERROR(G644/F644,"")</f>
        <v>0.597474766567119</v>
      </c>
      <c r="N644" s="10" t="n">
        <f aca="false">IFERROR(H644/G644,"")</f>
        <v>0.389496994621955</v>
      </c>
      <c r="O644" s="11" t="n">
        <f aca="false">IFERROR(I644/H644,"")</f>
        <v>0</v>
      </c>
      <c r="P644" s="10" t="n">
        <f aca="false">IFERROR(J644/H644,"")</f>
        <v>0.00747238466536712</v>
      </c>
      <c r="Q644" s="10" t="n">
        <f aca="false">IFERROR(K644/H644,"")</f>
        <v>0.001137102014295</v>
      </c>
      <c r="R644" s="10" t="n">
        <f aca="false">IFERROR(L644/H644,"")</f>
        <v>0.000649772579597141</v>
      </c>
      <c r="S644" s="11" t="n">
        <f aca="false">IFERROR(M644/MEDIAN(INDEX($M$5:$M$665,MATCH($A644-90,$A$5:$A$665,1)):INDEX($M$5:$M$665,MATCH($A644+90,$A$5:$A$665,1))),"")</f>
        <v>1.47946632738432</v>
      </c>
      <c r="T644" s="11" t="n">
        <f aca="false">IFERROR(N644/MEDIAN(INDEX($N$5:$N$665,MATCH($A644-90,$A$5:$A$665,1)):INDEX($N$5:$N$665,MATCH($A644+90,$A$5:$A$665,1))),"")</f>
        <v>0.722773871943968</v>
      </c>
      <c r="U644" s="11" t="n">
        <f aca="false">IFERROR(Q644/MEDIAN(INDEX($Q$5:$Q$665,MATCH($A644-90,$A$5:$A$665,1)):INDEX($Q$5:$Q$665,MATCH($A644+90,$A$5:$A$665,1))),"")</f>
        <v>2.49897119341564</v>
      </c>
    </row>
    <row r="645" customFormat="false" ht="15" hidden="false" customHeight="false" outlineLevel="0" collapsed="false">
      <c r="A645" s="13" t="n">
        <v>46130.5507096065</v>
      </c>
      <c r="B645" s="8" t="n">
        <v>13</v>
      </c>
      <c r="C645" s="8" t="s">
        <v>68</v>
      </c>
      <c r="D645" s="8"/>
      <c r="E645" s="14" t="s">
        <v>66</v>
      </c>
      <c r="F645" s="9" t="n">
        <v>15844</v>
      </c>
      <c r="G645" s="9" t="n">
        <v>6843</v>
      </c>
      <c r="H645" s="9" t="n">
        <v>3070</v>
      </c>
      <c r="I645" s="9" t="n">
        <v>0</v>
      </c>
      <c r="J645" s="9" t="n">
        <v>33</v>
      </c>
      <c r="K645" s="9" t="n">
        <v>5</v>
      </c>
      <c r="L645" s="9" t="n">
        <v>4</v>
      </c>
      <c r="M645" s="10" t="n">
        <f aca="false">IFERROR(G645/F645,"")</f>
        <v>0.431898510477152</v>
      </c>
      <c r="N645" s="10" t="n">
        <f aca="false">IFERROR(H645/G645,"")</f>
        <v>0.448633640216279</v>
      </c>
      <c r="O645" s="11" t="n">
        <f aca="false">IFERROR(I645/H645,"")</f>
        <v>0</v>
      </c>
      <c r="P645" s="10" t="n">
        <f aca="false">IFERROR(J645/H645,"")</f>
        <v>0.0107491856677524</v>
      </c>
      <c r="Q645" s="10" t="n">
        <f aca="false">IFERROR(K645/H645,"")</f>
        <v>0.00162866449511401</v>
      </c>
      <c r="R645" s="10" t="n">
        <f aca="false">IFERROR(L645/H645,"")</f>
        <v>0.00130293159609121</v>
      </c>
      <c r="S645" s="11" t="n">
        <f aca="false">IFERROR(M645/MEDIAN(INDEX($M$5:$M$665,MATCH($A645-90,$A$5:$A$665,1)):INDEX($M$5:$M$665,MATCH($A645+90,$A$5:$A$665,1))),"")</f>
        <v>1.06946659315797</v>
      </c>
      <c r="T645" s="11" t="n">
        <f aca="false">IFERROR(N645/MEDIAN(INDEX($N$5:$N$665,MATCH($A645-90,$A$5:$A$665,1)):INDEX($N$5:$N$665,MATCH($A645+90,$A$5:$A$665,1))),"")</f>
        <v>0.832511361321707</v>
      </c>
      <c r="U645" s="11" t="n">
        <f aca="false">IFERROR(Q645/MEDIAN(INDEX($Q$5:$Q$665,MATCH($A645-90,$A$5:$A$665,1)):INDEX($Q$5:$Q$665,MATCH($A645+90,$A$5:$A$665,1))),"")</f>
        <v>3.57926167209555</v>
      </c>
    </row>
    <row r="646" customFormat="false" ht="15" hidden="false" customHeight="false" outlineLevel="0" collapsed="false">
      <c r="A646" s="13" t="n">
        <v>46133.0303028472</v>
      </c>
      <c r="B646" s="8" t="n">
        <v>0</v>
      </c>
      <c r="C646" s="8" t="s">
        <v>64</v>
      </c>
      <c r="D646" s="8"/>
      <c r="E646" s="14" t="s">
        <v>66</v>
      </c>
      <c r="F646" s="9" t="n">
        <v>11376</v>
      </c>
      <c r="G646" s="9" t="n">
        <v>5248</v>
      </c>
      <c r="H646" s="9" t="n">
        <v>2411</v>
      </c>
      <c r="I646" s="9" t="n">
        <v>0</v>
      </c>
      <c r="J646" s="9" t="n">
        <v>24</v>
      </c>
      <c r="K646" s="9" t="n">
        <v>5</v>
      </c>
      <c r="L646" s="9" t="n">
        <v>2</v>
      </c>
      <c r="M646" s="10" t="n">
        <f aca="false">IFERROR(G646/F646,"")</f>
        <v>0.461322081575246</v>
      </c>
      <c r="N646" s="10" t="n">
        <f aca="false">IFERROR(H646/G646,"")</f>
        <v>0.459413109756098</v>
      </c>
      <c r="O646" s="11" t="n">
        <f aca="false">IFERROR(I646/H646,"")</f>
        <v>0</v>
      </c>
      <c r="P646" s="10" t="n">
        <f aca="false">IFERROR(J646/H646,"")</f>
        <v>0.00995437577768561</v>
      </c>
      <c r="Q646" s="10" t="n">
        <f aca="false">IFERROR(K646/H646,"")</f>
        <v>0.00207382828701784</v>
      </c>
      <c r="R646" s="10" t="n">
        <f aca="false">IFERROR(L646/H646,"")</f>
        <v>0.000829531314807134</v>
      </c>
      <c r="S646" s="11" t="n">
        <f aca="false">IFERROR(M646/MEDIAN(INDEX($M$5:$M$665,MATCH($A646-90,$A$5:$A$665,1)):INDEX($M$5:$M$665,MATCH($A646+90,$A$5:$A$665,1))),"")</f>
        <v>1.15238639297804</v>
      </c>
      <c r="T646" s="11" t="n">
        <f aca="false">IFERROR(N646/MEDIAN(INDEX($N$5:$N$665,MATCH($A646-90,$A$5:$A$665,1)):INDEX($N$5:$N$665,MATCH($A646+90,$A$5:$A$665,1))),"")</f>
        <v>0.851051905772142</v>
      </c>
      <c r="U646" s="11" t="n">
        <f aca="false">IFERROR(Q646/MEDIAN(INDEX($Q$5:$Q$665,MATCH($A646-90,$A$5:$A$665,1)):INDEX($Q$5:$Q$665,MATCH($A646+90,$A$5:$A$665,1))),"")</f>
        <v>4.48471674758914</v>
      </c>
    </row>
    <row r="647" customFormat="false" ht="15" hidden="false" customHeight="false" outlineLevel="0" collapsed="false">
      <c r="A647" s="13" t="n">
        <v>46133.8036569213</v>
      </c>
      <c r="B647" s="8" t="n">
        <v>19</v>
      </c>
      <c r="C647" s="8" t="s">
        <v>64</v>
      </c>
      <c r="D647" s="8" t="s">
        <v>1202</v>
      </c>
      <c r="E647" s="14" t="s">
        <v>66</v>
      </c>
      <c r="F647" s="9" t="n">
        <v>3948</v>
      </c>
      <c r="G647" s="9" t="n">
        <v>672</v>
      </c>
      <c r="H647" s="9" t="n">
        <v>690</v>
      </c>
      <c r="I647" s="9" t="n">
        <v>0</v>
      </c>
      <c r="J647" s="9" t="n">
        <v>26</v>
      </c>
      <c r="K647" s="9" t="n">
        <v>3</v>
      </c>
      <c r="L647" s="9" t="n">
        <v>1</v>
      </c>
      <c r="M647" s="10" t="n">
        <f aca="false">IFERROR(G647/F647,"")</f>
        <v>0.170212765957447</v>
      </c>
      <c r="N647" s="10" t="n">
        <f aca="false">IFERROR(H647/G647,"")</f>
        <v>1.02678571428571</v>
      </c>
      <c r="O647" s="11" t="n">
        <f aca="false">IFERROR(I647/H647,"")</f>
        <v>0</v>
      </c>
      <c r="P647" s="10" t="n">
        <f aca="false">IFERROR(J647/H647,"")</f>
        <v>0.0376811594202899</v>
      </c>
      <c r="Q647" s="10" t="n">
        <f aca="false">IFERROR(K647/H647,"")</f>
        <v>0.00434782608695652</v>
      </c>
      <c r="R647" s="10" t="n">
        <f aca="false">IFERROR(L647/H647,"")</f>
        <v>0.00144927536231884</v>
      </c>
      <c r="S647" s="11" t="n">
        <f aca="false">IFERROR(M647/MEDIAN(INDEX($M$5:$M$665,MATCH($A647-90,$A$5:$A$665,1)):INDEX($M$5:$M$665,MATCH($A647+90,$A$5:$A$665,1))),"")</f>
        <v>0.428971126130253</v>
      </c>
      <c r="T647" s="11" t="n">
        <f aca="false">IFERROR(N647/MEDIAN(INDEX($N$5:$N$665,MATCH($A647-90,$A$5:$A$665,1)):INDEX($N$5:$N$665,MATCH($A647+90,$A$5:$A$665,1))),"")</f>
        <v>1.89883877383877</v>
      </c>
      <c r="U647" s="11" t="n">
        <f aca="false">IFERROR(Q647/MEDIAN(INDEX($Q$5:$Q$665,MATCH($A647-90,$A$5:$A$665,1)):INDEX($Q$5:$Q$665,MATCH($A647+90,$A$5:$A$665,1))),"")</f>
        <v>9.25434782608696</v>
      </c>
    </row>
    <row r="648" customFormat="false" ht="15" hidden="false" customHeight="false" outlineLevel="0" collapsed="false">
      <c r="A648" s="13" t="n">
        <v>46134.5725354167</v>
      </c>
      <c r="B648" s="8" t="n">
        <v>13</v>
      </c>
      <c r="C648" s="8" t="s">
        <v>71</v>
      </c>
      <c r="D648" s="8"/>
      <c r="E648" s="14" t="s">
        <v>66</v>
      </c>
      <c r="F648" s="9" t="n">
        <v>38844</v>
      </c>
      <c r="G648" s="9" t="n">
        <v>19525</v>
      </c>
      <c r="H648" s="9" t="n">
        <v>6940</v>
      </c>
      <c r="I648" s="9" t="n">
        <v>0</v>
      </c>
      <c r="J648" s="9" t="n">
        <v>35</v>
      </c>
      <c r="K648" s="9" t="n">
        <v>5</v>
      </c>
      <c r="L648" s="9" t="n">
        <v>7</v>
      </c>
      <c r="M648" s="10" t="n">
        <f aca="false">IFERROR(G648/F648,"")</f>
        <v>0.502651632169704</v>
      </c>
      <c r="N648" s="10" t="n">
        <f aca="false">IFERROR(H648/G648,"")</f>
        <v>0.355441741357234</v>
      </c>
      <c r="O648" s="11" t="n">
        <f aca="false">IFERROR(I648/H648,"")</f>
        <v>0</v>
      </c>
      <c r="P648" s="10" t="n">
        <f aca="false">IFERROR(J648/H648,"")</f>
        <v>0.00504322766570605</v>
      </c>
      <c r="Q648" s="10" t="n">
        <f aca="false">IFERROR(K648/H648,"")</f>
        <v>0.000720461095100865</v>
      </c>
      <c r="R648" s="10" t="n">
        <f aca="false">IFERROR(L648/H648,"")</f>
        <v>0.00100864553314121</v>
      </c>
      <c r="S648" s="11" t="n">
        <f aca="false">IFERROR(M648/MEDIAN(INDEX($M$5:$M$665,MATCH($A648-90,$A$5:$A$665,1)):INDEX($M$5:$M$665,MATCH($A648+90,$A$5:$A$665,1))),"")</f>
        <v>1.26678534063041</v>
      </c>
      <c r="T648" s="11" t="n">
        <f aca="false">IFERROR(N648/MEDIAN(INDEX($N$5:$N$665,MATCH($A648-90,$A$5:$A$665,1)):INDEX($N$5:$N$665,MATCH($A648+90,$A$5:$A$665,1))),"")</f>
        <v>0.657319780495197</v>
      </c>
      <c r="U648" s="11" t="n">
        <f aca="false">IFERROR(Q648/MEDIAN(INDEX($Q$5:$Q$665,MATCH($A648-90,$A$5:$A$665,1)):INDEX($Q$5:$Q$665,MATCH($A648+90,$A$5:$A$665,1))),"")</f>
        <v>1.53350144092219</v>
      </c>
    </row>
    <row r="649" customFormat="false" ht="15" hidden="false" customHeight="false" outlineLevel="0" collapsed="false">
      <c r="A649" s="13" t="n">
        <v>46136.6230063426</v>
      </c>
      <c r="B649" s="8" t="n">
        <v>14</v>
      </c>
      <c r="C649" s="8" t="s">
        <v>84</v>
      </c>
      <c r="D649" s="8"/>
      <c r="E649" s="14" t="s">
        <v>66</v>
      </c>
      <c r="F649" s="9" t="n">
        <v>66914</v>
      </c>
      <c r="G649" s="9" t="n">
        <v>19825</v>
      </c>
      <c r="H649" s="9" t="n">
        <v>13109</v>
      </c>
      <c r="I649" s="9" t="n">
        <v>0</v>
      </c>
      <c r="J649" s="9" t="n">
        <v>39</v>
      </c>
      <c r="K649" s="9" t="n">
        <v>3</v>
      </c>
      <c r="L649" s="9" t="n">
        <v>5</v>
      </c>
      <c r="M649" s="10" t="n">
        <f aca="false">IFERROR(G649/F649,"")</f>
        <v>0.296275816719969</v>
      </c>
      <c r="N649" s="10" t="n">
        <f aca="false">IFERROR(H649/G649,"")</f>
        <v>0.661235813366961</v>
      </c>
      <c r="O649" s="11" t="n">
        <f aca="false">IFERROR(I649/H649,"")</f>
        <v>0</v>
      </c>
      <c r="P649" s="10" t="n">
        <f aca="false">IFERROR(J649/H649,"")</f>
        <v>0.0029750553055153</v>
      </c>
      <c r="Q649" s="10" t="n">
        <f aca="false">IFERROR(K649/H649,"")</f>
        <v>0.000228850408116561</v>
      </c>
      <c r="R649" s="10" t="n">
        <f aca="false">IFERROR(L649/H649,"")</f>
        <v>0.000381417346860935</v>
      </c>
      <c r="S649" s="11" t="n">
        <f aca="false">IFERROR(M649/MEDIAN(INDEX($M$5:$M$665,MATCH($A649-90,$A$5:$A$665,1)):INDEX($M$5:$M$665,MATCH($A649+90,$A$5:$A$665,1))),"")</f>
        <v>0.759620903890655</v>
      </c>
      <c r="T649" s="11" t="n">
        <f aca="false">IFERROR(N649/MEDIAN(INDEX($N$5:$N$665,MATCH($A649-90,$A$5:$A$665,1)):INDEX($N$5:$N$665,MATCH($A649+90,$A$5:$A$665,1))),"")</f>
        <v>1.22282593495708</v>
      </c>
      <c r="U649" s="11" t="n">
        <f aca="false">IFERROR(Q649/MEDIAN(INDEX($Q$5:$Q$665,MATCH($A649-90,$A$5:$A$665,1)):INDEX($Q$5:$Q$665,MATCH($A649+90,$A$5:$A$665,1))),"")</f>
        <v>0.463994202456328</v>
      </c>
    </row>
    <row r="650" customFormat="false" ht="15" hidden="false" customHeight="false" outlineLevel="0" collapsed="false">
      <c r="A650" s="13" t="n">
        <v>46137.5940739352</v>
      </c>
      <c r="B650" s="8" t="n">
        <v>14</v>
      </c>
      <c r="C650" s="8" t="s">
        <v>68</v>
      </c>
      <c r="D650" s="8"/>
      <c r="E650" s="14" t="s">
        <v>66</v>
      </c>
      <c r="F650" s="9" t="n">
        <v>101934</v>
      </c>
      <c r="G650" s="9" t="n">
        <v>29409</v>
      </c>
      <c r="H650" s="9" t="n">
        <v>21386</v>
      </c>
      <c r="I650" s="9" t="n">
        <v>0</v>
      </c>
      <c r="J650" s="9" t="n">
        <v>62</v>
      </c>
      <c r="K650" s="9" t="n">
        <v>7</v>
      </c>
      <c r="L650" s="9" t="n">
        <v>6</v>
      </c>
      <c r="M650" s="10" t="n">
        <f aca="false">IFERROR(G650/F650,"")</f>
        <v>0.288510212490435</v>
      </c>
      <c r="N650" s="10" t="n">
        <f aca="false">IFERROR(H650/G650,"")</f>
        <v>0.727192356081472</v>
      </c>
      <c r="O650" s="11" t="n">
        <f aca="false">IFERROR(I650/H650,"")</f>
        <v>0</v>
      </c>
      <c r="P650" s="10" t="n">
        <f aca="false">IFERROR(J650/H650,"")</f>
        <v>0.00289909286449079</v>
      </c>
      <c r="Q650" s="10" t="n">
        <f aca="false">IFERROR(K650/H650,"")</f>
        <v>0.000327316936313476</v>
      </c>
      <c r="R650" s="10" t="n">
        <f aca="false">IFERROR(L650/H650,"")</f>
        <v>0.00028055737398298</v>
      </c>
      <c r="S650" s="11" t="n">
        <f aca="false">IFERROR(M650/MEDIAN(INDEX($M$5:$M$665,MATCH($A650-90,$A$5:$A$665,1)):INDEX($M$5:$M$665,MATCH($A650+90,$A$5:$A$665,1))),"")</f>
        <v>0.733353670892731</v>
      </c>
      <c r="T650" s="11" t="n">
        <f aca="false">IFERROR(N650/MEDIAN(INDEX($N$5:$N$665,MATCH($A650-90,$A$5:$A$665,1)):INDEX($N$5:$N$665,MATCH($A650+90,$A$5:$A$665,1))),"")</f>
        <v>1.34710661790786</v>
      </c>
      <c r="U650" s="11" t="n">
        <f aca="false">IFERROR(Q650/MEDIAN(INDEX($Q$5:$Q$665,MATCH($A650-90,$A$5:$A$665,1)):INDEX($Q$5:$Q$665,MATCH($A650+90,$A$5:$A$665,1))),"")</f>
        <v>0.663225689801621</v>
      </c>
    </row>
    <row r="651" customFormat="false" ht="15" hidden="false" customHeight="false" outlineLevel="0" collapsed="false">
      <c r="A651" s="13" t="n">
        <v>46139.4336485648</v>
      </c>
      <c r="B651" s="8" t="n">
        <v>10</v>
      </c>
      <c r="C651" s="8" t="s">
        <v>80</v>
      </c>
      <c r="D651" s="8"/>
      <c r="E651" s="14" t="s">
        <v>66</v>
      </c>
      <c r="F651" s="9" t="n">
        <v>95612</v>
      </c>
      <c r="G651" s="9" t="n">
        <v>46116</v>
      </c>
      <c r="H651" s="9" t="n">
        <v>18431</v>
      </c>
      <c r="I651" s="9" t="n">
        <v>0</v>
      </c>
      <c r="J651" s="9" t="n">
        <v>72</v>
      </c>
      <c r="K651" s="9" t="n">
        <v>8</v>
      </c>
      <c r="L651" s="9" t="n">
        <v>4</v>
      </c>
      <c r="M651" s="10" t="n">
        <f aca="false">IFERROR(G651/F651,"")</f>
        <v>0.482324394427478</v>
      </c>
      <c r="N651" s="10" t="n">
        <f aca="false">IFERROR(H651/G651,"")</f>
        <v>0.399666059502125</v>
      </c>
      <c r="O651" s="11" t="n">
        <f aca="false">IFERROR(I651/H651,"")</f>
        <v>0</v>
      </c>
      <c r="P651" s="10" t="n">
        <f aca="false">IFERROR(J651/H651,"")</f>
        <v>0.0039064619391243</v>
      </c>
      <c r="Q651" s="10" t="n">
        <f aca="false">IFERROR(K651/H651,"")</f>
        <v>0.000434051326569367</v>
      </c>
      <c r="R651" s="10" t="n">
        <f aca="false">IFERROR(L651/H651,"")</f>
        <v>0.000217025663284683</v>
      </c>
      <c r="S651" s="11" t="n">
        <f aca="false">IFERROR(M651/MEDIAN(INDEX($M$5:$M$665,MATCH($A651-90,$A$5:$A$665,1)):INDEX($M$5:$M$665,MATCH($A651+90,$A$5:$A$665,1))),"")</f>
        <v>1.21555652699618</v>
      </c>
      <c r="T651" s="11" t="n">
        <f aca="false">IFERROR(N651/MEDIAN(INDEX($N$5:$N$665,MATCH($A651-90,$A$5:$A$665,1)):INDEX($N$5:$N$665,MATCH($A651+90,$A$5:$A$665,1))),"")</f>
        <v>0.741644195717901</v>
      </c>
      <c r="U651" s="11" t="n">
        <f aca="false">IFERROR(Q651/MEDIAN(INDEX($Q$5:$Q$665,MATCH($A651-90,$A$5:$A$665,1)):INDEX($Q$5:$Q$665,MATCH($A651+90,$A$5:$A$665,1))),"")</f>
        <v>0.878953936302968</v>
      </c>
    </row>
    <row r="652" customFormat="false" ht="15" hidden="false" customHeight="false" outlineLevel="0" collapsed="false">
      <c r="A652" s="13" t="n">
        <v>46141.534527338</v>
      </c>
      <c r="B652" s="8" t="n">
        <v>12</v>
      </c>
      <c r="C652" s="8" t="s">
        <v>71</v>
      </c>
      <c r="D652" s="8"/>
      <c r="E652" s="14" t="s">
        <v>66</v>
      </c>
      <c r="F652" s="9" t="n">
        <v>26067</v>
      </c>
      <c r="G652" s="9" t="n">
        <v>11534</v>
      </c>
      <c r="H652" s="9" t="n">
        <v>3590</v>
      </c>
      <c r="I652" s="9" t="n">
        <v>0</v>
      </c>
      <c r="J652" s="9" t="n">
        <v>24</v>
      </c>
      <c r="K652" s="9" t="n">
        <v>3</v>
      </c>
      <c r="L652" s="9" t="n">
        <v>1</v>
      </c>
      <c r="M652" s="10" t="n">
        <f aca="false">IFERROR(G652/F652,"")</f>
        <v>0.442475160164192</v>
      </c>
      <c r="N652" s="10" t="n">
        <f aca="false">IFERROR(H652/G652,"")</f>
        <v>0.311253684758106</v>
      </c>
      <c r="O652" s="11" t="n">
        <f aca="false">IFERROR(I652/H652,"")</f>
        <v>0</v>
      </c>
      <c r="P652" s="10" t="n">
        <f aca="false">IFERROR(J652/H652,"")</f>
        <v>0.00668523676880223</v>
      </c>
      <c r="Q652" s="10" t="n">
        <f aca="false">IFERROR(K652/H652,"")</f>
        <v>0.000835654596100279</v>
      </c>
      <c r="R652" s="10" t="n">
        <f aca="false">IFERROR(L652/H652,"")</f>
        <v>0.000278551532033426</v>
      </c>
      <c r="S652" s="11" t="n">
        <f aca="false">IFERROR(M652/MEDIAN(INDEX($M$5:$M$665,MATCH($A652-90,$A$5:$A$665,1)):INDEX($M$5:$M$665,MATCH($A652+90,$A$5:$A$665,1))),"")</f>
        <v>1.12471160096635</v>
      </c>
      <c r="T652" s="11" t="n">
        <f aca="false">IFERROR(N652/MEDIAN(INDEX($N$5:$N$665,MATCH($A652-90,$A$5:$A$665,1)):INDEX($N$5:$N$665,MATCH($A652+90,$A$5:$A$665,1))),"")</f>
        <v>0.576590079748965</v>
      </c>
      <c r="U652" s="11" t="n">
        <f aca="false">IFERROR(Q652/MEDIAN(INDEX($Q$5:$Q$665,MATCH($A652-90,$A$5:$A$665,1)):INDEX($Q$5:$Q$665,MATCH($A652+90,$A$5:$A$665,1))),"")</f>
        <v>1.69080665219606</v>
      </c>
    </row>
    <row r="653" customFormat="false" ht="15" hidden="false" customHeight="false" outlineLevel="0" collapsed="false">
      <c r="A653" s="13" t="n">
        <v>46143.4349117593</v>
      </c>
      <c r="B653" s="8" t="n">
        <v>10</v>
      </c>
      <c r="C653" s="8" t="s">
        <v>84</v>
      </c>
      <c r="D653" s="8"/>
      <c r="E653" s="14" t="s">
        <v>66</v>
      </c>
      <c r="F653" s="9" t="n">
        <v>3701</v>
      </c>
      <c r="G653" s="9" t="n">
        <v>357</v>
      </c>
      <c r="H653" s="9" t="n">
        <v>533</v>
      </c>
      <c r="I653" s="9" t="n">
        <v>0</v>
      </c>
      <c r="J653" s="9" t="n">
        <v>18</v>
      </c>
      <c r="K653" s="9" t="n">
        <v>0</v>
      </c>
      <c r="L653" s="9" t="n">
        <v>0</v>
      </c>
      <c r="M653" s="10" t="n">
        <f aca="false">IFERROR(G653/F653,"")</f>
        <v>0.0964604161037558</v>
      </c>
      <c r="N653" s="10" t="n">
        <f aca="false">IFERROR(H653/G653,"")</f>
        <v>1.49299719887955</v>
      </c>
      <c r="O653" s="11" t="n">
        <f aca="false">IFERROR(I653/H653,"")</f>
        <v>0</v>
      </c>
      <c r="P653" s="10" t="n">
        <f aca="false">IFERROR(J653/H653,"")</f>
        <v>0.0337711069418387</v>
      </c>
      <c r="Q653" s="10" t="n">
        <f aca="false">IFERROR(K653/H653,"")</f>
        <v>0</v>
      </c>
      <c r="R653" s="10" t="n">
        <f aca="false">IFERROR(L653/H653,"")</f>
        <v>0</v>
      </c>
      <c r="S653" s="11" t="n">
        <f aca="false">IFERROR(M653/MEDIAN(INDEX($M$5:$M$665,MATCH($A653-90,$A$5:$A$665,1)):INDEX($M$5:$M$665,MATCH($A653+90,$A$5:$A$665,1))),"")</f>
        <v>0.243100058272748</v>
      </c>
      <c r="T653" s="11" t="n">
        <f aca="false">IFERROR(N653/MEDIAN(INDEX($N$5:$N$665,MATCH($A653-90,$A$5:$A$665,1)):INDEX($N$5:$N$665,MATCH($A653+90,$A$5:$A$665,1))),"")</f>
        <v>2.77049471789389</v>
      </c>
      <c r="U653" s="11" t="n">
        <f aca="false">IFERROR(Q653/MEDIAN(INDEX($Q$5:$Q$665,MATCH($A653-90,$A$5:$A$665,1)):INDEX($Q$5:$Q$665,MATCH($A653+90,$A$5:$A$665,1))),"")</f>
        <v>0</v>
      </c>
    </row>
    <row r="654" customFormat="false" ht="15" hidden="false" customHeight="false" outlineLevel="0" collapsed="false">
      <c r="A654" s="13" t="n">
        <v>46146.5636105671</v>
      </c>
      <c r="B654" s="8" t="n">
        <v>13</v>
      </c>
      <c r="C654" s="8" t="s">
        <v>80</v>
      </c>
      <c r="D654" s="8"/>
      <c r="E654" s="14" t="s">
        <v>66</v>
      </c>
      <c r="F654" s="9" t="n">
        <v>17766</v>
      </c>
      <c r="G654" s="9" t="n">
        <v>3591</v>
      </c>
      <c r="H654" s="9" t="n">
        <v>2515</v>
      </c>
      <c r="I654" s="9" t="n">
        <v>0</v>
      </c>
      <c r="J654" s="9" t="n">
        <v>26</v>
      </c>
      <c r="K654" s="9" t="n">
        <v>1</v>
      </c>
      <c r="L654" s="9" t="n">
        <v>2</v>
      </c>
      <c r="M654" s="10" t="n">
        <f aca="false">IFERROR(G654/F654,"")</f>
        <v>0.202127659574468</v>
      </c>
      <c r="N654" s="10" t="n">
        <f aca="false">IFERROR(H654/G654,"")</f>
        <v>0.70036201615149</v>
      </c>
      <c r="O654" s="11" t="n">
        <f aca="false">IFERROR(I654/H654,"")</f>
        <v>0</v>
      </c>
      <c r="P654" s="10" t="n">
        <f aca="false">IFERROR(J654/H654,"")</f>
        <v>0.010337972166998</v>
      </c>
      <c r="Q654" s="10" t="n">
        <f aca="false">IFERROR(K654/H654,"")</f>
        <v>0.000397614314115308</v>
      </c>
      <c r="R654" s="10" t="n">
        <f aca="false">IFERROR(L654/H654,"")</f>
        <v>0.000795228628230616</v>
      </c>
      <c r="S654" s="11" t="n">
        <f aca="false">IFERROR(M654/MEDIAN(INDEX($M$5:$M$665,MATCH($A654-90,$A$5:$A$665,1)):INDEX($M$5:$M$665,MATCH($A654+90,$A$5:$A$665,1))),"")</f>
        <v>0.509403212279676</v>
      </c>
      <c r="T654" s="11" t="n">
        <f aca="false">IFERROR(N654/MEDIAN(INDEX($N$5:$N$665,MATCH($A654-90,$A$5:$A$665,1)):INDEX($N$5:$N$665,MATCH($A654+90,$A$5:$A$665,1))),"")</f>
        <v>1.29963356114626</v>
      </c>
      <c r="U654" s="11" t="n">
        <f aca="false">IFERROR(Q654/MEDIAN(INDEX($Q$5:$Q$665,MATCH($A654-90,$A$5:$A$665,1)):INDEX($Q$5:$Q$665,MATCH($A654+90,$A$5:$A$665,1))),"")</f>
        <v>0.776580516898608</v>
      </c>
    </row>
    <row r="655" customFormat="false" ht="15" hidden="false" customHeight="false" outlineLevel="0" collapsed="false">
      <c r="A655" s="13" t="n">
        <v>46147.7070143056</v>
      </c>
      <c r="B655" s="8" t="n">
        <v>16</v>
      </c>
      <c r="C655" s="8" t="s">
        <v>64</v>
      </c>
      <c r="D655" s="8" t="s">
        <v>1203</v>
      </c>
      <c r="E655" s="14" t="s">
        <v>66</v>
      </c>
      <c r="F655" s="9" t="n">
        <v>198087</v>
      </c>
      <c r="G655" s="9" t="n">
        <v>61762</v>
      </c>
      <c r="H655" s="9" t="n">
        <v>44529</v>
      </c>
      <c r="I655" s="9" t="n">
        <v>0</v>
      </c>
      <c r="J655" s="9" t="n">
        <v>295</v>
      </c>
      <c r="K655" s="9" t="n">
        <v>12</v>
      </c>
      <c r="L655" s="9" t="n">
        <v>73</v>
      </c>
      <c r="M655" s="10" t="n">
        <f aca="false">IFERROR(G655/F655,"")</f>
        <v>0.311792293285274</v>
      </c>
      <c r="N655" s="10" t="n">
        <f aca="false">IFERROR(H655/G655,"")</f>
        <v>0.720977299957903</v>
      </c>
      <c r="O655" s="11" t="n">
        <f aca="false">IFERROR(I655/H655,"")</f>
        <v>0</v>
      </c>
      <c r="P655" s="10" t="n">
        <f aca="false">IFERROR(J655/H655,"")</f>
        <v>0.00662489613510297</v>
      </c>
      <c r="Q655" s="10" t="n">
        <f aca="false">IFERROR(K655/H655,"")</f>
        <v>0.000269487300410968</v>
      </c>
      <c r="R655" s="10" t="n">
        <f aca="false">IFERROR(L655/H655,"")</f>
        <v>0.00163938107750006</v>
      </c>
      <c r="S655" s="11" t="n">
        <f aca="false">IFERROR(M655/MEDIAN(INDEX($M$5:$M$665,MATCH($A655-90,$A$5:$A$665,1)):INDEX($M$5:$M$665,MATCH($A655+90,$A$5:$A$665,1))),"")</f>
        <v>0.792533549724515</v>
      </c>
      <c r="T655" s="11" t="n">
        <f aca="false">IFERROR(N655/MEDIAN(INDEX($N$5:$N$665,MATCH($A655-90,$A$5:$A$665,1)):INDEX($N$5:$N$665,MATCH($A655+90,$A$5:$A$665,1))),"")</f>
        <v>1.33559337362702</v>
      </c>
      <c r="U655" s="11" t="n">
        <f aca="false">IFERROR(Q655/MEDIAN(INDEX($Q$5:$Q$665,MATCH($A655-90,$A$5:$A$665,1)):INDEX($Q$5:$Q$665,MATCH($A655+90,$A$5:$A$665,1))),"")</f>
        <v>0.535415193447681</v>
      </c>
    </row>
    <row r="656" customFormat="false" ht="15" hidden="false" customHeight="false" outlineLevel="0" collapsed="false">
      <c r="A656" s="13" t="n">
        <v>46154.5875682639</v>
      </c>
      <c r="B656" s="8" t="n">
        <v>14</v>
      </c>
      <c r="C656" s="8" t="s">
        <v>64</v>
      </c>
      <c r="D656" s="8" t="s">
        <v>1204</v>
      </c>
      <c r="E656" s="14" t="s">
        <v>66</v>
      </c>
      <c r="F656" s="9" t="n">
        <v>55207</v>
      </c>
      <c r="G656" s="9" t="n">
        <v>15702</v>
      </c>
      <c r="H656" s="9" t="n">
        <v>7156</v>
      </c>
      <c r="I656" s="9" t="n">
        <v>0</v>
      </c>
      <c r="J656" s="9" t="n">
        <v>37</v>
      </c>
      <c r="K656" s="9" t="n">
        <v>1</v>
      </c>
      <c r="L656" s="9" t="n">
        <v>6</v>
      </c>
      <c r="M656" s="10" t="n">
        <f aca="false">IFERROR(G656/F656,"")</f>
        <v>0.284420453927944</v>
      </c>
      <c r="N656" s="10" t="n">
        <f aca="false">IFERROR(H656/G656,"")</f>
        <v>0.455738122532162</v>
      </c>
      <c r="O656" s="11" t="n">
        <f aca="false">IFERROR(I656/H656,"")</f>
        <v>0</v>
      </c>
      <c r="P656" s="10" t="n">
        <f aca="false">IFERROR(J656/H656,"")</f>
        <v>0.00517048630519844</v>
      </c>
      <c r="Q656" s="10" t="n">
        <f aca="false">IFERROR(K656/H656,"")</f>
        <v>0.000139742873113471</v>
      </c>
      <c r="R656" s="10" t="n">
        <f aca="false">IFERROR(L656/H656,"")</f>
        <v>0.000838457238680827</v>
      </c>
      <c r="S656" s="11" t="n">
        <f aca="false">IFERROR(M656/MEDIAN(INDEX($M$5:$M$665,MATCH($A656-90,$A$5:$A$665,1)):INDEX($M$5:$M$665,MATCH($A656+90,$A$5:$A$665,1))),"")</f>
        <v>0.716536272399399</v>
      </c>
      <c r="T656" s="11" t="n">
        <f aca="false">IFERROR(N656/MEDIAN(INDEX($N$5:$N$665,MATCH($A656-90,$A$5:$A$665,1)):INDEX($N$5:$N$665,MATCH($A656+90,$A$5:$A$665,1))),"")</f>
        <v>0.852498295927006</v>
      </c>
      <c r="U656" s="11" t="n">
        <f aca="false">IFERROR(Q656/MEDIAN(INDEX($Q$5:$Q$665,MATCH($A656-90,$A$5:$A$665,1)):INDEX($Q$5:$Q$665,MATCH($A656+90,$A$5:$A$665,1))),"")</f>
        <v>0.282746221417172</v>
      </c>
    </row>
    <row r="657" customFormat="false" ht="15" hidden="false" customHeight="false" outlineLevel="0" collapsed="false">
      <c r="A657" s="13" t="n">
        <v>46177.6025891898</v>
      </c>
      <c r="B657" s="8" t="n">
        <v>14</v>
      </c>
      <c r="C657" s="8" t="s">
        <v>73</v>
      </c>
      <c r="D657" s="8" t="s">
        <v>1205</v>
      </c>
      <c r="E657" s="14" t="s">
        <v>66</v>
      </c>
      <c r="F657" s="9" t="n">
        <v>936091</v>
      </c>
      <c r="G657" s="9" t="n">
        <v>196361</v>
      </c>
      <c r="H657" s="9" t="n">
        <v>206905</v>
      </c>
      <c r="I657" s="9" t="n">
        <v>0</v>
      </c>
      <c r="J657" s="9" t="n">
        <v>988</v>
      </c>
      <c r="K657" s="9" t="n">
        <v>36</v>
      </c>
      <c r="L657" s="9" t="n">
        <v>16</v>
      </c>
      <c r="M657" s="10" t="n">
        <f aca="false">IFERROR(G657/F657,"")</f>
        <v>0.209766999148587</v>
      </c>
      <c r="N657" s="10" t="n">
        <f aca="false">IFERROR(H657/G657,"")</f>
        <v>1.05369701722847</v>
      </c>
      <c r="O657" s="11" t="n">
        <f aca="false">IFERROR(I657/H657,"")</f>
        <v>0</v>
      </c>
      <c r="P657" s="10" t="n">
        <f aca="false">IFERROR(J657/H657,"")</f>
        <v>0.00477513834851744</v>
      </c>
      <c r="Q657" s="10" t="n">
        <f aca="false">IFERROR(K657/H657,"")</f>
        <v>0.000173992895290109</v>
      </c>
      <c r="R657" s="10" t="n">
        <f aca="false">IFERROR(L657/H657,"")</f>
        <v>7.73301756844929E-005</v>
      </c>
      <c r="S657" s="11" t="n">
        <f aca="false">IFERROR(M657/MEDIAN(INDEX($M$5:$M$665,MATCH($A657-90,$A$5:$A$665,1)):INDEX($M$5:$M$665,MATCH($A657+90,$A$5:$A$665,1))),"")</f>
        <v>0.514882634273805</v>
      </c>
      <c r="T657" s="11" t="n">
        <f aca="false">IFERROR(N657/MEDIAN(INDEX($N$5:$N$665,MATCH($A657-90,$A$5:$A$665,1)):INDEX($N$5:$N$665,MATCH($A657+90,$A$5:$A$665,1))),"")</f>
        <v>2.05281872215042</v>
      </c>
      <c r="U657" s="11" t="n">
        <f aca="false">IFERROR(Q657/MEDIAN(INDEX($Q$5:$Q$665,MATCH($A657-90,$A$5:$A$665,1)):INDEX($Q$5:$Q$665,MATCH($A657+90,$A$5:$A$665,1))),"")</f>
        <v>0.314492158236872</v>
      </c>
    </row>
    <row r="658" customFormat="false" ht="15" hidden="false" customHeight="false" outlineLevel="0" collapsed="false">
      <c r="A658" s="13" t="n">
        <v>46178.5202184375</v>
      </c>
      <c r="B658" s="8" t="n">
        <v>12</v>
      </c>
      <c r="C658" s="8" t="s">
        <v>84</v>
      </c>
      <c r="D658" s="8" t="s">
        <v>1206</v>
      </c>
      <c r="E658" s="14" t="s">
        <v>66</v>
      </c>
      <c r="F658" s="9" t="n">
        <v>200689</v>
      </c>
      <c r="G658" s="9" t="n">
        <v>40806</v>
      </c>
      <c r="H658" s="9" t="n">
        <v>29735</v>
      </c>
      <c r="I658" s="9" t="n">
        <v>0</v>
      </c>
      <c r="J658" s="9" t="n">
        <v>72</v>
      </c>
      <c r="K658" s="9" t="n">
        <v>35</v>
      </c>
      <c r="L658" s="9" t="n">
        <v>7</v>
      </c>
      <c r="M658" s="10" t="n">
        <f aca="false">IFERROR(G658/F658,"")</f>
        <v>0.203329529769943</v>
      </c>
      <c r="N658" s="10" t="n">
        <f aca="false">IFERROR(H658/G658,"")</f>
        <v>0.728691859040337</v>
      </c>
      <c r="O658" s="11" t="n">
        <f aca="false">IFERROR(I658/H658,"")</f>
        <v>0</v>
      </c>
      <c r="P658" s="10" t="n">
        <f aca="false">IFERROR(J658/H658,"")</f>
        <v>0.00242138893559778</v>
      </c>
      <c r="Q658" s="10" t="n">
        <f aca="false">IFERROR(K658/H658,"")</f>
        <v>0.00117706406591559</v>
      </c>
      <c r="R658" s="10" t="n">
        <f aca="false">IFERROR(L658/H658,"")</f>
        <v>0.000235412813183118</v>
      </c>
      <c r="S658" s="11" t="n">
        <f aca="false">IFERROR(M658/MEDIAN(INDEX($M$5:$M$665,MATCH($A658-90,$A$5:$A$665,1)):INDEX($M$5:$M$665,MATCH($A658+90,$A$5:$A$665,1))),"")</f>
        <v>0.499081573071677</v>
      </c>
      <c r="T658" s="11" t="n">
        <f aca="false">IFERROR(N658/MEDIAN(INDEX($N$5:$N$665,MATCH($A658-90,$A$5:$A$665,1)):INDEX($N$5:$N$665,MATCH($A658+90,$A$5:$A$665,1))),"")</f>
        <v>1.41964176272528</v>
      </c>
      <c r="U658" s="11" t="n">
        <f aca="false">IFERROR(Q658/MEDIAN(INDEX($Q$5:$Q$665,MATCH($A658-90,$A$5:$A$665,1)):INDEX($Q$5:$Q$665,MATCH($A658+90,$A$5:$A$665,1))),"")</f>
        <v>2.12754329914243</v>
      </c>
    </row>
    <row r="659" customFormat="false" ht="15" hidden="false" customHeight="false" outlineLevel="0" collapsed="false">
      <c r="A659" s="13" t="n">
        <v>46179.8428254745</v>
      </c>
      <c r="B659" s="8" t="n">
        <v>20</v>
      </c>
      <c r="C659" s="8" t="s">
        <v>68</v>
      </c>
      <c r="D659" s="8" t="s">
        <v>1207</v>
      </c>
      <c r="E659" s="14" t="s">
        <v>66</v>
      </c>
      <c r="F659" s="9" t="n">
        <v>26852</v>
      </c>
      <c r="G659" s="9" t="n">
        <v>4623</v>
      </c>
      <c r="H659" s="9" t="n">
        <v>3307</v>
      </c>
      <c r="I659" s="9" t="n">
        <v>0</v>
      </c>
      <c r="J659" s="9" t="n">
        <v>67</v>
      </c>
      <c r="K659" s="9" t="n">
        <v>17</v>
      </c>
      <c r="L659" s="9" t="n">
        <v>33</v>
      </c>
      <c r="M659" s="10" t="n">
        <f aca="false">IFERROR(G659/F659,"")</f>
        <v>0.172165946670639</v>
      </c>
      <c r="N659" s="10" t="n">
        <f aca="false">IFERROR(H659/G659,"")</f>
        <v>0.715336361669911</v>
      </c>
      <c r="O659" s="11" t="n">
        <f aca="false">IFERROR(I659/H659,"")</f>
        <v>0</v>
      </c>
      <c r="P659" s="10" t="n">
        <f aca="false">IFERROR(J659/H659,"")</f>
        <v>0.020260054429997</v>
      </c>
      <c r="Q659" s="10" t="n">
        <f aca="false">IFERROR(K659/H659,"")</f>
        <v>0.00514061082552162</v>
      </c>
      <c r="R659" s="10" t="n">
        <f aca="false">IFERROR(L659/H659,"")</f>
        <v>0.00997883277895374</v>
      </c>
      <c r="S659" s="11" t="n">
        <f aca="false">IFERROR(M659/MEDIAN(INDEX($M$5:$M$665,MATCH($A659-90,$A$5:$A$665,1)):INDEX($M$5:$M$665,MATCH($A659+90,$A$5:$A$665,1))),"")</f>
        <v>0.412583937517426</v>
      </c>
      <c r="T659" s="11" t="n">
        <f aca="false">IFERROR(N659/MEDIAN(INDEX($N$5:$N$665,MATCH($A659-90,$A$5:$A$665,1)):INDEX($N$5:$N$665,MATCH($A659+90,$A$5:$A$665,1))),"")</f>
        <v>1.39882398824359</v>
      </c>
      <c r="U659" s="11" t="n">
        <f aca="false">IFERROR(Q659/MEDIAN(INDEX($Q$5:$Q$665,MATCH($A659-90,$A$5:$A$665,1)):INDEX($Q$5:$Q$665,MATCH($A659+90,$A$5:$A$665,1))),"")</f>
        <v>8.98635686206748</v>
      </c>
    </row>
    <row r="660" customFormat="false" ht="15" hidden="false" customHeight="false" outlineLevel="0" collapsed="false">
      <c r="A660" s="13" t="n">
        <v>46185.8078625926</v>
      </c>
      <c r="B660" s="8" t="n">
        <v>19</v>
      </c>
      <c r="C660" s="8" t="s">
        <v>84</v>
      </c>
      <c r="D660" s="8" t="s">
        <v>1208</v>
      </c>
      <c r="E660" s="14" t="s">
        <v>66</v>
      </c>
      <c r="F660" s="9" t="n">
        <v>119079</v>
      </c>
      <c r="G660" s="9" t="n">
        <v>32644</v>
      </c>
      <c r="H660" s="9" t="n">
        <v>17144</v>
      </c>
      <c r="I660" s="9" t="n">
        <v>0</v>
      </c>
      <c r="J660" s="9" t="n">
        <v>47</v>
      </c>
      <c r="K660" s="9" t="n">
        <v>11</v>
      </c>
      <c r="L660" s="9" t="n">
        <v>5</v>
      </c>
      <c r="M660" s="10" t="n">
        <f aca="false">IFERROR(G660/F660,"")</f>
        <v>0.274137337397862</v>
      </c>
      <c r="N660" s="10" t="n">
        <f aca="false">IFERROR(H660/G660,"")</f>
        <v>0.525180737654699</v>
      </c>
      <c r="O660" s="11" t="n">
        <f aca="false">IFERROR(I660/H660,"")</f>
        <v>0</v>
      </c>
      <c r="P660" s="10" t="n">
        <f aca="false">IFERROR(J660/H660,"")</f>
        <v>0.00274148390107326</v>
      </c>
      <c r="Q660" s="10" t="n">
        <f aca="false">IFERROR(K660/H660,"")</f>
        <v>0.000641623891740551</v>
      </c>
      <c r="R660" s="10" t="n">
        <f aca="false">IFERROR(L660/H660,"")</f>
        <v>0.000291647223518432</v>
      </c>
      <c r="S660" s="11" t="n">
        <f aca="false">IFERROR(M660/MEDIAN(INDEX($M$5:$M$665,MATCH($A660-90,$A$5:$A$665,1)):INDEX($M$5:$M$665,MATCH($A660+90,$A$5:$A$665,1))),"")</f>
        <v>0.672882555431116</v>
      </c>
      <c r="T660" s="11" t="n">
        <f aca="false">IFERROR(N660/MEDIAN(INDEX($N$5:$N$665,MATCH($A660-90,$A$5:$A$665,1)):INDEX($N$5:$N$665,MATCH($A660+90,$A$5:$A$665,1))),"")</f>
        <v>1.03082639238389</v>
      </c>
      <c r="U660" s="11" t="n">
        <f aca="false">IFERROR(Q660/MEDIAN(INDEX($Q$5:$Q$665,MATCH($A660-90,$A$5:$A$665,1)):INDEX($Q$5:$Q$665,MATCH($A660+90,$A$5:$A$665,1))),"")</f>
        <v>0.993233784414372</v>
      </c>
    </row>
    <row r="661" customFormat="false" ht="15" hidden="false" customHeight="false" outlineLevel="0" collapsed="false">
      <c r="A661" s="13" t="n">
        <v>46187.5602794676</v>
      </c>
      <c r="B661" s="8" t="n">
        <v>13</v>
      </c>
      <c r="C661" s="8" t="s">
        <v>86</v>
      </c>
      <c r="D661" s="8" t="s">
        <v>1209</v>
      </c>
      <c r="E661" s="14" t="s">
        <v>66</v>
      </c>
      <c r="F661" s="9" t="n">
        <v>7088</v>
      </c>
      <c r="G661" s="9" t="n">
        <v>491</v>
      </c>
      <c r="H661" s="9" t="n">
        <v>822</v>
      </c>
      <c r="I661" s="9" t="n">
        <v>0</v>
      </c>
      <c r="J661" s="9" t="n">
        <v>21</v>
      </c>
      <c r="K661" s="9" t="n">
        <v>20</v>
      </c>
      <c r="L661" s="9" t="n">
        <v>2</v>
      </c>
      <c r="M661" s="10" t="n">
        <f aca="false">IFERROR(G661/F661,"")</f>
        <v>0.0692720090293454</v>
      </c>
      <c r="N661" s="10" t="n">
        <f aca="false">IFERROR(H661/G661,"")</f>
        <v>1.67413441955193</v>
      </c>
      <c r="O661" s="11" t="n">
        <f aca="false">IFERROR(I661/H661,"")</f>
        <v>0</v>
      </c>
      <c r="P661" s="10" t="n">
        <f aca="false">IFERROR(J661/H661,"")</f>
        <v>0.0255474452554745</v>
      </c>
      <c r="Q661" s="10" t="n">
        <f aca="false">IFERROR(K661/H661,"")</f>
        <v>0.024330900243309</v>
      </c>
      <c r="R661" s="10" t="n">
        <f aca="false">IFERROR(L661/H661,"")</f>
        <v>0.0024330900243309</v>
      </c>
      <c r="S661" s="11" t="n">
        <f aca="false">IFERROR(M661/MEDIAN(INDEX($M$5:$M$665,MATCH($A661-90,$A$5:$A$665,1)):INDEX($M$5:$M$665,MATCH($A661+90,$A$5:$A$665,1))),"")</f>
        <v>0.174104010020514</v>
      </c>
      <c r="T661" s="11" t="n">
        <f aca="false">IFERROR(N661/MEDIAN(INDEX($N$5:$N$665,MATCH($A661-90,$A$5:$A$665,1)):INDEX($N$5:$N$665,MATCH($A661+90,$A$5:$A$665,1))),"")</f>
        <v>3.30443221954218</v>
      </c>
      <c r="U661" s="11" t="n">
        <f aca="false">IFERROR(Q661/MEDIAN(INDEX($Q$5:$Q$665,MATCH($A661-90,$A$5:$A$665,1)):INDEX($Q$5:$Q$665,MATCH($A661+90,$A$5:$A$665,1))),"")</f>
        <v>36.5064272620568</v>
      </c>
    </row>
    <row r="662" customFormat="false" ht="15" hidden="false" customHeight="false" outlineLevel="0" collapsed="false">
      <c r="A662" s="13" t="n">
        <v>46189.4711212616</v>
      </c>
      <c r="B662" s="8" t="n">
        <v>11</v>
      </c>
      <c r="C662" s="8" t="s">
        <v>64</v>
      </c>
      <c r="D662" s="8" t="s">
        <v>1210</v>
      </c>
      <c r="E662" s="14" t="s">
        <v>66</v>
      </c>
      <c r="F662" s="9" t="n">
        <v>39031</v>
      </c>
      <c r="G662" s="9" t="n">
        <v>26906</v>
      </c>
      <c r="H662" s="9" t="n">
        <v>12384</v>
      </c>
      <c r="I662" s="9" t="n">
        <v>0</v>
      </c>
      <c r="J662" s="9" t="n">
        <v>101</v>
      </c>
      <c r="K662" s="9" t="n">
        <v>8</v>
      </c>
      <c r="L662" s="9" t="n">
        <v>12</v>
      </c>
      <c r="M662" s="10" t="n">
        <f aca="false">IFERROR(G662/F662,"")</f>
        <v>0.689349491429889</v>
      </c>
      <c r="N662" s="10" t="n">
        <f aca="false">IFERROR(H662/G662,"")</f>
        <v>0.460269084962462</v>
      </c>
      <c r="O662" s="11" t="n">
        <f aca="false">IFERROR(I662/H662,"")</f>
        <v>0</v>
      </c>
      <c r="P662" s="10" t="n">
        <f aca="false">IFERROR(J662/H662,"")</f>
        <v>0.00815568475452196</v>
      </c>
      <c r="Q662" s="10" t="n">
        <f aca="false">IFERROR(K662/H662,"")</f>
        <v>0.000645994832041344</v>
      </c>
      <c r="R662" s="10" t="n">
        <f aca="false">IFERROR(L662/H662,"")</f>
        <v>0.000968992248062016</v>
      </c>
      <c r="S662" s="11" t="n">
        <f aca="false">IFERROR(M662/MEDIAN(INDEX($M$5:$M$665,MATCH($A662-90,$A$5:$A$665,1)):INDEX($M$5:$M$665,MATCH($A662+90,$A$5:$A$665,1))),"")</f>
        <v>1.69203966078246</v>
      </c>
      <c r="T662" s="11" t="n">
        <f aca="false">IFERROR(N662/MEDIAN(INDEX($N$5:$N$665,MATCH($A662-90,$A$5:$A$665,1)):INDEX($N$5:$N$665,MATCH($A662+90,$A$5:$A$665,1))),"")</f>
        <v>0.91361196981012</v>
      </c>
      <c r="U662" s="11" t="n">
        <f aca="false">IFERROR(Q662/MEDIAN(INDEX($Q$5:$Q$665,MATCH($A662-90,$A$5:$A$665,1)):INDEX($Q$5:$Q$665,MATCH($A662+90,$A$5:$A$665,1))),"")</f>
        <v>1</v>
      </c>
    </row>
    <row r="663" customFormat="false" ht="15" hidden="false" customHeight="false" outlineLevel="0" collapsed="false">
      <c r="A663" s="13" t="n">
        <v>46199.5128555208</v>
      </c>
      <c r="B663" s="8" t="n">
        <v>12</v>
      </c>
      <c r="C663" s="8" t="s">
        <v>84</v>
      </c>
      <c r="D663" s="8" t="s">
        <v>1211</v>
      </c>
      <c r="E663" s="14" t="s">
        <v>66</v>
      </c>
      <c r="F663" s="9" t="n">
        <v>2433228</v>
      </c>
      <c r="G663" s="9" t="n">
        <v>328732</v>
      </c>
      <c r="H663" s="9" t="n">
        <v>559000</v>
      </c>
      <c r="I663" s="9" t="n">
        <v>0</v>
      </c>
      <c r="J663" s="9" t="n">
        <v>338</v>
      </c>
      <c r="K663" s="9" t="n">
        <v>559</v>
      </c>
      <c r="L663" s="9" t="n">
        <v>43</v>
      </c>
      <c r="M663" s="10" t="n">
        <f aca="false">IFERROR(G663/F663,"")</f>
        <v>0.135101190681679</v>
      </c>
      <c r="N663" s="10" t="n">
        <f aca="false">IFERROR(H663/G663,"")</f>
        <v>1.70047333390117</v>
      </c>
      <c r="O663" s="11" t="n">
        <f aca="false">IFERROR(I663/H663,"")</f>
        <v>0</v>
      </c>
      <c r="P663" s="10" t="n">
        <f aca="false">IFERROR(J663/H663,"")</f>
        <v>0.000604651162790698</v>
      </c>
      <c r="Q663" s="10" t="n">
        <f aca="false">IFERROR(K663/H663,"")</f>
        <v>0.001</v>
      </c>
      <c r="R663" s="10" t="n">
        <f aca="false">IFERROR(L663/H663,"")</f>
        <v>7.69230769230769E-005</v>
      </c>
      <c r="S663" s="11" t="n">
        <f aca="false">IFERROR(M663/MEDIAN(INDEX($M$5:$M$665,MATCH($A663-90,$A$5:$A$665,1)):INDEX($M$5:$M$665,MATCH($A663+90,$A$5:$A$665,1))),"")</f>
        <v>0.433305099552503</v>
      </c>
      <c r="T663" s="11" t="n">
        <f aca="false">IFERROR(N663/MEDIAN(INDEX($N$5:$N$665,MATCH($A663-90,$A$5:$A$665,1)):INDEX($N$5:$N$665,MATCH($A663+90,$A$5:$A$665,1))),"")</f>
        <v>3.33769437157626</v>
      </c>
      <c r="U663" s="11" t="n">
        <f aca="false">IFERROR(Q663/MEDIAN(INDEX($Q$5:$Q$665,MATCH($A663-90,$A$5:$A$665,1)):INDEX($Q$5:$Q$665,MATCH($A663+90,$A$5:$A$665,1))),"")</f>
        <v>1.43016666666667</v>
      </c>
    </row>
    <row r="664" customFormat="false" ht="15" hidden="false" customHeight="false" outlineLevel="0" collapsed="false">
      <c r="A664" s="13" t="n">
        <v>46201.7176149769</v>
      </c>
      <c r="B664" s="8" t="n">
        <v>17</v>
      </c>
      <c r="C664" s="8" t="s">
        <v>86</v>
      </c>
      <c r="D664" s="8" t="s">
        <v>1212</v>
      </c>
      <c r="E664" s="14" t="s">
        <v>66</v>
      </c>
      <c r="F664" s="9" t="n">
        <v>450116</v>
      </c>
      <c r="G664" s="9" t="n">
        <v>51133</v>
      </c>
      <c r="H664" s="9" t="n">
        <v>70969</v>
      </c>
      <c r="I664" s="9" t="n">
        <v>0</v>
      </c>
      <c r="J664" s="9" t="n">
        <v>35</v>
      </c>
      <c r="K664" s="9" t="n">
        <v>13</v>
      </c>
      <c r="L664" s="9" t="n">
        <v>4</v>
      </c>
      <c r="M664" s="10" t="n">
        <f aca="false">IFERROR(G664/F664,"")</f>
        <v>0.113599605435043</v>
      </c>
      <c r="N664" s="10" t="n">
        <f aca="false">IFERROR(H664/G664,"")</f>
        <v>1.38792951714157</v>
      </c>
      <c r="O664" s="11" t="n">
        <f aca="false">IFERROR(I664/H664,"")</f>
        <v>0</v>
      </c>
      <c r="P664" s="10" t="n">
        <f aca="false">IFERROR(J664/H664,"")</f>
        <v>0.000493173075568206</v>
      </c>
      <c r="Q664" s="10" t="n">
        <f aca="false">IFERROR(K664/H664,"")</f>
        <v>0.000183178570925334</v>
      </c>
      <c r="R664" s="10" t="n">
        <f aca="false">IFERROR(L664/H664,"")</f>
        <v>5.6362637207795E-005</v>
      </c>
      <c r="S664" s="11" t="n">
        <f aca="false">IFERROR(M664/MEDIAN(INDEX($M$5:$M$665,MATCH($A664-90,$A$5:$A$665,1)):INDEX($M$5:$M$665,MATCH($A664+90,$A$5:$A$665,1))),"")</f>
        <v>0.364343852883835</v>
      </c>
      <c r="T664" s="11" t="n">
        <f aca="false">IFERROR(N664/MEDIAN(INDEX($N$5:$N$665,MATCH($A664-90,$A$5:$A$665,1)):INDEX($N$5:$N$665,MATCH($A664+90,$A$5:$A$665,1))),"")</f>
        <v>2.72423239174253</v>
      </c>
      <c r="U664" s="11" t="n">
        <f aca="false">IFERROR(Q664/MEDIAN(INDEX($Q$5:$Q$665,MATCH($A664-90,$A$5:$A$665,1)):INDEX($Q$5:$Q$665,MATCH($A664+90,$A$5:$A$665,1))),"")</f>
        <v>0.261975886185048</v>
      </c>
    </row>
    <row r="665" customFormat="false" ht="15" hidden="false" customHeight="false" outlineLevel="0" collapsed="false">
      <c r="A665" s="13" t="n">
        <v>46225.9621196181</v>
      </c>
      <c r="B665" s="8" t="n">
        <v>23</v>
      </c>
      <c r="C665" s="8" t="s">
        <v>71</v>
      </c>
      <c r="D665" s="8" t="s">
        <v>1213</v>
      </c>
      <c r="E665" s="14" t="s">
        <v>66</v>
      </c>
      <c r="F665" s="9" t="n">
        <v>29421</v>
      </c>
      <c r="G665" s="9" t="n">
        <v>7797</v>
      </c>
      <c r="H665" s="9" t="n">
        <v>3453</v>
      </c>
      <c r="I665" s="9" t="n">
        <v>0</v>
      </c>
      <c r="J665" s="9" t="n">
        <v>11</v>
      </c>
      <c r="K665" s="9" t="n">
        <v>15</v>
      </c>
      <c r="L665" s="9" t="n">
        <v>1</v>
      </c>
      <c r="M665" s="10" t="n">
        <f aca="false">IFERROR(G665/F665,"")</f>
        <v>0.265014785357398</v>
      </c>
      <c r="N665" s="10" t="n">
        <f aca="false">IFERROR(H665/G665,"")</f>
        <v>0.442862639476722</v>
      </c>
      <c r="O665" s="11" t="n">
        <f aca="false">IFERROR(I665/H665,"")</f>
        <v>0</v>
      </c>
      <c r="P665" s="10" t="n">
        <f aca="false">IFERROR(J665/H665,"")</f>
        <v>0.00318563567911961</v>
      </c>
      <c r="Q665" s="10" t="n">
        <f aca="false">IFERROR(K665/H665,"")</f>
        <v>0.00434404865334492</v>
      </c>
      <c r="R665" s="10" t="n">
        <f aca="false">IFERROR(L665/H665,"")</f>
        <v>0.000289603243556328</v>
      </c>
      <c r="S665" s="11" t="n">
        <f aca="false">IFERROR(M665/MEDIAN(INDEX($M$5:$M$665,MATCH($A665-90,$A$5:$A$665,1)):INDEX($M$5:$M$665,MATCH($A665+90,$A$5:$A$665,1))),"")</f>
        <v>0.983079818004157</v>
      </c>
      <c r="T665" s="11" t="n">
        <f aca="false">IFERROR(N665/MEDIAN(INDEX($N$5:$N$665,MATCH($A665-90,$A$5:$A$665,1)):INDEX($N$5:$N$665,MATCH($A665+90,$A$5:$A$665,1))),"")</f>
        <v>0.625645471400818</v>
      </c>
      <c r="U665" s="11" t="n">
        <f aca="false">IFERROR(Q665/MEDIAN(INDEX($Q$5:$Q$665,MATCH($A665-90,$A$5:$A$665,1)):INDEX($Q$5:$Q$665,MATCH($A665+90,$A$5:$A$665,1))),"")</f>
        <v>8.07687781479286</v>
      </c>
    </row>
  </sheetData>
  <autoFilter ref="A4:U665"/>
  <hyperlinks>
    <hyperlink ref="E5" r:id="rId1" display="ссылка"/>
    <hyperlink ref="E6" r:id="rId2" display="ссылка"/>
    <hyperlink ref="E7" r:id="rId3" display="ссылка"/>
    <hyperlink ref="E8" r:id="rId4" display="ссылка"/>
    <hyperlink ref="E9" r:id="rId5" display="ссылка"/>
    <hyperlink ref="E10" r:id="rId6" display="ссылка"/>
    <hyperlink ref="E11" r:id="rId7" display="ссылка"/>
    <hyperlink ref="E12" r:id="rId8" display="ссылка"/>
    <hyperlink ref="E13" r:id="rId9" display="ссылка"/>
    <hyperlink ref="E14" r:id="rId10" display="ссылка"/>
    <hyperlink ref="E15" r:id="rId11" display="ссылка"/>
    <hyperlink ref="E16" r:id="rId12" display="ссылка"/>
    <hyperlink ref="E17" r:id="rId13" display="ссылка"/>
    <hyperlink ref="E18" r:id="rId14" display="ссылка"/>
    <hyperlink ref="E19" r:id="rId15" display="ссылка"/>
    <hyperlink ref="E20" r:id="rId16" display="ссылка"/>
    <hyperlink ref="E21" r:id="rId17" display="ссылка"/>
    <hyperlink ref="E22" r:id="rId18" display="ссылка"/>
    <hyperlink ref="E23" r:id="rId19" display="ссылка"/>
    <hyperlink ref="E24" r:id="rId20" display="ссылка"/>
    <hyperlink ref="E25" r:id="rId21" display="ссылка"/>
    <hyperlink ref="E26" r:id="rId22" display="ссылка"/>
    <hyperlink ref="E27" r:id="rId23" display="ссылка"/>
    <hyperlink ref="E28" r:id="rId24" display="ссылка"/>
    <hyperlink ref="E29" r:id="rId25" display="ссылка"/>
    <hyperlink ref="E30" r:id="rId26" display="ссылка"/>
    <hyperlink ref="E31" r:id="rId27" display="ссылка"/>
    <hyperlink ref="E32" r:id="rId28" display="ссылка"/>
    <hyperlink ref="E33" r:id="rId29" display="ссылка"/>
    <hyperlink ref="E34" r:id="rId30" display="ссылка"/>
    <hyperlink ref="E35" r:id="rId31" display="ссылка"/>
    <hyperlink ref="E36" r:id="rId32" display="ссылка"/>
    <hyperlink ref="E37" r:id="rId33" display="ссылка"/>
    <hyperlink ref="E38" r:id="rId34" display="ссылка"/>
    <hyperlink ref="E39" r:id="rId35" display="ссылка"/>
    <hyperlink ref="E40" r:id="rId36" display="ссылка"/>
    <hyperlink ref="E41" r:id="rId37" display="ссылка"/>
    <hyperlink ref="E42" r:id="rId38" display="ссылка"/>
    <hyperlink ref="E43" r:id="rId39" display="ссылка"/>
    <hyperlink ref="E44" r:id="rId40" display="ссылка"/>
    <hyperlink ref="E45" r:id="rId41" display="ссылка"/>
    <hyperlink ref="E46" r:id="rId42" display="ссылка"/>
    <hyperlink ref="E47" r:id="rId43" display="ссылка"/>
    <hyperlink ref="E48" r:id="rId44" display="ссылка"/>
    <hyperlink ref="E49" r:id="rId45" display="ссылка"/>
    <hyperlink ref="E50" r:id="rId46" display="ссылка"/>
    <hyperlink ref="E51" r:id="rId47" display="ссылка"/>
    <hyperlink ref="E52" r:id="rId48" display="ссылка"/>
    <hyperlink ref="E53" r:id="rId49" display="ссылка"/>
    <hyperlink ref="E54" r:id="rId50" display="ссылка"/>
    <hyperlink ref="E55" r:id="rId51" display="ссылка"/>
    <hyperlink ref="E56" r:id="rId52" display="ссылка"/>
    <hyperlink ref="E57" r:id="rId53" display="ссылка"/>
    <hyperlink ref="E58" r:id="rId54" display="ссылка"/>
    <hyperlink ref="E59" r:id="rId55" display="ссылка"/>
    <hyperlink ref="E60" r:id="rId56" display="ссылка"/>
    <hyperlink ref="E61" r:id="rId57" display="ссылка"/>
    <hyperlink ref="E62" r:id="rId58" display="ссылка"/>
    <hyperlink ref="E63" r:id="rId59" display="ссылка"/>
    <hyperlink ref="E64" r:id="rId60" display="ссылка"/>
    <hyperlink ref="E65" r:id="rId61" display="ссылка"/>
    <hyperlink ref="E66" r:id="rId62" display="ссылка"/>
    <hyperlink ref="E67" r:id="rId63" display="ссылка"/>
    <hyperlink ref="E68" r:id="rId64" display="ссылка"/>
    <hyperlink ref="E69" r:id="rId65" display="ссылка"/>
    <hyperlink ref="E70" r:id="rId66" display="ссылка"/>
    <hyperlink ref="E71" r:id="rId67" display="ссылка"/>
    <hyperlink ref="E72" r:id="rId68" display="ссылка"/>
    <hyperlink ref="E73" r:id="rId69" display="ссылка"/>
    <hyperlink ref="E74" r:id="rId70" display="ссылка"/>
    <hyperlink ref="E75" r:id="rId71" display="ссылка"/>
    <hyperlink ref="E76" r:id="rId72" display="ссылка"/>
    <hyperlink ref="E77" r:id="rId73" display="ссылка"/>
    <hyperlink ref="E78" r:id="rId74" display="ссылка"/>
    <hyperlink ref="E79" r:id="rId75" display="ссылка"/>
    <hyperlink ref="E80" r:id="rId76" display="ссылка"/>
    <hyperlink ref="E81" r:id="rId77" display="ссылка"/>
    <hyperlink ref="E82" r:id="rId78" display="ссылка"/>
    <hyperlink ref="E83" r:id="rId79" display="ссылка"/>
    <hyperlink ref="E84" r:id="rId80" display="ссылка"/>
    <hyperlink ref="E85" r:id="rId81" display="ссылка"/>
    <hyperlink ref="E86" r:id="rId82" display="ссылка"/>
    <hyperlink ref="E87" r:id="rId83" display="ссылка"/>
    <hyperlink ref="E88" r:id="rId84" display="ссылка"/>
    <hyperlink ref="E89" r:id="rId85" display="ссылка"/>
    <hyperlink ref="E90" r:id="rId86" display="ссылка"/>
    <hyperlink ref="E91" r:id="rId87" display="ссылка"/>
    <hyperlink ref="E92" r:id="rId88" display="ссылка"/>
    <hyperlink ref="E93" r:id="rId89" display="ссылка"/>
    <hyperlink ref="E94" r:id="rId90" display="ссылка"/>
    <hyperlink ref="E95" r:id="rId91" display="ссылка"/>
    <hyperlink ref="E96" r:id="rId92" display="ссылка"/>
    <hyperlink ref="E97" r:id="rId93" display="ссылка"/>
    <hyperlink ref="E98" r:id="rId94" display="ссылка"/>
    <hyperlink ref="E99" r:id="rId95" display="ссылка"/>
    <hyperlink ref="E100" r:id="rId96" display="ссылка"/>
    <hyperlink ref="E101" r:id="rId97" display="ссылка"/>
    <hyperlink ref="E102" r:id="rId98" display="ссылка"/>
    <hyperlink ref="E103" r:id="rId99" display="ссылка"/>
    <hyperlink ref="E104" r:id="rId100" display="ссылка"/>
    <hyperlink ref="E105" r:id="rId101" display="ссылка"/>
    <hyperlink ref="E106" r:id="rId102" display="ссылка"/>
    <hyperlink ref="E107" r:id="rId103" display="ссылка"/>
    <hyperlink ref="E108" r:id="rId104" display="ссылка"/>
    <hyperlink ref="E109" r:id="rId105" display="ссылка"/>
    <hyperlink ref="E110" r:id="rId106" display="ссылка"/>
    <hyperlink ref="E111" r:id="rId107" display="ссылка"/>
    <hyperlink ref="E112" r:id="rId108" display="ссылка"/>
    <hyperlink ref="E113" r:id="rId109" display="ссылка"/>
    <hyperlink ref="E114" r:id="rId110" display="ссылка"/>
    <hyperlink ref="E115" r:id="rId111" display="ссылка"/>
    <hyperlink ref="E116" r:id="rId112" display="ссылка"/>
    <hyperlink ref="E117" r:id="rId113" display="ссылка"/>
    <hyperlink ref="E118" r:id="rId114" display="ссылка"/>
    <hyperlink ref="E119" r:id="rId115" display="ссылка"/>
    <hyperlink ref="E120" r:id="rId116" display="ссылка"/>
    <hyperlink ref="E121" r:id="rId117" display="ссылка"/>
    <hyperlink ref="E122" r:id="rId118" display="ссылка"/>
    <hyperlink ref="E123" r:id="rId119" display="ссылка"/>
    <hyperlink ref="E124" r:id="rId120" display="ссылка"/>
    <hyperlink ref="E125" r:id="rId121" display="ссылка"/>
    <hyperlink ref="E126" r:id="rId122" display="ссылка"/>
    <hyperlink ref="E127" r:id="rId123" display="ссылка"/>
    <hyperlink ref="E128" r:id="rId124" display="ссылка"/>
    <hyperlink ref="E129" r:id="rId125" display="ссылка"/>
    <hyperlink ref="E130" r:id="rId126" display="ссылка"/>
    <hyperlink ref="E131" r:id="rId127" display="ссылка"/>
    <hyperlink ref="E132" r:id="rId128" display="ссылка"/>
    <hyperlink ref="E133" r:id="rId129" display="ссылка"/>
    <hyperlink ref="E134" r:id="rId130" display="ссылка"/>
    <hyperlink ref="E135" r:id="rId131" display="ссылка"/>
    <hyperlink ref="E136" r:id="rId132" display="ссылка"/>
    <hyperlink ref="E137" r:id="rId133" display="ссылка"/>
    <hyperlink ref="E138" r:id="rId134" display="ссылка"/>
    <hyperlink ref="E139" r:id="rId135" display="ссылка"/>
    <hyperlink ref="E140" r:id="rId136" display="ссылка"/>
    <hyperlink ref="E141" r:id="rId137" display="ссылка"/>
    <hyperlink ref="E142" r:id="rId138" display="ссылка"/>
    <hyperlink ref="E143" r:id="rId139" display="ссылка"/>
    <hyperlink ref="E144" r:id="rId140" display="ссылка"/>
    <hyperlink ref="E145" r:id="rId141" display="ссылка"/>
    <hyperlink ref="E146" r:id="rId142" display="ссылка"/>
    <hyperlink ref="E147" r:id="rId143" display="ссылка"/>
    <hyperlink ref="E148" r:id="rId144" display="ссылка"/>
    <hyperlink ref="E149" r:id="rId145" display="ссылка"/>
    <hyperlink ref="E150" r:id="rId146" display="ссылка"/>
    <hyperlink ref="E151" r:id="rId147" display="ссылка"/>
    <hyperlink ref="E152" r:id="rId148" display="ссылка"/>
    <hyperlink ref="E153" r:id="rId149" display="ссылка"/>
    <hyperlink ref="E154" r:id="rId150" display="ссылка"/>
    <hyperlink ref="E155" r:id="rId151" display="ссылка"/>
    <hyperlink ref="E156" r:id="rId152" display="ссылка"/>
    <hyperlink ref="E157" r:id="rId153" display="ссылка"/>
    <hyperlink ref="E158" r:id="rId154" display="ссылка"/>
    <hyperlink ref="E159" r:id="rId155" display="ссылка"/>
    <hyperlink ref="E160" r:id="rId156" display="ссылка"/>
    <hyperlink ref="E161" r:id="rId157" display="ссылка"/>
    <hyperlink ref="E162" r:id="rId158" display="ссылка"/>
    <hyperlink ref="E163" r:id="rId159" display="ссылка"/>
    <hyperlink ref="E164" r:id="rId160" display="ссылка"/>
    <hyperlink ref="E165" r:id="rId161" display="ссылка"/>
    <hyperlink ref="E166" r:id="rId162" display="ссылка"/>
    <hyperlink ref="E167" r:id="rId163" display="ссылка"/>
    <hyperlink ref="E168" r:id="rId164" display="ссылка"/>
    <hyperlink ref="E169" r:id="rId165" display="ссылка"/>
    <hyperlink ref="E170" r:id="rId166" display="ссылка"/>
    <hyperlink ref="E171" r:id="rId167" display="ссылка"/>
    <hyperlink ref="E172" r:id="rId168" display="ссылка"/>
    <hyperlink ref="E173" r:id="rId169" display="ссылка"/>
    <hyperlink ref="E174" r:id="rId170" display="ссылка"/>
    <hyperlink ref="E175" r:id="rId171" display="ссылка"/>
    <hyperlink ref="E176" r:id="rId172" display="ссылка"/>
    <hyperlink ref="E177" r:id="rId173" display="ссылка"/>
    <hyperlink ref="E178" r:id="rId174" display="ссылка"/>
    <hyperlink ref="E179" r:id="rId175" display="ссылка"/>
    <hyperlink ref="E180" r:id="rId176" display="ссылка"/>
    <hyperlink ref="E181" r:id="rId177" display="ссылка"/>
    <hyperlink ref="E182" r:id="rId178" display="ссылка"/>
    <hyperlink ref="E183" r:id="rId179" display="ссылка"/>
    <hyperlink ref="E184" r:id="rId180" display="ссылка"/>
    <hyperlink ref="E185" r:id="rId181" display="ссылка"/>
    <hyperlink ref="E186" r:id="rId182" display="ссылка"/>
    <hyperlink ref="E187" r:id="rId183" display="ссылка"/>
    <hyperlink ref="E188" r:id="rId184" display="ссылка"/>
    <hyperlink ref="E189" r:id="rId185" display="ссылка"/>
    <hyperlink ref="E190" r:id="rId186" display="ссылка"/>
    <hyperlink ref="E191" r:id="rId187" display="ссылка"/>
    <hyperlink ref="E192" r:id="rId188" display="ссылка"/>
    <hyperlink ref="E193" r:id="rId189" display="ссылка"/>
    <hyperlink ref="E194" r:id="rId190" display="ссылка"/>
    <hyperlink ref="E195" r:id="rId191" display="ссылка"/>
    <hyperlink ref="E196" r:id="rId192" display="ссылка"/>
    <hyperlink ref="E197" r:id="rId193" display="ссылка"/>
    <hyperlink ref="E198" r:id="rId194" display="ссылка"/>
    <hyperlink ref="E199" r:id="rId195" display="ссылка"/>
    <hyperlink ref="E200" r:id="rId196" display="ссылка"/>
    <hyperlink ref="E201" r:id="rId197" display="ссылка"/>
    <hyperlink ref="E202" r:id="rId198" display="ссылка"/>
    <hyperlink ref="E203" r:id="rId199" display="ссылка"/>
    <hyperlink ref="E204" r:id="rId200" display="ссылка"/>
    <hyperlink ref="E205" r:id="rId201" display="ссылка"/>
    <hyperlink ref="E206" r:id="rId202" display="ссылка"/>
    <hyperlink ref="E207" r:id="rId203" display="ссылка"/>
    <hyperlink ref="E208" r:id="rId204" display="ссылка"/>
    <hyperlink ref="E209" r:id="rId205" display="ссылка"/>
    <hyperlink ref="E210" r:id="rId206" display="ссылка"/>
    <hyperlink ref="E211" r:id="rId207" display="ссылка"/>
    <hyperlink ref="E212" r:id="rId208" display="ссылка"/>
    <hyperlink ref="E213" r:id="rId209" display="ссылка"/>
    <hyperlink ref="E214" r:id="rId210" display="ссылка"/>
    <hyperlink ref="E215" r:id="rId211" display="ссылка"/>
    <hyperlink ref="E216" r:id="rId212" display="ссылка"/>
    <hyperlink ref="E217" r:id="rId213" display="ссылка"/>
    <hyperlink ref="E218" r:id="rId214" display="ссылка"/>
    <hyperlink ref="E219" r:id="rId215" display="ссылка"/>
    <hyperlink ref="E220" r:id="rId216" display="ссылка"/>
    <hyperlink ref="E221" r:id="rId217" display="ссылка"/>
    <hyperlink ref="E222" r:id="rId218" display="ссылка"/>
    <hyperlink ref="E223" r:id="rId219" display="ссылка"/>
    <hyperlink ref="E224" r:id="rId220" display="ссылка"/>
    <hyperlink ref="E225" r:id="rId221" display="ссылка"/>
    <hyperlink ref="E226" r:id="rId222" display="ссылка"/>
    <hyperlink ref="E227" r:id="rId223" display="ссылка"/>
    <hyperlink ref="E228" r:id="rId224" display="ссылка"/>
    <hyperlink ref="E229" r:id="rId225" display="ссылка"/>
    <hyperlink ref="E230" r:id="rId226" display="ссылка"/>
    <hyperlink ref="E231" r:id="rId227" display="ссылка"/>
    <hyperlink ref="E232" r:id="rId228" display="ссылка"/>
    <hyperlink ref="E233" r:id="rId229" display="ссылка"/>
    <hyperlink ref="E234" r:id="rId230" display="ссылка"/>
    <hyperlink ref="E235" r:id="rId231" display="ссылка"/>
    <hyperlink ref="E236" r:id="rId232" display="ссылка"/>
    <hyperlink ref="E237" r:id="rId233" display="ссылка"/>
    <hyperlink ref="E238" r:id="rId234" display="ссылка"/>
    <hyperlink ref="E239" r:id="rId235" display="ссылка"/>
    <hyperlink ref="E240" r:id="rId236" display="ссылка"/>
    <hyperlink ref="E241" r:id="rId237" display="ссылка"/>
    <hyperlink ref="E242" r:id="rId238" display="ссылка"/>
    <hyperlink ref="E243" r:id="rId239" display="ссылка"/>
    <hyperlink ref="E244" r:id="rId240" display="ссылка"/>
    <hyperlink ref="E245" r:id="rId241" display="ссылка"/>
    <hyperlink ref="E246" r:id="rId242" display="ссылка"/>
    <hyperlink ref="E247" r:id="rId243" display="ссылка"/>
    <hyperlink ref="E248" r:id="rId244" display="ссылка"/>
    <hyperlink ref="E249" r:id="rId245" display="ссылка"/>
    <hyperlink ref="E250" r:id="rId246" display="ссылка"/>
    <hyperlink ref="E251" r:id="rId247" display="ссылка"/>
    <hyperlink ref="E252" r:id="rId248" display="ссылка"/>
    <hyperlink ref="E253" r:id="rId249" display="ссылка"/>
    <hyperlink ref="E254" r:id="rId250" display="ссылка"/>
    <hyperlink ref="E255" r:id="rId251" display="ссылка"/>
    <hyperlink ref="E256" r:id="rId252" display="ссылка"/>
    <hyperlink ref="E257" r:id="rId253" display="ссылка"/>
    <hyperlink ref="E258" r:id="rId254" display="ссылка"/>
    <hyperlink ref="E259" r:id="rId255" display="ссылка"/>
    <hyperlink ref="E260" r:id="rId256" display="ссылка"/>
    <hyperlink ref="E261" r:id="rId257" display="ссылка"/>
    <hyperlink ref="E262" r:id="rId258" display="ссылка"/>
    <hyperlink ref="E263" r:id="rId259" display="ссылка"/>
    <hyperlink ref="E264" r:id="rId260" display="ссылка"/>
    <hyperlink ref="E265" r:id="rId261" display="ссылка"/>
    <hyperlink ref="E266" r:id="rId262" display="ссылка"/>
    <hyperlink ref="E267" r:id="rId263" display="ссылка"/>
    <hyperlink ref="E268" r:id="rId264" display="ссылка"/>
    <hyperlink ref="E269" r:id="rId265" display="ссылка"/>
    <hyperlink ref="E270" r:id="rId266" display="ссылка"/>
    <hyperlink ref="E271" r:id="rId267" display="ссылка"/>
    <hyperlink ref="E272" r:id="rId268" display="ссылка"/>
    <hyperlink ref="E273" r:id="rId269" display="ссылка"/>
    <hyperlink ref="E274" r:id="rId270" display="ссылка"/>
    <hyperlink ref="E275" r:id="rId271" display="ссылка"/>
    <hyperlink ref="E276" r:id="rId272" display="ссылка"/>
    <hyperlink ref="E277" r:id="rId273" display="ссылка"/>
    <hyperlink ref="E278" r:id="rId274" display="ссылка"/>
    <hyperlink ref="E279" r:id="rId275" display="ссылка"/>
    <hyperlink ref="E280" r:id="rId276" display="ссылка"/>
    <hyperlink ref="E281" r:id="rId277" display="ссылка"/>
    <hyperlink ref="E282" r:id="rId278" display="ссылка"/>
    <hyperlink ref="E283" r:id="rId279" display="ссылка"/>
    <hyperlink ref="E284" r:id="rId280" display="ссылка"/>
    <hyperlink ref="E285" r:id="rId281" display="ссылка"/>
    <hyperlink ref="E286" r:id="rId282" display="ссылка"/>
    <hyperlink ref="E287" r:id="rId283" display="ссылка"/>
    <hyperlink ref="E288" r:id="rId284" display="ссылка"/>
    <hyperlink ref="E289" r:id="rId285" display="ссылка"/>
    <hyperlink ref="E290" r:id="rId286" display="ссылка"/>
    <hyperlink ref="E291" r:id="rId287" display="ссылка"/>
    <hyperlink ref="E292" r:id="rId288" display="ссылка"/>
    <hyperlink ref="E293" r:id="rId289" display="ссылка"/>
    <hyperlink ref="E294" r:id="rId290" display="ссылка"/>
    <hyperlink ref="E295" r:id="rId291" display="ссылка"/>
    <hyperlink ref="E296" r:id="rId292" display="ссылка"/>
    <hyperlink ref="E297" r:id="rId293" display="ссылка"/>
    <hyperlink ref="E298" r:id="rId294" display="ссылка"/>
    <hyperlink ref="E299" r:id="rId295" display="ссылка"/>
    <hyperlink ref="E300" r:id="rId296" display="ссылка"/>
    <hyperlink ref="E301" r:id="rId297" display="ссылка"/>
    <hyperlink ref="E302" r:id="rId298" display="ссылка"/>
    <hyperlink ref="E303" r:id="rId299" display="ссылка"/>
    <hyperlink ref="E304" r:id="rId300" display="ссылка"/>
    <hyperlink ref="E305" r:id="rId301" display="ссылка"/>
    <hyperlink ref="E306" r:id="rId302" display="ссылка"/>
    <hyperlink ref="E307" r:id="rId303" display="ссылка"/>
    <hyperlink ref="E308" r:id="rId304" display="ссылка"/>
    <hyperlink ref="E309" r:id="rId305" display="ссылка"/>
    <hyperlink ref="E310" r:id="rId306" display="ссылка"/>
    <hyperlink ref="E311" r:id="rId307" display="ссылка"/>
    <hyperlink ref="E312" r:id="rId308" display="ссылка"/>
    <hyperlink ref="E313" r:id="rId309" display="ссылка"/>
    <hyperlink ref="E314" r:id="rId310" display="ссылка"/>
    <hyperlink ref="E315" r:id="rId311" display="ссылка"/>
    <hyperlink ref="E316" r:id="rId312" display="ссылка"/>
    <hyperlink ref="E317" r:id="rId313" display="ссылка"/>
    <hyperlink ref="E318" r:id="rId314" display="ссылка"/>
    <hyperlink ref="E319" r:id="rId315" display="ссылка"/>
    <hyperlink ref="E320" r:id="rId316" display="ссылка"/>
    <hyperlink ref="E321" r:id="rId317" display="ссылка"/>
    <hyperlink ref="E322" r:id="rId318" display="ссылка"/>
    <hyperlink ref="E323" r:id="rId319" display="ссылка"/>
    <hyperlink ref="E324" r:id="rId320" display="ссылка"/>
    <hyperlink ref="E325" r:id="rId321" display="ссылка"/>
    <hyperlink ref="E326" r:id="rId322" display="ссылка"/>
    <hyperlink ref="E327" r:id="rId323" display="ссылка"/>
    <hyperlink ref="E328" r:id="rId324" display="ссылка"/>
    <hyperlink ref="E329" r:id="rId325" display="ссылка"/>
    <hyperlink ref="E330" r:id="rId326" display="ссылка"/>
    <hyperlink ref="E331" r:id="rId327" display="ссылка"/>
    <hyperlink ref="E332" r:id="rId328" display="ссылка"/>
    <hyperlink ref="E333" r:id="rId329" display="ссылка"/>
    <hyperlink ref="E334" r:id="rId330" display="ссылка"/>
    <hyperlink ref="E335" r:id="rId331" display="ссылка"/>
    <hyperlink ref="E336" r:id="rId332" display="ссылка"/>
    <hyperlink ref="E337" r:id="rId333" display="ссылка"/>
    <hyperlink ref="E338" r:id="rId334" display="ссылка"/>
    <hyperlink ref="E339" r:id="rId335" display="ссылка"/>
    <hyperlink ref="E340" r:id="rId336" display="ссылка"/>
    <hyperlink ref="E341" r:id="rId337" display="ссылка"/>
    <hyperlink ref="E342" r:id="rId338" display="ссылка"/>
    <hyperlink ref="E343" r:id="rId339" display="ссылка"/>
    <hyperlink ref="E344" r:id="rId340" display="ссылка"/>
    <hyperlink ref="E345" r:id="rId341" display="ссылка"/>
    <hyperlink ref="E346" r:id="rId342" display="ссылка"/>
    <hyperlink ref="E347" r:id="rId343" display="ссылка"/>
    <hyperlink ref="E348" r:id="rId344" display="ссылка"/>
    <hyperlink ref="E349" r:id="rId345" display="ссылка"/>
    <hyperlink ref="E350" r:id="rId346" display="ссылка"/>
    <hyperlink ref="E351" r:id="rId347" display="ссылка"/>
    <hyperlink ref="E352" r:id="rId348" display="ссылка"/>
    <hyperlink ref="E353" r:id="rId349" display="ссылка"/>
    <hyperlink ref="E354" r:id="rId350" display="ссылка"/>
    <hyperlink ref="E355" r:id="rId351" display="ссылка"/>
    <hyperlink ref="E356" r:id="rId352" display="ссылка"/>
    <hyperlink ref="E357" r:id="rId353" display="ссылка"/>
    <hyperlink ref="E358" r:id="rId354" display="ссылка"/>
    <hyperlink ref="E359" r:id="rId355" display="ссылка"/>
    <hyperlink ref="E360" r:id="rId356" display="ссылка"/>
    <hyperlink ref="E361" r:id="rId357" display="ссылка"/>
    <hyperlink ref="E362" r:id="rId358" display="ссылка"/>
    <hyperlink ref="E363" r:id="rId359" display="ссылка"/>
    <hyperlink ref="E364" r:id="rId360" display="ссылка"/>
    <hyperlink ref="E365" r:id="rId361" display="ссылка"/>
    <hyperlink ref="E366" r:id="rId362" display="ссылка"/>
    <hyperlink ref="E367" r:id="rId363" display="ссылка"/>
    <hyperlink ref="E368" r:id="rId364" display="ссылка"/>
    <hyperlink ref="E369" r:id="rId365" display="ссылка"/>
    <hyperlink ref="E370" r:id="rId366" display="ссылка"/>
    <hyperlink ref="E371" r:id="rId367" display="ссылка"/>
    <hyperlink ref="E372" r:id="rId368" display="ссылка"/>
    <hyperlink ref="E373" r:id="rId369" display="ссылка"/>
    <hyperlink ref="E374" r:id="rId370" display="ссылка"/>
    <hyperlink ref="E375" r:id="rId371" display="ссылка"/>
    <hyperlink ref="E376" r:id="rId372" display="ссылка"/>
    <hyperlink ref="E377" r:id="rId373" display="ссылка"/>
    <hyperlink ref="E378" r:id="rId374" display="ссылка"/>
    <hyperlink ref="E379" r:id="rId375" display="ссылка"/>
    <hyperlink ref="E380" r:id="rId376" display="ссылка"/>
    <hyperlink ref="E381" r:id="rId377" display="ссылка"/>
    <hyperlink ref="E382" r:id="rId378" display="ссылка"/>
    <hyperlink ref="E383" r:id="rId379" display="ссылка"/>
    <hyperlink ref="E384" r:id="rId380" display="ссылка"/>
    <hyperlink ref="E385" r:id="rId381" display="ссылка"/>
    <hyperlink ref="E386" r:id="rId382" display="ссылка"/>
    <hyperlink ref="E387" r:id="rId383" display="ссылка"/>
    <hyperlink ref="E388" r:id="rId384" display="ссылка"/>
    <hyperlink ref="E389" r:id="rId385" display="ссылка"/>
    <hyperlink ref="E390" r:id="rId386" display="ссылка"/>
    <hyperlink ref="E391" r:id="rId387" display="ссылка"/>
    <hyperlink ref="E392" r:id="rId388" display="ссылка"/>
    <hyperlink ref="E393" r:id="rId389" display="ссылка"/>
    <hyperlink ref="E394" r:id="rId390" display="ссылка"/>
    <hyperlink ref="E395" r:id="rId391" display="ссылка"/>
    <hyperlink ref="E396" r:id="rId392" display="ссылка"/>
    <hyperlink ref="E397" r:id="rId393" display="ссылка"/>
    <hyperlink ref="E398" r:id="rId394" display="ссылка"/>
    <hyperlink ref="E399" r:id="rId395" display="ссылка"/>
    <hyperlink ref="E400" r:id="rId396" display="ссылка"/>
    <hyperlink ref="E401" r:id="rId397" display="ссылка"/>
    <hyperlink ref="E402" r:id="rId398" display="ссылка"/>
    <hyperlink ref="E403" r:id="rId399" display="ссылка"/>
    <hyperlink ref="E404" r:id="rId400" display="ссылка"/>
    <hyperlink ref="E405" r:id="rId401" display="ссылка"/>
    <hyperlink ref="E406" r:id="rId402" display="ссылка"/>
    <hyperlink ref="E407" r:id="rId403" display="ссылка"/>
    <hyperlink ref="E408" r:id="rId404" display="ссылка"/>
    <hyperlink ref="E409" r:id="rId405" display="ссылка"/>
    <hyperlink ref="E410" r:id="rId406" display="ссылка"/>
    <hyperlink ref="E411" r:id="rId407" display="ссылка"/>
    <hyperlink ref="E412" r:id="rId408" display="ссылка"/>
    <hyperlink ref="E413" r:id="rId409" display="ссылка"/>
    <hyperlink ref="E414" r:id="rId410" display="ссылка"/>
    <hyperlink ref="E415" r:id="rId411" display="ссылка"/>
    <hyperlink ref="E416" r:id="rId412" display="ссылка"/>
    <hyperlink ref="E417" r:id="rId413" display="ссылка"/>
    <hyperlink ref="E418" r:id="rId414" display="ссылка"/>
    <hyperlink ref="E419" r:id="rId415" display="ссылка"/>
    <hyperlink ref="E420" r:id="rId416" display="ссылка"/>
    <hyperlink ref="E421" r:id="rId417" display="ссылка"/>
    <hyperlink ref="E422" r:id="rId418" display="ссылка"/>
    <hyperlink ref="E423" r:id="rId419" display="ссылка"/>
    <hyperlink ref="E424" r:id="rId420" display="ссылка"/>
    <hyperlink ref="E425" r:id="rId421" display="ссылка"/>
    <hyperlink ref="E426" r:id="rId422" display="ссылка"/>
    <hyperlink ref="E427" r:id="rId423" display="ссылка"/>
    <hyperlink ref="E428" r:id="rId424" display="ссылка"/>
    <hyperlink ref="E429" r:id="rId425" display="ссылка"/>
    <hyperlink ref="E430" r:id="rId426" display="ссылка"/>
    <hyperlink ref="E431" r:id="rId427" display="ссылка"/>
    <hyperlink ref="E432" r:id="rId428" display="ссылка"/>
    <hyperlink ref="E433" r:id="rId429" display="ссылка"/>
    <hyperlink ref="E434" r:id="rId430" display="ссылка"/>
    <hyperlink ref="E435" r:id="rId431" display="ссылка"/>
    <hyperlink ref="E436" r:id="rId432" display="ссылка"/>
    <hyperlink ref="E437" r:id="rId433" display="ссылка"/>
    <hyperlink ref="E438" r:id="rId434" display="ссылка"/>
    <hyperlink ref="E439" r:id="rId435" display="ссылка"/>
    <hyperlink ref="E440" r:id="rId436" display="ссылка"/>
    <hyperlink ref="E441" r:id="rId437" display="ссылка"/>
    <hyperlink ref="E442" r:id="rId438" display="ссылка"/>
    <hyperlink ref="E443" r:id="rId439" display="ссылка"/>
    <hyperlink ref="E444" r:id="rId440" display="ссылка"/>
    <hyperlink ref="E445" r:id="rId441" display="ссылка"/>
    <hyperlink ref="E446" r:id="rId442" display="ссылка"/>
    <hyperlink ref="E447" r:id="rId443" display="ссылка"/>
    <hyperlink ref="E448" r:id="rId444" display="ссылка"/>
    <hyperlink ref="E449" r:id="rId445" display="ссылка"/>
    <hyperlink ref="E450" r:id="rId446" display="ссылка"/>
    <hyperlink ref="E451" r:id="rId447" display="ссылка"/>
    <hyperlink ref="E452" r:id="rId448" display="ссылка"/>
    <hyperlink ref="E453" r:id="rId449" display="ссылка"/>
    <hyperlink ref="E454" r:id="rId450" display="ссылка"/>
    <hyperlink ref="E455" r:id="rId451" display="ссылка"/>
    <hyperlink ref="E456" r:id="rId452" display="ссылка"/>
    <hyperlink ref="E457" r:id="rId453" display="ссылка"/>
    <hyperlink ref="E458" r:id="rId454" display="ссылка"/>
    <hyperlink ref="E459" r:id="rId455" display="ссылка"/>
    <hyperlink ref="E460" r:id="rId456" display="ссылка"/>
    <hyperlink ref="E461" r:id="rId457" display="ссылка"/>
    <hyperlink ref="E462" r:id="rId458" display="ссылка"/>
    <hyperlink ref="E463" r:id="rId459" display="ссылка"/>
    <hyperlink ref="E464" r:id="rId460" display="ссылка"/>
    <hyperlink ref="E465" r:id="rId461" display="ссылка"/>
    <hyperlink ref="E466" r:id="rId462" display="ссылка"/>
    <hyperlink ref="E467" r:id="rId463" display="ссылка"/>
    <hyperlink ref="E468" r:id="rId464" display="ссылка"/>
    <hyperlink ref="E469" r:id="rId465" display="ссылка"/>
    <hyperlink ref="E470" r:id="rId466" display="ссылка"/>
    <hyperlink ref="E471" r:id="rId467" display="ссылка"/>
    <hyperlink ref="E472" r:id="rId468" display="ссылка"/>
    <hyperlink ref="E473" r:id="rId469" display="ссылка"/>
    <hyperlink ref="E474" r:id="rId470" display="ссылка"/>
    <hyperlink ref="E475" r:id="rId471" display="ссылка"/>
    <hyperlink ref="E476" r:id="rId472" display="ссылка"/>
    <hyperlink ref="E477" r:id="rId473" display="ссылка"/>
    <hyperlink ref="E478" r:id="rId474" display="ссылка"/>
    <hyperlink ref="E479" r:id="rId475" display="ссылка"/>
    <hyperlink ref="E480" r:id="rId476" display="ссылка"/>
    <hyperlink ref="E481" r:id="rId477" display="ссылка"/>
    <hyperlink ref="E482" r:id="rId478" display="ссылка"/>
    <hyperlink ref="E483" r:id="rId479" display="ссылка"/>
    <hyperlink ref="E484" r:id="rId480" display="ссылка"/>
    <hyperlink ref="E485" r:id="rId481" display="ссылка"/>
    <hyperlink ref="E486" r:id="rId482" display="ссылка"/>
    <hyperlink ref="E487" r:id="rId483" display="ссылка"/>
    <hyperlink ref="E488" r:id="rId484" display="ссылка"/>
    <hyperlink ref="E489" r:id="rId485" display="ссылка"/>
    <hyperlink ref="E490" r:id="rId486" display="ссылка"/>
    <hyperlink ref="E491" r:id="rId487" display="ссылка"/>
    <hyperlink ref="E492" r:id="rId488" display="ссылка"/>
    <hyperlink ref="E493" r:id="rId489" display="ссылка"/>
    <hyperlink ref="E494" r:id="rId490" display="ссылка"/>
    <hyperlink ref="E495" r:id="rId491" display="ссылка"/>
    <hyperlink ref="E496" r:id="rId492" display="ссылка"/>
    <hyperlink ref="E497" r:id="rId493" display="ссылка"/>
    <hyperlink ref="E498" r:id="rId494" display="ссылка"/>
    <hyperlink ref="E499" r:id="rId495" display="ссылка"/>
    <hyperlink ref="E500" r:id="rId496" display="ссылка"/>
    <hyperlink ref="E501" r:id="rId497" display="ссылка"/>
    <hyperlink ref="E502" r:id="rId498" display="ссылка"/>
    <hyperlink ref="E503" r:id="rId499" display="ссылка"/>
    <hyperlink ref="E504" r:id="rId500" display="ссылка"/>
    <hyperlink ref="E505" r:id="rId501" display="ссылка"/>
    <hyperlink ref="E506" r:id="rId502" display="ссылка"/>
    <hyperlink ref="E507" r:id="rId503" display="ссылка"/>
    <hyperlink ref="E508" r:id="rId504" display="ссылка"/>
    <hyperlink ref="E509" r:id="rId505" display="ссылка"/>
    <hyperlink ref="E510" r:id="rId506" display="ссылка"/>
    <hyperlink ref="E511" r:id="rId507" display="ссылка"/>
    <hyperlink ref="E512" r:id="rId508" display="ссылка"/>
    <hyperlink ref="E513" r:id="rId509" display="ссылка"/>
    <hyperlink ref="E514" r:id="rId510" display="ссылка"/>
    <hyperlink ref="E515" r:id="rId511" display="ссылка"/>
    <hyperlink ref="E516" r:id="rId512" display="ссылка"/>
    <hyperlink ref="E517" r:id="rId513" display="ссылка"/>
    <hyperlink ref="E518" r:id="rId514" display="ссылка"/>
    <hyperlink ref="E519" r:id="rId515" display="ссылка"/>
    <hyperlink ref="E520" r:id="rId516" display="ссылка"/>
    <hyperlink ref="E521" r:id="rId517" display="ссылка"/>
    <hyperlink ref="E522" r:id="rId518" display="ссылка"/>
    <hyperlink ref="E523" r:id="rId519" display="ссылка"/>
    <hyperlink ref="E524" r:id="rId520" display="ссылка"/>
    <hyperlink ref="E525" r:id="rId521" display="ссылка"/>
    <hyperlink ref="E526" r:id="rId522" display="ссылка"/>
    <hyperlink ref="E527" r:id="rId523" display="ссылка"/>
    <hyperlink ref="E528" r:id="rId524" display="ссылка"/>
    <hyperlink ref="E529" r:id="rId525" display="ссылка"/>
    <hyperlink ref="E530" r:id="rId526" display="ссылка"/>
    <hyperlink ref="E531" r:id="rId527" display="ссылка"/>
    <hyperlink ref="E532" r:id="rId528" display="ссылка"/>
    <hyperlink ref="E533" r:id="rId529" display="ссылка"/>
    <hyperlink ref="E534" r:id="rId530" display="ссылка"/>
    <hyperlink ref="E535" r:id="rId531" display="ссылка"/>
    <hyperlink ref="E536" r:id="rId532" display="ссылка"/>
    <hyperlink ref="E537" r:id="rId533" display="ссылка"/>
    <hyperlink ref="E538" r:id="rId534" display="ссылка"/>
    <hyperlink ref="E539" r:id="rId535" display="ссылка"/>
    <hyperlink ref="E540" r:id="rId536" display="ссылка"/>
    <hyperlink ref="E541" r:id="rId537" display="ссылка"/>
    <hyperlink ref="E542" r:id="rId538" display="ссылка"/>
    <hyperlink ref="E543" r:id="rId539" display="ссылка"/>
    <hyperlink ref="E544" r:id="rId540" display="ссылка"/>
    <hyperlink ref="E545" r:id="rId541" display="ссылка"/>
    <hyperlink ref="E546" r:id="rId542" display="ссылка"/>
    <hyperlink ref="E547" r:id="rId543" display="ссылка"/>
    <hyperlink ref="E548" r:id="rId544" display="ссылка"/>
    <hyperlink ref="E549" r:id="rId545" display="ссылка"/>
    <hyperlink ref="E550" r:id="rId546" display="ссылка"/>
    <hyperlink ref="E551" r:id="rId547" display="ссылка"/>
    <hyperlink ref="E552" r:id="rId548" display="ссылка"/>
    <hyperlink ref="E553" r:id="rId549" display="ссылка"/>
    <hyperlink ref="E554" r:id="rId550" display="ссылка"/>
    <hyperlink ref="E555" r:id="rId551" display="ссылка"/>
    <hyperlink ref="E556" r:id="rId552" display="ссылка"/>
    <hyperlink ref="E557" r:id="rId553" display="ссылка"/>
    <hyperlink ref="E558" r:id="rId554" display="ссылка"/>
    <hyperlink ref="E559" r:id="rId555" display="ссылка"/>
    <hyperlink ref="E560" r:id="rId556" display="ссылка"/>
    <hyperlink ref="E561" r:id="rId557" display="ссылка"/>
    <hyperlink ref="E562" r:id="rId558" display="ссылка"/>
    <hyperlink ref="E563" r:id="rId559" display="ссылка"/>
    <hyperlink ref="E564" r:id="rId560" display="ссылка"/>
    <hyperlink ref="E565" r:id="rId561" display="ссылка"/>
    <hyperlink ref="E566" r:id="rId562" display="ссылка"/>
    <hyperlink ref="E567" r:id="rId563" display="ссылка"/>
    <hyperlink ref="E568" r:id="rId564" display="ссылка"/>
    <hyperlink ref="E569" r:id="rId565" display="ссылка"/>
    <hyperlink ref="E570" r:id="rId566" display="ссылка"/>
    <hyperlink ref="E571" r:id="rId567" display="ссылка"/>
    <hyperlink ref="E572" r:id="rId568" display="ссылка"/>
    <hyperlink ref="E573" r:id="rId569" display="ссылка"/>
    <hyperlink ref="E574" r:id="rId570" display="ссылка"/>
    <hyperlink ref="E575" r:id="rId571" display="ссылка"/>
    <hyperlink ref="E576" r:id="rId572" display="ссылка"/>
    <hyperlink ref="E577" r:id="rId573" display="ссылка"/>
    <hyperlink ref="E578" r:id="rId574" display="ссылка"/>
    <hyperlink ref="E579" r:id="rId575" display="ссылка"/>
    <hyperlink ref="E580" r:id="rId576" display="ссылка"/>
    <hyperlink ref="E581" r:id="rId577" display="ссылка"/>
    <hyperlink ref="E582" r:id="rId578" display="ссылка"/>
    <hyperlink ref="E583" r:id="rId579" display="ссылка"/>
    <hyperlink ref="E584" r:id="rId580" display="ссылка"/>
    <hyperlink ref="E585" r:id="rId581" display="ссылка"/>
    <hyperlink ref="E586" r:id="rId582" display="ссылка"/>
    <hyperlink ref="E587" r:id="rId583" display="ссылка"/>
    <hyperlink ref="E588" r:id="rId584" display="ссылка"/>
    <hyperlink ref="E589" r:id="rId585" display="ссылка"/>
    <hyperlink ref="E590" r:id="rId586" display="ссылка"/>
    <hyperlink ref="E591" r:id="rId587" display="ссылка"/>
    <hyperlink ref="E592" r:id="rId588" display="ссылка"/>
    <hyperlink ref="E593" r:id="rId589" display="ссылка"/>
    <hyperlink ref="E594" r:id="rId590" display="ссылка"/>
    <hyperlink ref="E595" r:id="rId591" display="ссылка"/>
    <hyperlink ref="E596" r:id="rId592" display="ссылка"/>
    <hyperlink ref="E597" r:id="rId593" display="ссылка"/>
    <hyperlink ref="E598" r:id="rId594" display="ссылка"/>
    <hyperlink ref="E599" r:id="rId595" display="ссылка"/>
    <hyperlink ref="E600" r:id="rId596" display="ссылка"/>
    <hyperlink ref="E601" r:id="rId597" display="ссылка"/>
    <hyperlink ref="E602" r:id="rId598" display="ссылка"/>
    <hyperlink ref="E603" r:id="rId599" display="ссылка"/>
    <hyperlink ref="E604" r:id="rId600" display="ссылка"/>
    <hyperlink ref="E605" r:id="rId601" display="ссылка"/>
    <hyperlink ref="E606" r:id="rId602" display="ссылка"/>
    <hyperlink ref="E607" r:id="rId603" display="ссылка"/>
    <hyperlink ref="E608" r:id="rId604" display="ссылка"/>
    <hyperlink ref="E609" r:id="rId605" display="ссылка"/>
    <hyperlink ref="E610" r:id="rId606" display="ссылка"/>
    <hyperlink ref="E611" r:id="rId607" display="ссылка"/>
    <hyperlink ref="E612" r:id="rId608" display="ссылка"/>
    <hyperlink ref="E613" r:id="rId609" display="ссылка"/>
    <hyperlink ref="E614" r:id="rId610" display="ссылка"/>
    <hyperlink ref="E615" r:id="rId611" display="ссылка"/>
    <hyperlink ref="E616" r:id="rId612" display="ссылка"/>
    <hyperlink ref="E617" r:id="rId613" display="ссылка"/>
    <hyperlink ref="E618" r:id="rId614" display="ссылка"/>
    <hyperlink ref="E619" r:id="rId615" display="ссылка"/>
    <hyperlink ref="E620" r:id="rId616" display="ссылка"/>
    <hyperlink ref="E621" r:id="rId617" display="ссылка"/>
    <hyperlink ref="E622" r:id="rId618" display="ссылка"/>
    <hyperlink ref="E623" r:id="rId619" display="ссылка"/>
    <hyperlink ref="E624" r:id="rId620" display="ссылка"/>
    <hyperlink ref="E625" r:id="rId621" display="ссылка"/>
    <hyperlink ref="E626" r:id="rId622" display="ссылка"/>
    <hyperlink ref="E627" r:id="rId623" display="ссылка"/>
    <hyperlink ref="E628" r:id="rId624" display="ссылка"/>
    <hyperlink ref="E629" r:id="rId625" display="ссылка"/>
    <hyperlink ref="E630" r:id="rId626" display="ссылка"/>
    <hyperlink ref="E631" r:id="rId627" display="ссылка"/>
    <hyperlink ref="E632" r:id="rId628" display="ссылка"/>
    <hyperlink ref="E633" r:id="rId629" display="ссылка"/>
    <hyperlink ref="E634" r:id="rId630" display="ссылка"/>
    <hyperlink ref="E635" r:id="rId631" display="ссылка"/>
    <hyperlink ref="E636" r:id="rId632" display="ссылка"/>
    <hyperlink ref="E637" r:id="rId633" display="ссылка"/>
    <hyperlink ref="E638" r:id="rId634" display="ссылка"/>
    <hyperlink ref="E639" r:id="rId635" display="ссылка"/>
    <hyperlink ref="E640" r:id="rId636" display="ссылка"/>
    <hyperlink ref="E641" r:id="rId637" display="ссылка"/>
    <hyperlink ref="E642" r:id="rId638" display="ссылка"/>
    <hyperlink ref="E643" r:id="rId639" display="ссылка"/>
    <hyperlink ref="E644" r:id="rId640" display="ссылка"/>
    <hyperlink ref="E645" r:id="rId641" display="ссылка"/>
    <hyperlink ref="E646" r:id="rId642" display="ссылка"/>
    <hyperlink ref="E647" r:id="rId643" display="ссылка"/>
    <hyperlink ref="E648" r:id="rId644" display="ссылка"/>
    <hyperlink ref="E649" r:id="rId645" display="ссылка"/>
    <hyperlink ref="E650" r:id="rId646" display="ссылка"/>
    <hyperlink ref="E651" r:id="rId647" display="ссылка"/>
    <hyperlink ref="E652" r:id="rId648" display="ссылка"/>
    <hyperlink ref="E653" r:id="rId649" display="ссылка"/>
    <hyperlink ref="E654" r:id="rId650" display="ссылка"/>
    <hyperlink ref="E655" r:id="rId651" display="ссылка"/>
    <hyperlink ref="E656" r:id="rId652" display="ссылка"/>
    <hyperlink ref="E657" r:id="rId653" display="ссылка"/>
    <hyperlink ref="E658" r:id="rId654" display="ссылка"/>
    <hyperlink ref="E659" r:id="rId655" display="ссылка"/>
    <hyperlink ref="E660" r:id="rId656" display="ссылка"/>
    <hyperlink ref="E661" r:id="rId657" display="ссылка"/>
    <hyperlink ref="E662" r:id="rId658" display="ссылка"/>
    <hyperlink ref="E663" r:id="rId659" display="ссылка"/>
    <hyperlink ref="E664" r:id="rId660" display="ссылка"/>
    <hyperlink ref="E665" r:id="rId661" display="ссылк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6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9" min="13" style="0" width="13"/>
    <col collapsed="false" customWidth="true" hidden="false" outlineLevel="0" max="21" min="20" style="0" width="15"/>
  </cols>
  <sheetData>
    <row r="1" customFormat="false" ht="16.15" hidden="false" customHeight="false" outlineLevel="0" collapsed="false">
      <c r="A1" s="1" t="s">
        <v>1214</v>
      </c>
    </row>
    <row r="2" customFormat="false" ht="15" hidden="false" customHeight="false" outlineLevel="0" collapsed="false">
      <c r="A2" s="5" t="s">
        <v>1215</v>
      </c>
    </row>
    <row r="4" customFormat="false" ht="46.25" hidden="false" customHeight="false" outlineLevel="0" collapsed="false">
      <c r="A4" s="12" t="s">
        <v>47</v>
      </c>
      <c r="B4" s="12" t="s">
        <v>48</v>
      </c>
      <c r="C4" s="12" t="s">
        <v>49</v>
      </c>
      <c r="D4" s="12" t="s">
        <v>50</v>
      </c>
      <c r="E4" s="12" t="s">
        <v>51</v>
      </c>
      <c r="F4" s="12" t="s">
        <v>5</v>
      </c>
      <c r="G4" s="12" t="s">
        <v>7</v>
      </c>
      <c r="H4" s="12" t="s">
        <v>9</v>
      </c>
      <c r="I4" s="12" t="s">
        <v>52</v>
      </c>
      <c r="J4" s="12" t="s">
        <v>53</v>
      </c>
      <c r="K4" s="12" t="s">
        <v>54</v>
      </c>
      <c r="L4" s="12" t="s">
        <v>55</v>
      </c>
      <c r="M4" s="12" t="s">
        <v>56</v>
      </c>
      <c r="N4" s="12" t="s">
        <v>32</v>
      </c>
      <c r="O4" s="12" t="s">
        <v>57</v>
      </c>
      <c r="P4" s="12" t="s">
        <v>58</v>
      </c>
      <c r="Q4" s="12" t="s">
        <v>59</v>
      </c>
      <c r="R4" s="12" t="s">
        <v>60</v>
      </c>
      <c r="S4" s="12" t="s">
        <v>61</v>
      </c>
      <c r="T4" s="12" t="s">
        <v>62</v>
      </c>
      <c r="U4" s="12" t="s">
        <v>63</v>
      </c>
    </row>
    <row r="5" customFormat="false" ht="15" hidden="false" customHeight="false" outlineLevel="0" collapsed="false">
      <c r="A5" s="13" t="n">
        <v>44977.6892022107</v>
      </c>
      <c r="B5" s="8" t="n">
        <v>16</v>
      </c>
      <c r="C5" s="8" t="s">
        <v>80</v>
      </c>
      <c r="D5" s="8" t="s">
        <v>1216</v>
      </c>
      <c r="E5" s="14" t="s">
        <v>66</v>
      </c>
      <c r="F5" s="9" t="n">
        <v>1059</v>
      </c>
      <c r="G5" s="9" t="n">
        <v>157</v>
      </c>
      <c r="H5" s="9" t="n">
        <v>153</v>
      </c>
      <c r="I5" s="9" t="n">
        <v>8</v>
      </c>
      <c r="J5" s="9" t="n">
        <v>6</v>
      </c>
      <c r="K5" s="9" t="n">
        <v>0</v>
      </c>
      <c r="L5" s="9" t="n">
        <v>0</v>
      </c>
      <c r="M5" s="10" t="n">
        <f aca="false">IFERROR(G5/F5,"")</f>
        <v>0.148253068932956</v>
      </c>
      <c r="N5" s="10" t="n">
        <f aca="false">IFERROR(H5/G5,"")</f>
        <v>0.974522292993631</v>
      </c>
      <c r="O5" s="11" t="n">
        <f aca="false">IFERROR(I5/H5,"")</f>
        <v>0.0522875816993464</v>
      </c>
      <c r="P5" s="10" t="n">
        <f aca="false">IFERROR(J5/H5,"")</f>
        <v>0.0392156862745098</v>
      </c>
      <c r="Q5" s="10" t="n">
        <f aca="false">IFERROR(K5/H5,"")</f>
        <v>0</v>
      </c>
      <c r="R5" s="10" t="n">
        <f aca="false">IFERROR(L5/H5,"")</f>
        <v>0</v>
      </c>
      <c r="S5" s="11" t="str">
        <f aca="false">IFERROR(M5/MEDIAN(INDEX($M$5:$M$373,MATCH($A5-90,$A$5:$A$373,1)):INDEX($M$5:$M$373,MATCH($A5+90,$A$5:$A$373,1))),"")</f>
        <v/>
      </c>
      <c r="T5" s="11" t="str">
        <f aca="false">IFERROR(N5/MEDIAN(INDEX($N$5:$N$373,MATCH($A5-90,$A$5:$A$373,1)):INDEX($N$5:$N$373,MATCH($A5+90,$A$5:$A$373,1))),"")</f>
        <v/>
      </c>
      <c r="U5" s="11" t="str">
        <f aca="false">IFERROR(Q5/MEDIAN(INDEX($Q$5:$Q$373,MATCH($A5-90,$A$5:$A$373,1)):INDEX($Q$5:$Q$373,MATCH($A5+90,$A$5:$A$373,1))),"")</f>
        <v/>
      </c>
    </row>
    <row r="6" customFormat="false" ht="15" hidden="false" customHeight="false" outlineLevel="0" collapsed="false">
      <c r="A6" s="13" t="n">
        <v>44979.6017247454</v>
      </c>
      <c r="B6" s="8" t="n">
        <v>14</v>
      </c>
      <c r="C6" s="8" t="s">
        <v>71</v>
      </c>
      <c r="D6" s="8" t="s">
        <v>1217</v>
      </c>
      <c r="E6" s="14" t="s">
        <v>66</v>
      </c>
      <c r="F6" s="9" t="n">
        <v>1234</v>
      </c>
      <c r="G6" s="9" t="n">
        <v>367</v>
      </c>
      <c r="H6" s="9" t="n">
        <v>366</v>
      </c>
      <c r="I6" s="9" t="n">
        <v>24</v>
      </c>
      <c r="J6" s="9" t="n">
        <v>17</v>
      </c>
      <c r="K6" s="9" t="n">
        <v>0</v>
      </c>
      <c r="L6" s="9" t="n">
        <v>1</v>
      </c>
      <c r="M6" s="10" t="n">
        <f aca="false">IFERROR(G6/F6,"")</f>
        <v>0.29740680713128</v>
      </c>
      <c r="N6" s="10" t="n">
        <f aca="false">IFERROR(H6/G6,"")</f>
        <v>0.997275204359673</v>
      </c>
      <c r="O6" s="11" t="n">
        <f aca="false">IFERROR(I6/H6,"")</f>
        <v>0.0655737704918033</v>
      </c>
      <c r="P6" s="10" t="n">
        <f aca="false">IFERROR(J6/H6,"")</f>
        <v>0.046448087431694</v>
      </c>
      <c r="Q6" s="10" t="n">
        <f aca="false">IFERROR(K6/H6,"")</f>
        <v>0</v>
      </c>
      <c r="R6" s="10" t="n">
        <f aca="false">IFERROR(L6/H6,"")</f>
        <v>0.00273224043715847</v>
      </c>
      <c r="S6" s="11" t="str">
        <f aca="false">IFERROR(M6/MEDIAN(INDEX($M$5:$M$373,MATCH($A6-90,$A$5:$A$373,1)):INDEX($M$5:$M$373,MATCH($A6+90,$A$5:$A$373,1))),"")</f>
        <v/>
      </c>
      <c r="T6" s="11" t="str">
        <f aca="false">IFERROR(N6/MEDIAN(INDEX($N$5:$N$373,MATCH($A6-90,$A$5:$A$373,1)):INDEX($N$5:$N$373,MATCH($A6+90,$A$5:$A$373,1))),"")</f>
        <v/>
      </c>
      <c r="U6" s="11" t="str">
        <f aca="false">IFERROR(Q6/MEDIAN(INDEX($Q$5:$Q$373,MATCH($A6-90,$A$5:$A$373,1)):INDEX($Q$5:$Q$373,MATCH($A6+90,$A$5:$A$373,1))),"")</f>
        <v/>
      </c>
    </row>
    <row r="7" customFormat="false" ht="15" hidden="false" customHeight="false" outlineLevel="0" collapsed="false">
      <c r="A7" s="13" t="n">
        <v>44993.8512526157</v>
      </c>
      <c r="B7" s="8" t="n">
        <v>20</v>
      </c>
      <c r="C7" s="8" t="s">
        <v>71</v>
      </c>
      <c r="D7" s="8" t="s">
        <v>1218</v>
      </c>
      <c r="E7" s="14" t="s">
        <v>66</v>
      </c>
      <c r="F7" s="9" t="n">
        <v>2405</v>
      </c>
      <c r="G7" s="9" t="n">
        <v>397</v>
      </c>
      <c r="H7" s="9" t="n">
        <v>396</v>
      </c>
      <c r="I7" s="9" t="n">
        <v>1</v>
      </c>
      <c r="J7" s="9" t="n">
        <v>19</v>
      </c>
      <c r="K7" s="9" t="n">
        <v>2</v>
      </c>
      <c r="L7" s="9" t="n">
        <v>2</v>
      </c>
      <c r="M7" s="10" t="n">
        <f aca="false">IFERROR(G7/F7,"")</f>
        <v>0.165072765072765</v>
      </c>
      <c r="N7" s="10" t="n">
        <f aca="false">IFERROR(H7/G7,"")</f>
        <v>0.997481108312343</v>
      </c>
      <c r="O7" s="11" t="n">
        <f aca="false">IFERROR(I7/H7,"")</f>
        <v>0.00252525252525253</v>
      </c>
      <c r="P7" s="10" t="n">
        <f aca="false">IFERROR(J7/H7,"")</f>
        <v>0.047979797979798</v>
      </c>
      <c r="Q7" s="10" t="n">
        <f aca="false">IFERROR(K7/H7,"")</f>
        <v>0.00505050505050505</v>
      </c>
      <c r="R7" s="10" t="n">
        <f aca="false">IFERROR(L7/H7,"")</f>
        <v>0.00505050505050505</v>
      </c>
      <c r="S7" s="11" t="str">
        <f aca="false">IFERROR(M7/MEDIAN(INDEX($M$5:$M$373,MATCH($A7-90,$A$5:$A$373,1)):INDEX($M$5:$M$373,MATCH($A7+90,$A$5:$A$373,1))),"")</f>
        <v/>
      </c>
      <c r="T7" s="11" t="str">
        <f aca="false">IFERROR(N7/MEDIAN(INDEX($N$5:$N$373,MATCH($A7-90,$A$5:$A$373,1)):INDEX($N$5:$N$373,MATCH($A7+90,$A$5:$A$373,1))),"")</f>
        <v/>
      </c>
      <c r="U7" s="11" t="str">
        <f aca="false">IFERROR(Q7/MEDIAN(INDEX($Q$5:$Q$373,MATCH($A7-90,$A$5:$A$373,1)):INDEX($Q$5:$Q$373,MATCH($A7+90,$A$5:$A$373,1))),"")</f>
        <v/>
      </c>
    </row>
    <row r="8" customFormat="false" ht="15" hidden="false" customHeight="false" outlineLevel="0" collapsed="false">
      <c r="A8" s="13" t="n">
        <v>45006.4473284607</v>
      </c>
      <c r="B8" s="8" t="n">
        <v>10</v>
      </c>
      <c r="C8" s="8" t="s">
        <v>64</v>
      </c>
      <c r="D8" s="8" t="s">
        <v>1219</v>
      </c>
      <c r="E8" s="14" t="s">
        <v>66</v>
      </c>
      <c r="F8" s="9" t="n">
        <v>5493</v>
      </c>
      <c r="G8" s="9" t="n">
        <v>663</v>
      </c>
      <c r="H8" s="9" t="n">
        <v>659</v>
      </c>
      <c r="I8" s="9" t="n">
        <v>29</v>
      </c>
      <c r="J8" s="9" t="n">
        <v>42</v>
      </c>
      <c r="K8" s="9" t="n">
        <v>4</v>
      </c>
      <c r="L8" s="9" t="n">
        <v>2</v>
      </c>
      <c r="M8" s="10" t="n">
        <f aca="false">IFERROR(G8/F8,"")</f>
        <v>0.120699071545604</v>
      </c>
      <c r="N8" s="10" t="n">
        <f aca="false">IFERROR(H8/G8,"")</f>
        <v>0.993966817496229</v>
      </c>
      <c r="O8" s="11" t="n">
        <f aca="false">IFERROR(I8/H8,"")</f>
        <v>0.0440060698027314</v>
      </c>
      <c r="P8" s="10" t="n">
        <f aca="false">IFERROR(J8/H8,"")</f>
        <v>0.0637329286798179</v>
      </c>
      <c r="Q8" s="10" t="n">
        <f aca="false">IFERROR(K8/H8,"")</f>
        <v>0.00606980273141123</v>
      </c>
      <c r="R8" s="10" t="n">
        <f aca="false">IFERROR(L8/H8,"")</f>
        <v>0.00303490136570561</v>
      </c>
      <c r="S8" s="11" t="str">
        <f aca="false">IFERROR(M8/MEDIAN(INDEX($M$5:$M$373,MATCH($A8-90,$A$5:$A$373,1)):INDEX($M$5:$M$373,MATCH($A8+90,$A$5:$A$373,1))),"")</f>
        <v/>
      </c>
      <c r="T8" s="11" t="str">
        <f aca="false">IFERROR(N8/MEDIAN(INDEX($N$5:$N$373,MATCH($A8-90,$A$5:$A$373,1)):INDEX($N$5:$N$373,MATCH($A8+90,$A$5:$A$373,1))),"")</f>
        <v/>
      </c>
      <c r="U8" s="11" t="str">
        <f aca="false">IFERROR(Q8/MEDIAN(INDEX($Q$5:$Q$373,MATCH($A8-90,$A$5:$A$373,1)):INDEX($Q$5:$Q$373,MATCH($A8+90,$A$5:$A$373,1))),"")</f>
        <v/>
      </c>
    </row>
    <row r="9" customFormat="false" ht="15" hidden="false" customHeight="false" outlineLevel="0" collapsed="false">
      <c r="A9" s="13" t="n">
        <v>45010.0189720255</v>
      </c>
      <c r="B9" s="8" t="n">
        <v>0</v>
      </c>
      <c r="C9" s="8" t="s">
        <v>68</v>
      </c>
      <c r="D9" s="8" t="s">
        <v>1220</v>
      </c>
      <c r="E9" s="14" t="s">
        <v>66</v>
      </c>
      <c r="F9" s="9" t="n">
        <v>13661</v>
      </c>
      <c r="G9" s="9" t="n">
        <v>1899</v>
      </c>
      <c r="H9" s="9" t="n">
        <v>1896</v>
      </c>
      <c r="I9" s="9" t="n">
        <v>16</v>
      </c>
      <c r="J9" s="9" t="n">
        <v>65</v>
      </c>
      <c r="K9" s="9" t="n">
        <v>11</v>
      </c>
      <c r="L9" s="9" t="n">
        <v>0</v>
      </c>
      <c r="M9" s="10" t="n">
        <f aca="false">IFERROR(G9/F9,"")</f>
        <v>0.139008857331089</v>
      </c>
      <c r="N9" s="10" t="n">
        <f aca="false">IFERROR(H9/G9,"")</f>
        <v>0.998420221169036</v>
      </c>
      <c r="O9" s="11" t="n">
        <f aca="false">IFERROR(I9/H9,"")</f>
        <v>0.00843881856540084</v>
      </c>
      <c r="P9" s="10" t="n">
        <f aca="false">IFERROR(J9/H9,"")</f>
        <v>0.0342827004219409</v>
      </c>
      <c r="Q9" s="10" t="n">
        <f aca="false">IFERROR(K9/H9,"")</f>
        <v>0.00580168776371308</v>
      </c>
      <c r="R9" s="10" t="n">
        <f aca="false">IFERROR(L9/H9,"")</f>
        <v>0</v>
      </c>
      <c r="S9" s="11" t="str">
        <f aca="false">IFERROR(M9/MEDIAN(INDEX($M$5:$M$373,MATCH($A9-90,$A$5:$A$373,1)):INDEX($M$5:$M$373,MATCH($A9+90,$A$5:$A$373,1))),"")</f>
        <v/>
      </c>
      <c r="T9" s="11" t="str">
        <f aca="false">IFERROR(N9/MEDIAN(INDEX($N$5:$N$373,MATCH($A9-90,$A$5:$A$373,1)):INDEX($N$5:$N$373,MATCH($A9+90,$A$5:$A$373,1))),"")</f>
        <v/>
      </c>
      <c r="U9" s="11" t="str">
        <f aca="false">IFERROR(Q9/MEDIAN(INDEX($Q$5:$Q$373,MATCH($A9-90,$A$5:$A$373,1)):INDEX($Q$5:$Q$373,MATCH($A9+90,$A$5:$A$373,1))),"")</f>
        <v/>
      </c>
    </row>
    <row r="10" customFormat="false" ht="15" hidden="false" customHeight="false" outlineLevel="0" collapsed="false">
      <c r="A10" s="13" t="n">
        <v>45036.2616253472</v>
      </c>
      <c r="B10" s="8" t="n">
        <v>6</v>
      </c>
      <c r="C10" s="8" t="s">
        <v>73</v>
      </c>
      <c r="D10" s="8" t="s">
        <v>1221</v>
      </c>
      <c r="E10" s="14" t="s">
        <v>66</v>
      </c>
      <c r="F10" s="9" t="n">
        <v>7280</v>
      </c>
      <c r="G10" s="9" t="n">
        <v>1211</v>
      </c>
      <c r="H10" s="9" t="n">
        <v>1210</v>
      </c>
      <c r="I10" s="9" t="n">
        <v>5</v>
      </c>
      <c r="J10" s="9" t="n">
        <v>32</v>
      </c>
      <c r="K10" s="9" t="n">
        <v>3</v>
      </c>
      <c r="L10" s="9" t="n">
        <v>7</v>
      </c>
      <c r="M10" s="10" t="n">
        <f aca="false">IFERROR(G10/F10,"")</f>
        <v>0.166346153846154</v>
      </c>
      <c r="N10" s="10" t="n">
        <f aca="false">IFERROR(H10/G10,"")</f>
        <v>0.999174236168456</v>
      </c>
      <c r="O10" s="11" t="n">
        <f aca="false">IFERROR(I10/H10,"")</f>
        <v>0.00413223140495868</v>
      </c>
      <c r="P10" s="10" t="n">
        <f aca="false">IFERROR(J10/H10,"")</f>
        <v>0.0264462809917355</v>
      </c>
      <c r="Q10" s="10" t="n">
        <f aca="false">IFERROR(K10/H10,"")</f>
        <v>0.00247933884297521</v>
      </c>
      <c r="R10" s="10" t="n">
        <f aca="false">IFERROR(L10/H10,"")</f>
        <v>0.00578512396694215</v>
      </c>
      <c r="S10" s="11" t="str">
        <f aca="false">IFERROR(M10/MEDIAN(INDEX($M$5:$M$373,MATCH($A10-90,$A$5:$A$373,1)):INDEX($M$5:$M$373,MATCH($A10+90,$A$5:$A$373,1))),"")</f>
        <v/>
      </c>
      <c r="T10" s="11" t="str">
        <f aca="false">IFERROR(N10/MEDIAN(INDEX($N$5:$N$373,MATCH($A10-90,$A$5:$A$373,1)):INDEX($N$5:$N$373,MATCH($A10+90,$A$5:$A$373,1))),"")</f>
        <v/>
      </c>
      <c r="U10" s="11" t="str">
        <f aca="false">IFERROR(Q10/MEDIAN(INDEX($Q$5:$Q$373,MATCH($A10-90,$A$5:$A$373,1)):INDEX($Q$5:$Q$373,MATCH($A10+90,$A$5:$A$373,1))),"")</f>
        <v/>
      </c>
    </row>
    <row r="11" customFormat="false" ht="15" hidden="false" customHeight="false" outlineLevel="0" collapsed="false">
      <c r="A11" s="13" t="n">
        <v>45037.4302567477</v>
      </c>
      <c r="B11" s="8" t="n">
        <v>10</v>
      </c>
      <c r="C11" s="8" t="s">
        <v>84</v>
      </c>
      <c r="D11" s="8" t="s">
        <v>1222</v>
      </c>
      <c r="E11" s="14" t="s">
        <v>66</v>
      </c>
      <c r="F11" s="9" t="n">
        <v>3457</v>
      </c>
      <c r="G11" s="9" t="n">
        <v>313</v>
      </c>
      <c r="H11" s="9" t="n">
        <v>312</v>
      </c>
      <c r="I11" s="9" t="n">
        <v>2</v>
      </c>
      <c r="J11" s="9" t="n">
        <v>16</v>
      </c>
      <c r="K11" s="9" t="n">
        <v>2</v>
      </c>
      <c r="L11" s="9" t="n">
        <v>0</v>
      </c>
      <c r="M11" s="10" t="n">
        <f aca="false">IFERROR(G11/F11,"")</f>
        <v>0.0905409314434481</v>
      </c>
      <c r="N11" s="10" t="n">
        <f aca="false">IFERROR(H11/G11,"")</f>
        <v>0.996805111821086</v>
      </c>
      <c r="O11" s="11" t="n">
        <f aca="false">IFERROR(I11/H11,"")</f>
        <v>0.00641025641025641</v>
      </c>
      <c r="P11" s="10" t="n">
        <f aca="false">IFERROR(J11/H11,"")</f>
        <v>0.0512820512820513</v>
      </c>
      <c r="Q11" s="10" t="n">
        <f aca="false">IFERROR(K11/H11,"")</f>
        <v>0.00641025641025641</v>
      </c>
      <c r="R11" s="10" t="n">
        <f aca="false">IFERROR(L11/H11,"")</f>
        <v>0</v>
      </c>
      <c r="S11" s="11" t="str">
        <f aca="false">IFERROR(M11/MEDIAN(INDEX($M$5:$M$373,MATCH($A11-90,$A$5:$A$373,1)):INDEX($M$5:$M$373,MATCH($A11+90,$A$5:$A$373,1))),"")</f>
        <v/>
      </c>
      <c r="T11" s="11" t="str">
        <f aca="false">IFERROR(N11/MEDIAN(INDEX($N$5:$N$373,MATCH($A11-90,$A$5:$A$373,1)):INDEX($N$5:$N$373,MATCH($A11+90,$A$5:$A$373,1))),"")</f>
        <v/>
      </c>
      <c r="U11" s="11" t="str">
        <f aca="false">IFERROR(Q11/MEDIAN(INDEX($Q$5:$Q$373,MATCH($A11-90,$A$5:$A$373,1)):INDEX($Q$5:$Q$373,MATCH($A11+90,$A$5:$A$373,1))),"")</f>
        <v/>
      </c>
    </row>
    <row r="12" customFormat="false" ht="15" hidden="false" customHeight="false" outlineLevel="0" collapsed="false">
      <c r="A12" s="13" t="n">
        <v>45040.4051862037</v>
      </c>
      <c r="B12" s="8" t="n">
        <v>9</v>
      </c>
      <c r="C12" s="8" t="s">
        <v>80</v>
      </c>
      <c r="D12" s="8" t="s">
        <v>1223</v>
      </c>
      <c r="E12" s="14" t="s">
        <v>66</v>
      </c>
      <c r="F12" s="9" t="n">
        <v>4454</v>
      </c>
      <c r="G12" s="9" t="n">
        <v>831</v>
      </c>
      <c r="H12" s="9" t="n">
        <v>830</v>
      </c>
      <c r="I12" s="9" t="n">
        <v>1</v>
      </c>
      <c r="J12" s="9" t="n">
        <v>33</v>
      </c>
      <c r="K12" s="9" t="n">
        <v>3</v>
      </c>
      <c r="L12" s="9" t="n">
        <v>0</v>
      </c>
      <c r="M12" s="10" t="n">
        <f aca="false">IFERROR(G12/F12,"")</f>
        <v>0.186573866187696</v>
      </c>
      <c r="N12" s="10" t="n">
        <f aca="false">IFERROR(H12/G12,"")</f>
        <v>0.998796630565584</v>
      </c>
      <c r="O12" s="11" t="n">
        <f aca="false">IFERROR(I12/H12,"")</f>
        <v>0.00120481927710843</v>
      </c>
      <c r="P12" s="10" t="n">
        <f aca="false">IFERROR(J12/H12,"")</f>
        <v>0.0397590361445783</v>
      </c>
      <c r="Q12" s="10" t="n">
        <f aca="false">IFERROR(K12/H12,"")</f>
        <v>0.0036144578313253</v>
      </c>
      <c r="R12" s="10" t="n">
        <f aca="false">IFERROR(L12/H12,"")</f>
        <v>0</v>
      </c>
      <c r="S12" s="11" t="str">
        <f aca="false">IFERROR(M12/MEDIAN(INDEX($M$5:$M$373,MATCH($A12-90,$A$5:$A$373,1)):INDEX($M$5:$M$373,MATCH($A12+90,$A$5:$A$373,1))),"")</f>
        <v/>
      </c>
      <c r="T12" s="11" t="str">
        <f aca="false">IFERROR(N12/MEDIAN(INDEX($N$5:$N$373,MATCH($A12-90,$A$5:$A$373,1)):INDEX($N$5:$N$373,MATCH($A12+90,$A$5:$A$373,1))),"")</f>
        <v/>
      </c>
      <c r="U12" s="11" t="str">
        <f aca="false">IFERROR(Q12/MEDIAN(INDEX($Q$5:$Q$373,MATCH($A12-90,$A$5:$A$373,1)):INDEX($Q$5:$Q$373,MATCH($A12+90,$A$5:$A$373,1))),"")</f>
        <v/>
      </c>
    </row>
    <row r="13" customFormat="false" ht="15" hidden="false" customHeight="false" outlineLevel="0" collapsed="false">
      <c r="A13" s="13" t="n">
        <v>45051.3791114005</v>
      </c>
      <c r="B13" s="8" t="n">
        <v>9</v>
      </c>
      <c r="C13" s="8" t="s">
        <v>84</v>
      </c>
      <c r="D13" s="8" t="s">
        <v>1224</v>
      </c>
      <c r="E13" s="14" t="s">
        <v>66</v>
      </c>
      <c r="F13" s="9" t="n">
        <v>4981</v>
      </c>
      <c r="G13" s="9" t="n">
        <v>1220</v>
      </c>
      <c r="H13" s="9" t="n">
        <v>1216</v>
      </c>
      <c r="I13" s="9" t="n">
        <v>7</v>
      </c>
      <c r="J13" s="9" t="n">
        <v>87</v>
      </c>
      <c r="K13" s="9" t="n">
        <v>8</v>
      </c>
      <c r="L13" s="9" t="n">
        <v>2</v>
      </c>
      <c r="M13" s="10" t="n">
        <f aca="false">IFERROR(G13/F13,"")</f>
        <v>0.244930736799839</v>
      </c>
      <c r="N13" s="10" t="n">
        <f aca="false">IFERROR(H13/G13,"")</f>
        <v>0.99672131147541</v>
      </c>
      <c r="O13" s="11" t="n">
        <f aca="false">IFERROR(I13/H13,"")</f>
        <v>0.00575657894736842</v>
      </c>
      <c r="P13" s="10" t="n">
        <f aca="false">IFERROR(J13/H13,"")</f>
        <v>0.0715460526315789</v>
      </c>
      <c r="Q13" s="10" t="n">
        <f aca="false">IFERROR(K13/H13,"")</f>
        <v>0.00657894736842105</v>
      </c>
      <c r="R13" s="10" t="n">
        <f aca="false">IFERROR(L13/H13,"")</f>
        <v>0.00164473684210526</v>
      </c>
      <c r="S13" s="11" t="str">
        <f aca="false">IFERROR(M13/MEDIAN(INDEX($M$5:$M$373,MATCH($A13-90,$A$5:$A$373,1)):INDEX($M$5:$M$373,MATCH($A13+90,$A$5:$A$373,1))),"")</f>
        <v/>
      </c>
      <c r="T13" s="11" t="str">
        <f aca="false">IFERROR(N13/MEDIAN(INDEX($N$5:$N$373,MATCH($A13-90,$A$5:$A$373,1)):INDEX($N$5:$N$373,MATCH($A13+90,$A$5:$A$373,1))),"")</f>
        <v/>
      </c>
      <c r="U13" s="11" t="str">
        <f aca="false">IFERROR(Q13/MEDIAN(INDEX($Q$5:$Q$373,MATCH($A13-90,$A$5:$A$373,1)):INDEX($Q$5:$Q$373,MATCH($A13+90,$A$5:$A$373,1))),"")</f>
        <v/>
      </c>
    </row>
    <row r="14" customFormat="false" ht="15" hidden="false" customHeight="false" outlineLevel="0" collapsed="false">
      <c r="A14" s="13" t="n">
        <v>45076.4170614352</v>
      </c>
      <c r="B14" s="8" t="n">
        <v>10</v>
      </c>
      <c r="C14" s="8" t="s">
        <v>64</v>
      </c>
      <c r="D14" s="8" t="s">
        <v>1225</v>
      </c>
      <c r="E14" s="14" t="s">
        <v>66</v>
      </c>
      <c r="F14" s="9" t="n">
        <v>1357</v>
      </c>
      <c r="G14" s="9" t="n">
        <v>534</v>
      </c>
      <c r="H14" s="9" t="n">
        <v>529</v>
      </c>
      <c r="I14" s="9" t="n">
        <v>29</v>
      </c>
      <c r="J14" s="9" t="n">
        <v>59</v>
      </c>
      <c r="K14" s="9" t="n">
        <v>49</v>
      </c>
      <c r="L14" s="9" t="n">
        <v>4</v>
      </c>
      <c r="M14" s="10" t="n">
        <f aca="false">IFERROR(G14/F14,"")</f>
        <v>0.393515106853353</v>
      </c>
      <c r="N14" s="10" t="n">
        <f aca="false">IFERROR(H14/G14,"")</f>
        <v>0.99063670411985</v>
      </c>
      <c r="O14" s="11" t="n">
        <f aca="false">IFERROR(I14/H14,"")</f>
        <v>0.054820415879017</v>
      </c>
      <c r="P14" s="10" t="n">
        <f aca="false">IFERROR(J14/H14,"")</f>
        <v>0.111531190926276</v>
      </c>
      <c r="Q14" s="10" t="n">
        <f aca="false">IFERROR(K14/H14,"")</f>
        <v>0.0926275992438563</v>
      </c>
      <c r="R14" s="10" t="n">
        <f aca="false">IFERROR(L14/H14,"")</f>
        <v>0.00756143667296786</v>
      </c>
      <c r="S14" s="11" t="n">
        <f aca="false">IFERROR(M14/MEDIAN(INDEX($M$5:$M$373,MATCH($A14-90,$A$5:$A$373,1)):INDEX($M$5:$M$373,MATCH($A14+90,$A$5:$A$373,1))),"")</f>
        <v>1.91382398657343</v>
      </c>
      <c r="T14" s="11" t="n">
        <f aca="false">IFERROR(N14/MEDIAN(INDEX($N$5:$N$373,MATCH($A14-90,$A$5:$A$373,1)):INDEX($N$5:$N$373,MATCH($A14+90,$A$5:$A$373,1))),"")</f>
        <v>0.993266620713293</v>
      </c>
      <c r="U14" s="11" t="n">
        <f aca="false">IFERROR(Q14/MEDIAN(INDEX($Q$5:$Q$373,MATCH($A14-90,$A$5:$A$373,1)):INDEX($Q$5:$Q$373,MATCH($A14+90,$A$5:$A$373,1))),"")</f>
        <v>17.4446459340549</v>
      </c>
    </row>
    <row r="15" customFormat="false" ht="15" hidden="false" customHeight="false" outlineLevel="0" collapsed="false">
      <c r="A15" s="13" t="n">
        <v>45077.3749787616</v>
      </c>
      <c r="B15" s="8" t="n">
        <v>8</v>
      </c>
      <c r="C15" s="8" t="s">
        <v>71</v>
      </c>
      <c r="D15" s="8" t="s">
        <v>1226</v>
      </c>
      <c r="E15" s="14" t="s">
        <v>66</v>
      </c>
      <c r="F15" s="9" t="n">
        <v>1022</v>
      </c>
      <c r="G15" s="9" t="n">
        <v>206</v>
      </c>
      <c r="H15" s="9" t="n">
        <v>206</v>
      </c>
      <c r="I15" s="9" t="n">
        <v>2</v>
      </c>
      <c r="J15" s="9" t="n">
        <v>20</v>
      </c>
      <c r="K15" s="9" t="n">
        <v>2</v>
      </c>
      <c r="L15" s="9" t="n">
        <v>1</v>
      </c>
      <c r="M15" s="10" t="n">
        <f aca="false">IFERROR(G15/F15,"")</f>
        <v>0.201565557729941</v>
      </c>
      <c r="N15" s="10" t="n">
        <f aca="false">IFERROR(H15/G15,"")</f>
        <v>1</v>
      </c>
      <c r="O15" s="11" t="n">
        <f aca="false">IFERROR(I15/H15,"")</f>
        <v>0.00970873786407767</v>
      </c>
      <c r="P15" s="10" t="n">
        <f aca="false">IFERROR(J15/H15,"")</f>
        <v>0.0970873786407767</v>
      </c>
      <c r="Q15" s="10" t="n">
        <f aca="false">IFERROR(K15/H15,"")</f>
        <v>0.00970873786407767</v>
      </c>
      <c r="R15" s="10" t="n">
        <f aca="false">IFERROR(L15/H15,"")</f>
        <v>0.00485436893203883</v>
      </c>
      <c r="S15" s="11" t="n">
        <f aca="false">IFERROR(M15/MEDIAN(INDEX($M$5:$M$373,MATCH($A15-90,$A$5:$A$373,1)):INDEX($M$5:$M$373,MATCH($A15+90,$A$5:$A$373,1))),"")</f>
        <v>0.968405953379395</v>
      </c>
      <c r="T15" s="11" t="n">
        <f aca="false">IFERROR(N15/MEDIAN(INDEX($N$5:$N$373,MATCH($A15-90,$A$5:$A$373,1)):INDEX($N$5:$N$373,MATCH($A15+90,$A$5:$A$373,1))),"")</f>
        <v>1.00257731958763</v>
      </c>
      <c r="U15" s="11" t="n">
        <f aca="false">IFERROR(Q15/MEDIAN(INDEX($Q$5:$Q$373,MATCH($A15-90,$A$5:$A$373,1)):INDEX($Q$5:$Q$373,MATCH($A15+90,$A$5:$A$373,1))),"")</f>
        <v>1.82200647249191</v>
      </c>
    </row>
    <row r="16" customFormat="false" ht="15" hidden="false" customHeight="false" outlineLevel="0" collapsed="false">
      <c r="A16" s="13" t="n">
        <v>45078.3754316898</v>
      </c>
      <c r="B16" s="8" t="n">
        <v>9</v>
      </c>
      <c r="C16" s="8" t="s">
        <v>73</v>
      </c>
      <c r="D16" s="8" t="s">
        <v>1227</v>
      </c>
      <c r="E16" s="14" t="s">
        <v>66</v>
      </c>
      <c r="F16" s="9" t="n">
        <v>932</v>
      </c>
      <c r="G16" s="9" t="n">
        <v>217</v>
      </c>
      <c r="H16" s="9" t="n">
        <v>215</v>
      </c>
      <c r="I16" s="9" t="n">
        <v>7</v>
      </c>
      <c r="J16" s="9" t="n">
        <v>18</v>
      </c>
      <c r="K16" s="9" t="n">
        <v>0</v>
      </c>
      <c r="L16" s="9" t="n">
        <v>1</v>
      </c>
      <c r="M16" s="10" t="n">
        <f aca="false">IFERROR(G16/F16,"")</f>
        <v>0.232832618025751</v>
      </c>
      <c r="N16" s="10" t="n">
        <f aca="false">IFERROR(H16/G16,"")</f>
        <v>0.990783410138249</v>
      </c>
      <c r="O16" s="11" t="n">
        <f aca="false">IFERROR(I16/H16,"")</f>
        <v>0.0325581395348837</v>
      </c>
      <c r="P16" s="10" t="n">
        <f aca="false">IFERROR(J16/H16,"")</f>
        <v>0.0837209302325581</v>
      </c>
      <c r="Q16" s="10" t="n">
        <f aca="false">IFERROR(K16/H16,"")</f>
        <v>0</v>
      </c>
      <c r="R16" s="10" t="n">
        <f aca="false">IFERROR(L16/H16,"")</f>
        <v>0.00465116279069767</v>
      </c>
      <c r="S16" s="11" t="n">
        <f aca="false">IFERROR(M16/MEDIAN(INDEX($M$5:$M$373,MATCH($A16-90,$A$5:$A$373,1)):INDEX($M$5:$M$373,MATCH($A16+90,$A$5:$A$373,1))),"")</f>
        <v>1.11571887902966</v>
      </c>
      <c r="T16" s="11" t="n">
        <f aca="false">IFERROR(N16/MEDIAN(INDEX($N$5:$N$373,MATCH($A16-90,$A$5:$A$373,1)):INDEX($N$5:$N$373,MATCH($A16+90,$A$5:$A$373,1))),"")</f>
        <v>0.993413716203019</v>
      </c>
      <c r="U16" s="11" t="n">
        <f aca="false">IFERROR(Q16/MEDIAN(INDEX($Q$5:$Q$373,MATCH($A16-90,$A$5:$A$373,1)):INDEX($Q$5:$Q$373,MATCH($A16+90,$A$5:$A$373,1))),"")</f>
        <v>0</v>
      </c>
    </row>
    <row r="17" customFormat="false" ht="15" hidden="false" customHeight="false" outlineLevel="0" collapsed="false">
      <c r="A17" s="13" t="n">
        <v>45079.3754392014</v>
      </c>
      <c r="B17" s="8" t="n">
        <v>9</v>
      </c>
      <c r="C17" s="8" t="s">
        <v>84</v>
      </c>
      <c r="D17" s="8" t="s">
        <v>1228</v>
      </c>
      <c r="E17" s="14" t="s">
        <v>66</v>
      </c>
      <c r="F17" s="9" t="n">
        <v>890</v>
      </c>
      <c r="G17" s="9" t="n">
        <v>218</v>
      </c>
      <c r="H17" s="9" t="n">
        <v>217</v>
      </c>
      <c r="I17" s="9" t="n">
        <v>9</v>
      </c>
      <c r="J17" s="9" t="n">
        <v>17</v>
      </c>
      <c r="K17" s="9" t="n">
        <v>2</v>
      </c>
      <c r="L17" s="9" t="n">
        <v>0</v>
      </c>
      <c r="M17" s="10" t="n">
        <f aca="false">IFERROR(G17/F17,"")</f>
        <v>0.244943820224719</v>
      </c>
      <c r="N17" s="10" t="n">
        <f aca="false">IFERROR(H17/G17,"")</f>
        <v>0.995412844036697</v>
      </c>
      <c r="O17" s="11" t="n">
        <f aca="false">IFERROR(I17/H17,"")</f>
        <v>0.0414746543778802</v>
      </c>
      <c r="P17" s="10" t="n">
        <f aca="false">IFERROR(J17/H17,"")</f>
        <v>0.0783410138248848</v>
      </c>
      <c r="Q17" s="10" t="n">
        <f aca="false">IFERROR(K17/H17,"")</f>
        <v>0.00921658986175115</v>
      </c>
      <c r="R17" s="10" t="n">
        <f aca="false">IFERROR(L17/H17,"")</f>
        <v>0</v>
      </c>
      <c r="S17" s="11" t="n">
        <f aca="false">IFERROR(M17/MEDIAN(INDEX($M$5:$M$373,MATCH($A17-90,$A$5:$A$373,1)):INDEX($M$5:$M$373,MATCH($A17+90,$A$5:$A$373,1))),"")</f>
        <v>1.17681342199801</v>
      </c>
      <c r="T17" s="11" t="n">
        <f aca="false">IFERROR(N17/MEDIAN(INDEX($N$5:$N$373,MATCH($A17-90,$A$5:$A$373,1)):INDEX($N$5:$N$373,MATCH($A17+90,$A$5:$A$373,1))),"")</f>
        <v>0.998132551260841</v>
      </c>
      <c r="U17" s="11" t="n">
        <f aca="false">IFERROR(Q17/MEDIAN(INDEX($Q$5:$Q$373,MATCH($A17-90,$A$5:$A$373,1)):INDEX($Q$5:$Q$373,MATCH($A17+90,$A$5:$A$373,1))),"")</f>
        <v>1.70199692780338</v>
      </c>
    </row>
    <row r="18" customFormat="false" ht="15" hidden="false" customHeight="false" outlineLevel="0" collapsed="false">
      <c r="A18" s="13" t="n">
        <v>45080.3750611343</v>
      </c>
      <c r="B18" s="8" t="n">
        <v>9</v>
      </c>
      <c r="C18" s="8" t="s">
        <v>68</v>
      </c>
      <c r="D18" s="8" t="s">
        <v>1229</v>
      </c>
      <c r="E18" s="14" t="s">
        <v>66</v>
      </c>
      <c r="F18" s="9" t="n">
        <v>862</v>
      </c>
      <c r="G18" s="9" t="n">
        <v>195</v>
      </c>
      <c r="H18" s="9" t="n">
        <v>189</v>
      </c>
      <c r="I18" s="9" t="n">
        <v>2</v>
      </c>
      <c r="J18" s="9" t="n">
        <v>13</v>
      </c>
      <c r="K18" s="9" t="n">
        <v>1</v>
      </c>
      <c r="L18" s="9" t="n">
        <v>0</v>
      </c>
      <c r="M18" s="10" t="n">
        <f aca="false">IFERROR(G18/F18,"")</f>
        <v>0.226218097447796</v>
      </c>
      <c r="N18" s="10" t="n">
        <f aca="false">IFERROR(H18/G18,"")</f>
        <v>0.969230769230769</v>
      </c>
      <c r="O18" s="11" t="n">
        <f aca="false">IFERROR(I18/H18,"")</f>
        <v>0.0105820105820106</v>
      </c>
      <c r="P18" s="10" t="n">
        <f aca="false">IFERROR(J18/H18,"")</f>
        <v>0.0687830687830688</v>
      </c>
      <c r="Q18" s="10" t="n">
        <f aca="false">IFERROR(K18/H18,"")</f>
        <v>0.00529100529100529</v>
      </c>
      <c r="R18" s="10" t="n">
        <f aca="false">IFERROR(L18/H18,"")</f>
        <v>0</v>
      </c>
      <c r="S18" s="11" t="n">
        <f aca="false">IFERROR(M18/MEDIAN(INDEX($M$5:$M$373,MATCH($A18-90,$A$5:$A$373,1)):INDEX($M$5:$M$373,MATCH($A18+90,$A$5:$A$373,1))),"")</f>
        <v>1.08402252330798</v>
      </c>
      <c r="T18" s="11" t="n">
        <f aca="false">IFERROR(N18/MEDIAN(INDEX($N$5:$N$373,MATCH($A18-90,$A$5:$A$373,1)):INDEX($N$5:$N$373,MATCH($A18+90,$A$5:$A$373,1))),"")</f>
        <v>0.971927700649697</v>
      </c>
      <c r="U18" s="11" t="n">
        <f aca="false">IFERROR(Q18/MEDIAN(INDEX($Q$5:$Q$373,MATCH($A18-90,$A$5:$A$373,1)):INDEX($Q$5:$Q$373,MATCH($A18+90,$A$5:$A$373,1))),"")</f>
        <v>0.984944871545886</v>
      </c>
    </row>
    <row r="19" customFormat="false" ht="15" hidden="false" customHeight="false" outlineLevel="0" collapsed="false">
      <c r="A19" s="13" t="n">
        <v>45081.3749153125</v>
      </c>
      <c r="B19" s="8" t="n">
        <v>8</v>
      </c>
      <c r="C19" s="8" t="s">
        <v>86</v>
      </c>
      <c r="D19" s="8" t="s">
        <v>1230</v>
      </c>
      <c r="E19" s="14" t="s">
        <v>66</v>
      </c>
      <c r="F19" s="9" t="n">
        <v>892</v>
      </c>
      <c r="G19" s="9" t="n">
        <v>197</v>
      </c>
      <c r="H19" s="9" t="n">
        <v>197</v>
      </c>
      <c r="I19" s="9" t="n">
        <v>1</v>
      </c>
      <c r="J19" s="9" t="n">
        <v>16</v>
      </c>
      <c r="K19" s="9" t="n">
        <v>0</v>
      </c>
      <c r="L19" s="9" t="n">
        <v>0</v>
      </c>
      <c r="M19" s="10" t="n">
        <f aca="false">IFERROR(G19/F19,"")</f>
        <v>0.22085201793722</v>
      </c>
      <c r="N19" s="10" t="n">
        <f aca="false">IFERROR(H19/G19,"")</f>
        <v>1</v>
      </c>
      <c r="O19" s="11" t="n">
        <f aca="false">IFERROR(I19/H19,"")</f>
        <v>0.0050761421319797</v>
      </c>
      <c r="P19" s="10" t="n">
        <f aca="false">IFERROR(J19/H19,"")</f>
        <v>0.0812182741116751</v>
      </c>
      <c r="Q19" s="10" t="n">
        <f aca="false">IFERROR(K19/H19,"")</f>
        <v>0</v>
      </c>
      <c r="R19" s="10" t="n">
        <f aca="false">IFERROR(L19/H19,"")</f>
        <v>0</v>
      </c>
      <c r="S19" s="11" t="n">
        <f aca="false">IFERROR(M19/MEDIAN(INDEX($M$5:$M$373,MATCH($A19-90,$A$5:$A$373,1)):INDEX($M$5:$M$373,MATCH($A19+90,$A$5:$A$373,1))),"")</f>
        <v>1.06106624264055</v>
      </c>
      <c r="T19" s="11" t="n">
        <f aca="false">IFERROR(N19/MEDIAN(INDEX($N$5:$N$373,MATCH($A19-90,$A$5:$A$373,1)):INDEX($N$5:$N$373,MATCH($A19+90,$A$5:$A$373,1))),"")</f>
        <v>1.00273224043716</v>
      </c>
      <c r="U19" s="11" t="n">
        <f aca="false">IFERROR(Q19/MEDIAN(INDEX($Q$5:$Q$373,MATCH($A19-90,$A$5:$A$373,1)):INDEX($Q$5:$Q$373,MATCH($A19+90,$A$5:$A$373,1))),"")</f>
        <v>0</v>
      </c>
    </row>
    <row r="20" customFormat="false" ht="15" hidden="false" customHeight="false" outlineLevel="0" collapsed="false">
      <c r="A20" s="13" t="n">
        <v>45082.333515544</v>
      </c>
      <c r="B20" s="8" t="n">
        <v>8</v>
      </c>
      <c r="C20" s="8" t="s">
        <v>80</v>
      </c>
      <c r="D20" s="8" t="s">
        <v>1231</v>
      </c>
      <c r="E20" s="14" t="s">
        <v>66</v>
      </c>
      <c r="F20" s="9" t="n">
        <v>856</v>
      </c>
      <c r="G20" s="9" t="n">
        <v>255</v>
      </c>
      <c r="H20" s="9" t="n">
        <v>251</v>
      </c>
      <c r="I20" s="9" t="n">
        <v>3</v>
      </c>
      <c r="J20" s="9" t="n">
        <v>21</v>
      </c>
      <c r="K20" s="9" t="n">
        <v>1</v>
      </c>
      <c r="L20" s="9" t="n">
        <v>1</v>
      </c>
      <c r="M20" s="10" t="n">
        <f aca="false">IFERROR(G20/F20,"")</f>
        <v>0.297897196261682</v>
      </c>
      <c r="N20" s="10" t="n">
        <f aca="false">IFERROR(H20/G20,"")</f>
        <v>0.984313725490196</v>
      </c>
      <c r="O20" s="11" t="n">
        <f aca="false">IFERROR(I20/H20,"")</f>
        <v>0.0119521912350598</v>
      </c>
      <c r="P20" s="10" t="n">
        <f aca="false">IFERROR(J20/H20,"")</f>
        <v>0.0836653386454183</v>
      </c>
      <c r="Q20" s="10" t="n">
        <f aca="false">IFERROR(K20/H20,"")</f>
        <v>0.00398406374501992</v>
      </c>
      <c r="R20" s="10" t="n">
        <f aca="false">IFERROR(L20/H20,"")</f>
        <v>0.00398406374501992</v>
      </c>
      <c r="S20" s="11" t="n">
        <f aca="false">IFERROR(M20/MEDIAN(INDEX($M$5:$M$373,MATCH($A20-90,$A$5:$A$373,1)):INDEX($M$5:$M$373,MATCH($A20+90,$A$5:$A$373,1))),"")</f>
        <v>1.44879520457913</v>
      </c>
      <c r="T20" s="11" t="n">
        <f aca="false">IFERROR(N20/MEDIAN(INDEX($N$5:$N$373,MATCH($A20-90,$A$5:$A$373,1)):INDEX($N$5:$N$373,MATCH($A20+90,$A$5:$A$373,1))),"")</f>
        <v>0.986926856004192</v>
      </c>
      <c r="U20" s="11" t="n">
        <f aca="false">IFERROR(Q20/MEDIAN(INDEX($Q$5:$Q$373,MATCH($A20-90,$A$5:$A$373,1)):INDEX($Q$5:$Q$373,MATCH($A20+90,$A$5:$A$373,1))),"")</f>
        <v>0.728684956453609</v>
      </c>
    </row>
    <row r="21" customFormat="false" ht="15" hidden="false" customHeight="false" outlineLevel="0" collapsed="false">
      <c r="A21" s="13" t="n">
        <v>45083.3331448958</v>
      </c>
      <c r="B21" s="8" t="n">
        <v>7</v>
      </c>
      <c r="C21" s="8" t="s">
        <v>64</v>
      </c>
      <c r="D21" s="8" t="s">
        <v>1232</v>
      </c>
      <c r="E21" s="14" t="s">
        <v>66</v>
      </c>
      <c r="F21" s="9" t="n">
        <v>1594</v>
      </c>
      <c r="G21" s="9" t="n">
        <v>406</v>
      </c>
      <c r="H21" s="9" t="n">
        <v>398</v>
      </c>
      <c r="I21" s="9" t="n">
        <v>78</v>
      </c>
      <c r="J21" s="9" t="n">
        <v>26</v>
      </c>
      <c r="K21" s="9" t="n">
        <v>1</v>
      </c>
      <c r="L21" s="9" t="n">
        <v>1</v>
      </c>
      <c r="M21" s="10" t="n">
        <f aca="false">IFERROR(G21/F21,"")</f>
        <v>0.254705144291092</v>
      </c>
      <c r="N21" s="10" t="n">
        <f aca="false">IFERROR(H21/G21,"")</f>
        <v>0.980295566502463</v>
      </c>
      <c r="O21" s="11" t="n">
        <f aca="false">IFERROR(I21/H21,"")</f>
        <v>0.195979899497487</v>
      </c>
      <c r="P21" s="10" t="n">
        <f aca="false">IFERROR(J21/H21,"")</f>
        <v>0.0653266331658292</v>
      </c>
      <c r="Q21" s="10" t="n">
        <f aca="false">IFERROR(K21/H21,"")</f>
        <v>0.00251256281407035</v>
      </c>
      <c r="R21" s="10" t="n">
        <f aca="false">IFERROR(L21/H21,"")</f>
        <v>0.00251256281407035</v>
      </c>
      <c r="S21" s="11" t="n">
        <f aca="false">IFERROR(M21/MEDIAN(INDEX($M$5:$M$373,MATCH($A21-90,$A$5:$A$373,1)):INDEX($M$5:$M$373,MATCH($A21+90,$A$5:$A$373,1))),"")</f>
        <v>1.25413192874294</v>
      </c>
      <c r="T21" s="11" t="n">
        <f aca="false">IFERROR(N21/MEDIAN(INDEX($N$5:$N$373,MATCH($A21-90,$A$5:$A$373,1)):INDEX($N$5:$N$373,MATCH($A21+90,$A$5:$A$373,1))),"")</f>
        <v>0.982973969689628</v>
      </c>
      <c r="U21" s="11" t="n">
        <f aca="false">IFERROR(Q21/MEDIAN(INDEX($Q$5:$Q$373,MATCH($A21-90,$A$5:$A$373,1)):INDEX($Q$5:$Q$373,MATCH($A21+90,$A$5:$A$373,1))),"")</f>
        <v>0.455192629815745</v>
      </c>
    </row>
    <row r="22" customFormat="false" ht="15" hidden="false" customHeight="false" outlineLevel="0" collapsed="false">
      <c r="A22" s="13" t="n">
        <v>45084.375197037</v>
      </c>
      <c r="B22" s="8" t="n">
        <v>9</v>
      </c>
      <c r="C22" s="8" t="s">
        <v>71</v>
      </c>
      <c r="D22" s="8" t="s">
        <v>1233</v>
      </c>
      <c r="E22" s="14" t="s">
        <v>66</v>
      </c>
      <c r="F22" s="9" t="n">
        <v>1677</v>
      </c>
      <c r="G22" s="9" t="n">
        <v>421</v>
      </c>
      <c r="H22" s="9" t="n">
        <v>413</v>
      </c>
      <c r="I22" s="9" t="n">
        <v>61</v>
      </c>
      <c r="J22" s="9" t="n">
        <v>28</v>
      </c>
      <c r="K22" s="9" t="n">
        <v>0</v>
      </c>
      <c r="L22" s="9" t="n">
        <v>2</v>
      </c>
      <c r="M22" s="10" t="n">
        <f aca="false">IFERROR(G22/F22,"")</f>
        <v>0.251043530113298</v>
      </c>
      <c r="N22" s="10" t="n">
        <f aca="false">IFERROR(H22/G22,"")</f>
        <v>0.980997624703088</v>
      </c>
      <c r="O22" s="11" t="n">
        <f aca="false">IFERROR(I22/H22,"")</f>
        <v>0.147699757869249</v>
      </c>
      <c r="P22" s="10" t="n">
        <f aca="false">IFERROR(J22/H22,"")</f>
        <v>0.0677966101694915</v>
      </c>
      <c r="Q22" s="10" t="n">
        <f aca="false">IFERROR(K22/H22,"")</f>
        <v>0</v>
      </c>
      <c r="R22" s="10" t="n">
        <f aca="false">IFERROR(L22/H22,"")</f>
        <v>0.00484261501210654</v>
      </c>
      <c r="S22" s="11" t="n">
        <f aca="false">IFERROR(M22/MEDIAN(INDEX($M$5:$M$373,MATCH($A22-90,$A$5:$A$373,1)):INDEX($M$5:$M$373,MATCH($A22+90,$A$5:$A$373,1))),"")</f>
        <v>1.24546838726112</v>
      </c>
      <c r="T22" s="11" t="n">
        <f aca="false">IFERROR(N22/MEDIAN(INDEX($N$5:$N$373,MATCH($A22-90,$A$5:$A$373,1)):INDEX($N$5:$N$373,MATCH($A22+90,$A$5:$A$373,1))),"")</f>
        <v>0.983776654801397</v>
      </c>
      <c r="U22" s="11" t="n">
        <f aca="false">IFERROR(Q22/MEDIAN(INDEX($Q$5:$Q$373,MATCH($A22-90,$A$5:$A$373,1)):INDEX($Q$5:$Q$373,MATCH($A22+90,$A$5:$A$373,1))),"")</f>
        <v>0</v>
      </c>
    </row>
    <row r="23" customFormat="false" ht="15" hidden="false" customHeight="false" outlineLevel="0" collapsed="false">
      <c r="A23" s="13" t="n">
        <v>45085.3334425926</v>
      </c>
      <c r="B23" s="8" t="n">
        <v>8</v>
      </c>
      <c r="C23" s="8" t="s">
        <v>73</v>
      </c>
      <c r="D23" s="8" t="s">
        <v>1234</v>
      </c>
      <c r="E23" s="14" t="s">
        <v>66</v>
      </c>
      <c r="F23" s="9" t="n">
        <v>893</v>
      </c>
      <c r="G23" s="9" t="n">
        <v>331</v>
      </c>
      <c r="H23" s="9" t="n">
        <v>330</v>
      </c>
      <c r="I23" s="9" t="n">
        <v>7</v>
      </c>
      <c r="J23" s="9" t="n">
        <v>24</v>
      </c>
      <c r="K23" s="9" t="n">
        <v>3</v>
      </c>
      <c r="L23" s="9" t="n">
        <v>1</v>
      </c>
      <c r="M23" s="10" t="n">
        <f aca="false">IFERROR(G23/F23,"")</f>
        <v>0.370660694288914</v>
      </c>
      <c r="N23" s="10" t="n">
        <f aca="false">IFERROR(H23/G23,"")</f>
        <v>0.996978851963746</v>
      </c>
      <c r="O23" s="11" t="n">
        <f aca="false">IFERROR(I23/H23,"")</f>
        <v>0.0212121212121212</v>
      </c>
      <c r="P23" s="10" t="n">
        <f aca="false">IFERROR(J23/H23,"")</f>
        <v>0.0727272727272727</v>
      </c>
      <c r="Q23" s="10" t="n">
        <f aca="false">IFERROR(K23/H23,"")</f>
        <v>0.00909090909090909</v>
      </c>
      <c r="R23" s="10" t="n">
        <f aca="false">IFERROR(L23/H23,"")</f>
        <v>0.00303030303030303</v>
      </c>
      <c r="S23" s="11" t="n">
        <f aca="false">IFERROR(M23/MEDIAN(INDEX($M$5:$M$373,MATCH($A23-90,$A$5:$A$373,1)):INDEX($M$5:$M$373,MATCH($A23+90,$A$5:$A$373,1))),"")</f>
        <v>1.83196863387314</v>
      </c>
      <c r="T23" s="11" t="n">
        <f aca="false">IFERROR(N23/MEDIAN(INDEX($N$5:$N$373,MATCH($A23-90,$A$5:$A$373,1)):INDEX($N$5:$N$373,MATCH($A23+90,$A$5:$A$373,1))),"")</f>
        <v>0.999675753641799</v>
      </c>
      <c r="U23" s="11" t="n">
        <f aca="false">IFERROR(Q23/MEDIAN(INDEX($Q$5:$Q$373,MATCH($A23-90,$A$5:$A$373,1)):INDEX($Q$5:$Q$373,MATCH($A23+90,$A$5:$A$373,1))),"")</f>
        <v>1.66272658245323</v>
      </c>
    </row>
    <row r="24" customFormat="false" ht="15" hidden="false" customHeight="false" outlineLevel="0" collapsed="false">
      <c r="A24" s="13" t="n">
        <v>45086.333338588</v>
      </c>
      <c r="B24" s="8" t="n">
        <v>8</v>
      </c>
      <c r="C24" s="8" t="s">
        <v>84</v>
      </c>
      <c r="D24" s="8" t="s">
        <v>1235</v>
      </c>
      <c r="E24" s="14" t="s">
        <v>66</v>
      </c>
      <c r="F24" s="9" t="n">
        <v>1460</v>
      </c>
      <c r="G24" s="9" t="n">
        <v>328</v>
      </c>
      <c r="H24" s="9" t="n">
        <v>325</v>
      </c>
      <c r="I24" s="9" t="n">
        <v>51</v>
      </c>
      <c r="J24" s="9" t="n">
        <v>30</v>
      </c>
      <c r="K24" s="9" t="n">
        <v>1</v>
      </c>
      <c r="L24" s="9" t="n">
        <v>1</v>
      </c>
      <c r="M24" s="10" t="n">
        <f aca="false">IFERROR(G24/F24,"")</f>
        <v>0.224657534246575</v>
      </c>
      <c r="N24" s="10" t="n">
        <f aca="false">IFERROR(H24/G24,"")</f>
        <v>0.990853658536585</v>
      </c>
      <c r="O24" s="11" t="n">
        <f aca="false">IFERROR(I24/H24,"")</f>
        <v>0.156923076923077</v>
      </c>
      <c r="P24" s="10" t="n">
        <f aca="false">IFERROR(J24/H24,"")</f>
        <v>0.0923076923076923</v>
      </c>
      <c r="Q24" s="10" t="n">
        <f aca="false">IFERROR(K24/H24,"")</f>
        <v>0.00307692307692308</v>
      </c>
      <c r="R24" s="10" t="n">
        <f aca="false">IFERROR(L24/H24,"")</f>
        <v>0.00307692307692308</v>
      </c>
      <c r="S24" s="11" t="n">
        <f aca="false">IFERROR(M24/MEDIAN(INDEX($M$5:$M$373,MATCH($A24-90,$A$5:$A$373,1)):INDEX($M$5:$M$373,MATCH($A24+90,$A$5:$A$373,1))),"")</f>
        <v>1.10618176761004</v>
      </c>
      <c r="T24" s="11" t="n">
        <f aca="false">IFERROR(N24/MEDIAN(INDEX($N$5:$N$373,MATCH($A24-90,$A$5:$A$373,1)):INDEX($N$5:$N$373,MATCH($A24+90,$A$5:$A$373,1))),"")</f>
        <v>0.993407405079205</v>
      </c>
      <c r="U24" s="11" t="n">
        <f aca="false">IFERROR(Q24/MEDIAN(INDEX($Q$5:$Q$373,MATCH($A24-90,$A$5:$A$373,1)):INDEX($Q$5:$Q$373,MATCH($A24+90,$A$5:$A$373,1))),"")</f>
        <v>0.557435897435897</v>
      </c>
    </row>
    <row r="25" customFormat="false" ht="15" hidden="false" customHeight="false" outlineLevel="0" collapsed="false">
      <c r="A25" s="13" t="n">
        <v>45087.3336369097</v>
      </c>
      <c r="B25" s="8" t="n">
        <v>8</v>
      </c>
      <c r="C25" s="8" t="s">
        <v>68</v>
      </c>
      <c r="D25" s="8" t="s">
        <v>1236</v>
      </c>
      <c r="E25" s="14" t="s">
        <v>66</v>
      </c>
      <c r="F25" s="9" t="n">
        <v>911</v>
      </c>
      <c r="G25" s="9" t="n">
        <v>203</v>
      </c>
      <c r="H25" s="9" t="n">
        <v>200</v>
      </c>
      <c r="I25" s="9" t="n">
        <v>2</v>
      </c>
      <c r="J25" s="9" t="n">
        <v>24</v>
      </c>
      <c r="K25" s="9" t="n">
        <v>1</v>
      </c>
      <c r="L25" s="9" t="n">
        <v>1</v>
      </c>
      <c r="M25" s="10" t="n">
        <f aca="false">IFERROR(G25/F25,"")</f>
        <v>0.222832052689352</v>
      </c>
      <c r="N25" s="10" t="n">
        <f aca="false">IFERROR(H25/G25,"")</f>
        <v>0.985221674876847</v>
      </c>
      <c r="O25" s="11" t="n">
        <f aca="false">IFERROR(I25/H25,"")</f>
        <v>0.01</v>
      </c>
      <c r="P25" s="10" t="n">
        <f aca="false">IFERROR(J25/H25,"")</f>
        <v>0.12</v>
      </c>
      <c r="Q25" s="10" t="n">
        <f aca="false">IFERROR(K25/H25,"")</f>
        <v>0.005</v>
      </c>
      <c r="R25" s="10" t="n">
        <f aca="false">IFERROR(L25/H25,"")</f>
        <v>0.005</v>
      </c>
      <c r="S25" s="11" t="n">
        <f aca="false">IFERROR(M25/MEDIAN(INDEX($M$5:$M$373,MATCH($A25-90,$A$5:$A$373,1)):INDEX($M$5:$M$373,MATCH($A25+90,$A$5:$A$373,1))),"")</f>
        <v>1.10133428614977</v>
      </c>
      <c r="T25" s="11" t="n">
        <f aca="false">IFERROR(N25/MEDIAN(INDEX($N$5:$N$373,MATCH($A25-90,$A$5:$A$373,1)):INDEX($N$5:$N$373,MATCH($A25+90,$A$5:$A$373,1))),"")</f>
        <v>0.987886772519587</v>
      </c>
      <c r="U25" s="11" t="n">
        <f aca="false">IFERROR(Q25/MEDIAN(INDEX($Q$5:$Q$373,MATCH($A25-90,$A$5:$A$373,1)):INDEX($Q$5:$Q$373,MATCH($A25+90,$A$5:$A$373,1))),"")</f>
        <v>0.895295486272685</v>
      </c>
    </row>
    <row r="26" customFormat="false" ht="15" hidden="false" customHeight="false" outlineLevel="0" collapsed="false">
      <c r="A26" s="13" t="n">
        <v>45088.3332828472</v>
      </c>
      <c r="B26" s="8" t="n">
        <v>7</v>
      </c>
      <c r="C26" s="8" t="s">
        <v>86</v>
      </c>
      <c r="D26" s="8" t="s">
        <v>1237</v>
      </c>
      <c r="E26" s="14" t="s">
        <v>66</v>
      </c>
      <c r="F26" s="9" t="n">
        <v>903</v>
      </c>
      <c r="G26" s="9" t="n">
        <v>278</v>
      </c>
      <c r="H26" s="9" t="n">
        <v>277</v>
      </c>
      <c r="I26" s="9" t="n">
        <v>6</v>
      </c>
      <c r="J26" s="9" t="n">
        <v>18</v>
      </c>
      <c r="K26" s="9" t="n">
        <v>6</v>
      </c>
      <c r="L26" s="9" t="n">
        <v>0</v>
      </c>
      <c r="M26" s="10" t="n">
        <f aca="false">IFERROR(G26/F26,"")</f>
        <v>0.307862679955703</v>
      </c>
      <c r="N26" s="10" t="n">
        <f aca="false">IFERROR(H26/G26,"")</f>
        <v>0.996402877697842</v>
      </c>
      <c r="O26" s="11" t="n">
        <f aca="false">IFERROR(I26/H26,"")</f>
        <v>0.0216606498194946</v>
      </c>
      <c r="P26" s="10" t="n">
        <f aca="false">IFERROR(J26/H26,"")</f>
        <v>0.0649819494584838</v>
      </c>
      <c r="Q26" s="10" t="n">
        <f aca="false">IFERROR(K26/H26,"")</f>
        <v>0.0216606498194946</v>
      </c>
      <c r="R26" s="10" t="n">
        <f aca="false">IFERROR(L26/H26,"")</f>
        <v>0</v>
      </c>
      <c r="S26" s="11" t="n">
        <f aca="false">IFERROR(M26/MEDIAN(INDEX($M$5:$M$373,MATCH($A26-90,$A$5:$A$373,1)):INDEX($M$5:$M$373,MATCH($A26+90,$A$5:$A$373,1))),"")</f>
        <v>1.51587207896971</v>
      </c>
      <c r="T26" s="11" t="n">
        <f aca="false">IFERROR(N26/MEDIAN(INDEX($N$5:$N$373,MATCH($A26-90,$A$5:$A$373,1)):INDEX($N$5:$N$373,MATCH($A26+90,$A$5:$A$373,1))),"")</f>
        <v>0.999225548739479</v>
      </c>
      <c r="U26" s="11" t="n">
        <f aca="false">IFERROR(Q26/MEDIAN(INDEX($Q$5:$Q$373,MATCH($A26-90,$A$5:$A$373,1)):INDEX($Q$5:$Q$373,MATCH($A26+90,$A$5:$A$373,1))),"")</f>
        <v>3.83393501805054</v>
      </c>
    </row>
    <row r="27" customFormat="false" ht="15" hidden="false" customHeight="false" outlineLevel="0" collapsed="false">
      <c r="A27" s="13" t="n">
        <v>45089.3336215972</v>
      </c>
      <c r="B27" s="8" t="n">
        <v>8</v>
      </c>
      <c r="C27" s="8" t="s">
        <v>80</v>
      </c>
      <c r="D27" s="8" t="s">
        <v>1238</v>
      </c>
      <c r="E27" s="14" t="s">
        <v>66</v>
      </c>
      <c r="F27" s="9" t="n">
        <v>953</v>
      </c>
      <c r="G27" s="9" t="n">
        <v>256</v>
      </c>
      <c r="H27" s="9" t="n">
        <v>255</v>
      </c>
      <c r="I27" s="9" t="n">
        <v>9</v>
      </c>
      <c r="J27" s="9" t="n">
        <v>24</v>
      </c>
      <c r="K27" s="9" t="n">
        <v>4</v>
      </c>
      <c r="L27" s="9" t="n">
        <v>0</v>
      </c>
      <c r="M27" s="10" t="n">
        <f aca="false">IFERROR(G27/F27,"")</f>
        <v>0.268625393494229</v>
      </c>
      <c r="N27" s="10" t="n">
        <f aca="false">IFERROR(H27/G27,"")</f>
        <v>0.99609375</v>
      </c>
      <c r="O27" s="11" t="n">
        <f aca="false">IFERROR(I27/H27,"")</f>
        <v>0.0352941176470588</v>
      </c>
      <c r="P27" s="10" t="n">
        <f aca="false">IFERROR(J27/H27,"")</f>
        <v>0.0941176470588235</v>
      </c>
      <c r="Q27" s="10" t="n">
        <f aca="false">IFERROR(K27/H27,"")</f>
        <v>0.0156862745098039</v>
      </c>
      <c r="R27" s="10" t="n">
        <f aca="false">IFERROR(L27/H27,"")</f>
        <v>0</v>
      </c>
      <c r="S27" s="11" t="n">
        <f aca="false">IFERROR(M27/MEDIAN(INDEX($M$5:$M$373,MATCH($A27-90,$A$5:$A$373,1)):INDEX($M$5:$M$373,MATCH($A27+90,$A$5:$A$373,1))),"")</f>
        <v>1.32766517390612</v>
      </c>
      <c r="T27" s="11" t="n">
        <f aca="false">IFERROR(N27/MEDIAN(INDEX($N$5:$N$373,MATCH($A27-90,$A$5:$A$373,1)):INDEX($N$5:$N$373,MATCH($A27+90,$A$5:$A$373,1))),"")</f>
        <v>0.998788257411648</v>
      </c>
      <c r="U27" s="11" t="n">
        <f aca="false">IFERROR(Q27/MEDIAN(INDEX($Q$5:$Q$373,MATCH($A27-90,$A$5:$A$373,1)):INDEX($Q$5:$Q$373,MATCH($A27+90,$A$5:$A$373,1))),"")</f>
        <v>2.7396243743399</v>
      </c>
    </row>
    <row r="28" customFormat="false" ht="15" hidden="false" customHeight="false" outlineLevel="0" collapsed="false">
      <c r="A28" s="13" t="n">
        <v>45091.333980162</v>
      </c>
      <c r="B28" s="8" t="n">
        <v>8</v>
      </c>
      <c r="C28" s="8" t="s">
        <v>71</v>
      </c>
      <c r="D28" s="8" t="s">
        <v>1239</v>
      </c>
      <c r="E28" s="14" t="s">
        <v>66</v>
      </c>
      <c r="F28" s="9" t="n">
        <v>1500</v>
      </c>
      <c r="G28" s="9" t="n">
        <v>389</v>
      </c>
      <c r="H28" s="9" t="n">
        <v>388</v>
      </c>
      <c r="I28" s="9" t="n">
        <v>46</v>
      </c>
      <c r="J28" s="9" t="n">
        <v>28</v>
      </c>
      <c r="K28" s="9" t="n">
        <v>4</v>
      </c>
      <c r="L28" s="9" t="n">
        <v>0</v>
      </c>
      <c r="M28" s="10" t="n">
        <f aca="false">IFERROR(G28/F28,"")</f>
        <v>0.259333333333333</v>
      </c>
      <c r="N28" s="10" t="n">
        <f aca="false">IFERROR(H28/G28,"")</f>
        <v>0.997429305912596</v>
      </c>
      <c r="O28" s="11" t="n">
        <f aca="false">IFERROR(I28/H28,"")</f>
        <v>0.118556701030928</v>
      </c>
      <c r="P28" s="10" t="n">
        <f aca="false">IFERROR(J28/H28,"")</f>
        <v>0.0721649484536082</v>
      </c>
      <c r="Q28" s="10" t="n">
        <f aca="false">IFERROR(K28/H28,"")</f>
        <v>0.0103092783505155</v>
      </c>
      <c r="R28" s="10" t="n">
        <f aca="false">IFERROR(L28/H28,"")</f>
        <v>0</v>
      </c>
      <c r="S28" s="11" t="n">
        <f aca="false">IFERROR(M28/MEDIAN(INDEX($M$5:$M$373,MATCH($A28-90,$A$5:$A$373,1)):INDEX($M$5:$M$373,MATCH($A28+90,$A$5:$A$373,1))),"")</f>
        <v>1.2870582733813</v>
      </c>
      <c r="T28" s="11" t="n">
        <f aca="false">IFERROR(N28/MEDIAN(INDEX($N$5:$N$373,MATCH($A28-90,$A$5:$A$373,1)):INDEX($N$5:$N$373,MATCH($A28+90,$A$5:$A$373,1))),"")</f>
        <v>1.00012742610196</v>
      </c>
      <c r="U28" s="11" t="n">
        <f aca="false">IFERROR(Q28/MEDIAN(INDEX($Q$5:$Q$373,MATCH($A28-90,$A$5:$A$373,1)):INDEX($Q$5:$Q$373,MATCH($A28+90,$A$5:$A$373,1))),"")</f>
        <v>1.80052632849658</v>
      </c>
    </row>
    <row r="29" customFormat="false" ht="15" hidden="false" customHeight="false" outlineLevel="0" collapsed="false">
      <c r="A29" s="13" t="n">
        <v>45092.3335218171</v>
      </c>
      <c r="B29" s="8" t="n">
        <v>8</v>
      </c>
      <c r="C29" s="8" t="s">
        <v>73</v>
      </c>
      <c r="D29" s="8" t="s">
        <v>1240</v>
      </c>
      <c r="E29" s="14" t="s">
        <v>66</v>
      </c>
      <c r="F29" s="9" t="n">
        <v>883</v>
      </c>
      <c r="G29" s="9" t="n">
        <v>199</v>
      </c>
      <c r="H29" s="9" t="n">
        <v>198</v>
      </c>
      <c r="I29" s="9" t="n">
        <v>3</v>
      </c>
      <c r="J29" s="9" t="n">
        <v>17</v>
      </c>
      <c r="K29" s="9" t="n">
        <v>2</v>
      </c>
      <c r="L29" s="9" t="n">
        <v>0</v>
      </c>
      <c r="M29" s="10" t="n">
        <f aca="false">IFERROR(G29/F29,"")</f>
        <v>0.225368063420159</v>
      </c>
      <c r="N29" s="10" t="n">
        <f aca="false">IFERROR(H29/G29,"")</f>
        <v>0.994974874371859</v>
      </c>
      <c r="O29" s="11" t="n">
        <f aca="false">IFERROR(I29/H29,"")</f>
        <v>0.0151515151515152</v>
      </c>
      <c r="P29" s="10" t="n">
        <f aca="false">IFERROR(J29/H29,"")</f>
        <v>0.0858585858585859</v>
      </c>
      <c r="Q29" s="10" t="n">
        <f aca="false">IFERROR(K29/H29,"")</f>
        <v>0.0101010101010101</v>
      </c>
      <c r="R29" s="10" t="n">
        <f aca="false">IFERROR(L29/H29,"")</f>
        <v>0</v>
      </c>
      <c r="S29" s="11" t="n">
        <f aca="false">IFERROR(M29/MEDIAN(INDEX($M$5:$M$373,MATCH($A29-90,$A$5:$A$373,1)):INDEX($M$5:$M$373,MATCH($A29+90,$A$5:$A$373,1))),"")</f>
        <v>1.11889282871822</v>
      </c>
      <c r="T29" s="11" t="n">
        <f aca="false">IFERROR(N29/MEDIAN(INDEX($N$5:$N$373,MATCH($A29-90,$A$5:$A$373,1)):INDEX($N$5:$N$373,MATCH($A29+90,$A$5:$A$373,1))),"")</f>
        <v>0.997793500078295</v>
      </c>
      <c r="U29" s="11" t="n">
        <f aca="false">IFERROR(Q29/MEDIAN(INDEX($Q$5:$Q$373,MATCH($A29-90,$A$5:$A$373,1)):INDEX($Q$5:$Q$373,MATCH($A29+90,$A$5:$A$373,1))),"")</f>
        <v>1.78787878787879</v>
      </c>
    </row>
    <row r="30" customFormat="false" ht="15" hidden="false" customHeight="false" outlineLevel="0" collapsed="false">
      <c r="A30" s="13" t="n">
        <v>45093.3334665278</v>
      </c>
      <c r="B30" s="8" t="n">
        <v>8</v>
      </c>
      <c r="C30" s="8" t="s">
        <v>84</v>
      </c>
      <c r="D30" s="8" t="s">
        <v>1241</v>
      </c>
      <c r="E30" s="14" t="s">
        <v>66</v>
      </c>
      <c r="F30" s="9" t="n">
        <v>1558</v>
      </c>
      <c r="G30" s="9" t="n">
        <v>352</v>
      </c>
      <c r="H30" s="9" t="n">
        <v>351</v>
      </c>
      <c r="I30" s="9" t="n">
        <v>47</v>
      </c>
      <c r="J30" s="9" t="n">
        <v>30</v>
      </c>
      <c r="K30" s="9" t="n">
        <v>4</v>
      </c>
      <c r="L30" s="9" t="n">
        <v>0</v>
      </c>
      <c r="M30" s="10" t="n">
        <f aca="false">IFERROR(G30/F30,"")</f>
        <v>0.225930680359435</v>
      </c>
      <c r="N30" s="10" t="n">
        <f aca="false">IFERROR(H30/G30,"")</f>
        <v>0.997159090909091</v>
      </c>
      <c r="O30" s="11" t="n">
        <f aca="false">IFERROR(I30/H30,"")</f>
        <v>0.133903133903134</v>
      </c>
      <c r="P30" s="10" t="n">
        <f aca="false">IFERROR(J30/H30,"")</f>
        <v>0.0854700854700855</v>
      </c>
      <c r="Q30" s="10" t="n">
        <f aca="false">IFERROR(K30/H30,"")</f>
        <v>0.0113960113960114</v>
      </c>
      <c r="R30" s="10" t="n">
        <f aca="false">IFERROR(L30/H30,"")</f>
        <v>0</v>
      </c>
      <c r="S30" s="11" t="n">
        <f aca="false">IFERROR(M30/MEDIAN(INDEX($M$5:$M$373,MATCH($A30-90,$A$5:$A$373,1)):INDEX($M$5:$M$373,MATCH($A30+90,$A$5:$A$373,1))),"")</f>
        <v>1.12312362825147</v>
      </c>
      <c r="T30" s="11" t="n">
        <f aca="false">IFERROR(N30/MEDIAN(INDEX($N$5:$N$373,MATCH($A30-90,$A$5:$A$373,1)):INDEX($N$5:$N$373,MATCH($A30+90,$A$5:$A$373,1))),"")</f>
        <v>0.999991952034123</v>
      </c>
      <c r="U30" s="11" t="n">
        <f aca="false">IFERROR(Q30/MEDIAN(INDEX($Q$5:$Q$373,MATCH($A30-90,$A$5:$A$373,1)):INDEX($Q$5:$Q$373,MATCH($A30+90,$A$5:$A$373,1))),"")</f>
        <v>2.04055951287222</v>
      </c>
    </row>
    <row r="31" customFormat="false" ht="15" hidden="false" customHeight="false" outlineLevel="0" collapsed="false">
      <c r="A31" s="13" t="n">
        <v>45094.3337021296</v>
      </c>
      <c r="B31" s="8" t="n">
        <v>8</v>
      </c>
      <c r="C31" s="8" t="s">
        <v>68</v>
      </c>
      <c r="D31" s="8" t="s">
        <v>1242</v>
      </c>
      <c r="E31" s="14" t="s">
        <v>66</v>
      </c>
      <c r="F31" s="9" t="n">
        <v>939</v>
      </c>
      <c r="G31" s="9" t="n">
        <v>233</v>
      </c>
      <c r="H31" s="9" t="n">
        <v>232</v>
      </c>
      <c r="I31" s="9" t="n">
        <v>13</v>
      </c>
      <c r="J31" s="9" t="n">
        <v>23</v>
      </c>
      <c r="K31" s="9" t="n">
        <v>7</v>
      </c>
      <c r="L31" s="9" t="n">
        <v>0</v>
      </c>
      <c r="M31" s="10" t="n">
        <f aca="false">IFERROR(G31/F31,"")</f>
        <v>0.248136315228967</v>
      </c>
      <c r="N31" s="10" t="n">
        <f aca="false">IFERROR(H31/G31,"")</f>
        <v>0.995708154506438</v>
      </c>
      <c r="O31" s="11" t="n">
        <f aca="false">IFERROR(I31/H31,"")</f>
        <v>0.0560344827586207</v>
      </c>
      <c r="P31" s="10" t="n">
        <f aca="false">IFERROR(J31/H31,"")</f>
        <v>0.0991379310344828</v>
      </c>
      <c r="Q31" s="10" t="n">
        <f aca="false">IFERROR(K31/H31,"")</f>
        <v>0.0301724137931035</v>
      </c>
      <c r="R31" s="10" t="n">
        <f aca="false">IFERROR(L31/H31,"")</f>
        <v>0</v>
      </c>
      <c r="S31" s="11" t="n">
        <f aca="false">IFERROR(M31/MEDIAN(INDEX($M$5:$M$373,MATCH($A31-90,$A$5:$A$373,1)):INDEX($M$5:$M$373,MATCH($A31+90,$A$5:$A$373,1))),"")</f>
        <v>1.23193117711913</v>
      </c>
      <c r="T31" s="11" t="n">
        <f aca="false">IFERROR(N31/MEDIAN(INDEX($N$5:$N$373,MATCH($A31-90,$A$5:$A$373,1)):INDEX($N$5:$N$373,MATCH($A31+90,$A$5:$A$373,1))),"")</f>
        <v>0.998544929875402</v>
      </c>
      <c r="U31" s="11" t="n">
        <f aca="false">IFERROR(Q31/MEDIAN(INDEX($Q$5:$Q$373,MATCH($A31-90,$A$5:$A$373,1)):INDEX($Q$5:$Q$373,MATCH($A31+90,$A$5:$A$373,1))),"")</f>
        <v>5.46623563218391</v>
      </c>
    </row>
    <row r="32" customFormat="false" ht="15" hidden="false" customHeight="false" outlineLevel="0" collapsed="false">
      <c r="A32" s="13" t="n">
        <v>45095.4329559722</v>
      </c>
      <c r="B32" s="8" t="n">
        <v>10</v>
      </c>
      <c r="C32" s="8" t="s">
        <v>86</v>
      </c>
      <c r="D32" s="8" t="s">
        <v>1243</v>
      </c>
      <c r="E32" s="14" t="s">
        <v>66</v>
      </c>
      <c r="F32" s="9" t="n">
        <v>4579</v>
      </c>
      <c r="G32" s="9" t="n">
        <v>989</v>
      </c>
      <c r="H32" s="9" t="n">
        <v>987</v>
      </c>
      <c r="I32" s="9" t="n">
        <v>6</v>
      </c>
      <c r="J32" s="9" t="n">
        <v>53</v>
      </c>
      <c r="K32" s="9" t="n">
        <v>33</v>
      </c>
      <c r="L32" s="9" t="n">
        <v>2</v>
      </c>
      <c r="M32" s="10" t="n">
        <f aca="false">IFERROR(G32/F32,"")</f>
        <v>0.215986023149159</v>
      </c>
      <c r="N32" s="10" t="n">
        <f aca="false">IFERROR(H32/G32,"")</f>
        <v>0.997977755308392</v>
      </c>
      <c r="O32" s="11" t="n">
        <f aca="false">IFERROR(I32/H32,"")</f>
        <v>0.0060790273556231</v>
      </c>
      <c r="P32" s="10" t="n">
        <f aca="false">IFERROR(J32/H32,"")</f>
        <v>0.0536980749746707</v>
      </c>
      <c r="Q32" s="10" t="n">
        <f aca="false">IFERROR(K32/H32,"")</f>
        <v>0.0334346504559271</v>
      </c>
      <c r="R32" s="10" t="n">
        <f aca="false">IFERROR(L32/H32,"")</f>
        <v>0.00202634245187437</v>
      </c>
      <c r="S32" s="11" t="n">
        <f aca="false">IFERROR(M32/MEDIAN(INDEX($M$5:$M$373,MATCH($A32-90,$A$5:$A$373,1)):INDEX($M$5:$M$373,MATCH($A32+90,$A$5:$A$373,1))),"")</f>
        <v>1.07368775938252</v>
      </c>
      <c r="T32" s="11" t="n">
        <f aca="false">IFERROR(N32/MEDIAN(INDEX($N$5:$N$373,MATCH($A32-90,$A$5:$A$373,1)):INDEX($N$5:$N$373,MATCH($A32+90,$A$5:$A$373,1))),"")</f>
        <v>1.00091145537371</v>
      </c>
      <c r="U32" s="11" t="n">
        <f aca="false">IFERROR(Q32/MEDIAN(INDEX($Q$5:$Q$373,MATCH($A32-90,$A$5:$A$373,1)):INDEX($Q$5:$Q$373,MATCH($A32+90,$A$5:$A$373,1))),"")</f>
        <v>6.11519502969123</v>
      </c>
    </row>
    <row r="33" customFormat="false" ht="15" hidden="false" customHeight="false" outlineLevel="0" collapsed="false">
      <c r="A33" s="13" t="n">
        <v>45096.3334863426</v>
      </c>
      <c r="B33" s="8" t="n">
        <v>8</v>
      </c>
      <c r="C33" s="8" t="s">
        <v>80</v>
      </c>
      <c r="D33" s="8" t="s">
        <v>1244</v>
      </c>
      <c r="E33" s="14" t="s">
        <v>66</v>
      </c>
      <c r="F33" s="9" t="n">
        <v>1008</v>
      </c>
      <c r="G33" s="9" t="n">
        <v>254</v>
      </c>
      <c r="H33" s="9" t="n">
        <v>255</v>
      </c>
      <c r="I33" s="9" t="n">
        <v>11</v>
      </c>
      <c r="J33" s="9" t="n">
        <v>20</v>
      </c>
      <c r="K33" s="9" t="n">
        <v>15</v>
      </c>
      <c r="L33" s="9" t="n">
        <v>0</v>
      </c>
      <c r="M33" s="10" t="n">
        <f aca="false">IFERROR(G33/F33,"")</f>
        <v>0.251984126984127</v>
      </c>
      <c r="N33" s="10" t="n">
        <f aca="false">IFERROR(H33/G33,"")</f>
        <v>1.00393700787402</v>
      </c>
      <c r="O33" s="11" t="n">
        <f aca="false">IFERROR(I33/H33,"")</f>
        <v>0.0431372549019608</v>
      </c>
      <c r="P33" s="10" t="n">
        <f aca="false">IFERROR(J33/H33,"")</f>
        <v>0.0784313725490196</v>
      </c>
      <c r="Q33" s="10" t="n">
        <f aca="false">IFERROR(K33/H33,"")</f>
        <v>0.0588235294117647</v>
      </c>
      <c r="R33" s="10" t="n">
        <f aca="false">IFERROR(L33/H33,"")</f>
        <v>0</v>
      </c>
      <c r="S33" s="11" t="n">
        <f aca="false">IFERROR(M33/MEDIAN(INDEX($M$5:$M$373,MATCH($A33-90,$A$5:$A$373,1)):INDEX($M$5:$M$373,MATCH($A33+90,$A$5:$A$373,1))),"")</f>
        <v>1.25424531674532</v>
      </c>
      <c r="T33" s="11" t="n">
        <f aca="false">IFERROR(N33/MEDIAN(INDEX($N$5:$N$373,MATCH($A33-90,$A$5:$A$373,1)):INDEX($N$5:$N$373,MATCH($A33+90,$A$5:$A$373,1))),"")</f>
        <v>1.00679722726967</v>
      </c>
      <c r="U33" s="11" t="n">
        <f aca="false">IFERROR(Q33/MEDIAN(INDEX($Q$5:$Q$373,MATCH($A33-90,$A$5:$A$373,1)):INDEX($Q$5:$Q$373,MATCH($A33+90,$A$5:$A$373,1))),"")</f>
        <v>10.656862745098</v>
      </c>
    </row>
    <row r="34" customFormat="false" ht="15" hidden="false" customHeight="false" outlineLevel="0" collapsed="false">
      <c r="A34" s="13" t="n">
        <v>45098.5620101389</v>
      </c>
      <c r="B34" s="8" t="n">
        <v>13</v>
      </c>
      <c r="C34" s="8" t="s">
        <v>71</v>
      </c>
      <c r="D34" s="8" t="s">
        <v>1245</v>
      </c>
      <c r="E34" s="14" t="s">
        <v>66</v>
      </c>
      <c r="F34" s="9" t="n">
        <v>7485</v>
      </c>
      <c r="G34" s="9" t="n">
        <v>2018</v>
      </c>
      <c r="H34" s="9" t="n">
        <v>1989</v>
      </c>
      <c r="I34" s="9" t="n">
        <v>212</v>
      </c>
      <c r="J34" s="9" t="n">
        <v>40</v>
      </c>
      <c r="K34" s="9" t="n">
        <v>3</v>
      </c>
      <c r="L34" s="9" t="n">
        <v>9</v>
      </c>
      <c r="M34" s="10" t="n">
        <f aca="false">IFERROR(G34/F34,"")</f>
        <v>0.269605878423514</v>
      </c>
      <c r="N34" s="10" t="n">
        <f aca="false">IFERROR(H34/G34,"")</f>
        <v>0.985629335976214</v>
      </c>
      <c r="O34" s="11" t="n">
        <f aca="false">IFERROR(I34/H34,"")</f>
        <v>0.106586224233283</v>
      </c>
      <c r="P34" s="10" t="n">
        <f aca="false">IFERROR(J34/H34,"")</f>
        <v>0.0201106083459025</v>
      </c>
      <c r="Q34" s="10" t="n">
        <f aca="false">IFERROR(K34/H34,"")</f>
        <v>0.00150829562594268</v>
      </c>
      <c r="R34" s="10" t="n">
        <f aca="false">IFERROR(L34/H34,"")</f>
        <v>0.00452488687782806</v>
      </c>
      <c r="S34" s="11" t="n">
        <f aca="false">IFERROR(M34/MEDIAN(INDEX($M$5:$M$373,MATCH($A34-90,$A$5:$A$373,1)):INDEX($M$5:$M$373,MATCH($A34+90,$A$5:$A$373,1))),"")</f>
        <v>1.34195718764857</v>
      </c>
      <c r="T34" s="11" t="n">
        <f aca="false">IFERROR(N34/MEDIAN(INDEX($N$5:$N$373,MATCH($A34-90,$A$5:$A$373,1)):INDEX($N$5:$N$373,MATCH($A34+90,$A$5:$A$373,1))),"")</f>
        <v>0.988616091539778</v>
      </c>
      <c r="U34" s="11" t="n">
        <f aca="false">IFERROR(Q34/MEDIAN(INDEX($Q$5:$Q$373,MATCH($A34-90,$A$5:$A$373,1)):INDEX($Q$5:$Q$373,MATCH($A34+90,$A$5:$A$373,1))),"")</f>
        <v>0.266968325791855</v>
      </c>
    </row>
    <row r="35" customFormat="false" ht="15" hidden="false" customHeight="false" outlineLevel="0" collapsed="false">
      <c r="A35" s="13" t="n">
        <v>45099.4655320833</v>
      </c>
      <c r="B35" s="8" t="n">
        <v>11</v>
      </c>
      <c r="C35" s="8" t="s">
        <v>73</v>
      </c>
      <c r="D35" s="8" t="s">
        <v>1246</v>
      </c>
      <c r="E35" s="14" t="s">
        <v>66</v>
      </c>
      <c r="F35" s="9" t="n">
        <v>2880</v>
      </c>
      <c r="G35" s="9" t="n">
        <v>578</v>
      </c>
      <c r="H35" s="9" t="n">
        <v>573</v>
      </c>
      <c r="I35" s="9" t="n">
        <v>5</v>
      </c>
      <c r="J35" s="9" t="n">
        <v>25</v>
      </c>
      <c r="K35" s="9" t="n">
        <v>9</v>
      </c>
      <c r="L35" s="9" t="n">
        <v>2</v>
      </c>
      <c r="M35" s="10" t="n">
        <f aca="false">IFERROR(G35/F35,"")</f>
        <v>0.200694444444444</v>
      </c>
      <c r="N35" s="10" t="n">
        <f aca="false">IFERROR(H35/G35,"")</f>
        <v>0.991349480968858</v>
      </c>
      <c r="O35" s="11" t="n">
        <f aca="false">IFERROR(I35/H35,"")</f>
        <v>0.0087260034904014</v>
      </c>
      <c r="P35" s="10" t="n">
        <f aca="false">IFERROR(J35/H35,"")</f>
        <v>0.043630017452007</v>
      </c>
      <c r="Q35" s="10" t="n">
        <f aca="false">IFERROR(K35/H35,"")</f>
        <v>0.0157068062827225</v>
      </c>
      <c r="R35" s="10" t="n">
        <f aca="false">IFERROR(L35/H35,"")</f>
        <v>0.00349040139616056</v>
      </c>
      <c r="S35" s="11" t="n">
        <f aca="false">IFERROR(M35/MEDIAN(INDEX($M$5:$M$373,MATCH($A35-90,$A$5:$A$373,1)):INDEX($M$5:$M$373,MATCH($A35+90,$A$5:$A$373,1))),"")</f>
        <v>0.999475763859004</v>
      </c>
      <c r="T35" s="11" t="n">
        <f aca="false">IFERROR(N35/MEDIAN(INDEX($N$5:$N$373,MATCH($A35-90,$A$5:$A$373,1)):INDEX($N$5:$N$373,MATCH($A35+90,$A$5:$A$373,1))),"")</f>
        <v>0.994358135769479</v>
      </c>
      <c r="U35" s="11" t="n">
        <f aca="false">IFERROR(Q35/MEDIAN(INDEX($Q$5:$Q$373,MATCH($A35-90,$A$5:$A$373,1)):INDEX($Q$5:$Q$373,MATCH($A35+90,$A$5:$A$373,1))),"")</f>
        <v>2.74321027011783</v>
      </c>
    </row>
    <row r="36" customFormat="false" ht="15" hidden="false" customHeight="false" outlineLevel="0" collapsed="false">
      <c r="A36" s="13" t="n">
        <v>45100.6273468171</v>
      </c>
      <c r="B36" s="8" t="n">
        <v>15</v>
      </c>
      <c r="C36" s="8" t="s">
        <v>84</v>
      </c>
      <c r="D36" s="8" t="s">
        <v>1247</v>
      </c>
      <c r="E36" s="14" t="s">
        <v>66</v>
      </c>
      <c r="F36" s="9" t="n">
        <v>6832</v>
      </c>
      <c r="G36" s="9" t="n">
        <v>1037</v>
      </c>
      <c r="H36" s="9" t="n">
        <v>1036</v>
      </c>
      <c r="I36" s="9" t="n">
        <v>5</v>
      </c>
      <c r="J36" s="9" t="n">
        <v>24</v>
      </c>
      <c r="K36" s="9" t="n">
        <v>3</v>
      </c>
      <c r="L36" s="9" t="n">
        <v>0</v>
      </c>
      <c r="M36" s="10" t="n">
        <f aca="false">IFERROR(G36/F36,"")</f>
        <v>0.151785714285714</v>
      </c>
      <c r="N36" s="10" t="n">
        <f aca="false">IFERROR(H36/G36,"")</f>
        <v>0.999035679845709</v>
      </c>
      <c r="O36" s="11" t="n">
        <f aca="false">IFERROR(I36/H36,"")</f>
        <v>0.00482625482625483</v>
      </c>
      <c r="P36" s="10" t="n">
        <f aca="false">IFERROR(J36/H36,"")</f>
        <v>0.0231660231660232</v>
      </c>
      <c r="Q36" s="10" t="n">
        <f aca="false">IFERROR(K36/H36,"")</f>
        <v>0.0028957528957529</v>
      </c>
      <c r="R36" s="10" t="n">
        <f aca="false">IFERROR(L36/H36,"")</f>
        <v>0</v>
      </c>
      <c r="S36" s="11" t="n">
        <f aca="false">IFERROR(M36/MEDIAN(INDEX($M$5:$M$373,MATCH($A36-90,$A$5:$A$373,1)):INDEX($M$5:$M$373,MATCH($A36+90,$A$5:$A$373,1))),"")</f>
        <v>0.754541711086355</v>
      </c>
      <c r="T36" s="11" t="n">
        <f aca="false">IFERROR(N36/MEDIAN(INDEX($N$5:$N$373,MATCH($A36-90,$A$5:$A$373,1)):INDEX($N$5:$N$373,MATCH($A36+90,$A$5:$A$373,1))),"")</f>
        <v>1.00197248983333</v>
      </c>
      <c r="U36" s="11" t="n">
        <f aca="false">IFERROR(Q36/MEDIAN(INDEX($Q$5:$Q$373,MATCH($A36-90,$A$5:$A$373,1)):INDEX($Q$5:$Q$373,MATCH($A36+90,$A$5:$A$373,1))),"")</f>
        <v>0.505746294973461</v>
      </c>
    </row>
    <row r="37" customFormat="false" ht="15" hidden="false" customHeight="false" outlineLevel="0" collapsed="false">
      <c r="A37" s="13" t="n">
        <v>45101.5525775463</v>
      </c>
      <c r="B37" s="8" t="n">
        <v>13</v>
      </c>
      <c r="C37" s="8" t="s">
        <v>68</v>
      </c>
      <c r="D37" s="8" t="s">
        <v>1248</v>
      </c>
      <c r="E37" s="14" t="s">
        <v>66</v>
      </c>
      <c r="F37" s="9" t="n">
        <v>2434</v>
      </c>
      <c r="G37" s="9" t="n">
        <v>383</v>
      </c>
      <c r="H37" s="9" t="n">
        <v>380</v>
      </c>
      <c r="I37" s="9" t="n">
        <v>3</v>
      </c>
      <c r="J37" s="9" t="n">
        <v>18</v>
      </c>
      <c r="K37" s="9" t="n">
        <v>8</v>
      </c>
      <c r="L37" s="9" t="n">
        <v>1</v>
      </c>
      <c r="M37" s="10" t="n">
        <f aca="false">IFERROR(G37/F37,"")</f>
        <v>0.157354149548069</v>
      </c>
      <c r="N37" s="10" t="n">
        <f aca="false">IFERROR(H37/G37,"")</f>
        <v>0.992167101827676</v>
      </c>
      <c r="O37" s="11" t="n">
        <f aca="false">IFERROR(I37/H37,"")</f>
        <v>0.00789473684210526</v>
      </c>
      <c r="P37" s="10" t="n">
        <f aca="false">IFERROR(J37/H37,"")</f>
        <v>0.0473684210526316</v>
      </c>
      <c r="Q37" s="10" t="n">
        <f aca="false">IFERROR(K37/H37,"")</f>
        <v>0.0210526315789474</v>
      </c>
      <c r="R37" s="10" t="n">
        <f aca="false">IFERROR(L37/H37,"")</f>
        <v>0.00263157894736842</v>
      </c>
      <c r="S37" s="11" t="n">
        <f aca="false">IFERROR(M37/MEDIAN(INDEX($M$5:$M$373,MATCH($A37-90,$A$5:$A$373,1)):INDEX($M$5:$M$373,MATCH($A37+90,$A$5:$A$373,1))),"")</f>
        <v>0.782222950330135</v>
      </c>
      <c r="T37" s="11" t="n">
        <f aca="false">IFERROR(N37/MEDIAN(INDEX($N$5:$N$373,MATCH($A37-90,$A$5:$A$373,1)):INDEX($N$5:$N$373,MATCH($A37+90,$A$5:$A$373,1))),"")</f>
        <v>0.994985781051411</v>
      </c>
      <c r="U37" s="11" t="n">
        <f aca="false">IFERROR(Q37/MEDIAN(INDEX($Q$5:$Q$373,MATCH($A37-90,$A$5:$A$373,1)):INDEX($Q$5:$Q$373,MATCH($A37+90,$A$5:$A$373,1))),"")</f>
        <v>3.6105113169061</v>
      </c>
    </row>
    <row r="38" customFormat="false" ht="15" hidden="false" customHeight="false" outlineLevel="0" collapsed="false">
      <c r="A38" s="13" t="n">
        <v>45102.5439035185</v>
      </c>
      <c r="B38" s="8" t="n">
        <v>13</v>
      </c>
      <c r="C38" s="8" t="s">
        <v>86</v>
      </c>
      <c r="D38" s="8" t="s">
        <v>1249</v>
      </c>
      <c r="E38" s="14" t="s">
        <v>66</v>
      </c>
      <c r="F38" s="9" t="n">
        <v>4489</v>
      </c>
      <c r="G38" s="9" t="n">
        <v>723</v>
      </c>
      <c r="H38" s="9" t="n">
        <v>723</v>
      </c>
      <c r="I38" s="9" t="n">
        <v>8</v>
      </c>
      <c r="J38" s="9" t="n">
        <v>36</v>
      </c>
      <c r="K38" s="9" t="n">
        <v>8</v>
      </c>
      <c r="L38" s="9" t="n">
        <v>2</v>
      </c>
      <c r="M38" s="10" t="n">
        <f aca="false">IFERROR(G38/F38,"")</f>
        <v>0.161060369792827</v>
      </c>
      <c r="N38" s="10" t="n">
        <f aca="false">IFERROR(H38/G38,"")</f>
        <v>1</v>
      </c>
      <c r="O38" s="11" t="n">
        <f aca="false">IFERROR(I38/H38,"")</f>
        <v>0.0110650069156293</v>
      </c>
      <c r="P38" s="10" t="n">
        <f aca="false">IFERROR(J38/H38,"")</f>
        <v>0.049792531120332</v>
      </c>
      <c r="Q38" s="10" t="n">
        <f aca="false">IFERROR(K38/H38,"")</f>
        <v>0.0110650069156293</v>
      </c>
      <c r="R38" s="10" t="n">
        <f aca="false">IFERROR(L38/H38,"")</f>
        <v>0.00276625172890733</v>
      </c>
      <c r="S38" s="11" t="n">
        <f aca="false">IFERROR(M38/MEDIAN(INDEX($M$5:$M$373,MATCH($A38-90,$A$5:$A$373,1)):INDEX($M$5:$M$373,MATCH($A38+90,$A$5:$A$373,1))),"")</f>
        <v>0.80167436315799</v>
      </c>
      <c r="T38" s="11" t="n">
        <f aca="false">IFERROR(N38/MEDIAN(INDEX($N$5:$N$373,MATCH($A38-90,$A$5:$A$373,1)):INDEX($N$5:$N$373,MATCH($A38+90,$A$5:$A$373,1))),"")</f>
        <v>1.002849002849</v>
      </c>
      <c r="U38" s="11" t="n">
        <f aca="false">IFERROR(Q38/MEDIAN(INDEX($Q$5:$Q$373,MATCH($A38-90,$A$5:$A$373,1)):INDEX($Q$5:$Q$373,MATCH($A38+90,$A$5:$A$373,1))),"")</f>
        <v>1.90720482836665</v>
      </c>
    </row>
    <row r="39" customFormat="false" ht="15" hidden="false" customHeight="false" outlineLevel="0" collapsed="false">
      <c r="A39" s="13" t="n">
        <v>45103.7072049884</v>
      </c>
      <c r="B39" s="8" t="n">
        <v>16</v>
      </c>
      <c r="C39" s="8" t="s">
        <v>80</v>
      </c>
      <c r="D39" s="8" t="s">
        <v>1250</v>
      </c>
      <c r="E39" s="14" t="s">
        <v>66</v>
      </c>
      <c r="F39" s="9" t="n">
        <v>4204</v>
      </c>
      <c r="G39" s="9" t="n">
        <v>974</v>
      </c>
      <c r="H39" s="9" t="n">
        <v>959</v>
      </c>
      <c r="I39" s="9" t="n">
        <v>123</v>
      </c>
      <c r="J39" s="9" t="n">
        <v>30</v>
      </c>
      <c r="K39" s="9" t="n">
        <v>4</v>
      </c>
      <c r="L39" s="9" t="n">
        <v>3</v>
      </c>
      <c r="M39" s="10" t="n">
        <f aca="false">IFERROR(G39/F39,"")</f>
        <v>0.231684110371075</v>
      </c>
      <c r="N39" s="10" t="n">
        <f aca="false">IFERROR(H39/G39,"")</f>
        <v>0.984599589322382</v>
      </c>
      <c r="O39" s="11" t="n">
        <f aca="false">IFERROR(I39/H39,"")</f>
        <v>0.128258602711157</v>
      </c>
      <c r="P39" s="10" t="n">
        <f aca="false">IFERROR(J39/H39,"")</f>
        <v>0.0312825860271116</v>
      </c>
      <c r="Q39" s="10" t="n">
        <f aca="false">IFERROR(K39/H39,"")</f>
        <v>0.00417101147028154</v>
      </c>
      <c r="R39" s="10" t="n">
        <f aca="false">IFERROR(L39/H39,"")</f>
        <v>0.00312825860271116</v>
      </c>
      <c r="S39" s="11" t="n">
        <f aca="false">IFERROR(M39/MEDIAN(INDEX($M$5:$M$373,MATCH($A39-90,$A$5:$A$373,1)):INDEX($M$5:$M$373,MATCH($A39+90,$A$5:$A$373,1))),"")</f>
        <v>1.15172449458483</v>
      </c>
      <c r="T39" s="11" t="n">
        <f aca="false">IFERROR(N39/MEDIAN(INDEX($N$5:$N$373,MATCH($A39-90,$A$5:$A$373,1)):INDEX($N$5:$N$373,MATCH($A39+90,$A$5:$A$373,1))),"")</f>
        <v>0.987493962332342</v>
      </c>
      <c r="U39" s="11" t="n">
        <f aca="false">IFERROR(Q39/MEDIAN(INDEX($Q$5:$Q$373,MATCH($A39-90,$A$5:$A$373,1)):INDEX($Q$5:$Q$373,MATCH($A39+90,$A$5:$A$373,1))),"")</f>
        <v>0.715325495528842</v>
      </c>
    </row>
    <row r="40" customFormat="false" ht="15" hidden="false" customHeight="false" outlineLevel="0" collapsed="false">
      <c r="A40" s="13" t="n">
        <v>45104.5123493866</v>
      </c>
      <c r="B40" s="8" t="n">
        <v>12</v>
      </c>
      <c r="C40" s="8" t="s">
        <v>64</v>
      </c>
      <c r="D40" s="8" t="s">
        <v>1251</v>
      </c>
      <c r="E40" s="14" t="s">
        <v>66</v>
      </c>
      <c r="F40" s="9" t="n">
        <v>4163</v>
      </c>
      <c r="G40" s="9" t="n">
        <v>961</v>
      </c>
      <c r="H40" s="9" t="n">
        <v>961</v>
      </c>
      <c r="I40" s="9" t="n">
        <v>44</v>
      </c>
      <c r="J40" s="9" t="n">
        <v>39</v>
      </c>
      <c r="K40" s="9" t="n">
        <v>6</v>
      </c>
      <c r="L40" s="9" t="n">
        <v>2</v>
      </c>
      <c r="M40" s="10" t="n">
        <f aca="false">IFERROR(G40/F40,"")</f>
        <v>0.230843141964929</v>
      </c>
      <c r="N40" s="10" t="n">
        <f aca="false">IFERROR(H40/G40,"")</f>
        <v>1</v>
      </c>
      <c r="O40" s="11" t="n">
        <f aca="false">IFERROR(I40/H40,"")</f>
        <v>0.0457856399583767</v>
      </c>
      <c r="P40" s="10" t="n">
        <f aca="false">IFERROR(J40/H40,"")</f>
        <v>0.040582726326743</v>
      </c>
      <c r="Q40" s="10" t="n">
        <f aca="false">IFERROR(K40/H40,"")</f>
        <v>0.00624349635796046</v>
      </c>
      <c r="R40" s="10" t="n">
        <f aca="false">IFERROR(L40/H40,"")</f>
        <v>0.00208116545265349</v>
      </c>
      <c r="S40" s="11" t="n">
        <f aca="false">IFERROR(M40/MEDIAN(INDEX($M$5:$M$373,MATCH($A40-90,$A$5:$A$373,1)):INDEX($M$5:$M$373,MATCH($A40+90,$A$5:$A$373,1))),"")</f>
        <v>1.14754395794388</v>
      </c>
      <c r="T40" s="11" t="n">
        <f aca="false">IFERROR(N40/MEDIAN(INDEX($N$5:$N$373,MATCH($A40-90,$A$5:$A$373,1)):INDEX($N$5:$N$373,MATCH($A40+90,$A$5:$A$373,1))),"")</f>
        <v>1.0029396447463</v>
      </c>
      <c r="U40" s="11" t="n">
        <f aca="false">IFERROR(Q40/MEDIAN(INDEX($Q$5:$Q$373,MATCH($A40-90,$A$5:$A$373,1)):INDEX($Q$5:$Q$373,MATCH($A40+90,$A$5:$A$373,1))),"")</f>
        <v>1.07075517723022</v>
      </c>
    </row>
    <row r="41" customFormat="false" ht="15" hidden="false" customHeight="false" outlineLevel="0" collapsed="false">
      <c r="A41" s="13" t="n">
        <v>45105.4814656482</v>
      </c>
      <c r="B41" s="8" t="n">
        <v>11</v>
      </c>
      <c r="C41" s="8" t="s">
        <v>71</v>
      </c>
      <c r="D41" s="8" t="s">
        <v>1252</v>
      </c>
      <c r="E41" s="14" t="s">
        <v>66</v>
      </c>
      <c r="F41" s="9" t="n">
        <v>4722</v>
      </c>
      <c r="G41" s="9" t="n">
        <v>1102</v>
      </c>
      <c r="H41" s="9" t="n">
        <v>1087</v>
      </c>
      <c r="I41" s="9" t="n">
        <v>99</v>
      </c>
      <c r="J41" s="9" t="n">
        <v>38</v>
      </c>
      <c r="K41" s="9" t="n">
        <v>6</v>
      </c>
      <c r="L41" s="9" t="n">
        <v>4</v>
      </c>
      <c r="M41" s="10" t="n">
        <f aca="false">IFERROR(G41/F41,"")</f>
        <v>0.233375688267683</v>
      </c>
      <c r="N41" s="10" t="n">
        <f aca="false">IFERROR(H41/G41,"")</f>
        <v>0.986388384754991</v>
      </c>
      <c r="O41" s="11" t="n">
        <f aca="false">IFERROR(I41/H41,"")</f>
        <v>0.0910763569457222</v>
      </c>
      <c r="P41" s="10" t="n">
        <f aca="false">IFERROR(J41/H41,"")</f>
        <v>0.0349586016559338</v>
      </c>
      <c r="Q41" s="10" t="n">
        <f aca="false">IFERROR(K41/H41,"")</f>
        <v>0.00551977920883165</v>
      </c>
      <c r="R41" s="10" t="n">
        <f aca="false">IFERROR(L41/H41,"")</f>
        <v>0.00367985280588776</v>
      </c>
      <c r="S41" s="11" t="n">
        <f aca="false">IFERROR(M41/MEDIAN(INDEX($M$5:$M$373,MATCH($A41-90,$A$5:$A$373,1)):INDEX($M$5:$M$373,MATCH($A41+90,$A$5:$A$373,1))),"")</f>
        <v>1.16013349464487</v>
      </c>
      <c r="T41" s="11" t="n">
        <f aca="false">IFERROR(N41/MEDIAN(INDEX($N$5:$N$373,MATCH($A41-90,$A$5:$A$373,1)):INDEX($N$5:$N$373,MATCH($A41+90,$A$5:$A$373,1))),"")</f>
        <v>0.989190647036738</v>
      </c>
      <c r="U41" s="11" t="n">
        <f aca="false">IFERROR(Q41/MEDIAN(INDEX($Q$5:$Q$373,MATCH($A41-90,$A$5:$A$373,1)):INDEX($Q$5:$Q$373,MATCH($A41+90,$A$5:$A$373,1))),"")</f>
        <v>0.922497109516411</v>
      </c>
    </row>
    <row r="42" customFormat="false" ht="15" hidden="false" customHeight="false" outlineLevel="0" collapsed="false">
      <c r="A42" s="13" t="n">
        <v>45106.5488177315</v>
      </c>
      <c r="B42" s="8" t="n">
        <v>13</v>
      </c>
      <c r="C42" s="8" t="s">
        <v>73</v>
      </c>
      <c r="D42" s="8" t="s">
        <v>1253</v>
      </c>
      <c r="E42" s="14" t="s">
        <v>66</v>
      </c>
      <c r="F42" s="9" t="n">
        <v>3540</v>
      </c>
      <c r="G42" s="9" t="n">
        <v>789</v>
      </c>
      <c r="H42" s="9" t="n">
        <v>785</v>
      </c>
      <c r="I42" s="9" t="n">
        <v>54</v>
      </c>
      <c r="J42" s="9" t="n">
        <v>31</v>
      </c>
      <c r="K42" s="9" t="n">
        <v>5</v>
      </c>
      <c r="L42" s="9" t="n">
        <v>1</v>
      </c>
      <c r="M42" s="10" t="n">
        <f aca="false">IFERROR(G42/F42,"")</f>
        <v>0.222881355932203</v>
      </c>
      <c r="N42" s="10" t="n">
        <f aca="false">IFERROR(H42/G42,"")</f>
        <v>0.994930291508238</v>
      </c>
      <c r="O42" s="11" t="n">
        <f aca="false">IFERROR(I42/H42,"")</f>
        <v>0.0687898089171975</v>
      </c>
      <c r="P42" s="10" t="n">
        <f aca="false">IFERROR(J42/H42,"")</f>
        <v>0.0394904458598726</v>
      </c>
      <c r="Q42" s="10" t="n">
        <f aca="false">IFERROR(K42/H42,"")</f>
        <v>0.00636942675159236</v>
      </c>
      <c r="R42" s="10" t="n">
        <f aca="false">IFERROR(L42/H42,"")</f>
        <v>0.00127388535031847</v>
      </c>
      <c r="S42" s="11" t="n">
        <f aca="false">IFERROR(M42/MEDIAN(INDEX($M$5:$M$373,MATCH($A42-90,$A$5:$A$373,1)):INDEX($M$5:$M$373,MATCH($A42+90,$A$5:$A$373,1))),"")</f>
        <v>1.10938692930218</v>
      </c>
      <c r="T42" s="11" t="n">
        <f aca="false">IFERROR(N42/MEDIAN(INDEX($N$5:$N$373,MATCH($A42-90,$A$5:$A$373,1)):INDEX($N$5:$N$373,MATCH($A42+90,$A$5:$A$373,1))),"")</f>
        <v>0.99774879091761</v>
      </c>
      <c r="U42" s="11" t="n">
        <f aca="false">IFERROR(Q42/MEDIAN(INDEX($Q$5:$Q$373,MATCH($A42-90,$A$5:$A$373,1)):INDEX($Q$5:$Q$373,MATCH($A42+90,$A$5:$A$373,1))),"")</f>
        <v>1.08690168379895</v>
      </c>
    </row>
    <row r="43" customFormat="false" ht="15" hidden="false" customHeight="false" outlineLevel="0" collapsed="false">
      <c r="A43" s="13" t="n">
        <v>45107.5699339468</v>
      </c>
      <c r="B43" s="8" t="n">
        <v>13</v>
      </c>
      <c r="C43" s="8" t="s">
        <v>84</v>
      </c>
      <c r="D43" s="8" t="s">
        <v>1254</v>
      </c>
      <c r="E43" s="14" t="s">
        <v>66</v>
      </c>
      <c r="F43" s="9" t="n">
        <v>3852</v>
      </c>
      <c r="G43" s="9" t="n">
        <v>1077</v>
      </c>
      <c r="H43" s="9" t="n">
        <v>1076</v>
      </c>
      <c r="I43" s="9" t="n">
        <v>7</v>
      </c>
      <c r="J43" s="9" t="n">
        <v>49</v>
      </c>
      <c r="K43" s="9" t="n">
        <v>4</v>
      </c>
      <c r="L43" s="9" t="n">
        <v>3</v>
      </c>
      <c r="M43" s="10" t="n">
        <f aca="false">IFERROR(G43/F43,"")</f>
        <v>0.279595015576324</v>
      </c>
      <c r="N43" s="10" t="n">
        <f aca="false">IFERROR(H43/G43,"")</f>
        <v>0.999071494893222</v>
      </c>
      <c r="O43" s="11" t="n">
        <f aca="false">IFERROR(I43/H43,"")</f>
        <v>0.00650557620817844</v>
      </c>
      <c r="P43" s="10" t="n">
        <f aca="false">IFERROR(J43/H43,"")</f>
        <v>0.0455390334572491</v>
      </c>
      <c r="Q43" s="10" t="n">
        <f aca="false">IFERROR(K43/H43,"")</f>
        <v>0.00371747211895911</v>
      </c>
      <c r="R43" s="10" t="n">
        <f aca="false">IFERROR(L43/H43,"")</f>
        <v>0.00278810408921933</v>
      </c>
      <c r="S43" s="11" t="n">
        <f aca="false">IFERROR(M43/MEDIAN(INDEX($M$5:$M$373,MATCH($A43-90,$A$5:$A$373,1)):INDEX($M$5:$M$373,MATCH($A43+90,$A$5:$A$373,1))),"")</f>
        <v>1.39240746069417</v>
      </c>
      <c r="T43" s="11" t="n">
        <f aca="false">IFERROR(N43/MEDIAN(INDEX($N$5:$N$373,MATCH($A43-90,$A$5:$A$373,1)):INDEX($N$5:$N$373,MATCH($A43+90,$A$5:$A$373,1))),"")</f>
        <v>1.00190978902784</v>
      </c>
      <c r="U43" s="11" t="n">
        <f aca="false">IFERROR(Q43/MEDIAN(INDEX($Q$5:$Q$373,MATCH($A43-90,$A$5:$A$373,1)):INDEX($Q$5:$Q$373,MATCH($A43+90,$A$5:$A$373,1))),"")</f>
        <v>0.621285228032428</v>
      </c>
    </row>
    <row r="44" customFormat="false" ht="15" hidden="false" customHeight="false" outlineLevel="0" collapsed="false">
      <c r="A44" s="13" t="n">
        <v>45108.5753540857</v>
      </c>
      <c r="B44" s="8" t="n">
        <v>13</v>
      </c>
      <c r="C44" s="8" t="s">
        <v>68</v>
      </c>
      <c r="D44" s="8" t="s">
        <v>1255</v>
      </c>
      <c r="E44" s="14" t="s">
        <v>66</v>
      </c>
      <c r="F44" s="9" t="n">
        <v>2753</v>
      </c>
      <c r="G44" s="9" t="n">
        <v>576</v>
      </c>
      <c r="H44" s="9" t="n">
        <v>575</v>
      </c>
      <c r="I44" s="9" t="n">
        <v>6</v>
      </c>
      <c r="J44" s="9" t="n">
        <v>38</v>
      </c>
      <c r="K44" s="9" t="n">
        <v>3</v>
      </c>
      <c r="L44" s="9" t="n">
        <v>1</v>
      </c>
      <c r="M44" s="10" t="n">
        <f aca="false">IFERROR(G44/F44,"")</f>
        <v>0.209226298583364</v>
      </c>
      <c r="N44" s="10" t="n">
        <f aca="false">IFERROR(H44/G44,"")</f>
        <v>0.998263888888889</v>
      </c>
      <c r="O44" s="11" t="n">
        <f aca="false">IFERROR(I44/H44,"")</f>
        <v>0.0104347826086957</v>
      </c>
      <c r="P44" s="10" t="n">
        <f aca="false">IFERROR(J44/H44,"")</f>
        <v>0.0660869565217391</v>
      </c>
      <c r="Q44" s="10" t="n">
        <f aca="false">IFERROR(K44/H44,"")</f>
        <v>0.00521739130434783</v>
      </c>
      <c r="R44" s="10" t="n">
        <f aca="false">IFERROR(L44/H44,"")</f>
        <v>0.00173913043478261</v>
      </c>
      <c r="S44" s="11" t="n">
        <f aca="false">IFERROR(M44/MEDIAN(INDEX($M$5:$M$373,MATCH($A44-90,$A$5:$A$373,1)):INDEX($M$5:$M$373,MATCH($A44+90,$A$5:$A$373,1))),"")</f>
        <v>1.0425116607614</v>
      </c>
      <c r="T44" s="11" t="n">
        <f aca="false">IFERROR(N44/MEDIAN(INDEX($N$5:$N$373,MATCH($A44-90,$A$5:$A$373,1)):INDEX($N$5:$N$373,MATCH($A44+90,$A$5:$A$373,1))),"")</f>
        <v>1.00110794555239</v>
      </c>
      <c r="U44" s="11" t="n">
        <f aca="false">IFERROR(Q44/MEDIAN(INDEX($Q$5:$Q$373,MATCH($A44-90,$A$5:$A$373,1)):INDEX($Q$5:$Q$373,MATCH($A44+90,$A$5:$A$373,1))),"")</f>
        <v>0.890314248816186</v>
      </c>
    </row>
    <row r="45" customFormat="false" ht="15" hidden="false" customHeight="false" outlineLevel="0" collapsed="false">
      <c r="A45" s="13" t="n">
        <v>45109.4945539699</v>
      </c>
      <c r="B45" s="8" t="n">
        <v>11</v>
      </c>
      <c r="C45" s="8" t="s">
        <v>86</v>
      </c>
      <c r="D45" s="8" t="s">
        <v>1256</v>
      </c>
      <c r="E45" s="14" t="s">
        <v>66</v>
      </c>
      <c r="F45" s="9" t="n">
        <v>1983</v>
      </c>
      <c r="G45" s="9" t="n">
        <v>327</v>
      </c>
      <c r="H45" s="9" t="n">
        <v>327</v>
      </c>
      <c r="I45" s="9" t="n">
        <v>1</v>
      </c>
      <c r="J45" s="9" t="n">
        <v>15</v>
      </c>
      <c r="K45" s="9" t="n">
        <v>0</v>
      </c>
      <c r="L45" s="9" t="n">
        <v>1</v>
      </c>
      <c r="M45" s="10" t="n">
        <f aca="false">IFERROR(G45/F45,"")</f>
        <v>0.164901664145235</v>
      </c>
      <c r="N45" s="10" t="n">
        <f aca="false">IFERROR(H45/G45,"")</f>
        <v>1</v>
      </c>
      <c r="O45" s="11" t="n">
        <f aca="false">IFERROR(I45/H45,"")</f>
        <v>0.00305810397553517</v>
      </c>
      <c r="P45" s="10" t="n">
        <f aca="false">IFERROR(J45/H45,"")</f>
        <v>0.0458715596330275</v>
      </c>
      <c r="Q45" s="10" t="n">
        <f aca="false">IFERROR(K45/H45,"")</f>
        <v>0</v>
      </c>
      <c r="R45" s="10" t="n">
        <f aca="false">IFERROR(L45/H45,"")</f>
        <v>0.00305810397553517</v>
      </c>
      <c r="S45" s="11" t="n">
        <f aca="false">IFERROR(M45/MEDIAN(INDEX($M$5:$M$373,MATCH($A45-90,$A$5:$A$373,1)):INDEX($M$5:$M$373,MATCH($A45+90,$A$5:$A$373,1))),"")</f>
        <v>0.821655350758262</v>
      </c>
      <c r="T45" s="11" t="n">
        <f aca="false">IFERROR(N45/MEDIAN(INDEX($N$5:$N$373,MATCH($A45-90,$A$5:$A$373,1)):INDEX($N$5:$N$373,MATCH($A45+90,$A$5:$A$373,1))),"")</f>
        <v>1.002849002849</v>
      </c>
      <c r="U45" s="11" t="n">
        <f aca="false">IFERROR(Q45/MEDIAN(INDEX($Q$5:$Q$373,MATCH($A45-90,$A$5:$A$373,1)):INDEX($Q$5:$Q$373,MATCH($A45+90,$A$5:$A$373,1))),"")</f>
        <v>0</v>
      </c>
    </row>
    <row r="46" customFormat="false" ht="15" hidden="false" customHeight="false" outlineLevel="0" collapsed="false">
      <c r="A46" s="13" t="n">
        <v>45110.5554397107</v>
      </c>
      <c r="B46" s="8" t="n">
        <v>13</v>
      </c>
      <c r="C46" s="8" t="s">
        <v>80</v>
      </c>
      <c r="D46" s="8" t="s">
        <v>1257</v>
      </c>
      <c r="E46" s="14" t="s">
        <v>66</v>
      </c>
      <c r="F46" s="9" t="n">
        <v>2896</v>
      </c>
      <c r="G46" s="9" t="n">
        <v>495</v>
      </c>
      <c r="H46" s="9" t="n">
        <v>493</v>
      </c>
      <c r="I46" s="9" t="n">
        <v>37</v>
      </c>
      <c r="J46" s="9" t="n">
        <v>24</v>
      </c>
      <c r="K46" s="9" t="n">
        <v>1</v>
      </c>
      <c r="L46" s="9" t="n">
        <v>2</v>
      </c>
      <c r="M46" s="10" t="n">
        <f aca="false">IFERROR(G46/F46,"")</f>
        <v>0.170925414364641</v>
      </c>
      <c r="N46" s="10" t="n">
        <f aca="false">IFERROR(H46/G46,"")</f>
        <v>0.995959595959596</v>
      </c>
      <c r="O46" s="11" t="n">
        <f aca="false">IFERROR(I46/H46,"")</f>
        <v>0.0750507099391481</v>
      </c>
      <c r="P46" s="10" t="n">
        <f aca="false">IFERROR(J46/H46,"")</f>
        <v>0.0486815415821501</v>
      </c>
      <c r="Q46" s="10" t="n">
        <f aca="false">IFERROR(K46/H46,"")</f>
        <v>0.00202839756592292</v>
      </c>
      <c r="R46" s="10" t="n">
        <f aca="false">IFERROR(L46/H46,"")</f>
        <v>0.00405679513184584</v>
      </c>
      <c r="S46" s="11" t="n">
        <f aca="false">IFERROR(M46/MEDIAN(INDEX($M$5:$M$373,MATCH($A46-90,$A$5:$A$373,1)):INDEX($M$5:$M$373,MATCH($A46+90,$A$5:$A$373,1))),"")</f>
        <v>0.857687117604669</v>
      </c>
      <c r="T46" s="11" t="n">
        <f aca="false">IFERROR(N46/MEDIAN(INDEX($N$5:$N$373,MATCH($A46-90,$A$5:$A$373,1)):INDEX($N$5:$N$373,MATCH($A46+90,$A$5:$A$373,1))),"")</f>
        <v>0.998781011245601</v>
      </c>
      <c r="U46" s="11" t="n">
        <f aca="false">IFERROR(Q46/MEDIAN(INDEX($Q$5:$Q$373,MATCH($A46-90,$A$5:$A$373,1)):INDEX($Q$5:$Q$373,MATCH($A46+90,$A$5:$A$373,1))),"")</f>
        <v>0.346132990581005</v>
      </c>
    </row>
    <row r="47" customFormat="false" ht="15" hidden="false" customHeight="false" outlineLevel="0" collapsed="false">
      <c r="A47" s="13" t="n">
        <v>45111.5199392245</v>
      </c>
      <c r="B47" s="8" t="n">
        <v>12</v>
      </c>
      <c r="C47" s="8" t="s">
        <v>64</v>
      </c>
      <c r="D47" s="8" t="s">
        <v>1258</v>
      </c>
      <c r="E47" s="14" t="s">
        <v>66</v>
      </c>
      <c r="F47" s="9" t="n">
        <v>4271</v>
      </c>
      <c r="G47" s="9" t="n">
        <v>1049</v>
      </c>
      <c r="H47" s="9" t="n">
        <v>1039</v>
      </c>
      <c r="I47" s="9" t="n">
        <v>40</v>
      </c>
      <c r="J47" s="9" t="n">
        <v>41</v>
      </c>
      <c r="K47" s="9" t="n">
        <v>3</v>
      </c>
      <c r="L47" s="9" t="n">
        <v>5</v>
      </c>
      <c r="M47" s="10" t="n">
        <f aca="false">IFERROR(G47/F47,"")</f>
        <v>0.245609927417467</v>
      </c>
      <c r="N47" s="10" t="n">
        <f aca="false">IFERROR(H47/G47,"")</f>
        <v>0.990467111534795</v>
      </c>
      <c r="O47" s="11" t="n">
        <f aca="false">IFERROR(I47/H47,"")</f>
        <v>0.0384985563041386</v>
      </c>
      <c r="P47" s="10" t="n">
        <f aca="false">IFERROR(J47/H47,"")</f>
        <v>0.0394610202117421</v>
      </c>
      <c r="Q47" s="10" t="n">
        <f aca="false">IFERROR(K47/H47,"")</f>
        <v>0.00288739172281039</v>
      </c>
      <c r="R47" s="10" t="n">
        <f aca="false">IFERROR(L47/H47,"")</f>
        <v>0.00481231953801732</v>
      </c>
      <c r="S47" s="11" t="n">
        <f aca="false">IFERROR(M47/MEDIAN(INDEX($M$5:$M$373,MATCH($A47-90,$A$5:$A$373,1)):INDEX($M$5:$M$373,MATCH($A47+90,$A$5:$A$373,1))),"")</f>
        <v>1.2365469099427</v>
      </c>
      <c r="T47" s="11" t="n">
        <f aca="false">IFERROR(N47/MEDIAN(INDEX($N$5:$N$373,MATCH($A47-90,$A$5:$A$373,1)):INDEX($N$5:$N$373,MATCH($A47+90,$A$5:$A$373,1))),"")</f>
        <v>0.993280961201785</v>
      </c>
      <c r="U47" s="11" t="n">
        <f aca="false">IFERROR(Q47/MEDIAN(INDEX($Q$5:$Q$373,MATCH($A47-90,$A$5:$A$373,1)):INDEX($Q$5:$Q$373,MATCH($A47+90,$A$5:$A$373,1))),"")</f>
        <v>0.495185623348527</v>
      </c>
    </row>
    <row r="48" customFormat="false" ht="15" hidden="false" customHeight="false" outlineLevel="0" collapsed="false">
      <c r="A48" s="13" t="n">
        <v>45112.5452604861</v>
      </c>
      <c r="B48" s="8" t="n">
        <v>13</v>
      </c>
      <c r="C48" s="8" t="s">
        <v>71</v>
      </c>
      <c r="D48" s="8" t="s">
        <v>1259</v>
      </c>
      <c r="E48" s="14" t="s">
        <v>66</v>
      </c>
      <c r="F48" s="9" t="n">
        <v>3693</v>
      </c>
      <c r="G48" s="9" t="n">
        <v>655</v>
      </c>
      <c r="H48" s="9" t="n">
        <v>655</v>
      </c>
      <c r="I48" s="9" t="n">
        <v>52</v>
      </c>
      <c r="J48" s="9" t="n">
        <v>13</v>
      </c>
      <c r="K48" s="9" t="n">
        <v>4</v>
      </c>
      <c r="L48" s="9" t="n">
        <v>1</v>
      </c>
      <c r="M48" s="10" t="n">
        <f aca="false">IFERROR(G48/F48,"")</f>
        <v>0.177362577849986</v>
      </c>
      <c r="N48" s="10" t="n">
        <f aca="false">IFERROR(H48/G48,"")</f>
        <v>1</v>
      </c>
      <c r="O48" s="11" t="n">
        <f aca="false">IFERROR(I48/H48,"")</f>
        <v>0.0793893129770992</v>
      </c>
      <c r="P48" s="10" t="n">
        <f aca="false">IFERROR(J48/H48,"")</f>
        <v>0.0198473282442748</v>
      </c>
      <c r="Q48" s="10" t="n">
        <f aca="false">IFERROR(K48/H48,"")</f>
        <v>0.00610687022900763</v>
      </c>
      <c r="R48" s="10" t="n">
        <f aca="false">IFERROR(L48/H48,"")</f>
        <v>0.00152671755725191</v>
      </c>
      <c r="S48" s="11" t="n">
        <f aca="false">IFERROR(M48/MEDIAN(INDEX($M$5:$M$373,MATCH($A48-90,$A$5:$A$373,1)):INDEX($M$5:$M$373,MATCH($A48+90,$A$5:$A$373,1))),"")</f>
        <v>0.892949034617386</v>
      </c>
      <c r="T48" s="11" t="n">
        <f aca="false">IFERROR(N48/MEDIAN(INDEX($N$5:$N$373,MATCH($A48-90,$A$5:$A$373,1)):INDEX($N$5:$N$373,MATCH($A48+90,$A$5:$A$373,1))),"")</f>
        <v>1.00284093195445</v>
      </c>
      <c r="U48" s="11" t="n">
        <f aca="false">IFERROR(Q48/MEDIAN(INDEX($Q$5:$Q$373,MATCH($A48-90,$A$5:$A$373,1)):INDEX($Q$5:$Q$373,MATCH($A48+90,$A$5:$A$373,1))),"")</f>
        <v>1.04732389345368</v>
      </c>
    </row>
    <row r="49" customFormat="false" ht="15" hidden="false" customHeight="false" outlineLevel="0" collapsed="false">
      <c r="A49" s="13" t="n">
        <v>45113.4707119329</v>
      </c>
      <c r="B49" s="8" t="n">
        <v>11</v>
      </c>
      <c r="C49" s="8" t="s">
        <v>73</v>
      </c>
      <c r="D49" s="8" t="s">
        <v>1260</v>
      </c>
      <c r="E49" s="14" t="s">
        <v>66</v>
      </c>
      <c r="F49" s="9" t="n">
        <v>3582</v>
      </c>
      <c r="G49" s="9" t="n">
        <v>828</v>
      </c>
      <c r="H49" s="9" t="n">
        <v>825</v>
      </c>
      <c r="I49" s="9" t="n">
        <v>89</v>
      </c>
      <c r="J49" s="9" t="n">
        <v>40</v>
      </c>
      <c r="K49" s="9" t="n">
        <v>2</v>
      </c>
      <c r="L49" s="9" t="n">
        <v>0</v>
      </c>
      <c r="M49" s="10" t="n">
        <f aca="false">IFERROR(G49/F49,"")</f>
        <v>0.231155778894472</v>
      </c>
      <c r="N49" s="10" t="n">
        <f aca="false">IFERROR(H49/G49,"")</f>
        <v>0.996376811594203</v>
      </c>
      <c r="O49" s="11" t="n">
        <f aca="false">IFERROR(I49/H49,"")</f>
        <v>0.107878787878788</v>
      </c>
      <c r="P49" s="10" t="n">
        <f aca="false">IFERROR(J49/H49,"")</f>
        <v>0.0484848484848485</v>
      </c>
      <c r="Q49" s="10" t="n">
        <f aca="false">IFERROR(K49/H49,"")</f>
        <v>0.00242424242424242</v>
      </c>
      <c r="R49" s="10" t="n">
        <f aca="false">IFERROR(L49/H49,"")</f>
        <v>0</v>
      </c>
      <c r="S49" s="11" t="n">
        <f aca="false">IFERROR(M49/MEDIAN(INDEX($M$5:$M$373,MATCH($A49-90,$A$5:$A$373,1)):INDEX($M$5:$M$373,MATCH($A49+90,$A$5:$A$373,1))),"")</f>
        <v>1.16766073357441</v>
      </c>
      <c r="T49" s="11" t="n">
        <f aca="false">IFERROR(N49/MEDIAN(INDEX($N$5:$N$373,MATCH($A49-90,$A$5:$A$373,1)):INDEX($N$5:$N$373,MATCH($A49+90,$A$5:$A$373,1))),"")</f>
        <v>0.999199408794186</v>
      </c>
      <c r="U49" s="11" t="n">
        <f aca="false">IFERROR(Q49/MEDIAN(INDEX($Q$5:$Q$373,MATCH($A49-90,$A$5:$A$373,1)):INDEX($Q$5:$Q$373,MATCH($A49+90,$A$5:$A$373,1))),"")</f>
        <v>0.417851239669421</v>
      </c>
    </row>
    <row r="50" customFormat="false" ht="15" hidden="false" customHeight="false" outlineLevel="0" collapsed="false">
      <c r="A50" s="13" t="n">
        <v>45114.5115939699</v>
      </c>
      <c r="B50" s="8" t="n">
        <v>12</v>
      </c>
      <c r="C50" s="8" t="s">
        <v>84</v>
      </c>
      <c r="D50" s="8" t="s">
        <v>1261</v>
      </c>
      <c r="E50" s="14" t="s">
        <v>66</v>
      </c>
      <c r="F50" s="9" t="n">
        <v>2825</v>
      </c>
      <c r="G50" s="9" t="n">
        <v>588</v>
      </c>
      <c r="H50" s="9" t="n">
        <v>568</v>
      </c>
      <c r="I50" s="9" t="n">
        <v>62</v>
      </c>
      <c r="J50" s="9" t="n">
        <v>29</v>
      </c>
      <c r="K50" s="9" t="n">
        <v>10</v>
      </c>
      <c r="L50" s="9" t="n">
        <v>1</v>
      </c>
      <c r="M50" s="10" t="n">
        <f aca="false">IFERROR(G50/F50,"")</f>
        <v>0.208141592920354</v>
      </c>
      <c r="N50" s="10" t="n">
        <f aca="false">IFERROR(H50/G50,"")</f>
        <v>0.965986394557823</v>
      </c>
      <c r="O50" s="11" t="n">
        <f aca="false">IFERROR(I50/H50,"")</f>
        <v>0.109154929577465</v>
      </c>
      <c r="P50" s="10" t="n">
        <f aca="false">IFERROR(J50/H50,"")</f>
        <v>0.051056338028169</v>
      </c>
      <c r="Q50" s="10" t="n">
        <f aca="false">IFERROR(K50/H50,"")</f>
        <v>0.0176056338028169</v>
      </c>
      <c r="R50" s="10" t="n">
        <f aca="false">IFERROR(L50/H50,"")</f>
        <v>0.00176056338028169</v>
      </c>
      <c r="S50" s="11" t="n">
        <f aca="false">IFERROR(M50/MEDIAN(INDEX($M$5:$M$373,MATCH($A50-90,$A$5:$A$373,1)):INDEX($M$5:$M$373,MATCH($A50+90,$A$5:$A$373,1))),"")</f>
        <v>1.06009370119729</v>
      </c>
      <c r="T50" s="11" t="n">
        <f aca="false">IFERROR(N50/MEDIAN(INDEX($N$5:$N$373,MATCH($A50-90,$A$5:$A$373,1)):INDEX($N$5:$N$373,MATCH($A50+90,$A$5:$A$373,1))),"")</f>
        <v>0.968722899924842</v>
      </c>
      <c r="U50" s="11" t="n">
        <f aca="false">IFERROR(Q50/MEDIAN(INDEX($Q$5:$Q$373,MATCH($A50-90,$A$5:$A$373,1)):INDEX($Q$5:$Q$373,MATCH($A50+90,$A$5:$A$373,1))),"")</f>
        <v>3.00428810486683</v>
      </c>
    </row>
    <row r="51" customFormat="false" ht="15" hidden="false" customHeight="false" outlineLevel="0" collapsed="false">
      <c r="A51" s="13" t="n">
        <v>45115.7505243287</v>
      </c>
      <c r="B51" s="8" t="n">
        <v>18</v>
      </c>
      <c r="C51" s="8" t="s">
        <v>68</v>
      </c>
      <c r="D51" s="8" t="s">
        <v>1262</v>
      </c>
      <c r="E51" s="14" t="s">
        <v>66</v>
      </c>
      <c r="F51" s="9" t="n">
        <v>8553</v>
      </c>
      <c r="G51" s="9" t="n">
        <v>1628</v>
      </c>
      <c r="H51" s="9" t="n">
        <v>1628</v>
      </c>
      <c r="I51" s="9" t="n">
        <v>16</v>
      </c>
      <c r="J51" s="9" t="n">
        <v>25</v>
      </c>
      <c r="K51" s="9" t="n">
        <v>1</v>
      </c>
      <c r="L51" s="9" t="n">
        <v>0</v>
      </c>
      <c r="M51" s="10" t="n">
        <f aca="false">IFERROR(G51/F51,"")</f>
        <v>0.190342569858529</v>
      </c>
      <c r="N51" s="10" t="n">
        <f aca="false">IFERROR(H51/G51,"")</f>
        <v>1</v>
      </c>
      <c r="O51" s="11" t="n">
        <f aca="false">IFERROR(I51/H51,"")</f>
        <v>0.00982800982800983</v>
      </c>
      <c r="P51" s="10" t="n">
        <f aca="false">IFERROR(J51/H51,"")</f>
        <v>0.0153562653562654</v>
      </c>
      <c r="Q51" s="10" t="n">
        <f aca="false">IFERROR(K51/H51,"")</f>
        <v>0.000614250614250614</v>
      </c>
      <c r="R51" s="10" t="n">
        <f aca="false">IFERROR(L51/H51,"")</f>
        <v>0</v>
      </c>
      <c r="S51" s="11" t="n">
        <f aca="false">IFERROR(M51/MEDIAN(INDEX($M$5:$M$373,MATCH($A51-90,$A$5:$A$373,1)):INDEX($M$5:$M$373,MATCH($A51+90,$A$5:$A$373,1))),"")</f>
        <v>0.977711777395655</v>
      </c>
      <c r="T51" s="11" t="n">
        <f aca="false">IFERROR(N51/MEDIAN(INDEX($N$5:$N$373,MATCH($A51-90,$A$5:$A$373,1)):INDEX($N$5:$N$373,MATCH($A51+90,$A$5:$A$373,1))),"")</f>
        <v>1.00284093195445</v>
      </c>
      <c r="U51" s="11" t="n">
        <f aca="false">IFERROR(Q51/MEDIAN(INDEX($Q$5:$Q$373,MATCH($A51-90,$A$5:$A$373,1)):INDEX($Q$5:$Q$373,MATCH($A51+90,$A$5:$A$373,1))),"")</f>
        <v>0.102657080061869</v>
      </c>
    </row>
    <row r="52" customFormat="false" ht="15" hidden="false" customHeight="false" outlineLevel="0" collapsed="false">
      <c r="A52" s="13" t="n">
        <v>45116.4933440394</v>
      </c>
      <c r="B52" s="8" t="n">
        <v>11</v>
      </c>
      <c r="C52" s="8" t="s">
        <v>86</v>
      </c>
      <c r="D52" s="8" t="s">
        <v>1263</v>
      </c>
      <c r="E52" s="14" t="s">
        <v>66</v>
      </c>
      <c r="F52" s="9" t="n">
        <v>1402</v>
      </c>
      <c r="G52" s="9" t="n">
        <v>124</v>
      </c>
      <c r="H52" s="9" t="n">
        <v>124</v>
      </c>
      <c r="I52" s="9" t="n">
        <v>1</v>
      </c>
      <c r="J52" s="9" t="n">
        <v>6</v>
      </c>
      <c r="K52" s="9" t="n">
        <v>0</v>
      </c>
      <c r="L52" s="9" t="n">
        <v>0</v>
      </c>
      <c r="M52" s="10" t="n">
        <f aca="false">IFERROR(G52/F52,"")</f>
        <v>0.0884450784593438</v>
      </c>
      <c r="N52" s="10" t="n">
        <f aca="false">IFERROR(H52/G52,"")</f>
        <v>1</v>
      </c>
      <c r="O52" s="11" t="n">
        <f aca="false">IFERROR(I52/H52,"")</f>
        <v>0.00806451612903226</v>
      </c>
      <c r="P52" s="10" t="n">
        <f aca="false">IFERROR(J52/H52,"")</f>
        <v>0.0483870967741936</v>
      </c>
      <c r="Q52" s="10" t="n">
        <f aca="false">IFERROR(K52/H52,"")</f>
        <v>0</v>
      </c>
      <c r="R52" s="10" t="n">
        <f aca="false">IFERROR(L52/H52,"")</f>
        <v>0</v>
      </c>
      <c r="S52" s="11" t="n">
        <f aca="false">IFERROR(M52/MEDIAN(INDEX($M$5:$M$373,MATCH($A52-90,$A$5:$A$373,1)):INDEX($M$5:$M$373,MATCH($A52+90,$A$5:$A$373,1))),"")</f>
        <v>0.454306122517177</v>
      </c>
      <c r="T52" s="11" t="n">
        <f aca="false">IFERROR(N52/MEDIAN(INDEX($N$5:$N$373,MATCH($A52-90,$A$5:$A$373,1)):INDEX($N$5:$N$373,MATCH($A52+90,$A$5:$A$373,1))),"")</f>
        <v>1.00284093195445</v>
      </c>
      <c r="U52" s="11" t="n">
        <f aca="false">IFERROR(Q52/MEDIAN(INDEX($Q$5:$Q$373,MATCH($A52-90,$A$5:$A$373,1)):INDEX($Q$5:$Q$373,MATCH($A52+90,$A$5:$A$373,1))),"")</f>
        <v>0</v>
      </c>
    </row>
    <row r="53" customFormat="false" ht="15" hidden="false" customHeight="false" outlineLevel="0" collapsed="false">
      <c r="A53" s="13" t="n">
        <v>45117.4320880787</v>
      </c>
      <c r="B53" s="8" t="n">
        <v>10</v>
      </c>
      <c r="C53" s="8" t="s">
        <v>80</v>
      </c>
      <c r="D53" s="8" t="s">
        <v>1264</v>
      </c>
      <c r="E53" s="14" t="s">
        <v>66</v>
      </c>
      <c r="F53" s="9" t="n">
        <v>2251</v>
      </c>
      <c r="G53" s="9" t="n">
        <v>386</v>
      </c>
      <c r="H53" s="9" t="n">
        <v>386</v>
      </c>
      <c r="I53" s="9" t="n">
        <v>7</v>
      </c>
      <c r="J53" s="9" t="n">
        <v>16</v>
      </c>
      <c r="K53" s="9" t="n">
        <v>1</v>
      </c>
      <c r="L53" s="9" t="n">
        <v>0</v>
      </c>
      <c r="M53" s="10" t="n">
        <f aca="false">IFERROR(G53/F53,"")</f>
        <v>0.171479342514438</v>
      </c>
      <c r="N53" s="10" t="n">
        <f aca="false">IFERROR(H53/G53,"")</f>
        <v>1</v>
      </c>
      <c r="O53" s="11" t="n">
        <f aca="false">IFERROR(I53/H53,"")</f>
        <v>0.0181347150259067</v>
      </c>
      <c r="P53" s="10" t="n">
        <f aca="false">IFERROR(J53/H53,"")</f>
        <v>0.0414507772020725</v>
      </c>
      <c r="Q53" s="10" t="n">
        <f aca="false">IFERROR(K53/H53,"")</f>
        <v>0.00259067357512953</v>
      </c>
      <c r="R53" s="10" t="n">
        <f aca="false">IFERROR(L53/H53,"")</f>
        <v>0</v>
      </c>
      <c r="S53" s="11" t="n">
        <f aca="false">IFERROR(M53/MEDIAN(INDEX($M$5:$M$373,MATCH($A53-90,$A$5:$A$373,1)):INDEX($M$5:$M$373,MATCH($A53+90,$A$5:$A$373,1))),"")</f>
        <v>0.888398627603049</v>
      </c>
      <c r="T53" s="11" t="n">
        <f aca="false">IFERROR(N53/MEDIAN(INDEX($N$5:$N$373,MATCH($A53-90,$A$5:$A$373,1)):INDEX($N$5:$N$373,MATCH($A53+90,$A$5:$A$373,1))),"")</f>
        <v>1.002849002849</v>
      </c>
      <c r="U53" s="11" t="n">
        <f aca="false">IFERROR(Q53/MEDIAN(INDEX($Q$5:$Q$373,MATCH($A53-90,$A$5:$A$373,1)):INDEX($Q$5:$Q$373,MATCH($A53+90,$A$5:$A$373,1))),"")</f>
        <v>0.424222797927461</v>
      </c>
    </row>
    <row r="54" customFormat="false" ht="15" hidden="false" customHeight="false" outlineLevel="0" collapsed="false">
      <c r="A54" s="13" t="n">
        <v>45118.4831998611</v>
      </c>
      <c r="B54" s="8" t="n">
        <v>11</v>
      </c>
      <c r="C54" s="8" t="s">
        <v>64</v>
      </c>
      <c r="D54" s="8" t="s">
        <v>1265</v>
      </c>
      <c r="E54" s="14" t="s">
        <v>66</v>
      </c>
      <c r="F54" s="9" t="n">
        <v>3230</v>
      </c>
      <c r="G54" s="9" t="n">
        <v>564</v>
      </c>
      <c r="H54" s="9" t="n">
        <v>563</v>
      </c>
      <c r="I54" s="9" t="n">
        <v>80</v>
      </c>
      <c r="J54" s="9" t="n">
        <v>28</v>
      </c>
      <c r="K54" s="9" t="n">
        <v>3</v>
      </c>
      <c r="L54" s="9" t="n">
        <v>1</v>
      </c>
      <c r="M54" s="10" t="n">
        <f aca="false">IFERROR(G54/F54,"")</f>
        <v>0.174613003095975</v>
      </c>
      <c r="N54" s="10" t="n">
        <f aca="false">IFERROR(H54/G54,"")</f>
        <v>0.99822695035461</v>
      </c>
      <c r="O54" s="11" t="n">
        <f aca="false">IFERROR(I54/H54,"")</f>
        <v>0.142095914742451</v>
      </c>
      <c r="P54" s="10" t="n">
        <f aca="false">IFERROR(J54/H54,"")</f>
        <v>0.0497335701598579</v>
      </c>
      <c r="Q54" s="10" t="n">
        <f aca="false">IFERROR(K54/H54,"")</f>
        <v>0.00532859680284192</v>
      </c>
      <c r="R54" s="10" t="n">
        <f aca="false">IFERROR(L54/H54,"")</f>
        <v>0.00177619893428064</v>
      </c>
      <c r="S54" s="11" t="n">
        <f aca="false">IFERROR(M54/MEDIAN(INDEX($M$5:$M$373,MATCH($A54-90,$A$5:$A$373,1)):INDEX($M$5:$M$373,MATCH($A54+90,$A$5:$A$373,1))),"")</f>
        <v>0.907138135548339</v>
      </c>
      <c r="T54" s="11" t="n">
        <f aca="false">IFERROR(N54/MEDIAN(INDEX($N$5:$N$373,MATCH($A54-90,$A$5:$A$373,1)):INDEX($N$5:$N$373,MATCH($A54+90,$A$5:$A$373,1))),"")</f>
        <v>1.00116138296483</v>
      </c>
      <c r="U54" s="11" t="n">
        <f aca="false">IFERROR(Q54/MEDIAN(INDEX($Q$5:$Q$373,MATCH($A54-90,$A$5:$A$373,1)):INDEX($Q$5:$Q$373,MATCH($A54+90,$A$5:$A$373,1))),"")</f>
        <v>0.862905042586277</v>
      </c>
    </row>
    <row r="55" customFormat="false" ht="15" hidden="false" customHeight="false" outlineLevel="0" collapsed="false">
      <c r="A55" s="13" t="n">
        <v>45119.4505677315</v>
      </c>
      <c r="B55" s="8" t="n">
        <v>10</v>
      </c>
      <c r="C55" s="8" t="s">
        <v>71</v>
      </c>
      <c r="D55" s="8" t="s">
        <v>1266</v>
      </c>
      <c r="E55" s="14" t="s">
        <v>66</v>
      </c>
      <c r="F55" s="9" t="n">
        <v>3702</v>
      </c>
      <c r="G55" s="9" t="n">
        <v>864</v>
      </c>
      <c r="H55" s="9" t="n">
        <v>862</v>
      </c>
      <c r="I55" s="9" t="n">
        <v>1</v>
      </c>
      <c r="J55" s="9" t="n">
        <v>11</v>
      </c>
      <c r="K55" s="9" t="n">
        <v>0</v>
      </c>
      <c r="L55" s="9" t="n">
        <v>0</v>
      </c>
      <c r="M55" s="10" t="n">
        <f aca="false">IFERROR(G55/F55,"")</f>
        <v>0.233387358184765</v>
      </c>
      <c r="N55" s="10" t="n">
        <f aca="false">IFERROR(H55/G55,"")</f>
        <v>0.997685185185185</v>
      </c>
      <c r="O55" s="11" t="n">
        <f aca="false">IFERROR(I55/H55,"")</f>
        <v>0.00116009280742459</v>
      </c>
      <c r="P55" s="10" t="n">
        <f aca="false">IFERROR(J55/H55,"")</f>
        <v>0.0127610208816705</v>
      </c>
      <c r="Q55" s="10" t="n">
        <f aca="false">IFERROR(K55/H55,"")</f>
        <v>0</v>
      </c>
      <c r="R55" s="10" t="n">
        <f aca="false">IFERROR(L55/H55,"")</f>
        <v>0</v>
      </c>
      <c r="S55" s="11" t="n">
        <f aca="false">IFERROR(M55/MEDIAN(INDEX($M$5:$M$373,MATCH($A55-90,$A$5:$A$373,1)):INDEX($M$5:$M$373,MATCH($A55+90,$A$5:$A$373,1))),"")</f>
        <v>1.21584517113166</v>
      </c>
      <c r="T55" s="11" t="n">
        <f aca="false">IFERROR(N55/MEDIAN(INDEX($N$5:$N$373,MATCH($A55-90,$A$5:$A$373,1)):INDEX($N$5:$N$373,MATCH($A55+90,$A$5:$A$373,1))),"")</f>
        <v>1.00052759312019</v>
      </c>
      <c r="U55" s="11" t="n">
        <f aca="false">IFERROR(Q55/MEDIAN(INDEX($Q$5:$Q$373,MATCH($A55-90,$A$5:$A$373,1)):INDEX($Q$5:$Q$373,MATCH($A55+90,$A$5:$A$373,1))),"")</f>
        <v>0</v>
      </c>
    </row>
    <row r="56" customFormat="false" ht="15" hidden="false" customHeight="false" outlineLevel="0" collapsed="false">
      <c r="A56" s="13" t="n">
        <v>45120.4724605208</v>
      </c>
      <c r="B56" s="8" t="n">
        <v>11</v>
      </c>
      <c r="C56" s="8" t="s">
        <v>73</v>
      </c>
      <c r="D56" s="8" t="s">
        <v>1267</v>
      </c>
      <c r="E56" s="14" t="s">
        <v>66</v>
      </c>
      <c r="F56" s="9" t="n">
        <v>3218</v>
      </c>
      <c r="G56" s="9" t="n">
        <v>559</v>
      </c>
      <c r="H56" s="9" t="n">
        <v>554</v>
      </c>
      <c r="I56" s="9" t="n">
        <v>54</v>
      </c>
      <c r="J56" s="9" t="n">
        <v>26</v>
      </c>
      <c r="K56" s="9" t="n">
        <v>3</v>
      </c>
      <c r="L56" s="9" t="n">
        <v>3</v>
      </c>
      <c r="M56" s="10" t="n">
        <f aca="false">IFERROR(G56/F56,"")</f>
        <v>0.173710379117464</v>
      </c>
      <c r="N56" s="10" t="n">
        <f aca="false">IFERROR(H56/G56,"")</f>
        <v>0.991055456171735</v>
      </c>
      <c r="O56" s="11" t="n">
        <f aca="false">IFERROR(I56/H56,"")</f>
        <v>0.0974729241877256</v>
      </c>
      <c r="P56" s="10" t="n">
        <f aca="false">IFERROR(J56/H56,"")</f>
        <v>0.0469314079422383</v>
      </c>
      <c r="Q56" s="10" t="n">
        <f aca="false">IFERROR(K56/H56,"")</f>
        <v>0.00541516245487365</v>
      </c>
      <c r="R56" s="10" t="n">
        <f aca="false">IFERROR(L56/H56,"")</f>
        <v>0.00541516245487365</v>
      </c>
      <c r="S56" s="11" t="n">
        <f aca="false">IFERROR(M56/MEDIAN(INDEX($M$5:$M$373,MATCH($A56-90,$A$5:$A$373,1)):INDEX($M$5:$M$373,MATCH($A56+90,$A$5:$A$373,1))),"")</f>
        <v>0.904954438270025</v>
      </c>
      <c r="T56" s="11" t="n">
        <f aca="false">IFERROR(N56/MEDIAN(INDEX($N$5:$N$373,MATCH($A56-90,$A$5:$A$373,1)):INDEX($N$5:$N$373,MATCH($A56+90,$A$5:$A$373,1))),"")</f>
        <v>0.993878975989888</v>
      </c>
      <c r="U56" s="11" t="n">
        <f aca="false">IFERROR(Q56/MEDIAN(INDEX($Q$5:$Q$373,MATCH($A56-90,$A$5:$A$373,1)):INDEX($Q$5:$Q$373,MATCH($A56+90,$A$5:$A$373,1))),"")</f>
        <v>0.871841155234657</v>
      </c>
    </row>
    <row r="57" customFormat="false" ht="15" hidden="false" customHeight="false" outlineLevel="0" collapsed="false">
      <c r="A57" s="13" t="n">
        <v>45121.5156067477</v>
      </c>
      <c r="B57" s="8" t="n">
        <v>12</v>
      </c>
      <c r="C57" s="8" t="s">
        <v>84</v>
      </c>
      <c r="D57" s="8" t="s">
        <v>1268</v>
      </c>
      <c r="E57" s="14" t="s">
        <v>66</v>
      </c>
      <c r="F57" s="9" t="n">
        <v>3924</v>
      </c>
      <c r="G57" s="9" t="n">
        <v>782</v>
      </c>
      <c r="H57" s="9" t="n">
        <v>781</v>
      </c>
      <c r="I57" s="9" t="n">
        <v>140</v>
      </c>
      <c r="J57" s="9" t="n">
        <v>23</v>
      </c>
      <c r="K57" s="9" t="n">
        <v>1</v>
      </c>
      <c r="L57" s="9" t="n">
        <v>6</v>
      </c>
      <c r="M57" s="10" t="n">
        <f aca="false">IFERROR(G57/F57,"")</f>
        <v>0.199286442405708</v>
      </c>
      <c r="N57" s="10" t="n">
        <f aca="false">IFERROR(H57/G57,"")</f>
        <v>0.998721227621483</v>
      </c>
      <c r="O57" s="11" t="n">
        <f aca="false">IFERROR(I57/H57,"")</f>
        <v>0.179257362355954</v>
      </c>
      <c r="P57" s="10" t="n">
        <f aca="false">IFERROR(J57/H57,"")</f>
        <v>0.029449423815621</v>
      </c>
      <c r="Q57" s="10" t="n">
        <f aca="false">IFERROR(K57/H57,"")</f>
        <v>0.00128040973111396</v>
      </c>
      <c r="R57" s="10" t="n">
        <f aca="false">IFERROR(L57/H57,"")</f>
        <v>0.00768245838668374</v>
      </c>
      <c r="S57" s="11" t="n">
        <f aca="false">IFERROR(M57/MEDIAN(INDEX($M$5:$M$373,MATCH($A57-90,$A$5:$A$373,1)):INDEX($M$5:$M$373,MATCH($A57+90,$A$5:$A$373,1))),"")</f>
        <v>1.03819444444444</v>
      </c>
      <c r="T57" s="11" t="n">
        <f aca="false">IFERROR(N57/MEDIAN(INDEX($N$5:$N$373,MATCH($A57-90,$A$5:$A$373,1)):INDEX($N$5:$N$373,MATCH($A57+90,$A$5:$A$373,1))),"")</f>
        <v>1.00156658724434</v>
      </c>
      <c r="U57" s="11" t="n">
        <f aca="false">IFERROR(Q57/MEDIAN(INDEX($Q$5:$Q$373,MATCH($A57-90,$A$5:$A$373,1)):INDEX($Q$5:$Q$373,MATCH($A57+90,$A$5:$A$373,1))),"")</f>
        <v>0.206145966709347</v>
      </c>
    </row>
    <row r="58" customFormat="false" ht="15" hidden="false" customHeight="false" outlineLevel="0" collapsed="false">
      <c r="A58" s="13" t="n">
        <v>45122.4941371991</v>
      </c>
      <c r="B58" s="8" t="n">
        <v>11</v>
      </c>
      <c r="C58" s="8" t="s">
        <v>68</v>
      </c>
      <c r="D58" s="8" t="s">
        <v>1269</v>
      </c>
      <c r="E58" s="14" t="s">
        <v>66</v>
      </c>
      <c r="F58" s="9" t="n">
        <v>2078</v>
      </c>
      <c r="G58" s="9" t="n">
        <v>408</v>
      </c>
      <c r="H58" s="9" t="n">
        <v>407</v>
      </c>
      <c r="I58" s="9" t="n">
        <v>6</v>
      </c>
      <c r="J58" s="9" t="n">
        <v>24</v>
      </c>
      <c r="K58" s="9" t="n">
        <v>2</v>
      </c>
      <c r="L58" s="9" t="n">
        <v>0</v>
      </c>
      <c r="M58" s="10" t="n">
        <f aca="false">IFERROR(G58/F58,"")</f>
        <v>0.196342637151107</v>
      </c>
      <c r="N58" s="10" t="n">
        <f aca="false">IFERROR(H58/G58,"")</f>
        <v>0.997549019607843</v>
      </c>
      <c r="O58" s="11" t="n">
        <f aca="false">IFERROR(I58/H58,"")</f>
        <v>0.0147420147420147</v>
      </c>
      <c r="P58" s="10" t="n">
        <f aca="false">IFERROR(J58/H58,"")</f>
        <v>0.058968058968059</v>
      </c>
      <c r="Q58" s="10" t="n">
        <f aca="false">IFERROR(K58/H58,"")</f>
        <v>0.00491400491400491</v>
      </c>
      <c r="R58" s="10" t="n">
        <f aca="false">IFERROR(L58/H58,"")</f>
        <v>0</v>
      </c>
      <c r="S58" s="11" t="n">
        <f aca="false">IFERROR(M58/MEDIAN(INDEX($M$5:$M$373,MATCH($A58-90,$A$5:$A$373,1)):INDEX($M$5:$M$373,MATCH($A58+90,$A$5:$A$373,1))),"")</f>
        <v>1.02285851780558</v>
      </c>
      <c r="T58" s="11" t="n">
        <f aca="false">IFERROR(N58/MEDIAN(INDEX($N$5:$N$373,MATCH($A58-90,$A$5:$A$373,1)):INDEX($N$5:$N$373,MATCH($A58+90,$A$5:$A$373,1))),"")</f>
        <v>1.00039103960673</v>
      </c>
      <c r="U58" s="11" t="n">
        <f aca="false">IFERROR(Q58/MEDIAN(INDEX($Q$5:$Q$373,MATCH($A58-90,$A$5:$A$373,1)):INDEX($Q$5:$Q$373,MATCH($A58+90,$A$5:$A$373,1))),"")</f>
        <v>0.791154791154791</v>
      </c>
    </row>
    <row r="59" customFormat="false" ht="15" hidden="false" customHeight="false" outlineLevel="0" collapsed="false">
      <c r="A59" s="13" t="n">
        <v>45123.4872357176</v>
      </c>
      <c r="B59" s="8" t="n">
        <v>11</v>
      </c>
      <c r="C59" s="8" t="s">
        <v>86</v>
      </c>
      <c r="D59" s="8" t="s">
        <v>1270</v>
      </c>
      <c r="E59" s="14" t="s">
        <v>66</v>
      </c>
      <c r="F59" s="9" t="n">
        <v>1728</v>
      </c>
      <c r="G59" s="9" t="n">
        <v>259</v>
      </c>
      <c r="H59" s="9" t="n">
        <v>259</v>
      </c>
      <c r="I59" s="9" t="n">
        <v>7</v>
      </c>
      <c r="J59" s="9" t="n">
        <v>19</v>
      </c>
      <c r="K59" s="9" t="n">
        <v>17</v>
      </c>
      <c r="L59" s="9" t="n">
        <v>1</v>
      </c>
      <c r="M59" s="10" t="n">
        <f aca="false">IFERROR(G59/F59,"")</f>
        <v>0.149884259259259</v>
      </c>
      <c r="N59" s="10" t="n">
        <f aca="false">IFERROR(H59/G59,"")</f>
        <v>1</v>
      </c>
      <c r="O59" s="11" t="n">
        <f aca="false">IFERROR(I59/H59,"")</f>
        <v>0.027027027027027</v>
      </c>
      <c r="P59" s="10" t="n">
        <f aca="false">IFERROR(J59/H59,"")</f>
        <v>0.0733590733590734</v>
      </c>
      <c r="Q59" s="10" t="n">
        <f aca="false">IFERROR(K59/H59,"")</f>
        <v>0.0656370656370656</v>
      </c>
      <c r="R59" s="10" t="n">
        <f aca="false">IFERROR(L59/H59,"")</f>
        <v>0.00386100386100386</v>
      </c>
      <c r="S59" s="11" t="n">
        <f aca="false">IFERROR(M59/MEDIAN(INDEX($M$5:$M$373,MATCH($A59-90,$A$5:$A$373,1)):INDEX($M$5:$M$373,MATCH($A59+90,$A$5:$A$373,1))),"")</f>
        <v>0.780830865332244</v>
      </c>
      <c r="T59" s="11" t="n">
        <f aca="false">IFERROR(N59/MEDIAN(INDEX($N$5:$N$373,MATCH($A59-90,$A$5:$A$373,1)):INDEX($N$5:$N$373,MATCH($A59+90,$A$5:$A$373,1))),"")</f>
        <v>1.002849002849</v>
      </c>
      <c r="U59" s="11" t="n">
        <f aca="false">IFERROR(Q59/MEDIAN(INDEX($Q$5:$Q$373,MATCH($A59-90,$A$5:$A$373,1)):INDEX($Q$5:$Q$373,MATCH($A59+90,$A$5:$A$373,1))),"")</f>
        <v>10.5675675675676</v>
      </c>
    </row>
    <row r="60" customFormat="false" ht="15" hidden="false" customHeight="false" outlineLevel="0" collapsed="false">
      <c r="A60" s="13" t="n">
        <v>45124.5286774074</v>
      </c>
      <c r="B60" s="8" t="n">
        <v>12</v>
      </c>
      <c r="C60" s="8" t="s">
        <v>80</v>
      </c>
      <c r="D60" s="8" t="s">
        <v>1271</v>
      </c>
      <c r="E60" s="14" t="s">
        <v>66</v>
      </c>
      <c r="F60" s="9" t="n">
        <v>2215</v>
      </c>
      <c r="G60" s="9" t="n">
        <v>286</v>
      </c>
      <c r="H60" s="9" t="n">
        <v>285</v>
      </c>
      <c r="I60" s="9" t="n">
        <v>4</v>
      </c>
      <c r="J60" s="9" t="n">
        <v>16</v>
      </c>
      <c r="K60" s="9" t="n">
        <v>2</v>
      </c>
      <c r="L60" s="9" t="n">
        <v>0</v>
      </c>
      <c r="M60" s="10" t="n">
        <f aca="false">IFERROR(G60/F60,"")</f>
        <v>0.129119638826185</v>
      </c>
      <c r="N60" s="10" t="n">
        <f aca="false">IFERROR(H60/G60,"")</f>
        <v>0.996503496503497</v>
      </c>
      <c r="O60" s="11" t="n">
        <f aca="false">IFERROR(I60/H60,"")</f>
        <v>0.0140350877192982</v>
      </c>
      <c r="P60" s="10" t="n">
        <f aca="false">IFERROR(J60/H60,"")</f>
        <v>0.056140350877193</v>
      </c>
      <c r="Q60" s="10" t="n">
        <f aca="false">IFERROR(K60/H60,"")</f>
        <v>0.00701754385964912</v>
      </c>
      <c r="R60" s="10" t="n">
        <f aca="false">IFERROR(L60/H60,"")</f>
        <v>0</v>
      </c>
      <c r="S60" s="11" t="n">
        <f aca="false">IFERROR(M60/MEDIAN(INDEX($M$5:$M$373,MATCH($A60-90,$A$5:$A$373,1)):INDEX($M$5:$M$373,MATCH($A60+90,$A$5:$A$373,1))),"")</f>
        <v>0.672656353737883</v>
      </c>
      <c r="T60" s="11" t="n">
        <f aca="false">IFERROR(N60/MEDIAN(INDEX($N$5:$N$373,MATCH($A60-90,$A$5:$A$373,1)):INDEX($N$5:$N$373,MATCH($A60+90,$A$5:$A$373,1))),"")</f>
        <v>0.999342537804076</v>
      </c>
      <c r="U60" s="11" t="n">
        <f aca="false">IFERROR(Q60/MEDIAN(INDEX($Q$5:$Q$373,MATCH($A60-90,$A$5:$A$373,1)):INDEX($Q$5:$Q$373,MATCH($A60+90,$A$5:$A$373,1))),"")</f>
        <v>1.12982456140351</v>
      </c>
    </row>
    <row r="61" customFormat="false" ht="15" hidden="false" customHeight="false" outlineLevel="0" collapsed="false">
      <c r="A61" s="13" t="n">
        <v>45125.5023266088</v>
      </c>
      <c r="B61" s="8" t="n">
        <v>12</v>
      </c>
      <c r="C61" s="8" t="s">
        <v>64</v>
      </c>
      <c r="D61" s="8" t="s">
        <v>1272</v>
      </c>
      <c r="E61" s="14" t="s">
        <v>66</v>
      </c>
      <c r="F61" s="9" t="n">
        <v>3140</v>
      </c>
      <c r="G61" s="9" t="n">
        <v>1093</v>
      </c>
      <c r="H61" s="9" t="n">
        <v>1092</v>
      </c>
      <c r="I61" s="9" t="n">
        <v>18</v>
      </c>
      <c r="J61" s="9" t="n">
        <v>31</v>
      </c>
      <c r="K61" s="9" t="n">
        <v>2</v>
      </c>
      <c r="L61" s="9" t="n">
        <v>0</v>
      </c>
      <c r="M61" s="10" t="n">
        <f aca="false">IFERROR(G61/F61,"")</f>
        <v>0.348089171974522</v>
      </c>
      <c r="N61" s="10" t="n">
        <f aca="false">IFERROR(H61/G61,"")</f>
        <v>0.999085086916743</v>
      </c>
      <c r="O61" s="11" t="n">
        <f aca="false">IFERROR(I61/H61,"")</f>
        <v>0.0164835164835165</v>
      </c>
      <c r="P61" s="10" t="n">
        <f aca="false">IFERROR(J61/H61,"")</f>
        <v>0.0283882783882784</v>
      </c>
      <c r="Q61" s="10" t="n">
        <f aca="false">IFERROR(K61/H61,"")</f>
        <v>0.00183150183150183</v>
      </c>
      <c r="R61" s="10" t="n">
        <f aca="false">IFERROR(L61/H61,"")</f>
        <v>0</v>
      </c>
      <c r="S61" s="11" t="n">
        <f aca="false">IFERROR(M61/MEDIAN(INDEX($M$5:$M$373,MATCH($A61-90,$A$5:$A$373,1)):INDEX($M$5:$M$373,MATCH($A61+90,$A$5:$A$373,1))),"")</f>
        <v>1.81339101723492</v>
      </c>
      <c r="T61" s="11" t="n">
        <f aca="false">IFERROR(N61/MEDIAN(INDEX($N$5:$N$373,MATCH($A61-90,$A$5:$A$373,1)):INDEX($N$5:$N$373,MATCH($A61+90,$A$5:$A$373,1))),"")</f>
        <v>1.00193148317576</v>
      </c>
      <c r="U61" s="11" t="n">
        <f aca="false">IFERROR(Q61/MEDIAN(INDEX($Q$5:$Q$373,MATCH($A61-90,$A$5:$A$373,1)):INDEX($Q$5:$Q$373,MATCH($A61+90,$A$5:$A$373,1))),"")</f>
        <v>0.294871794871795</v>
      </c>
    </row>
    <row r="62" customFormat="false" ht="15" hidden="false" customHeight="false" outlineLevel="0" collapsed="false">
      <c r="A62" s="13" t="n">
        <v>45126.4855091898</v>
      </c>
      <c r="B62" s="8" t="n">
        <v>11</v>
      </c>
      <c r="C62" s="8" t="s">
        <v>71</v>
      </c>
      <c r="D62" s="8" t="s">
        <v>1273</v>
      </c>
      <c r="E62" s="14" t="s">
        <v>66</v>
      </c>
      <c r="F62" s="9" t="n">
        <v>2039</v>
      </c>
      <c r="G62" s="9" t="n">
        <v>377</v>
      </c>
      <c r="H62" s="9" t="n">
        <v>378</v>
      </c>
      <c r="I62" s="9" t="n">
        <v>10</v>
      </c>
      <c r="J62" s="9" t="n">
        <v>36</v>
      </c>
      <c r="K62" s="9" t="n">
        <v>1</v>
      </c>
      <c r="L62" s="9" t="n">
        <v>1</v>
      </c>
      <c r="M62" s="10" t="n">
        <f aca="false">IFERROR(G62/F62,"")</f>
        <v>0.184894556154978</v>
      </c>
      <c r="N62" s="10" t="n">
        <f aca="false">IFERROR(H62/G62,"")</f>
        <v>1.0026525198939</v>
      </c>
      <c r="O62" s="11" t="n">
        <f aca="false">IFERROR(I62/H62,"")</f>
        <v>0.0264550264550265</v>
      </c>
      <c r="P62" s="10" t="n">
        <f aca="false">IFERROR(J62/H62,"")</f>
        <v>0.0952380952380952</v>
      </c>
      <c r="Q62" s="10" t="n">
        <f aca="false">IFERROR(K62/H62,"")</f>
        <v>0.00264550264550265</v>
      </c>
      <c r="R62" s="10" t="n">
        <f aca="false">IFERROR(L62/H62,"")</f>
        <v>0.00264550264550265</v>
      </c>
      <c r="S62" s="11" t="n">
        <f aca="false">IFERROR(M62/MEDIAN(INDEX($M$5:$M$373,MATCH($A62-90,$A$5:$A$373,1)):INDEX($M$5:$M$373,MATCH($A62+90,$A$5:$A$373,1))),"")</f>
        <v>0.960552192388989</v>
      </c>
      <c r="T62" s="11" t="n">
        <f aca="false">IFERROR(N62/MEDIAN(INDEX($N$5:$N$373,MATCH($A62-90,$A$5:$A$373,1)):INDEX($N$5:$N$373,MATCH($A62+90,$A$5:$A$373,1))),"")</f>
        <v>1.00559996210637</v>
      </c>
      <c r="U62" s="11" t="n">
        <f aca="false">IFERROR(Q62/MEDIAN(INDEX($Q$5:$Q$373,MATCH($A62-90,$A$5:$A$373,1)):INDEX($Q$5:$Q$373,MATCH($A62+90,$A$5:$A$373,1))),"")</f>
        <v>0.424820773030425</v>
      </c>
    </row>
    <row r="63" customFormat="false" ht="15" hidden="false" customHeight="false" outlineLevel="0" collapsed="false">
      <c r="A63" s="13" t="n">
        <v>45127.508626169</v>
      </c>
      <c r="B63" s="8" t="n">
        <v>12</v>
      </c>
      <c r="C63" s="8" t="s">
        <v>73</v>
      </c>
      <c r="D63" s="8" t="s">
        <v>1274</v>
      </c>
      <c r="E63" s="14" t="s">
        <v>66</v>
      </c>
      <c r="F63" s="9" t="n">
        <v>2730</v>
      </c>
      <c r="G63" s="9" t="n">
        <v>601</v>
      </c>
      <c r="H63" s="9" t="n">
        <v>600</v>
      </c>
      <c r="I63" s="9" t="n">
        <v>16</v>
      </c>
      <c r="J63" s="9" t="n">
        <v>23</v>
      </c>
      <c r="K63" s="9" t="n">
        <v>2</v>
      </c>
      <c r="L63" s="9" t="n">
        <v>0</v>
      </c>
      <c r="M63" s="10" t="n">
        <f aca="false">IFERROR(G63/F63,"")</f>
        <v>0.22014652014652</v>
      </c>
      <c r="N63" s="10" t="n">
        <f aca="false">IFERROR(H63/G63,"")</f>
        <v>0.998336106489185</v>
      </c>
      <c r="O63" s="11" t="n">
        <f aca="false">IFERROR(I63/H63,"")</f>
        <v>0.0266666666666667</v>
      </c>
      <c r="P63" s="10" t="n">
        <f aca="false">IFERROR(J63/H63,"")</f>
        <v>0.0383333333333333</v>
      </c>
      <c r="Q63" s="10" t="n">
        <f aca="false">IFERROR(K63/H63,"")</f>
        <v>0.00333333333333333</v>
      </c>
      <c r="R63" s="10" t="n">
        <f aca="false">IFERROR(L63/H63,"")</f>
        <v>0</v>
      </c>
      <c r="S63" s="11" t="n">
        <f aca="false">IFERROR(M63/MEDIAN(INDEX($M$5:$M$373,MATCH($A63-90,$A$5:$A$373,1)):INDEX($M$5:$M$373,MATCH($A63+90,$A$5:$A$373,1))),"")</f>
        <v>1.14053310155005</v>
      </c>
      <c r="T63" s="11" t="n">
        <f aca="false">IFERROR(N63/MEDIAN(INDEX($N$5:$N$373,MATCH($A63-90,$A$5:$A$373,1)):INDEX($N$5:$N$373,MATCH($A63+90,$A$5:$A$373,1))),"")</f>
        <v>1.00136136741794</v>
      </c>
      <c r="U63" s="11" t="n">
        <f aca="false">IFERROR(Q63/MEDIAN(INDEX($Q$5:$Q$373,MATCH($A63-90,$A$5:$A$373,1)):INDEX($Q$5:$Q$373,MATCH($A63+90,$A$5:$A$373,1))),"")</f>
        <v>0.533888888888889</v>
      </c>
    </row>
    <row r="64" customFormat="false" ht="15" hidden="false" customHeight="false" outlineLevel="0" collapsed="false">
      <c r="A64" s="13" t="n">
        <v>45128.5313911574</v>
      </c>
      <c r="B64" s="8" t="n">
        <v>12</v>
      </c>
      <c r="C64" s="8" t="s">
        <v>84</v>
      </c>
      <c r="D64" s="8" t="s">
        <v>1275</v>
      </c>
      <c r="E64" s="14" t="s">
        <v>66</v>
      </c>
      <c r="F64" s="9" t="n">
        <v>1834</v>
      </c>
      <c r="G64" s="9" t="n">
        <v>354</v>
      </c>
      <c r="H64" s="9" t="n">
        <v>353</v>
      </c>
      <c r="I64" s="9" t="n">
        <v>4</v>
      </c>
      <c r="J64" s="9" t="n">
        <v>20</v>
      </c>
      <c r="K64" s="9" t="n">
        <v>0</v>
      </c>
      <c r="L64" s="9" t="n">
        <v>1</v>
      </c>
      <c r="M64" s="10" t="n">
        <f aca="false">IFERROR(G64/F64,"")</f>
        <v>0.193020719738277</v>
      </c>
      <c r="N64" s="10" t="n">
        <f aca="false">IFERROR(H64/G64,"")</f>
        <v>0.997175141242938</v>
      </c>
      <c r="O64" s="11" t="n">
        <f aca="false">IFERROR(I64/H64,"")</f>
        <v>0.0113314447592068</v>
      </c>
      <c r="P64" s="10" t="n">
        <f aca="false">IFERROR(J64/H64,"")</f>
        <v>0.056657223796034</v>
      </c>
      <c r="Q64" s="10" t="n">
        <f aca="false">IFERROR(K64/H64,"")</f>
        <v>0</v>
      </c>
      <c r="R64" s="10" t="n">
        <f aca="false">IFERROR(L64/H64,"")</f>
        <v>0.0028328611898017</v>
      </c>
      <c r="S64" s="11" t="n">
        <f aca="false">IFERROR(M64/MEDIAN(INDEX($M$5:$M$373,MATCH($A64-90,$A$5:$A$373,1)):INDEX($M$5:$M$373,MATCH($A64+90,$A$5:$A$373,1))),"")</f>
        <v>1</v>
      </c>
      <c r="T64" s="11" t="n">
        <f aca="false">IFERROR(N64/MEDIAN(INDEX($N$5:$N$373,MATCH($A64-90,$A$5:$A$373,1)):INDEX($N$5:$N$373,MATCH($A64+90,$A$5:$A$373,1))),"")</f>
        <v>1.00019688409519</v>
      </c>
      <c r="U64" s="11" t="n">
        <f aca="false">IFERROR(Q64/MEDIAN(INDEX($Q$5:$Q$373,MATCH($A64-90,$A$5:$A$373,1)):INDEX($Q$5:$Q$373,MATCH($A64+90,$A$5:$A$373,1))),"")</f>
        <v>0</v>
      </c>
    </row>
    <row r="65" customFormat="false" ht="15" hidden="false" customHeight="false" outlineLevel="0" collapsed="false">
      <c r="A65" s="13" t="n">
        <v>45129.5026326042</v>
      </c>
      <c r="B65" s="8" t="n">
        <v>12</v>
      </c>
      <c r="C65" s="8" t="s">
        <v>68</v>
      </c>
      <c r="D65" s="8" t="s">
        <v>1276</v>
      </c>
      <c r="E65" s="14" t="s">
        <v>66</v>
      </c>
      <c r="F65" s="9" t="n">
        <v>2707</v>
      </c>
      <c r="G65" s="9" t="n">
        <v>493</v>
      </c>
      <c r="H65" s="9" t="n">
        <v>493</v>
      </c>
      <c r="I65" s="9" t="n">
        <v>12</v>
      </c>
      <c r="J65" s="9" t="n">
        <v>26</v>
      </c>
      <c r="K65" s="9" t="n">
        <v>2</v>
      </c>
      <c r="L65" s="9" t="n">
        <v>1</v>
      </c>
      <c r="M65" s="10" t="n">
        <f aca="false">IFERROR(G65/F65,"")</f>
        <v>0.182120428518655</v>
      </c>
      <c r="N65" s="10" t="n">
        <f aca="false">IFERROR(H65/G65,"")</f>
        <v>1</v>
      </c>
      <c r="O65" s="11" t="n">
        <f aca="false">IFERROR(I65/H65,"")</f>
        <v>0.0243407707910751</v>
      </c>
      <c r="P65" s="10" t="n">
        <f aca="false">IFERROR(J65/H65,"")</f>
        <v>0.0527383367139959</v>
      </c>
      <c r="Q65" s="10" t="n">
        <f aca="false">IFERROR(K65/H65,"")</f>
        <v>0.00405679513184584</v>
      </c>
      <c r="R65" s="10" t="n">
        <f aca="false">IFERROR(L65/H65,"")</f>
        <v>0.00202839756592292</v>
      </c>
      <c r="S65" s="11" t="n">
        <f aca="false">IFERROR(M65/MEDIAN(INDEX($M$5:$M$373,MATCH($A65-90,$A$5:$A$373,1)):INDEX($M$5:$M$373,MATCH($A65+90,$A$5:$A$373,1))),"")</f>
        <v>0.94352786978309</v>
      </c>
      <c r="T65" s="11" t="n">
        <f aca="false">IFERROR(N65/MEDIAN(INDEX($N$5:$N$373,MATCH($A65-90,$A$5:$A$373,1)):INDEX($N$5:$N$373,MATCH($A65+90,$A$5:$A$373,1))),"")</f>
        <v>1.0030303030303</v>
      </c>
      <c r="U65" s="11" t="n">
        <f aca="false">IFERROR(Q65/MEDIAN(INDEX($Q$5:$Q$373,MATCH($A65-90,$A$5:$A$373,1)):INDEX($Q$5:$Q$373,MATCH($A65+90,$A$5:$A$373,1))),"")</f>
        <v>0.649763353617309</v>
      </c>
    </row>
    <row r="66" customFormat="false" ht="15" hidden="false" customHeight="false" outlineLevel="0" collapsed="false">
      <c r="A66" s="13" t="n">
        <v>45130.4991981366</v>
      </c>
      <c r="B66" s="8" t="n">
        <v>11</v>
      </c>
      <c r="C66" s="8" t="s">
        <v>86</v>
      </c>
      <c r="D66" s="8" t="s">
        <v>1277</v>
      </c>
      <c r="E66" s="14" t="s">
        <v>66</v>
      </c>
      <c r="F66" s="9" t="n">
        <v>3228</v>
      </c>
      <c r="G66" s="9" t="n">
        <v>693</v>
      </c>
      <c r="H66" s="9" t="n">
        <v>692</v>
      </c>
      <c r="I66" s="9" t="n">
        <v>22</v>
      </c>
      <c r="J66" s="9" t="n">
        <v>36</v>
      </c>
      <c r="K66" s="9" t="n">
        <v>6</v>
      </c>
      <c r="L66" s="9" t="n">
        <v>1</v>
      </c>
      <c r="M66" s="10" t="n">
        <f aca="false">IFERROR(G66/F66,"")</f>
        <v>0.214684014869888</v>
      </c>
      <c r="N66" s="10" t="n">
        <f aca="false">IFERROR(H66/G66,"")</f>
        <v>0.998556998556999</v>
      </c>
      <c r="O66" s="11" t="n">
        <f aca="false">IFERROR(I66/H66,"")</f>
        <v>0.0317919075144509</v>
      </c>
      <c r="P66" s="10" t="n">
        <f aca="false">IFERROR(J66/H66,"")</f>
        <v>0.0520231213872832</v>
      </c>
      <c r="Q66" s="10" t="n">
        <f aca="false">IFERROR(K66/H66,"")</f>
        <v>0.00867052023121387</v>
      </c>
      <c r="R66" s="10" t="n">
        <f aca="false">IFERROR(L66/H66,"")</f>
        <v>0.00144508670520231</v>
      </c>
      <c r="S66" s="11" t="n">
        <f aca="false">IFERROR(M66/MEDIAN(INDEX($M$5:$M$373,MATCH($A66-90,$A$5:$A$373,1)):INDEX($M$5:$M$373,MATCH($A66+90,$A$5:$A$373,1))),"")</f>
        <v>1.10274380509247</v>
      </c>
      <c r="T66" s="11" t="n">
        <f aca="false">IFERROR(N66/MEDIAN(INDEX($N$5:$N$373,MATCH($A66-90,$A$5:$A$373,1)):INDEX($N$5:$N$373,MATCH($A66+90,$A$5:$A$373,1))),"")</f>
        <v>1.00149240139169</v>
      </c>
      <c r="U66" s="11" t="n">
        <f aca="false">IFERROR(Q66/MEDIAN(INDEX($Q$5:$Q$373,MATCH($A66-90,$A$5:$A$373,1)):INDEX($Q$5:$Q$373,MATCH($A66+90,$A$5:$A$373,1))),"")</f>
        <v>1.39233166652168</v>
      </c>
    </row>
    <row r="67" customFormat="false" ht="15" hidden="false" customHeight="false" outlineLevel="0" collapsed="false">
      <c r="A67" s="13" t="n">
        <v>45131.4769328125</v>
      </c>
      <c r="B67" s="8" t="n">
        <v>11</v>
      </c>
      <c r="C67" s="8" t="s">
        <v>80</v>
      </c>
      <c r="D67" s="8" t="s">
        <v>1278</v>
      </c>
      <c r="E67" s="14" t="s">
        <v>66</v>
      </c>
      <c r="F67" s="9" t="n">
        <v>1956</v>
      </c>
      <c r="G67" s="9" t="n">
        <v>375</v>
      </c>
      <c r="H67" s="9" t="n">
        <v>373</v>
      </c>
      <c r="I67" s="9" t="n">
        <v>5</v>
      </c>
      <c r="J67" s="9" t="n">
        <v>29</v>
      </c>
      <c r="K67" s="9" t="n">
        <v>7</v>
      </c>
      <c r="L67" s="9" t="n">
        <v>0</v>
      </c>
      <c r="M67" s="10" t="n">
        <f aca="false">IFERROR(G67/F67,"")</f>
        <v>0.191717791411043</v>
      </c>
      <c r="N67" s="10" t="n">
        <f aca="false">IFERROR(H67/G67,"")</f>
        <v>0.994666666666667</v>
      </c>
      <c r="O67" s="11" t="n">
        <f aca="false">IFERROR(I67/H67,"")</f>
        <v>0.0134048257372654</v>
      </c>
      <c r="P67" s="10" t="n">
        <f aca="false">IFERROR(J67/H67,"")</f>
        <v>0.0777479892761394</v>
      </c>
      <c r="Q67" s="10" t="n">
        <f aca="false">IFERROR(K67/H67,"")</f>
        <v>0.0187667560321716</v>
      </c>
      <c r="R67" s="10" t="n">
        <f aca="false">IFERROR(L67/H67,"")</f>
        <v>0</v>
      </c>
      <c r="S67" s="11" t="n">
        <f aca="false">IFERROR(M67/MEDIAN(INDEX($M$5:$M$373,MATCH($A67-90,$A$5:$A$373,1)):INDEX($M$5:$M$373,MATCH($A67+90,$A$5:$A$373,1))),"")</f>
        <v>0.984775726933693</v>
      </c>
      <c r="T67" s="11" t="n">
        <f aca="false">IFERROR(N67/MEDIAN(INDEX($N$5:$N$373,MATCH($A67-90,$A$5:$A$373,1)):INDEX($N$5:$N$373,MATCH($A67+90,$A$5:$A$373,1))),"")</f>
        <v>0.997590633307653</v>
      </c>
      <c r="U67" s="11" t="n">
        <f aca="false">IFERROR(Q67/MEDIAN(INDEX($Q$5:$Q$373,MATCH($A67-90,$A$5:$A$373,1)):INDEX($Q$5:$Q$373,MATCH($A67+90,$A$5:$A$373,1))),"")</f>
        <v>3.01360795023728</v>
      </c>
    </row>
    <row r="68" customFormat="false" ht="15" hidden="false" customHeight="false" outlineLevel="0" collapsed="false">
      <c r="A68" s="13" t="n">
        <v>45132.4771162153</v>
      </c>
      <c r="B68" s="8" t="n">
        <v>11</v>
      </c>
      <c r="C68" s="8" t="s">
        <v>64</v>
      </c>
      <c r="D68" s="8" t="s">
        <v>1279</v>
      </c>
      <c r="E68" s="14" t="s">
        <v>66</v>
      </c>
      <c r="F68" s="9" t="n">
        <v>2948</v>
      </c>
      <c r="G68" s="9" t="n">
        <v>621</v>
      </c>
      <c r="H68" s="9" t="n">
        <v>621</v>
      </c>
      <c r="I68" s="9" t="n">
        <v>31</v>
      </c>
      <c r="J68" s="9" t="n">
        <v>23</v>
      </c>
      <c r="K68" s="9" t="n">
        <v>0</v>
      </c>
      <c r="L68" s="9" t="n">
        <v>0</v>
      </c>
      <c r="M68" s="10" t="n">
        <f aca="false">IFERROR(G68/F68,"")</f>
        <v>0.210651289009498</v>
      </c>
      <c r="N68" s="10" t="n">
        <f aca="false">IFERROR(H68/G68,"")</f>
        <v>1</v>
      </c>
      <c r="O68" s="11" t="n">
        <f aca="false">IFERROR(I68/H68,"")</f>
        <v>0.0499194847020934</v>
      </c>
      <c r="P68" s="10" t="n">
        <f aca="false">IFERROR(J68/H68,"")</f>
        <v>0.037037037037037</v>
      </c>
      <c r="Q68" s="10" t="n">
        <f aca="false">IFERROR(K68/H68,"")</f>
        <v>0</v>
      </c>
      <c r="R68" s="10" t="n">
        <f aca="false">IFERROR(L68/H68,"")</f>
        <v>0</v>
      </c>
      <c r="S68" s="11" t="n">
        <f aca="false">IFERROR(M68/MEDIAN(INDEX($M$5:$M$373,MATCH($A68-90,$A$5:$A$373,1)):INDEX($M$5:$M$373,MATCH($A68+90,$A$5:$A$373,1))),"")</f>
        <v>1.09134029390796</v>
      </c>
      <c r="T68" s="11" t="n">
        <f aca="false">IFERROR(N68/MEDIAN(INDEX($N$5:$N$373,MATCH($A68-90,$A$5:$A$373,1)):INDEX($N$5:$N$373,MATCH($A68+90,$A$5:$A$373,1))),"")</f>
        <v>1.002849002849</v>
      </c>
      <c r="U68" s="11" t="n">
        <f aca="false">IFERROR(Q68/MEDIAN(INDEX($Q$5:$Q$373,MATCH($A68-90,$A$5:$A$373,1)):INDEX($Q$5:$Q$373,MATCH($A68+90,$A$5:$A$373,1))),"")</f>
        <v>0</v>
      </c>
    </row>
    <row r="69" customFormat="false" ht="15" hidden="false" customHeight="false" outlineLevel="0" collapsed="false">
      <c r="A69" s="13" t="n">
        <v>45133.459212419</v>
      </c>
      <c r="B69" s="8" t="n">
        <v>11</v>
      </c>
      <c r="C69" s="8" t="s">
        <v>71</v>
      </c>
      <c r="D69" s="8" t="s">
        <v>1280</v>
      </c>
      <c r="E69" s="14" t="s">
        <v>66</v>
      </c>
      <c r="F69" s="9" t="n">
        <v>2557</v>
      </c>
      <c r="G69" s="9" t="n">
        <v>572</v>
      </c>
      <c r="H69" s="9" t="n">
        <v>569</v>
      </c>
      <c r="I69" s="9" t="n">
        <v>19</v>
      </c>
      <c r="J69" s="9" t="n">
        <v>38</v>
      </c>
      <c r="K69" s="9" t="n">
        <v>10</v>
      </c>
      <c r="L69" s="9" t="n">
        <v>1</v>
      </c>
      <c r="M69" s="10" t="n">
        <f aca="false">IFERROR(G69/F69,"")</f>
        <v>0.223699648025029</v>
      </c>
      <c r="N69" s="10" t="n">
        <f aca="false">IFERROR(H69/G69,"")</f>
        <v>0.994755244755245</v>
      </c>
      <c r="O69" s="11" t="n">
        <f aca="false">IFERROR(I69/H69,"")</f>
        <v>0.0333919156414763</v>
      </c>
      <c r="P69" s="10" t="n">
        <f aca="false">IFERROR(J69/H69,"")</f>
        <v>0.0667838312829526</v>
      </c>
      <c r="Q69" s="10" t="n">
        <f aca="false">IFERROR(K69/H69,"")</f>
        <v>0.0175746924428823</v>
      </c>
      <c r="R69" s="10" t="n">
        <f aca="false">IFERROR(L69/H69,"")</f>
        <v>0.00175746924428822</v>
      </c>
      <c r="S69" s="11" t="n">
        <f aca="false">IFERROR(M69/MEDIAN(INDEX($M$5:$M$373,MATCH($A69-90,$A$5:$A$373,1)):INDEX($M$5:$M$373,MATCH($A69+90,$A$5:$A$373,1))),"")</f>
        <v>1.15894111434436</v>
      </c>
      <c r="T69" s="11" t="n">
        <f aca="false">IFERROR(N69/MEDIAN(INDEX($N$5:$N$373,MATCH($A69-90,$A$5:$A$373,1)):INDEX($N$5:$N$373,MATCH($A69+90,$A$5:$A$373,1))),"")</f>
        <v>0.997589305281613</v>
      </c>
      <c r="U69" s="11" t="n">
        <f aca="false">IFERROR(Q69/MEDIAN(INDEX($Q$5:$Q$373,MATCH($A69-90,$A$5:$A$373,1)):INDEX($Q$5:$Q$373,MATCH($A69+90,$A$5:$A$373,1))),"")</f>
        <v>2.81487990626831</v>
      </c>
    </row>
    <row r="70" customFormat="false" ht="15" hidden="false" customHeight="false" outlineLevel="0" collapsed="false">
      <c r="A70" s="13" t="n">
        <v>45134.4431479051</v>
      </c>
      <c r="B70" s="8" t="n">
        <v>10</v>
      </c>
      <c r="C70" s="8" t="s">
        <v>73</v>
      </c>
      <c r="D70" s="8" t="s">
        <v>1281</v>
      </c>
      <c r="E70" s="14" t="s">
        <v>66</v>
      </c>
      <c r="F70" s="9" t="n">
        <v>7851</v>
      </c>
      <c r="G70" s="9" t="n">
        <v>1382</v>
      </c>
      <c r="H70" s="9" t="n">
        <v>1381</v>
      </c>
      <c r="I70" s="9" t="n">
        <v>26</v>
      </c>
      <c r="J70" s="9" t="n">
        <v>34</v>
      </c>
      <c r="K70" s="9" t="n">
        <v>5</v>
      </c>
      <c r="L70" s="9" t="n">
        <v>1</v>
      </c>
      <c r="M70" s="10" t="n">
        <f aca="false">IFERROR(G70/F70,"")</f>
        <v>0.176028531397274</v>
      </c>
      <c r="N70" s="10" t="n">
        <f aca="false">IFERROR(H70/G70,"")</f>
        <v>0.999276410998553</v>
      </c>
      <c r="O70" s="11" t="n">
        <f aca="false">IFERROR(I70/H70,"")</f>
        <v>0.0188269370021723</v>
      </c>
      <c r="P70" s="10" t="n">
        <f aca="false">IFERROR(J70/H70,"")</f>
        <v>0.0246198406951484</v>
      </c>
      <c r="Q70" s="10" t="n">
        <f aca="false">IFERROR(K70/H70,"")</f>
        <v>0.00362056480811007</v>
      </c>
      <c r="R70" s="10" t="n">
        <f aca="false">IFERROR(L70/H70,"")</f>
        <v>0.000724112961622013</v>
      </c>
      <c r="S70" s="11" t="n">
        <f aca="false">IFERROR(M70/MEDIAN(INDEX($M$5:$M$373,MATCH($A70-90,$A$5:$A$373,1)):INDEX($M$5:$M$373,MATCH($A70+90,$A$5:$A$373,1))),"")</f>
        <v>0.911967024244635</v>
      </c>
      <c r="T70" s="11" t="n">
        <f aca="false">IFERROR(N70/MEDIAN(INDEX($N$5:$N$373,MATCH($A70-90,$A$5:$A$373,1)):INDEX($N$5:$N$373,MATCH($A70+90,$A$5:$A$373,1))),"")</f>
        <v>1.00212335234043</v>
      </c>
      <c r="U70" s="11" t="n">
        <f aca="false">IFERROR(Q70/MEDIAN(INDEX($Q$5:$Q$373,MATCH($A70-90,$A$5:$A$373,1)):INDEX($Q$5:$Q$373,MATCH($A70+90,$A$5:$A$373,1))),"")</f>
        <v>0.579893796765629</v>
      </c>
    </row>
    <row r="71" customFormat="false" ht="15" hidden="false" customHeight="false" outlineLevel="0" collapsed="false">
      <c r="A71" s="13" t="n">
        <v>45135.4726763889</v>
      </c>
      <c r="B71" s="8" t="n">
        <v>11</v>
      </c>
      <c r="C71" s="8" t="s">
        <v>84</v>
      </c>
      <c r="D71" s="8" t="s">
        <v>1282</v>
      </c>
      <c r="E71" s="14" t="s">
        <v>66</v>
      </c>
      <c r="F71" s="9" t="n">
        <v>52021</v>
      </c>
      <c r="G71" s="9" t="n">
        <v>17236</v>
      </c>
      <c r="H71" s="9" t="n">
        <v>17235</v>
      </c>
      <c r="I71" s="9" t="n">
        <v>1043</v>
      </c>
      <c r="J71" s="9" t="n">
        <v>127</v>
      </c>
      <c r="K71" s="9" t="n">
        <v>101</v>
      </c>
      <c r="L71" s="9" t="n">
        <v>6</v>
      </c>
      <c r="M71" s="10" t="n">
        <f aca="false">IFERROR(G71/F71,"")</f>
        <v>0.331327733030891</v>
      </c>
      <c r="N71" s="10" t="n">
        <f aca="false">IFERROR(H71/G71,"")</f>
        <v>0.999941981898352</v>
      </c>
      <c r="O71" s="11" t="n">
        <f aca="false">IFERROR(I71/H71,"")</f>
        <v>0.0605163910646939</v>
      </c>
      <c r="P71" s="10" t="n">
        <f aca="false">IFERROR(J71/H71,"")</f>
        <v>0.00736872642877865</v>
      </c>
      <c r="Q71" s="10" t="n">
        <f aca="false">IFERROR(K71/H71,"")</f>
        <v>0.00586016826225704</v>
      </c>
      <c r="R71" s="10" t="n">
        <f aca="false">IFERROR(L71/H71,"")</f>
        <v>0.000348128807658834</v>
      </c>
      <c r="S71" s="11" t="n">
        <f aca="false">IFERROR(M71/MEDIAN(INDEX($M$5:$M$373,MATCH($A71-90,$A$5:$A$373,1)):INDEX($M$5:$M$373,MATCH($A71+90,$A$5:$A$373,1))),"")</f>
        <v>1.71653972423349</v>
      </c>
      <c r="T71" s="11" t="n">
        <f aca="false">IFERROR(N71/MEDIAN(INDEX($N$5:$N$373,MATCH($A71-90,$A$5:$A$373,1)):INDEX($N$5:$N$373,MATCH($A71+90,$A$5:$A$373,1))),"")</f>
        <v>1.00279081945362</v>
      </c>
      <c r="U71" s="11" t="n">
        <f aca="false">IFERROR(Q71/MEDIAN(INDEX($Q$5:$Q$373,MATCH($A71-90,$A$5:$A$373,1)):INDEX($Q$5:$Q$373,MATCH($A71+90,$A$5:$A$373,1))),"")</f>
        <v>0.938603616671502</v>
      </c>
    </row>
    <row r="72" customFormat="false" ht="15" hidden="false" customHeight="false" outlineLevel="0" collapsed="false">
      <c r="A72" s="13" t="n">
        <v>45136.4310574074</v>
      </c>
      <c r="B72" s="8" t="n">
        <v>10</v>
      </c>
      <c r="C72" s="8" t="s">
        <v>68</v>
      </c>
      <c r="D72" s="8" t="s">
        <v>1283</v>
      </c>
      <c r="E72" s="14" t="s">
        <v>66</v>
      </c>
      <c r="F72" s="9" t="n">
        <v>4039</v>
      </c>
      <c r="G72" s="9" t="n">
        <v>1060</v>
      </c>
      <c r="H72" s="9" t="n">
        <v>1058</v>
      </c>
      <c r="I72" s="9" t="n">
        <v>142</v>
      </c>
      <c r="J72" s="9" t="n">
        <v>50</v>
      </c>
      <c r="K72" s="9" t="n">
        <v>4</v>
      </c>
      <c r="L72" s="9" t="n">
        <v>10</v>
      </c>
      <c r="M72" s="10" t="n">
        <f aca="false">IFERROR(G72/F72,"")</f>
        <v>0.262441198316415</v>
      </c>
      <c r="N72" s="10" t="n">
        <f aca="false">IFERROR(H72/G72,"")</f>
        <v>0.99811320754717</v>
      </c>
      <c r="O72" s="11" t="n">
        <f aca="false">IFERROR(I72/H72,"")</f>
        <v>0.13421550094518</v>
      </c>
      <c r="P72" s="10" t="n">
        <f aca="false">IFERROR(J72/H72,"")</f>
        <v>0.0472589792060492</v>
      </c>
      <c r="Q72" s="10" t="n">
        <f aca="false">IFERROR(K72/H72,"")</f>
        <v>0.00378071833648393</v>
      </c>
      <c r="R72" s="10" t="n">
        <f aca="false">IFERROR(L72/H72,"")</f>
        <v>0.00945179584120983</v>
      </c>
      <c r="S72" s="11" t="n">
        <f aca="false">IFERROR(M72/MEDIAN(INDEX($M$5:$M$373,MATCH($A72-90,$A$5:$A$373,1)):INDEX($M$5:$M$373,MATCH($A72+90,$A$5:$A$373,1))),"")</f>
        <v>1.35965298788787</v>
      </c>
      <c r="T72" s="11" t="n">
        <f aca="false">IFERROR(N72/MEDIAN(INDEX($N$5:$N$373,MATCH($A72-90,$A$5:$A$373,1)):INDEX($N$5:$N$373,MATCH($A72+90,$A$5:$A$373,1))),"")</f>
        <v>1.0009568349191</v>
      </c>
      <c r="U72" s="11" t="n">
        <f aca="false">IFERROR(Q72/MEDIAN(INDEX($Q$5:$Q$373,MATCH($A72-90,$A$5:$A$373,1)):INDEX($Q$5:$Q$373,MATCH($A72+90,$A$5:$A$373,1))),"")</f>
        <v>0.605545053560177</v>
      </c>
    </row>
    <row r="73" customFormat="false" ht="15" hidden="false" customHeight="false" outlineLevel="0" collapsed="false">
      <c r="A73" s="13" t="n">
        <v>45137.4978355671</v>
      </c>
      <c r="B73" s="8" t="n">
        <v>11</v>
      </c>
      <c r="C73" s="8" t="s">
        <v>86</v>
      </c>
      <c r="D73" s="8" t="s">
        <v>1284</v>
      </c>
      <c r="E73" s="14" t="s">
        <v>66</v>
      </c>
      <c r="F73" s="9" t="n">
        <v>6563</v>
      </c>
      <c r="G73" s="9" t="n">
        <v>1729</v>
      </c>
      <c r="H73" s="9" t="n">
        <v>1728</v>
      </c>
      <c r="I73" s="9" t="n">
        <v>91</v>
      </c>
      <c r="J73" s="9" t="n">
        <v>51</v>
      </c>
      <c r="K73" s="9" t="n">
        <v>16</v>
      </c>
      <c r="L73" s="9" t="n">
        <v>4</v>
      </c>
      <c r="M73" s="10" t="n">
        <f aca="false">IFERROR(G73/F73,"")</f>
        <v>0.263446594545178</v>
      </c>
      <c r="N73" s="10" t="n">
        <f aca="false">IFERROR(H73/G73,"")</f>
        <v>0.999421631000578</v>
      </c>
      <c r="O73" s="11" t="n">
        <f aca="false">IFERROR(I73/H73,"")</f>
        <v>0.052662037037037</v>
      </c>
      <c r="P73" s="10" t="n">
        <f aca="false">IFERROR(J73/H73,"")</f>
        <v>0.0295138888888889</v>
      </c>
      <c r="Q73" s="10" t="n">
        <f aca="false">IFERROR(K73/H73,"")</f>
        <v>0.00925925925925926</v>
      </c>
      <c r="R73" s="10" t="n">
        <f aca="false">IFERROR(L73/H73,"")</f>
        <v>0.00231481481481481</v>
      </c>
      <c r="S73" s="11" t="n">
        <f aca="false">IFERROR(M73/MEDIAN(INDEX($M$5:$M$373,MATCH($A73-90,$A$5:$A$373,1)):INDEX($M$5:$M$373,MATCH($A73+90,$A$5:$A$373,1))),"")</f>
        <v>1.36486173558151</v>
      </c>
      <c r="T73" s="11" t="n">
        <f aca="false">IFERROR(N73/MEDIAN(INDEX($N$5:$N$373,MATCH($A73-90,$A$5:$A$373,1)):INDEX($N$5:$N$373,MATCH($A73+90,$A$5:$A$373,1))),"")</f>
        <v>1.00226898607465</v>
      </c>
      <c r="U73" s="11" t="n">
        <f aca="false">IFERROR(Q73/MEDIAN(INDEX($Q$5:$Q$373,MATCH($A73-90,$A$5:$A$373,1)):INDEX($Q$5:$Q$373,MATCH($A73+90,$A$5:$A$373,1))),"")</f>
        <v>1.48302469135802</v>
      </c>
    </row>
    <row r="74" customFormat="false" ht="15" hidden="false" customHeight="false" outlineLevel="0" collapsed="false">
      <c r="A74" s="13" t="n">
        <v>45138.4913270949</v>
      </c>
      <c r="B74" s="8" t="n">
        <v>11</v>
      </c>
      <c r="C74" s="8" t="s">
        <v>80</v>
      </c>
      <c r="D74" s="8" t="s">
        <v>1285</v>
      </c>
      <c r="E74" s="14" t="s">
        <v>66</v>
      </c>
      <c r="F74" s="9" t="n">
        <v>4242</v>
      </c>
      <c r="G74" s="9" t="n">
        <v>1007</v>
      </c>
      <c r="H74" s="9" t="n">
        <v>1006</v>
      </c>
      <c r="I74" s="9" t="n">
        <v>131</v>
      </c>
      <c r="J74" s="9" t="n">
        <v>31</v>
      </c>
      <c r="K74" s="9" t="n">
        <v>3</v>
      </c>
      <c r="L74" s="9" t="n">
        <v>0</v>
      </c>
      <c r="M74" s="10" t="n">
        <f aca="false">IFERROR(G74/F74,"")</f>
        <v>0.237388024516737</v>
      </c>
      <c r="N74" s="10" t="n">
        <f aca="false">IFERROR(H74/G74,"")</f>
        <v>0.999006951340616</v>
      </c>
      <c r="O74" s="11" t="n">
        <f aca="false">IFERROR(I74/H74,"")</f>
        <v>0.130218687872763</v>
      </c>
      <c r="P74" s="10" t="n">
        <f aca="false">IFERROR(J74/H74,"")</f>
        <v>0.0308151093439364</v>
      </c>
      <c r="Q74" s="10" t="n">
        <f aca="false">IFERROR(K74/H74,"")</f>
        <v>0.00298210735586481</v>
      </c>
      <c r="R74" s="10" t="n">
        <f aca="false">IFERROR(L74/H74,"")</f>
        <v>0</v>
      </c>
      <c r="S74" s="11" t="n">
        <f aca="false">IFERROR(M74/MEDIAN(INDEX($M$5:$M$373,MATCH($A74-90,$A$5:$A$373,1)):INDEX($M$5:$M$373,MATCH($A74+90,$A$5:$A$373,1))),"")</f>
        <v>1.22985773153587</v>
      </c>
      <c r="T74" s="11" t="n">
        <f aca="false">IFERROR(N74/MEDIAN(INDEX($N$5:$N$373,MATCH($A74-90,$A$5:$A$373,1)):INDEX($N$5:$N$373,MATCH($A74+90,$A$5:$A$373,1))),"")</f>
        <v>1.00185312499116</v>
      </c>
      <c r="U74" s="11" t="n">
        <f aca="false">IFERROR(Q74/MEDIAN(INDEX($Q$5:$Q$373,MATCH($A74-90,$A$5:$A$373,1)):INDEX($Q$5:$Q$373,MATCH($A74+90,$A$5:$A$373,1))),"")</f>
        <v>0.477634194831014</v>
      </c>
    </row>
    <row r="75" customFormat="false" ht="15" hidden="false" customHeight="false" outlineLevel="0" collapsed="false">
      <c r="A75" s="13" t="n">
        <v>45139.4827098032</v>
      </c>
      <c r="B75" s="8" t="n">
        <v>11</v>
      </c>
      <c r="C75" s="8" t="s">
        <v>64</v>
      </c>
      <c r="D75" s="8" t="s">
        <v>1286</v>
      </c>
      <c r="E75" s="14" t="s">
        <v>66</v>
      </c>
      <c r="F75" s="9" t="n">
        <v>2030</v>
      </c>
      <c r="G75" s="9" t="n">
        <v>311</v>
      </c>
      <c r="H75" s="9" t="n">
        <v>311</v>
      </c>
      <c r="I75" s="9" t="n">
        <v>233</v>
      </c>
      <c r="J75" s="9" t="n">
        <v>31</v>
      </c>
      <c r="K75" s="9" t="n">
        <v>4</v>
      </c>
      <c r="L75" s="9" t="n">
        <v>2</v>
      </c>
      <c r="M75" s="10" t="n">
        <f aca="false">IFERROR(G75/F75,"")</f>
        <v>0.15320197044335</v>
      </c>
      <c r="N75" s="10" t="n">
        <f aca="false">IFERROR(H75/G75,"")</f>
        <v>1</v>
      </c>
      <c r="O75" s="11" t="n">
        <f aca="false">IFERROR(I75/H75,"")</f>
        <v>0.7491961414791</v>
      </c>
      <c r="P75" s="10" t="n">
        <f aca="false">IFERROR(J75/H75,"")</f>
        <v>0.0996784565916399</v>
      </c>
      <c r="Q75" s="10" t="n">
        <f aca="false">IFERROR(K75/H75,"")</f>
        <v>0.0128617363344051</v>
      </c>
      <c r="R75" s="10" t="n">
        <f aca="false">IFERROR(L75/H75,"")</f>
        <v>0.00643086816720257</v>
      </c>
      <c r="S75" s="11" t="n">
        <f aca="false">IFERROR(M75/MEDIAN(INDEX($M$5:$M$373,MATCH($A75-90,$A$5:$A$373,1)):INDEX($M$5:$M$373,MATCH($A75+90,$A$5:$A$373,1))),"")</f>
        <v>0.793707383596337</v>
      </c>
      <c r="T75" s="11" t="n">
        <f aca="false">IFERROR(N75/MEDIAN(INDEX($N$5:$N$373,MATCH($A75-90,$A$5:$A$373,1)):INDEX($N$5:$N$373,MATCH($A75+90,$A$5:$A$373,1))),"")</f>
        <v>1.002849002849</v>
      </c>
      <c r="U75" s="11" t="n">
        <f aca="false">IFERROR(Q75/MEDIAN(INDEX($Q$5:$Q$373,MATCH($A75-90,$A$5:$A$373,1)):INDEX($Q$5:$Q$373,MATCH($A75+90,$A$5:$A$373,1))),"")</f>
        <v>2.06002143622722</v>
      </c>
    </row>
    <row r="76" customFormat="false" ht="15" hidden="false" customHeight="false" outlineLevel="0" collapsed="false">
      <c r="A76" s="13" t="n">
        <v>45140.3749084491</v>
      </c>
      <c r="B76" s="8" t="n">
        <v>8</v>
      </c>
      <c r="C76" s="8" t="s">
        <v>71</v>
      </c>
      <c r="D76" s="8" t="s">
        <v>1287</v>
      </c>
      <c r="E76" s="14" t="s">
        <v>66</v>
      </c>
      <c r="F76" s="9" t="n">
        <v>1998</v>
      </c>
      <c r="G76" s="9" t="n">
        <v>330</v>
      </c>
      <c r="H76" s="9" t="n">
        <v>329</v>
      </c>
      <c r="I76" s="9" t="n">
        <v>131</v>
      </c>
      <c r="J76" s="9" t="n">
        <v>25</v>
      </c>
      <c r="K76" s="9" t="n">
        <v>0</v>
      </c>
      <c r="L76" s="9" t="n">
        <v>0</v>
      </c>
      <c r="M76" s="10" t="n">
        <f aca="false">IFERROR(G76/F76,"")</f>
        <v>0.165165165165165</v>
      </c>
      <c r="N76" s="10" t="n">
        <f aca="false">IFERROR(H76/G76,"")</f>
        <v>0.996969696969697</v>
      </c>
      <c r="O76" s="11" t="n">
        <f aca="false">IFERROR(I76/H76,"")</f>
        <v>0.398176291793313</v>
      </c>
      <c r="P76" s="10" t="n">
        <f aca="false">IFERROR(J76/H76,"")</f>
        <v>0.0759878419452888</v>
      </c>
      <c r="Q76" s="10" t="n">
        <f aca="false">IFERROR(K76/H76,"")</f>
        <v>0</v>
      </c>
      <c r="R76" s="10" t="n">
        <f aca="false">IFERROR(L76/H76,"")</f>
        <v>0</v>
      </c>
      <c r="S76" s="11" t="n">
        <f aca="false">IFERROR(M76/MEDIAN(INDEX($M$5:$M$373,MATCH($A76-90,$A$5:$A$373,1)):INDEX($M$5:$M$373,MATCH($A76+90,$A$5:$A$373,1))),"")</f>
        <v>0.855686194669245</v>
      </c>
      <c r="T76" s="11" t="n">
        <f aca="false">IFERROR(N76/MEDIAN(INDEX($N$5:$N$373,MATCH($A76-90,$A$5:$A$373,1)):INDEX($N$5:$N$373,MATCH($A76+90,$A$5:$A$373,1))),"")</f>
        <v>0.999810066476733</v>
      </c>
      <c r="U76" s="11" t="n">
        <f aca="false">IFERROR(Q76/MEDIAN(INDEX($Q$5:$Q$373,MATCH($A76-90,$A$5:$A$373,1)):INDEX($Q$5:$Q$373,MATCH($A76+90,$A$5:$A$373,1))),"")</f>
        <v>0</v>
      </c>
    </row>
    <row r="77" customFormat="false" ht="15" hidden="false" customHeight="false" outlineLevel="0" collapsed="false">
      <c r="A77" s="13" t="n">
        <v>45141.4410162847</v>
      </c>
      <c r="B77" s="8" t="n">
        <v>10</v>
      </c>
      <c r="C77" s="8" t="s">
        <v>73</v>
      </c>
      <c r="D77" s="8" t="s">
        <v>1288</v>
      </c>
      <c r="E77" s="14" t="s">
        <v>66</v>
      </c>
      <c r="F77" s="9" t="n">
        <v>1468</v>
      </c>
      <c r="G77" s="9" t="n">
        <v>318</v>
      </c>
      <c r="H77" s="9" t="n">
        <v>318</v>
      </c>
      <c r="I77" s="9" t="n">
        <v>137</v>
      </c>
      <c r="J77" s="9" t="n">
        <v>25</v>
      </c>
      <c r="K77" s="9" t="n">
        <v>7</v>
      </c>
      <c r="L77" s="9" t="n">
        <v>1</v>
      </c>
      <c r="M77" s="10" t="n">
        <f aca="false">IFERROR(G77/F77,"")</f>
        <v>0.216621253405995</v>
      </c>
      <c r="N77" s="10" t="n">
        <f aca="false">IFERROR(H77/G77,"")</f>
        <v>1</v>
      </c>
      <c r="O77" s="11" t="n">
        <f aca="false">IFERROR(I77/H77,"")</f>
        <v>0.430817610062893</v>
      </c>
      <c r="P77" s="10" t="n">
        <f aca="false">IFERROR(J77/H77,"")</f>
        <v>0.0786163522012579</v>
      </c>
      <c r="Q77" s="10" t="n">
        <f aca="false">IFERROR(K77/H77,"")</f>
        <v>0.0220125786163522</v>
      </c>
      <c r="R77" s="10" t="n">
        <f aca="false">IFERROR(L77/H77,"")</f>
        <v>0.00314465408805031</v>
      </c>
      <c r="S77" s="11" t="n">
        <f aca="false">IFERROR(M77/MEDIAN(INDEX($M$5:$M$373,MATCH($A77-90,$A$5:$A$373,1)):INDEX($M$5:$M$373,MATCH($A77+90,$A$5:$A$373,1))),"")</f>
        <v>1.11269460555599</v>
      </c>
      <c r="T77" s="11" t="n">
        <f aca="false">IFERROR(N77/MEDIAN(INDEX($N$5:$N$373,MATCH($A77-90,$A$5:$A$373,1)):INDEX($N$5:$N$373,MATCH($A77+90,$A$5:$A$373,1))),"")</f>
        <v>1.0029396447463</v>
      </c>
      <c r="U77" s="11" t="n">
        <f aca="false">IFERROR(Q77/MEDIAN(INDEX($Q$5:$Q$373,MATCH($A77-90,$A$5:$A$373,1)):INDEX($Q$5:$Q$373,MATCH($A77+90,$A$5:$A$373,1))),"")</f>
        <v>3.52016959392066</v>
      </c>
    </row>
    <row r="78" customFormat="false" ht="15" hidden="false" customHeight="false" outlineLevel="0" collapsed="false">
      <c r="A78" s="13" t="n">
        <v>45142.3750109375</v>
      </c>
      <c r="B78" s="8" t="n">
        <v>9</v>
      </c>
      <c r="C78" s="8" t="s">
        <v>84</v>
      </c>
      <c r="D78" s="8" t="s">
        <v>1289</v>
      </c>
      <c r="E78" s="14" t="s">
        <v>66</v>
      </c>
      <c r="F78" s="9" t="n">
        <v>4793</v>
      </c>
      <c r="G78" s="9" t="n">
        <v>3234</v>
      </c>
      <c r="H78" s="9" t="n">
        <v>3234</v>
      </c>
      <c r="I78" s="9" t="n">
        <v>953</v>
      </c>
      <c r="J78" s="9" t="n">
        <v>50</v>
      </c>
      <c r="K78" s="9" t="n">
        <v>29</v>
      </c>
      <c r="L78" s="9" t="n">
        <v>3</v>
      </c>
      <c r="M78" s="10" t="n">
        <f aca="false">IFERROR(G78/F78,"")</f>
        <v>0.674733987064469</v>
      </c>
      <c r="N78" s="10" t="n">
        <f aca="false">IFERROR(H78/G78,"")</f>
        <v>1</v>
      </c>
      <c r="O78" s="11" t="n">
        <f aca="false">IFERROR(I78/H78,"")</f>
        <v>0.294681508967223</v>
      </c>
      <c r="P78" s="10" t="n">
        <f aca="false">IFERROR(J78/H78,"")</f>
        <v>0.015460729746444</v>
      </c>
      <c r="Q78" s="10" t="n">
        <f aca="false">IFERROR(K78/H78,"")</f>
        <v>0.00896722325293754</v>
      </c>
      <c r="R78" s="10" t="n">
        <f aca="false">IFERROR(L78/H78,"")</f>
        <v>0.000927643784786642</v>
      </c>
      <c r="S78" s="11" t="n">
        <f aca="false">IFERROR(M78/MEDIAN(INDEX($M$5:$M$373,MATCH($A78-90,$A$5:$A$373,1)):INDEX($M$5:$M$373,MATCH($A78+90,$A$5:$A$373,1))),"")</f>
        <v>3.46583197995264</v>
      </c>
      <c r="T78" s="11" t="n">
        <f aca="false">IFERROR(N78/MEDIAN(INDEX($N$5:$N$373,MATCH($A78-90,$A$5:$A$373,1)):INDEX($N$5:$N$373,MATCH($A78+90,$A$5:$A$373,1))),"")</f>
        <v>1.0029396447463</v>
      </c>
      <c r="U78" s="11" t="n">
        <f aca="false">IFERROR(Q78/MEDIAN(INDEX($Q$5:$Q$373,MATCH($A78-90,$A$5:$A$373,1)):INDEX($Q$5:$Q$373,MATCH($A78+90,$A$5:$A$373,1))),"")</f>
        <v>1.43400494721867</v>
      </c>
    </row>
    <row r="79" customFormat="false" ht="15" hidden="false" customHeight="false" outlineLevel="0" collapsed="false">
      <c r="A79" s="13" t="n">
        <v>45143.3748094213</v>
      </c>
      <c r="B79" s="8" t="n">
        <v>8</v>
      </c>
      <c r="C79" s="8" t="s">
        <v>68</v>
      </c>
      <c r="D79" s="8" t="s">
        <v>1290</v>
      </c>
      <c r="E79" s="14" t="s">
        <v>66</v>
      </c>
      <c r="F79" s="9" t="n">
        <v>1265</v>
      </c>
      <c r="G79" s="9" t="n">
        <v>419</v>
      </c>
      <c r="H79" s="9" t="n">
        <v>417</v>
      </c>
      <c r="I79" s="9" t="n">
        <v>255</v>
      </c>
      <c r="J79" s="9" t="n">
        <v>40</v>
      </c>
      <c r="K79" s="9" t="n">
        <v>6</v>
      </c>
      <c r="L79" s="9" t="n">
        <v>1</v>
      </c>
      <c r="M79" s="10" t="n">
        <f aca="false">IFERROR(G79/F79,"")</f>
        <v>0.331225296442688</v>
      </c>
      <c r="N79" s="10" t="n">
        <f aca="false">IFERROR(H79/G79,"")</f>
        <v>0.995226730310263</v>
      </c>
      <c r="O79" s="11" t="n">
        <f aca="false">IFERROR(I79/H79,"")</f>
        <v>0.611510791366906</v>
      </c>
      <c r="P79" s="10" t="n">
        <f aca="false">IFERROR(J79/H79,"")</f>
        <v>0.0959232613908873</v>
      </c>
      <c r="Q79" s="10" t="n">
        <f aca="false">IFERROR(K79/H79,"")</f>
        <v>0.0143884892086331</v>
      </c>
      <c r="R79" s="10" t="n">
        <f aca="false">IFERROR(L79/H79,"")</f>
        <v>0.00239808153477218</v>
      </c>
      <c r="S79" s="11" t="n">
        <f aca="false">IFERROR(M79/MEDIAN(INDEX($M$5:$M$373,MATCH($A79-90,$A$5:$A$373,1)):INDEX($M$5:$M$373,MATCH($A79+90,$A$5:$A$373,1))),"")</f>
        <v>1.70136860894584</v>
      </c>
      <c r="T79" s="11" t="n">
        <f aca="false">IFERROR(N79/MEDIAN(INDEX($N$5:$N$373,MATCH($A79-90,$A$5:$A$373,1)):INDEX($N$5:$N$373,MATCH($A79+90,$A$5:$A$373,1))),"")</f>
        <v>0.998152343339396</v>
      </c>
      <c r="U79" s="11" t="n">
        <f aca="false">IFERROR(Q79/MEDIAN(INDEX($Q$5:$Q$373,MATCH($A79-90,$A$5:$A$373,1)):INDEX($Q$5:$Q$373,MATCH($A79+90,$A$5:$A$373,1))),"")</f>
        <v>2.30095360918144</v>
      </c>
    </row>
    <row r="80" customFormat="false" ht="15" hidden="false" customHeight="false" outlineLevel="0" collapsed="false">
      <c r="A80" s="13" t="n">
        <v>45144.4694498843</v>
      </c>
      <c r="B80" s="8" t="n">
        <v>11</v>
      </c>
      <c r="C80" s="8" t="s">
        <v>86</v>
      </c>
      <c r="D80" s="8" t="s">
        <v>1291</v>
      </c>
      <c r="E80" s="14" t="s">
        <v>66</v>
      </c>
      <c r="F80" s="9" t="n">
        <v>962</v>
      </c>
      <c r="G80" s="9" t="n">
        <v>158</v>
      </c>
      <c r="H80" s="9" t="n">
        <v>156</v>
      </c>
      <c r="I80" s="9" t="n">
        <v>41</v>
      </c>
      <c r="J80" s="9" t="n">
        <v>27</v>
      </c>
      <c r="K80" s="9" t="n">
        <v>8</v>
      </c>
      <c r="L80" s="9" t="n">
        <v>0</v>
      </c>
      <c r="M80" s="10" t="n">
        <f aca="false">IFERROR(G80/F80,"")</f>
        <v>0.164241164241164</v>
      </c>
      <c r="N80" s="10" t="n">
        <f aca="false">IFERROR(H80/G80,"")</f>
        <v>0.987341772151899</v>
      </c>
      <c r="O80" s="11" t="n">
        <f aca="false">IFERROR(I80/H80,"")</f>
        <v>0.262820512820513</v>
      </c>
      <c r="P80" s="10" t="n">
        <f aca="false">IFERROR(J80/H80,"")</f>
        <v>0.173076923076923</v>
      </c>
      <c r="Q80" s="10" t="n">
        <f aca="false">IFERROR(K80/H80,"")</f>
        <v>0.0512820512820513</v>
      </c>
      <c r="R80" s="10" t="n">
        <f aca="false">IFERROR(L80/H80,"")</f>
        <v>0</v>
      </c>
      <c r="S80" s="11" t="n">
        <f aca="false">IFERROR(M80/MEDIAN(INDEX($M$5:$M$373,MATCH($A80-90,$A$5:$A$373,1)):INDEX($M$5:$M$373,MATCH($A80+90,$A$5:$A$373,1))),"")</f>
        <v>0.843639553312277</v>
      </c>
      <c r="T80" s="11" t="n">
        <f aca="false">IFERROR(N80/MEDIAN(INDEX($N$5:$N$373,MATCH($A80-90,$A$5:$A$373,1)):INDEX($N$5:$N$373,MATCH($A80+90,$A$5:$A$373,1))),"")</f>
        <v>0.990244206205207</v>
      </c>
      <c r="U80" s="11" t="n">
        <f aca="false">IFERROR(Q80/MEDIAN(INDEX($Q$5:$Q$373,MATCH($A80-90,$A$5:$A$373,1)):INDEX($Q$5:$Q$373,MATCH($A80+90,$A$5:$A$373,1))),"")</f>
        <v>8.20083465836462</v>
      </c>
    </row>
    <row r="81" customFormat="false" ht="15" hidden="false" customHeight="false" outlineLevel="0" collapsed="false">
      <c r="A81" s="13" t="n">
        <v>45145.4362973148</v>
      </c>
      <c r="B81" s="8" t="n">
        <v>10</v>
      </c>
      <c r="C81" s="8" t="s">
        <v>80</v>
      </c>
      <c r="D81" s="8" t="s">
        <v>1292</v>
      </c>
      <c r="E81" s="14" t="s">
        <v>66</v>
      </c>
      <c r="F81" s="9" t="n">
        <v>1387</v>
      </c>
      <c r="G81" s="9" t="n">
        <v>424</v>
      </c>
      <c r="H81" s="9" t="n">
        <v>422</v>
      </c>
      <c r="I81" s="9" t="n">
        <v>214</v>
      </c>
      <c r="J81" s="9" t="n">
        <v>33</v>
      </c>
      <c r="K81" s="9" t="n">
        <v>0</v>
      </c>
      <c r="L81" s="9" t="n">
        <v>0</v>
      </c>
      <c r="M81" s="10" t="n">
        <f aca="false">IFERROR(G81/F81,"")</f>
        <v>0.305695746214852</v>
      </c>
      <c r="N81" s="10" t="n">
        <f aca="false">IFERROR(H81/G81,"")</f>
        <v>0.995283018867925</v>
      </c>
      <c r="O81" s="11" t="n">
        <f aca="false">IFERROR(I81/H81,"")</f>
        <v>0.507109004739337</v>
      </c>
      <c r="P81" s="10" t="n">
        <f aca="false">IFERROR(J81/H81,"")</f>
        <v>0.0781990521327014</v>
      </c>
      <c r="Q81" s="10" t="n">
        <f aca="false">IFERROR(K81/H81,"")</f>
        <v>0</v>
      </c>
      <c r="R81" s="10" t="n">
        <f aca="false">IFERROR(L81/H81,"")</f>
        <v>0</v>
      </c>
      <c r="S81" s="11" t="n">
        <f aca="false">IFERROR(M81/MEDIAN(INDEX($M$5:$M$373,MATCH($A81-90,$A$5:$A$373,1)):INDEX($M$5:$M$373,MATCH($A81+90,$A$5:$A$373,1))),"")</f>
        <v>1.57023377164739</v>
      </c>
      <c r="T81" s="11" t="n">
        <f aca="false">IFERROR(N81/MEDIAN(INDEX($N$5:$N$373,MATCH($A81-90,$A$5:$A$373,1)):INDEX($N$5:$N$373,MATCH($A81+90,$A$5:$A$373,1))),"")</f>
        <v>0.998208797365421</v>
      </c>
      <c r="U81" s="11" t="n">
        <f aca="false">IFERROR(Q81/MEDIAN(INDEX($Q$5:$Q$373,MATCH($A81-90,$A$5:$A$373,1)):INDEX($Q$5:$Q$373,MATCH($A81+90,$A$5:$A$373,1))),"")</f>
        <v>0</v>
      </c>
    </row>
    <row r="82" customFormat="false" ht="15" hidden="false" customHeight="false" outlineLevel="0" collapsed="false">
      <c r="A82" s="13" t="n">
        <v>45146.5091234259</v>
      </c>
      <c r="B82" s="8" t="n">
        <v>12</v>
      </c>
      <c r="C82" s="8" t="s">
        <v>64</v>
      </c>
      <c r="D82" s="8" t="s">
        <v>1293</v>
      </c>
      <c r="E82" s="14" t="s">
        <v>66</v>
      </c>
      <c r="F82" s="9" t="n">
        <v>1417</v>
      </c>
      <c r="G82" s="9" t="n">
        <v>272</v>
      </c>
      <c r="H82" s="9" t="n">
        <v>271</v>
      </c>
      <c r="I82" s="9" t="n">
        <v>112</v>
      </c>
      <c r="J82" s="9" t="n">
        <v>25</v>
      </c>
      <c r="K82" s="9" t="n">
        <v>1</v>
      </c>
      <c r="L82" s="9" t="n">
        <v>1</v>
      </c>
      <c r="M82" s="10" t="n">
        <f aca="false">IFERROR(G82/F82,"")</f>
        <v>0.191954834156669</v>
      </c>
      <c r="N82" s="10" t="n">
        <f aca="false">IFERROR(H82/G82,"")</f>
        <v>0.996323529411765</v>
      </c>
      <c r="O82" s="11" t="n">
        <f aca="false">IFERROR(I82/H82,"")</f>
        <v>0.413284132841328</v>
      </c>
      <c r="P82" s="10" t="n">
        <f aca="false">IFERROR(J82/H82,"")</f>
        <v>0.0922509225092251</v>
      </c>
      <c r="Q82" s="10" t="n">
        <f aca="false">IFERROR(K82/H82,"")</f>
        <v>0.003690036900369</v>
      </c>
      <c r="R82" s="10" t="n">
        <f aca="false">IFERROR(L82/H82,"")</f>
        <v>0.003690036900369</v>
      </c>
      <c r="S82" s="11" t="n">
        <f aca="false">IFERROR(M82/MEDIAN(INDEX($M$5:$M$373,MATCH($A82-90,$A$5:$A$373,1)):INDEX($M$5:$M$373,MATCH($A82+90,$A$5:$A$373,1))),"")</f>
        <v>0.985993318375886</v>
      </c>
      <c r="T82" s="11" t="n">
        <f aca="false">IFERROR(N82/MEDIAN(INDEX($N$5:$N$373,MATCH($A82-90,$A$5:$A$373,1)):INDEX($N$5:$N$373,MATCH($A82+90,$A$5:$A$373,1))),"")</f>
        <v>0.999252366640615</v>
      </c>
      <c r="U82" s="11" t="n">
        <f aca="false">IFERROR(Q82/MEDIAN(INDEX($Q$5:$Q$373,MATCH($A82-90,$A$5:$A$373,1)):INDEX($Q$5:$Q$373,MATCH($A82+90,$A$5:$A$373,1))),"")</f>
        <v>0.590096958812215</v>
      </c>
    </row>
    <row r="83" customFormat="false" ht="15" hidden="false" customHeight="false" outlineLevel="0" collapsed="false">
      <c r="A83" s="13" t="n">
        <v>45147.5160286921</v>
      </c>
      <c r="B83" s="8" t="n">
        <v>12</v>
      </c>
      <c r="C83" s="8" t="s">
        <v>71</v>
      </c>
      <c r="D83" s="8" t="s">
        <v>1294</v>
      </c>
      <c r="E83" s="14" t="s">
        <v>66</v>
      </c>
      <c r="F83" s="9" t="n">
        <v>1241</v>
      </c>
      <c r="G83" s="9" t="n">
        <v>207</v>
      </c>
      <c r="H83" s="9" t="n">
        <v>205</v>
      </c>
      <c r="I83" s="9" t="n">
        <v>104</v>
      </c>
      <c r="J83" s="9" t="n">
        <v>17</v>
      </c>
      <c r="K83" s="9" t="n">
        <v>4</v>
      </c>
      <c r="L83" s="9" t="n">
        <v>0</v>
      </c>
      <c r="M83" s="10" t="n">
        <f aca="false">IFERROR(G83/F83,"")</f>
        <v>0.166800966962127</v>
      </c>
      <c r="N83" s="10" t="n">
        <f aca="false">IFERROR(H83/G83,"")</f>
        <v>0.990338164251208</v>
      </c>
      <c r="O83" s="11" t="n">
        <f aca="false">IFERROR(I83/H83,"")</f>
        <v>0.507317073170732</v>
      </c>
      <c r="P83" s="10" t="n">
        <f aca="false">IFERROR(J83/H83,"")</f>
        <v>0.0829268292682927</v>
      </c>
      <c r="Q83" s="10" t="n">
        <f aca="false">IFERROR(K83/H83,"")</f>
        <v>0.0195121951219512</v>
      </c>
      <c r="R83" s="10" t="n">
        <f aca="false">IFERROR(L83/H83,"")</f>
        <v>0</v>
      </c>
      <c r="S83" s="11" t="n">
        <f aca="false">IFERROR(M83/MEDIAN(INDEX($M$5:$M$373,MATCH($A83-90,$A$5:$A$373,1)):INDEX($M$5:$M$373,MATCH($A83+90,$A$5:$A$373,1))),"")</f>
        <v>0.856788210861427</v>
      </c>
      <c r="T83" s="11" t="n">
        <f aca="false">IFERROR(N83/MEDIAN(INDEX($N$5:$N$373,MATCH($A83-90,$A$5:$A$373,1)):INDEX($N$5:$N$373,MATCH($A83+90,$A$5:$A$373,1))),"")</f>
        <v>0.993249406632809</v>
      </c>
      <c r="U83" s="11" t="n">
        <f aca="false">IFERROR(Q83/MEDIAN(INDEX($Q$5:$Q$373,MATCH($A83-90,$A$5:$A$373,1)):INDEX($Q$5:$Q$373,MATCH($A83+90,$A$5:$A$373,1))),"")</f>
        <v>3.12031757732898</v>
      </c>
    </row>
    <row r="84" customFormat="false" ht="15" hidden="false" customHeight="false" outlineLevel="0" collapsed="false">
      <c r="A84" s="13" t="n">
        <v>45149.528443669</v>
      </c>
      <c r="B84" s="8" t="n">
        <v>12</v>
      </c>
      <c r="C84" s="8" t="s">
        <v>84</v>
      </c>
      <c r="D84" s="8" t="s">
        <v>1295</v>
      </c>
      <c r="E84" s="14" t="s">
        <v>66</v>
      </c>
      <c r="F84" s="9" t="n">
        <v>1635</v>
      </c>
      <c r="G84" s="9" t="n">
        <v>310</v>
      </c>
      <c r="H84" s="9" t="n">
        <v>310</v>
      </c>
      <c r="I84" s="9" t="n">
        <v>161</v>
      </c>
      <c r="J84" s="9" t="n">
        <v>27</v>
      </c>
      <c r="K84" s="9" t="n">
        <v>8</v>
      </c>
      <c r="L84" s="9" t="n">
        <v>0</v>
      </c>
      <c r="M84" s="10" t="n">
        <f aca="false">IFERROR(G84/F84,"")</f>
        <v>0.18960244648318</v>
      </c>
      <c r="N84" s="10" t="n">
        <f aca="false">IFERROR(H84/G84,"")</f>
        <v>1</v>
      </c>
      <c r="O84" s="11" t="n">
        <f aca="false">IFERROR(I84/H84,"")</f>
        <v>0.519354838709678</v>
      </c>
      <c r="P84" s="10" t="n">
        <f aca="false">IFERROR(J84/H84,"")</f>
        <v>0.0870967741935484</v>
      </c>
      <c r="Q84" s="10" t="n">
        <f aca="false">IFERROR(K84/H84,"")</f>
        <v>0.0258064516129032</v>
      </c>
      <c r="R84" s="10" t="n">
        <f aca="false">IFERROR(L84/H84,"")</f>
        <v>0</v>
      </c>
      <c r="S84" s="11" t="n">
        <f aca="false">IFERROR(M84/MEDIAN(INDEX($M$5:$M$373,MATCH($A84-90,$A$5:$A$373,1)):INDEX($M$5:$M$373,MATCH($A84+90,$A$5:$A$373,1))),"")</f>
        <v>0.973910066925201</v>
      </c>
      <c r="T84" s="11" t="n">
        <f aca="false">IFERROR(N84/MEDIAN(INDEX($N$5:$N$373,MATCH($A84-90,$A$5:$A$373,1)):INDEX($N$5:$N$373,MATCH($A84+90,$A$5:$A$373,1))),"")</f>
        <v>1.0029396447463</v>
      </c>
      <c r="U84" s="11" t="n">
        <f aca="false">IFERROR(Q84/MEDIAN(INDEX($Q$5:$Q$373,MATCH($A84-90,$A$5:$A$373,1)):INDEX($Q$5:$Q$373,MATCH($A84+90,$A$5:$A$373,1))),"")</f>
        <v>4.12687163453187</v>
      </c>
    </row>
    <row r="85" customFormat="false" ht="15" hidden="false" customHeight="false" outlineLevel="0" collapsed="false">
      <c r="A85" s="13" t="n">
        <v>45150.5059820486</v>
      </c>
      <c r="B85" s="8" t="n">
        <v>12</v>
      </c>
      <c r="C85" s="8" t="s">
        <v>68</v>
      </c>
      <c r="D85" s="8" t="s">
        <v>1296</v>
      </c>
      <c r="E85" s="14" t="s">
        <v>66</v>
      </c>
      <c r="F85" s="9" t="n">
        <v>1940</v>
      </c>
      <c r="G85" s="9" t="n">
        <v>394</v>
      </c>
      <c r="H85" s="9" t="n">
        <v>392</v>
      </c>
      <c r="I85" s="9" t="n">
        <v>152</v>
      </c>
      <c r="J85" s="9" t="n">
        <v>33</v>
      </c>
      <c r="K85" s="9" t="n">
        <v>4</v>
      </c>
      <c r="L85" s="9" t="n">
        <v>2</v>
      </c>
      <c r="M85" s="10" t="n">
        <f aca="false">IFERROR(G85/F85,"")</f>
        <v>0.203092783505155</v>
      </c>
      <c r="N85" s="10" t="n">
        <f aca="false">IFERROR(H85/G85,"")</f>
        <v>0.99492385786802</v>
      </c>
      <c r="O85" s="11" t="n">
        <f aca="false">IFERROR(I85/H85,"")</f>
        <v>0.387755102040816</v>
      </c>
      <c r="P85" s="10" t="n">
        <f aca="false">IFERROR(J85/H85,"")</f>
        <v>0.0841836734693878</v>
      </c>
      <c r="Q85" s="10" t="n">
        <f aca="false">IFERROR(K85/H85,"")</f>
        <v>0.0102040816326531</v>
      </c>
      <c r="R85" s="10" t="n">
        <f aca="false">IFERROR(L85/H85,"")</f>
        <v>0.00510204081632653</v>
      </c>
      <c r="S85" s="11" t="n">
        <f aca="false">IFERROR(M85/MEDIAN(INDEX($M$5:$M$373,MATCH($A85-90,$A$5:$A$373,1)):INDEX($M$5:$M$373,MATCH($A85+90,$A$5:$A$373,1))),"")</f>
        <v>1.04320439975481</v>
      </c>
      <c r="T85" s="11" t="n">
        <f aca="false">IFERROR(N85/MEDIAN(INDEX($N$5:$N$373,MATCH($A85-90,$A$5:$A$373,1)):INDEX($N$5:$N$373,MATCH($A85+90,$A$5:$A$373,1))),"")</f>
        <v>0.99784858055977</v>
      </c>
      <c r="U85" s="11" t="n">
        <f aca="false">IFERROR(Q85/MEDIAN(INDEX($Q$5:$Q$373,MATCH($A85-90,$A$5:$A$373,1)):INDEX($Q$5:$Q$373,MATCH($A85+90,$A$5:$A$373,1))),"")</f>
        <v>1.63179873304194</v>
      </c>
    </row>
    <row r="86" customFormat="false" ht="15" hidden="false" customHeight="false" outlineLevel="0" collapsed="false">
      <c r="A86" s="13" t="n">
        <v>45151.4986226042</v>
      </c>
      <c r="B86" s="8" t="n">
        <v>11</v>
      </c>
      <c r="C86" s="8" t="s">
        <v>86</v>
      </c>
      <c r="D86" s="8" t="s">
        <v>1297</v>
      </c>
      <c r="E86" s="14" t="s">
        <v>66</v>
      </c>
      <c r="F86" s="9" t="n">
        <v>1218</v>
      </c>
      <c r="G86" s="9" t="n">
        <v>119</v>
      </c>
      <c r="H86" s="9" t="n">
        <v>118</v>
      </c>
      <c r="I86" s="9" t="n">
        <v>90</v>
      </c>
      <c r="J86" s="9" t="n">
        <v>19</v>
      </c>
      <c r="K86" s="9" t="n">
        <v>0</v>
      </c>
      <c r="L86" s="9" t="n">
        <v>0</v>
      </c>
      <c r="M86" s="10" t="n">
        <f aca="false">IFERROR(G86/F86,"")</f>
        <v>0.0977011494252874</v>
      </c>
      <c r="N86" s="10" t="n">
        <f aca="false">IFERROR(H86/G86,"")</f>
        <v>0.991596638655462</v>
      </c>
      <c r="O86" s="11" t="n">
        <f aca="false">IFERROR(I86/H86,"")</f>
        <v>0.76271186440678</v>
      </c>
      <c r="P86" s="10" t="n">
        <f aca="false">IFERROR(J86/H86,"")</f>
        <v>0.161016949152542</v>
      </c>
      <c r="Q86" s="10" t="n">
        <f aca="false">IFERROR(K86/H86,"")</f>
        <v>0</v>
      </c>
      <c r="R86" s="10" t="n">
        <f aca="false">IFERROR(L86/H86,"")</f>
        <v>0</v>
      </c>
      <c r="S86" s="11" t="n">
        <f aca="false">IFERROR(M86/MEDIAN(INDEX($M$5:$M$373,MATCH($A86-90,$A$5:$A$373,1)):INDEX($M$5:$M$373,MATCH($A86+90,$A$5:$A$373,1))),"")</f>
        <v>0.501850765854393</v>
      </c>
      <c r="T86" s="11" t="n">
        <f aca="false">IFERROR(N86/MEDIAN(INDEX($N$5:$N$373,MATCH($A86-90,$A$5:$A$373,1)):INDEX($N$5:$N$373,MATCH($A86+90,$A$5:$A$373,1))),"")</f>
        <v>0.994511580504734</v>
      </c>
      <c r="U86" s="11" t="n">
        <f aca="false">IFERROR(Q86/MEDIAN(INDEX($Q$5:$Q$373,MATCH($A86-90,$A$5:$A$373,1)):INDEX($Q$5:$Q$373,MATCH($A86+90,$A$5:$A$373,1))),"")</f>
        <v>0</v>
      </c>
    </row>
    <row r="87" customFormat="false" ht="15" hidden="false" customHeight="false" outlineLevel="0" collapsed="false">
      <c r="A87" s="13" t="n">
        <v>45152.4913100347</v>
      </c>
      <c r="B87" s="8" t="n">
        <v>11</v>
      </c>
      <c r="C87" s="8" t="s">
        <v>80</v>
      </c>
      <c r="D87" s="8" t="s">
        <v>1298</v>
      </c>
      <c r="E87" s="14" t="s">
        <v>66</v>
      </c>
      <c r="F87" s="9" t="n">
        <v>1583</v>
      </c>
      <c r="G87" s="9" t="n">
        <v>281</v>
      </c>
      <c r="H87" s="9" t="n">
        <v>281</v>
      </c>
      <c r="I87" s="9" t="n">
        <v>124</v>
      </c>
      <c r="J87" s="9" t="n">
        <v>25</v>
      </c>
      <c r="K87" s="9" t="n">
        <v>0</v>
      </c>
      <c r="L87" s="9" t="n">
        <v>1</v>
      </c>
      <c r="M87" s="10" t="n">
        <f aca="false">IFERROR(G87/F87,"")</f>
        <v>0.177511054958939</v>
      </c>
      <c r="N87" s="10" t="n">
        <f aca="false">IFERROR(H87/G87,"")</f>
        <v>1</v>
      </c>
      <c r="O87" s="11" t="n">
        <f aca="false">IFERROR(I87/H87,"")</f>
        <v>0.441281138790036</v>
      </c>
      <c r="P87" s="10" t="n">
        <f aca="false">IFERROR(J87/H87,"")</f>
        <v>0.0889679715302491</v>
      </c>
      <c r="Q87" s="10" t="n">
        <f aca="false">IFERROR(K87/H87,"")</f>
        <v>0</v>
      </c>
      <c r="R87" s="10" t="n">
        <f aca="false">IFERROR(L87/H87,"")</f>
        <v>0.00355871886120996</v>
      </c>
      <c r="S87" s="11" t="n">
        <f aca="false">IFERROR(M87/MEDIAN(INDEX($M$5:$M$373,MATCH($A87-90,$A$5:$A$373,1)):INDEX($M$5:$M$373,MATCH($A87+90,$A$5:$A$373,1))),"")</f>
        <v>0.911801543817944</v>
      </c>
      <c r="T87" s="11" t="n">
        <f aca="false">IFERROR(N87/MEDIAN(INDEX($N$5:$N$373,MATCH($A87-90,$A$5:$A$373,1)):INDEX($N$5:$N$373,MATCH($A87+90,$A$5:$A$373,1))),"")</f>
        <v>1.0029396447463</v>
      </c>
      <c r="U87" s="11" t="n">
        <f aca="false">IFERROR(Q87/MEDIAN(INDEX($Q$5:$Q$373,MATCH($A87-90,$A$5:$A$373,1)):INDEX($Q$5:$Q$373,MATCH($A87+90,$A$5:$A$373,1))),"")</f>
        <v>0</v>
      </c>
    </row>
    <row r="88" customFormat="false" ht="15" hidden="false" customHeight="false" outlineLevel="0" collapsed="false">
      <c r="A88" s="13" t="n">
        <v>45153.5126331944</v>
      </c>
      <c r="B88" s="8" t="n">
        <v>12</v>
      </c>
      <c r="C88" s="8" t="s">
        <v>64</v>
      </c>
      <c r="D88" s="8" t="s">
        <v>1299</v>
      </c>
      <c r="E88" s="14" t="s">
        <v>66</v>
      </c>
      <c r="F88" s="9" t="n">
        <v>3102</v>
      </c>
      <c r="G88" s="9" t="n">
        <v>405</v>
      </c>
      <c r="H88" s="9" t="n">
        <v>405</v>
      </c>
      <c r="I88" s="9" t="n">
        <v>214</v>
      </c>
      <c r="J88" s="9" t="n">
        <v>23</v>
      </c>
      <c r="K88" s="9" t="n">
        <v>4</v>
      </c>
      <c r="L88" s="9" t="n">
        <v>1</v>
      </c>
      <c r="M88" s="10" t="n">
        <f aca="false">IFERROR(G88/F88,"")</f>
        <v>0.130560928433269</v>
      </c>
      <c r="N88" s="10" t="n">
        <f aca="false">IFERROR(H88/G88,"")</f>
        <v>1</v>
      </c>
      <c r="O88" s="11" t="n">
        <f aca="false">IFERROR(I88/H88,"")</f>
        <v>0.528395061728395</v>
      </c>
      <c r="P88" s="10" t="n">
        <f aca="false">IFERROR(J88/H88,"")</f>
        <v>0.0567901234567901</v>
      </c>
      <c r="Q88" s="10" t="n">
        <f aca="false">IFERROR(K88/H88,"")</f>
        <v>0.00987654320987654</v>
      </c>
      <c r="R88" s="10" t="n">
        <f aca="false">IFERROR(L88/H88,"")</f>
        <v>0.00246913580246914</v>
      </c>
      <c r="S88" s="11" t="n">
        <f aca="false">IFERROR(M88/MEDIAN(INDEX($M$5:$M$373,MATCH($A88-90,$A$5:$A$373,1)):INDEX($M$5:$M$373,MATCH($A88+90,$A$5:$A$373,1))),"")</f>
        <v>0.670637984407765</v>
      </c>
      <c r="T88" s="11" t="n">
        <f aca="false">IFERROR(N88/MEDIAN(INDEX($N$5:$N$373,MATCH($A88-90,$A$5:$A$373,1)):INDEX($N$5:$N$373,MATCH($A88+90,$A$5:$A$373,1))),"")</f>
        <v>1.0029396447463</v>
      </c>
      <c r="U88" s="11" t="n">
        <f aca="false">IFERROR(Q88/MEDIAN(INDEX($Q$5:$Q$373,MATCH($A88-90,$A$5:$A$373,1)):INDEX($Q$5:$Q$373,MATCH($A88+90,$A$5:$A$373,1))),"")</f>
        <v>1.57942000827763</v>
      </c>
    </row>
    <row r="89" customFormat="false" ht="15" hidden="false" customHeight="false" outlineLevel="0" collapsed="false">
      <c r="A89" s="13" t="n">
        <v>45154.5110467477</v>
      </c>
      <c r="B89" s="8" t="n">
        <v>12</v>
      </c>
      <c r="C89" s="8" t="s">
        <v>71</v>
      </c>
      <c r="D89" s="8" t="s">
        <v>1300</v>
      </c>
      <c r="E89" s="14" t="s">
        <v>66</v>
      </c>
      <c r="F89" s="9" t="n">
        <v>3439</v>
      </c>
      <c r="G89" s="9" t="n">
        <v>886</v>
      </c>
      <c r="H89" s="9" t="n">
        <v>885</v>
      </c>
      <c r="I89" s="9" t="n">
        <v>536</v>
      </c>
      <c r="J89" s="9" t="n">
        <v>64</v>
      </c>
      <c r="K89" s="9" t="n">
        <v>5</v>
      </c>
      <c r="L89" s="9" t="n">
        <v>2</v>
      </c>
      <c r="M89" s="10" t="n">
        <f aca="false">IFERROR(G89/F89,"")</f>
        <v>0.257633032858389</v>
      </c>
      <c r="N89" s="10" t="n">
        <f aca="false">IFERROR(H89/G89,"")</f>
        <v>0.998871331828443</v>
      </c>
      <c r="O89" s="11" t="n">
        <f aca="false">IFERROR(I89/H89,"")</f>
        <v>0.605649717514124</v>
      </c>
      <c r="P89" s="10" t="n">
        <f aca="false">IFERROR(J89/H89,"")</f>
        <v>0.072316384180791</v>
      </c>
      <c r="Q89" s="10" t="n">
        <f aca="false">IFERROR(K89/H89,"")</f>
        <v>0.00564971751412429</v>
      </c>
      <c r="R89" s="10" t="n">
        <f aca="false">IFERROR(L89/H89,"")</f>
        <v>0.00225988700564972</v>
      </c>
      <c r="S89" s="11" t="n">
        <f aca="false">IFERROR(M89/MEDIAN(INDEX($M$5:$M$373,MATCH($A89-90,$A$5:$A$373,1)):INDEX($M$5:$M$373,MATCH($A89+90,$A$5:$A$373,1))),"")</f>
        <v>1.32335530963476</v>
      </c>
      <c r="T89" s="11" t="n">
        <f aca="false">IFERROR(N89/MEDIAN(INDEX($N$5:$N$373,MATCH($A89-90,$A$5:$A$373,1)):INDEX($N$5:$N$373,MATCH($A89+90,$A$5:$A$373,1))),"")</f>
        <v>1.00180765869128</v>
      </c>
      <c r="U89" s="11" t="n">
        <f aca="false">IFERROR(Q89/MEDIAN(INDEX($Q$5:$Q$373,MATCH($A89-90,$A$5:$A$373,1)):INDEX($Q$5:$Q$373,MATCH($A89+90,$A$5:$A$373,1))),"")</f>
        <v>0.903481784396102</v>
      </c>
    </row>
    <row r="90" customFormat="false" ht="15" hidden="false" customHeight="false" outlineLevel="0" collapsed="false">
      <c r="A90" s="13" t="n">
        <v>45155.5043146875</v>
      </c>
      <c r="B90" s="8" t="n">
        <v>12</v>
      </c>
      <c r="C90" s="8" t="s">
        <v>73</v>
      </c>
      <c r="D90" s="8" t="s">
        <v>1301</v>
      </c>
      <c r="E90" s="14" t="s">
        <v>66</v>
      </c>
      <c r="F90" s="9" t="n">
        <v>1744</v>
      </c>
      <c r="G90" s="9" t="n">
        <v>217</v>
      </c>
      <c r="H90" s="9" t="n">
        <v>214</v>
      </c>
      <c r="I90" s="9" t="n">
        <v>133</v>
      </c>
      <c r="J90" s="9" t="n">
        <v>25</v>
      </c>
      <c r="K90" s="9" t="n">
        <v>2</v>
      </c>
      <c r="L90" s="9" t="n">
        <v>0</v>
      </c>
      <c r="M90" s="10" t="n">
        <f aca="false">IFERROR(G90/F90,"")</f>
        <v>0.124426605504587</v>
      </c>
      <c r="N90" s="10" t="n">
        <f aca="false">IFERROR(H90/G90,"")</f>
        <v>0.986175115207373</v>
      </c>
      <c r="O90" s="11" t="n">
        <f aca="false">IFERROR(I90/H90,"")</f>
        <v>0.621495327102804</v>
      </c>
      <c r="P90" s="10" t="n">
        <f aca="false">IFERROR(J90/H90,"")</f>
        <v>0.116822429906542</v>
      </c>
      <c r="Q90" s="10" t="n">
        <f aca="false">IFERROR(K90/H90,"")</f>
        <v>0.00934579439252336</v>
      </c>
      <c r="R90" s="10" t="n">
        <f aca="false">IFERROR(L90/H90,"")</f>
        <v>0</v>
      </c>
      <c r="S90" s="11" t="n">
        <f aca="false">IFERROR(M90/MEDIAN(INDEX($M$5:$M$373,MATCH($A90-90,$A$5:$A$373,1)):INDEX($M$5:$M$373,MATCH($A90+90,$A$5:$A$373,1))),"")</f>
        <v>0.639128481419663</v>
      </c>
      <c r="T90" s="11" t="n">
        <f aca="false">IFERROR(N90/MEDIAN(INDEX($N$5:$N$373,MATCH($A90-90,$A$5:$A$373,1)):INDEX($N$5:$N$373,MATCH($A90+90,$A$5:$A$373,1))),"")</f>
        <v>0.989074119703724</v>
      </c>
      <c r="U90" s="11" t="n">
        <f aca="false">IFERROR(Q90/MEDIAN(INDEX($Q$5:$Q$373,MATCH($A90-90,$A$5:$A$373,1)):INDEX($Q$5:$Q$373,MATCH($A90+90,$A$5:$A$373,1))),"")</f>
        <v>1.49454463400103</v>
      </c>
    </row>
    <row r="91" customFormat="false" ht="15" hidden="false" customHeight="false" outlineLevel="0" collapsed="false">
      <c r="A91" s="13" t="n">
        <v>45156.4995640394</v>
      </c>
      <c r="B91" s="8" t="n">
        <v>11</v>
      </c>
      <c r="C91" s="8" t="s">
        <v>84</v>
      </c>
      <c r="D91" s="8" t="s">
        <v>1302</v>
      </c>
      <c r="E91" s="14" t="s">
        <v>66</v>
      </c>
      <c r="F91" s="9" t="n">
        <v>1712</v>
      </c>
      <c r="G91" s="9" t="n">
        <v>215</v>
      </c>
      <c r="H91" s="9" t="n">
        <v>216</v>
      </c>
      <c r="I91" s="9" t="n">
        <v>105</v>
      </c>
      <c r="J91" s="9" t="n">
        <v>25</v>
      </c>
      <c r="K91" s="9" t="n">
        <v>2</v>
      </c>
      <c r="L91" s="9" t="n">
        <v>1</v>
      </c>
      <c r="M91" s="10" t="n">
        <f aca="false">IFERROR(G91/F91,"")</f>
        <v>0.125584112149533</v>
      </c>
      <c r="N91" s="10" t="n">
        <f aca="false">IFERROR(H91/G91,"")</f>
        <v>1.0046511627907</v>
      </c>
      <c r="O91" s="11" t="n">
        <f aca="false">IFERROR(I91/H91,"")</f>
        <v>0.486111111111111</v>
      </c>
      <c r="P91" s="10" t="n">
        <f aca="false">IFERROR(J91/H91,"")</f>
        <v>0.115740740740741</v>
      </c>
      <c r="Q91" s="10" t="n">
        <f aca="false">IFERROR(K91/H91,"")</f>
        <v>0.00925925925925926</v>
      </c>
      <c r="R91" s="10" t="n">
        <f aca="false">IFERROR(L91/H91,"")</f>
        <v>0.00462962962962963</v>
      </c>
      <c r="S91" s="11" t="n">
        <f aca="false">IFERROR(M91/MEDIAN(INDEX($M$5:$M$373,MATCH($A91-90,$A$5:$A$373,1)):INDEX($M$5:$M$373,MATCH($A91+90,$A$5:$A$373,1))),"")</f>
        <v>0.645074118698902</v>
      </c>
      <c r="T91" s="11" t="n">
        <f aca="false">IFERROR(N91/MEDIAN(INDEX($N$5:$N$373,MATCH($A91-90,$A$5:$A$373,1)):INDEX($N$5:$N$373,MATCH($A91+90,$A$5:$A$373,1))),"")</f>
        <v>1.00760448030326</v>
      </c>
      <c r="U91" s="11" t="n">
        <f aca="false">IFERROR(Q91/MEDIAN(INDEX($Q$5:$Q$373,MATCH($A91-90,$A$5:$A$373,1)):INDEX($Q$5:$Q$373,MATCH($A91+90,$A$5:$A$373,1))),"")</f>
        <v>1.48070625776028</v>
      </c>
    </row>
    <row r="92" customFormat="false" ht="15" hidden="false" customHeight="false" outlineLevel="0" collapsed="false">
      <c r="A92" s="13" t="n">
        <v>45158.5007629167</v>
      </c>
      <c r="B92" s="8" t="n">
        <v>12</v>
      </c>
      <c r="C92" s="8" t="s">
        <v>86</v>
      </c>
      <c r="D92" s="8" t="s">
        <v>1303</v>
      </c>
      <c r="E92" s="14" t="s">
        <v>66</v>
      </c>
      <c r="F92" s="9" t="n">
        <v>3917</v>
      </c>
      <c r="G92" s="9" t="n">
        <v>852</v>
      </c>
      <c r="H92" s="9" t="n">
        <v>850</v>
      </c>
      <c r="I92" s="9" t="n">
        <v>511</v>
      </c>
      <c r="J92" s="9" t="n">
        <v>54</v>
      </c>
      <c r="K92" s="9" t="n">
        <v>19</v>
      </c>
      <c r="L92" s="9" t="n">
        <v>1</v>
      </c>
      <c r="M92" s="10" t="n">
        <f aca="false">IFERROR(G92/F92,"")</f>
        <v>0.217513403114629</v>
      </c>
      <c r="N92" s="10" t="n">
        <f aca="false">IFERROR(H92/G92,"")</f>
        <v>0.997652582159624</v>
      </c>
      <c r="O92" s="11" t="n">
        <f aca="false">IFERROR(I92/H92,"")</f>
        <v>0.601176470588235</v>
      </c>
      <c r="P92" s="10" t="n">
        <f aca="false">IFERROR(J92/H92,"")</f>
        <v>0.0635294117647059</v>
      </c>
      <c r="Q92" s="10" t="n">
        <f aca="false">IFERROR(K92/H92,"")</f>
        <v>0.0223529411764706</v>
      </c>
      <c r="R92" s="10" t="n">
        <f aca="false">IFERROR(L92/H92,"")</f>
        <v>0.00117647058823529</v>
      </c>
      <c r="S92" s="11" t="n">
        <f aca="false">IFERROR(M92/MEDIAN(INDEX($M$5:$M$373,MATCH($A92-90,$A$5:$A$373,1)):INDEX($M$5:$M$373,MATCH($A92+90,$A$5:$A$373,1))),"")</f>
        <v>1.11727721299888</v>
      </c>
      <c r="T92" s="11" t="n">
        <f aca="false">IFERROR(N92/MEDIAN(INDEX($N$5:$N$373,MATCH($A92-90,$A$5:$A$373,1)):INDEX($N$5:$N$373,MATCH($A92+90,$A$5:$A$373,1))),"")</f>
        <v>1.0005853263314</v>
      </c>
      <c r="U92" s="11" t="n">
        <f aca="false">IFERROR(Q92/MEDIAN(INDEX($Q$5:$Q$373,MATCH($A92-90,$A$5:$A$373,1)):INDEX($Q$5:$Q$373,MATCH($A92+90,$A$5:$A$373,1))),"")</f>
        <v>3.57459910696952</v>
      </c>
    </row>
    <row r="93" customFormat="false" ht="15" hidden="false" customHeight="false" outlineLevel="0" collapsed="false">
      <c r="A93" s="13" t="n">
        <v>45159.4929659954</v>
      </c>
      <c r="B93" s="8" t="n">
        <v>11</v>
      </c>
      <c r="C93" s="8" t="s">
        <v>80</v>
      </c>
      <c r="D93" s="8" t="s">
        <v>1304</v>
      </c>
      <c r="E93" s="14" t="s">
        <v>66</v>
      </c>
      <c r="F93" s="9" t="n">
        <v>828</v>
      </c>
      <c r="G93" s="9" t="n">
        <v>158</v>
      </c>
      <c r="H93" s="9" t="n">
        <v>155</v>
      </c>
      <c r="I93" s="9" t="n">
        <v>101</v>
      </c>
      <c r="J93" s="9" t="n">
        <v>16</v>
      </c>
      <c r="K93" s="9" t="n">
        <v>0</v>
      </c>
      <c r="L93" s="9" t="n">
        <v>0</v>
      </c>
      <c r="M93" s="10" t="n">
        <f aca="false">IFERROR(G93/F93,"")</f>
        <v>0.190821256038647</v>
      </c>
      <c r="N93" s="10" t="n">
        <f aca="false">IFERROR(H93/G93,"")</f>
        <v>0.981012658227848</v>
      </c>
      <c r="O93" s="11" t="n">
        <f aca="false">IFERROR(I93/H93,"")</f>
        <v>0.651612903225807</v>
      </c>
      <c r="P93" s="10" t="n">
        <f aca="false">IFERROR(J93/H93,"")</f>
        <v>0.103225806451613</v>
      </c>
      <c r="Q93" s="10" t="n">
        <f aca="false">IFERROR(K93/H93,"")</f>
        <v>0</v>
      </c>
      <c r="R93" s="10" t="n">
        <f aca="false">IFERROR(L93/H93,"")</f>
        <v>0</v>
      </c>
      <c r="S93" s="11" t="n">
        <f aca="false">IFERROR(M93/MEDIAN(INDEX($M$5:$M$373,MATCH($A93-90,$A$5:$A$373,1)):INDEX($M$5:$M$373,MATCH($A93+90,$A$5:$A$373,1))),"")</f>
        <v>0.980170592133346</v>
      </c>
      <c r="T93" s="11" t="n">
        <f aca="false">IFERROR(N93/MEDIAN(INDEX($N$5:$N$373,MATCH($A93-90,$A$5:$A$373,1)):INDEX($N$5:$N$373,MATCH($A93+90,$A$5:$A$373,1))),"")</f>
        <v>0.983896486934661</v>
      </c>
      <c r="U93" s="11" t="n">
        <f aca="false">IFERROR(Q93/MEDIAN(INDEX($Q$5:$Q$373,MATCH($A93-90,$A$5:$A$373,1)):INDEX($Q$5:$Q$373,MATCH($A93+90,$A$5:$A$373,1))),"")</f>
        <v>0</v>
      </c>
    </row>
    <row r="94" customFormat="false" ht="15" hidden="false" customHeight="false" outlineLevel="0" collapsed="false">
      <c r="A94" s="13" t="n">
        <v>45160.5308443287</v>
      </c>
      <c r="B94" s="8" t="n">
        <v>12</v>
      </c>
      <c r="C94" s="8" t="s">
        <v>64</v>
      </c>
      <c r="D94" s="8" t="s">
        <v>1305</v>
      </c>
      <c r="E94" s="14" t="s">
        <v>66</v>
      </c>
      <c r="F94" s="9" t="n">
        <v>1971</v>
      </c>
      <c r="G94" s="9" t="n">
        <v>397</v>
      </c>
      <c r="H94" s="9" t="n">
        <v>393</v>
      </c>
      <c r="I94" s="9" t="n">
        <v>188</v>
      </c>
      <c r="J94" s="9" t="n">
        <v>22</v>
      </c>
      <c r="K94" s="9" t="n">
        <v>1</v>
      </c>
      <c r="L94" s="9" t="n">
        <v>2</v>
      </c>
      <c r="M94" s="10" t="n">
        <f aca="false">IFERROR(G94/F94,"")</f>
        <v>0.201420598680873</v>
      </c>
      <c r="N94" s="10" t="n">
        <f aca="false">IFERROR(H94/G94,"")</f>
        <v>0.98992443324937</v>
      </c>
      <c r="O94" s="11" t="n">
        <f aca="false">IFERROR(I94/H94,"")</f>
        <v>0.478371501272265</v>
      </c>
      <c r="P94" s="10" t="n">
        <f aca="false">IFERROR(J94/H94,"")</f>
        <v>0.0559796437659033</v>
      </c>
      <c r="Q94" s="10" t="n">
        <f aca="false">IFERROR(K94/H94,"")</f>
        <v>0.00254452926208651</v>
      </c>
      <c r="R94" s="10" t="n">
        <f aca="false">IFERROR(L94/H94,"")</f>
        <v>0.00508905852417303</v>
      </c>
      <c r="S94" s="11" t="n">
        <f aca="false">IFERROR(M94/MEDIAN(INDEX($M$5:$M$373,MATCH($A94-90,$A$5:$A$373,1)):INDEX($M$5:$M$373,MATCH($A94+90,$A$5:$A$373,1))),"")</f>
        <v>1.03461507158772</v>
      </c>
      <c r="T94" s="11" t="n">
        <f aca="false">IFERROR(N94/MEDIAN(INDEX($N$5:$N$373,MATCH($A94-90,$A$5:$A$373,1)):INDEX($N$5:$N$373,MATCH($A94+90,$A$5:$A$373,1))),"")</f>
        <v>0.992834459408805</v>
      </c>
      <c r="U94" s="11" t="n">
        <f aca="false">IFERROR(Q94/MEDIAN(INDEX($Q$5:$Q$373,MATCH($A94-90,$A$5:$A$373,1)):INDEX($Q$5:$Q$373,MATCH($A94+90,$A$5:$A$373,1))),"")</f>
        <v>0.40691164335397</v>
      </c>
    </row>
    <row r="95" customFormat="false" ht="15" hidden="false" customHeight="false" outlineLevel="0" collapsed="false">
      <c r="A95" s="13" t="n">
        <v>45161.4912456134</v>
      </c>
      <c r="B95" s="8" t="n">
        <v>11</v>
      </c>
      <c r="C95" s="8" t="s">
        <v>71</v>
      </c>
      <c r="D95" s="8" t="s">
        <v>1306</v>
      </c>
      <c r="E95" s="14" t="s">
        <v>66</v>
      </c>
      <c r="F95" s="9" t="n">
        <v>1746</v>
      </c>
      <c r="G95" s="9" t="n">
        <v>266</v>
      </c>
      <c r="H95" s="9" t="n">
        <v>266</v>
      </c>
      <c r="I95" s="9" t="n">
        <v>140</v>
      </c>
      <c r="J95" s="9" t="n">
        <v>18</v>
      </c>
      <c r="K95" s="9" t="n">
        <v>0</v>
      </c>
      <c r="L95" s="9" t="n">
        <v>2</v>
      </c>
      <c r="M95" s="10" t="n">
        <f aca="false">IFERROR(G95/F95,"")</f>
        <v>0.152348224513173</v>
      </c>
      <c r="N95" s="10" t="n">
        <f aca="false">IFERROR(H95/G95,"")</f>
        <v>1</v>
      </c>
      <c r="O95" s="11" t="n">
        <f aca="false">IFERROR(I95/H95,"")</f>
        <v>0.526315789473684</v>
      </c>
      <c r="P95" s="10" t="n">
        <f aca="false">IFERROR(J95/H95,"")</f>
        <v>0.0676691729323308</v>
      </c>
      <c r="Q95" s="10" t="n">
        <f aca="false">IFERROR(K95/H95,"")</f>
        <v>0</v>
      </c>
      <c r="R95" s="10" t="n">
        <f aca="false">IFERROR(L95/H95,"")</f>
        <v>0.0075187969924812</v>
      </c>
      <c r="S95" s="11" t="n">
        <f aca="false">IFERROR(M95/MEDIAN(INDEX($M$5:$M$373,MATCH($A95-90,$A$5:$A$373,1)):INDEX($M$5:$M$373,MATCH($A95+90,$A$5:$A$373,1))),"")</f>
        <v>0.782550395755163</v>
      </c>
      <c r="T95" s="11" t="n">
        <f aca="false">IFERROR(N95/MEDIAN(INDEX($N$5:$N$373,MATCH($A95-90,$A$5:$A$373,1)):INDEX($N$5:$N$373,MATCH($A95+90,$A$5:$A$373,1))),"")</f>
        <v>1.0029396447463</v>
      </c>
      <c r="U95" s="11" t="n">
        <f aca="false">IFERROR(Q95/MEDIAN(INDEX($Q$5:$Q$373,MATCH($A95-90,$A$5:$A$373,1)):INDEX($Q$5:$Q$373,MATCH($A95+90,$A$5:$A$373,1))),"")</f>
        <v>0</v>
      </c>
    </row>
    <row r="96" customFormat="false" ht="15" hidden="false" customHeight="false" outlineLevel="0" collapsed="false">
      <c r="A96" s="13" t="n">
        <v>45162.4915074074</v>
      </c>
      <c r="B96" s="8" t="n">
        <v>11</v>
      </c>
      <c r="C96" s="8" t="s">
        <v>73</v>
      </c>
      <c r="D96" s="8" t="s">
        <v>1307</v>
      </c>
      <c r="E96" s="14" t="s">
        <v>66</v>
      </c>
      <c r="F96" s="9" t="n">
        <v>1543</v>
      </c>
      <c r="G96" s="9" t="n">
        <v>211</v>
      </c>
      <c r="H96" s="9" t="n">
        <v>211</v>
      </c>
      <c r="I96" s="9" t="n">
        <v>105</v>
      </c>
      <c r="J96" s="9" t="n">
        <v>23</v>
      </c>
      <c r="K96" s="9" t="n">
        <v>0</v>
      </c>
      <c r="L96" s="9" t="n">
        <v>1</v>
      </c>
      <c r="M96" s="10" t="n">
        <f aca="false">IFERROR(G96/F96,"")</f>
        <v>0.136746597537265</v>
      </c>
      <c r="N96" s="10" t="n">
        <f aca="false">IFERROR(H96/G96,"")</f>
        <v>1</v>
      </c>
      <c r="O96" s="11" t="n">
        <f aca="false">IFERROR(I96/H96,"")</f>
        <v>0.497630331753555</v>
      </c>
      <c r="P96" s="10" t="n">
        <f aca="false">IFERROR(J96/H96,"")</f>
        <v>0.109004739336493</v>
      </c>
      <c r="Q96" s="10" t="n">
        <f aca="false">IFERROR(K96/H96,"")</f>
        <v>0</v>
      </c>
      <c r="R96" s="10" t="n">
        <f aca="false">IFERROR(L96/H96,"")</f>
        <v>0.004739336492891</v>
      </c>
      <c r="S96" s="11" t="n">
        <f aca="false">IFERROR(M96/MEDIAN(INDEX($M$5:$M$373,MATCH($A96-90,$A$5:$A$373,1)):INDEX($M$5:$M$373,MATCH($A96+90,$A$5:$A$373,1))),"")</f>
        <v>0.702411231656368</v>
      </c>
      <c r="T96" s="11" t="n">
        <f aca="false">IFERROR(N96/MEDIAN(INDEX($N$5:$N$373,MATCH($A96-90,$A$5:$A$373,1)):INDEX($N$5:$N$373,MATCH($A96+90,$A$5:$A$373,1))),"")</f>
        <v>1.0029396447463</v>
      </c>
      <c r="U96" s="11" t="n">
        <f aca="false">IFERROR(Q96/MEDIAN(INDEX($Q$5:$Q$373,MATCH($A96-90,$A$5:$A$373,1)):INDEX($Q$5:$Q$373,MATCH($A96+90,$A$5:$A$373,1))),"")</f>
        <v>0</v>
      </c>
    </row>
    <row r="97" customFormat="false" ht="15" hidden="false" customHeight="false" outlineLevel="0" collapsed="false">
      <c r="A97" s="13" t="n">
        <v>45163.4844487153</v>
      </c>
      <c r="B97" s="8" t="n">
        <v>11</v>
      </c>
      <c r="C97" s="8" t="s">
        <v>84</v>
      </c>
      <c r="D97" s="8" t="s">
        <v>1308</v>
      </c>
      <c r="E97" s="14" t="s">
        <v>66</v>
      </c>
      <c r="F97" s="9" t="n">
        <v>1184</v>
      </c>
      <c r="G97" s="9" t="n">
        <v>102</v>
      </c>
      <c r="H97" s="9" t="n">
        <v>100</v>
      </c>
      <c r="I97" s="9" t="n">
        <v>40</v>
      </c>
      <c r="J97" s="9" t="n">
        <v>17</v>
      </c>
      <c r="K97" s="9" t="n">
        <v>1</v>
      </c>
      <c r="L97" s="9" t="n">
        <v>0</v>
      </c>
      <c r="M97" s="10" t="n">
        <f aca="false">IFERROR(G97/F97,"")</f>
        <v>0.0861486486486486</v>
      </c>
      <c r="N97" s="10" t="n">
        <f aca="false">IFERROR(H97/G97,"")</f>
        <v>0.980392156862745</v>
      </c>
      <c r="O97" s="11" t="n">
        <f aca="false">IFERROR(I97/H97,"")</f>
        <v>0.4</v>
      </c>
      <c r="P97" s="10" t="n">
        <f aca="false">IFERROR(J97/H97,"")</f>
        <v>0.17</v>
      </c>
      <c r="Q97" s="10" t="n">
        <f aca="false">IFERROR(K97/H97,"")</f>
        <v>0.01</v>
      </c>
      <c r="R97" s="10" t="n">
        <f aca="false">IFERROR(L97/H97,"")</f>
        <v>0</v>
      </c>
      <c r="S97" s="11" t="n">
        <f aca="false">IFERROR(M97/MEDIAN(INDEX($M$5:$M$373,MATCH($A97-90,$A$5:$A$373,1)):INDEX($M$5:$M$373,MATCH($A97+90,$A$5:$A$373,1))),"")</f>
        <v>0.442510303675664</v>
      </c>
      <c r="T97" s="11" t="n">
        <f aca="false">IFERROR(N97/MEDIAN(INDEX($N$5:$N$373,MATCH($A97-90,$A$5:$A$373,1)):INDEX($N$5:$N$373,MATCH($A97+90,$A$5:$A$373,1))),"")</f>
        <v>0.98327416151598</v>
      </c>
      <c r="U97" s="11" t="n">
        <f aca="false">IFERROR(Q97/MEDIAN(INDEX($Q$5:$Q$373,MATCH($A97-90,$A$5:$A$373,1)):INDEX($Q$5:$Q$373,MATCH($A97+90,$A$5:$A$373,1))),"")</f>
        <v>1.5991627583811</v>
      </c>
    </row>
    <row r="98" customFormat="false" ht="15" hidden="false" customHeight="false" outlineLevel="0" collapsed="false">
      <c r="A98" s="13" t="n">
        <v>45164.5075401389</v>
      </c>
      <c r="B98" s="8" t="n">
        <v>12</v>
      </c>
      <c r="C98" s="8" t="s">
        <v>68</v>
      </c>
      <c r="D98" s="8" t="s">
        <v>1309</v>
      </c>
      <c r="E98" s="14" t="s">
        <v>66</v>
      </c>
      <c r="F98" s="9" t="n">
        <v>2526</v>
      </c>
      <c r="G98" s="9" t="n">
        <v>274</v>
      </c>
      <c r="H98" s="9" t="n">
        <v>270</v>
      </c>
      <c r="I98" s="9" t="n">
        <v>129</v>
      </c>
      <c r="J98" s="9" t="n">
        <v>27</v>
      </c>
      <c r="K98" s="9" t="n">
        <v>0</v>
      </c>
      <c r="L98" s="9" t="n">
        <v>0</v>
      </c>
      <c r="M98" s="10" t="n">
        <f aca="false">IFERROR(G98/F98,"")</f>
        <v>0.108471892319873</v>
      </c>
      <c r="N98" s="10" t="n">
        <f aca="false">IFERROR(H98/G98,"")</f>
        <v>0.985401459854015</v>
      </c>
      <c r="O98" s="11" t="n">
        <f aca="false">IFERROR(I98/H98,"")</f>
        <v>0.477777777777778</v>
      </c>
      <c r="P98" s="10" t="n">
        <f aca="false">IFERROR(J98/H98,"")</f>
        <v>0.1</v>
      </c>
      <c r="Q98" s="10" t="n">
        <f aca="false">IFERROR(K98/H98,"")</f>
        <v>0</v>
      </c>
      <c r="R98" s="10" t="n">
        <f aca="false">IFERROR(L98/H98,"")</f>
        <v>0</v>
      </c>
      <c r="S98" s="11" t="n">
        <f aca="false">IFERROR(M98/MEDIAN(INDEX($M$5:$M$373,MATCH($A98-90,$A$5:$A$373,1)):INDEX($M$5:$M$373,MATCH($A98+90,$A$5:$A$373,1))),"")</f>
        <v>0.557175658163897</v>
      </c>
      <c r="T98" s="11" t="n">
        <f aca="false">IFERROR(N98/MEDIAN(INDEX($N$5:$N$373,MATCH($A98-90,$A$5:$A$373,1)):INDEX($N$5:$N$373,MATCH($A98+90,$A$5:$A$373,1))),"")</f>
        <v>0.98829819007847</v>
      </c>
      <c r="U98" s="11" t="n">
        <f aca="false">IFERROR(Q98/MEDIAN(INDEX($Q$5:$Q$373,MATCH($A98-90,$A$5:$A$373,1)):INDEX($Q$5:$Q$373,MATCH($A98+90,$A$5:$A$373,1))),"")</f>
        <v>0</v>
      </c>
    </row>
    <row r="99" customFormat="false" ht="15" hidden="false" customHeight="false" outlineLevel="0" collapsed="false">
      <c r="A99" s="13" t="n">
        <v>45165.6659683218</v>
      </c>
      <c r="B99" s="8" t="n">
        <v>15</v>
      </c>
      <c r="C99" s="8" t="s">
        <v>86</v>
      </c>
      <c r="D99" s="8" t="s">
        <v>1310</v>
      </c>
      <c r="E99" s="14" t="s">
        <v>66</v>
      </c>
      <c r="F99" s="9" t="n">
        <v>1851</v>
      </c>
      <c r="G99" s="9" t="n">
        <v>266</v>
      </c>
      <c r="H99" s="9" t="n">
        <v>266</v>
      </c>
      <c r="I99" s="9" t="n">
        <v>148</v>
      </c>
      <c r="J99" s="9" t="n">
        <v>21</v>
      </c>
      <c r="K99" s="9" t="n">
        <v>0</v>
      </c>
      <c r="L99" s="9" t="n">
        <v>0</v>
      </c>
      <c r="M99" s="10" t="n">
        <f aca="false">IFERROR(G99/F99,"")</f>
        <v>0.143706104808212</v>
      </c>
      <c r="N99" s="10" t="n">
        <f aca="false">IFERROR(H99/G99,"")</f>
        <v>1</v>
      </c>
      <c r="O99" s="11" t="n">
        <f aca="false">IFERROR(I99/H99,"")</f>
        <v>0.556390977443609</v>
      </c>
      <c r="P99" s="10" t="n">
        <f aca="false">IFERROR(J99/H99,"")</f>
        <v>0.0789473684210526</v>
      </c>
      <c r="Q99" s="10" t="n">
        <f aca="false">IFERROR(K99/H99,"")</f>
        <v>0</v>
      </c>
      <c r="R99" s="10" t="n">
        <f aca="false">IFERROR(L99/H99,"")</f>
        <v>0</v>
      </c>
      <c r="S99" s="11" t="n">
        <f aca="false">IFERROR(M99/MEDIAN(INDEX($M$5:$M$373,MATCH($A99-90,$A$5:$A$373,1)):INDEX($M$5:$M$373,MATCH($A99+90,$A$5:$A$373,1))),"")</f>
        <v>0.738159368443281</v>
      </c>
      <c r="T99" s="11" t="n">
        <f aca="false">IFERROR(N99/MEDIAN(INDEX($N$5:$N$373,MATCH($A99-90,$A$5:$A$373,1)):INDEX($N$5:$N$373,MATCH($A99+90,$A$5:$A$373,1))),"")</f>
        <v>1.0029396447463</v>
      </c>
      <c r="U99" s="11" t="n">
        <f aca="false">IFERROR(Q99/MEDIAN(INDEX($Q$5:$Q$373,MATCH($A99-90,$A$5:$A$373,1)):INDEX($Q$5:$Q$373,MATCH($A99+90,$A$5:$A$373,1))),"")</f>
        <v>0</v>
      </c>
    </row>
    <row r="100" customFormat="false" ht="15" hidden="false" customHeight="false" outlineLevel="0" collapsed="false">
      <c r="A100" s="13" t="n">
        <v>45166.4805083565</v>
      </c>
      <c r="B100" s="8" t="n">
        <v>11</v>
      </c>
      <c r="C100" s="8" t="s">
        <v>80</v>
      </c>
      <c r="D100" s="8" t="s">
        <v>1311</v>
      </c>
      <c r="E100" s="14" t="s">
        <v>66</v>
      </c>
      <c r="F100" s="9" t="n">
        <v>1536</v>
      </c>
      <c r="G100" s="9" t="n">
        <v>332</v>
      </c>
      <c r="H100" s="9" t="n">
        <v>332</v>
      </c>
      <c r="I100" s="9" t="n">
        <v>205</v>
      </c>
      <c r="J100" s="9" t="n">
        <v>25</v>
      </c>
      <c r="K100" s="9" t="n">
        <v>8</v>
      </c>
      <c r="L100" s="9" t="n">
        <v>0</v>
      </c>
      <c r="M100" s="10" t="n">
        <f aca="false">IFERROR(G100/F100,"")</f>
        <v>0.216145833333333</v>
      </c>
      <c r="N100" s="10" t="n">
        <f aca="false">IFERROR(H100/G100,"")</f>
        <v>1</v>
      </c>
      <c r="O100" s="11" t="n">
        <f aca="false">IFERROR(I100/H100,"")</f>
        <v>0.617469879518072</v>
      </c>
      <c r="P100" s="10" t="n">
        <f aca="false">IFERROR(J100/H100,"")</f>
        <v>0.0753012048192771</v>
      </c>
      <c r="Q100" s="10" t="n">
        <f aca="false">IFERROR(K100/H100,"")</f>
        <v>0.0240963855421687</v>
      </c>
      <c r="R100" s="10" t="n">
        <f aca="false">IFERROR(L100/H100,"")</f>
        <v>0</v>
      </c>
      <c r="S100" s="11" t="n">
        <f aca="false">IFERROR(M100/MEDIAN(INDEX($M$5:$M$373,MATCH($A100-90,$A$5:$A$373,1)):INDEX($M$5:$M$373,MATCH($A100+90,$A$5:$A$373,1))),"")</f>
        <v>1.11980637947269</v>
      </c>
      <c r="T100" s="11" t="n">
        <f aca="false">IFERROR(N100/MEDIAN(INDEX($N$5:$N$373,MATCH($A100-90,$A$5:$A$373,1)):INDEX($N$5:$N$373,MATCH($A100+90,$A$5:$A$373,1))),"")</f>
        <v>1.002849002849</v>
      </c>
      <c r="U100" s="11" t="n">
        <f aca="false">IFERROR(Q100/MEDIAN(INDEX($Q$5:$Q$373,MATCH($A100-90,$A$5:$A$373,1)):INDEX($Q$5:$Q$373,MATCH($A100+90,$A$5:$A$373,1))),"")</f>
        <v>3.85943775100402</v>
      </c>
    </row>
    <row r="101" customFormat="false" ht="15" hidden="false" customHeight="false" outlineLevel="0" collapsed="false">
      <c r="A101" s="13" t="n">
        <v>45167.5303793982</v>
      </c>
      <c r="B101" s="8" t="n">
        <v>12</v>
      </c>
      <c r="C101" s="8" t="s">
        <v>64</v>
      </c>
      <c r="D101" s="8" t="s">
        <v>1312</v>
      </c>
      <c r="E101" s="14" t="s">
        <v>66</v>
      </c>
      <c r="F101" s="9" t="n">
        <v>2185</v>
      </c>
      <c r="G101" s="9" t="n">
        <v>492</v>
      </c>
      <c r="H101" s="9" t="n">
        <v>475</v>
      </c>
      <c r="I101" s="9" t="n">
        <v>220</v>
      </c>
      <c r="J101" s="9" t="n">
        <v>37</v>
      </c>
      <c r="K101" s="9" t="n">
        <v>7</v>
      </c>
      <c r="L101" s="9" t="n">
        <v>2</v>
      </c>
      <c r="M101" s="10" t="n">
        <f aca="false">IFERROR(G101/F101,"")</f>
        <v>0.225171624713959</v>
      </c>
      <c r="N101" s="10" t="n">
        <f aca="false">IFERROR(H101/G101,"")</f>
        <v>0.965447154471545</v>
      </c>
      <c r="O101" s="11" t="n">
        <f aca="false">IFERROR(I101/H101,"")</f>
        <v>0.463157894736842</v>
      </c>
      <c r="P101" s="10" t="n">
        <f aca="false">IFERROR(J101/H101,"")</f>
        <v>0.0778947368421053</v>
      </c>
      <c r="Q101" s="10" t="n">
        <f aca="false">IFERROR(K101/H101,"")</f>
        <v>0.0147368421052632</v>
      </c>
      <c r="R101" s="10" t="n">
        <f aca="false">IFERROR(L101/H101,"")</f>
        <v>0.00421052631578947</v>
      </c>
      <c r="S101" s="11" t="n">
        <f aca="false">IFERROR(M101/MEDIAN(INDEX($M$5:$M$373,MATCH($A101-90,$A$5:$A$373,1)):INDEX($M$5:$M$373,MATCH($A101+90,$A$5:$A$373,1))),"")</f>
        <v>1.16979700365808</v>
      </c>
      <c r="T101" s="11" t="n">
        <f aca="false">IFERROR(N101/MEDIAN(INDEX($N$5:$N$373,MATCH($A101-90,$A$5:$A$373,1)):INDEX($N$5:$N$373,MATCH($A101+90,$A$5:$A$373,1))),"")</f>
        <v>0.968189924143014</v>
      </c>
      <c r="U101" s="11" t="n">
        <f aca="false">IFERROR(Q101/MEDIAN(INDEX($Q$5:$Q$373,MATCH($A101-90,$A$5:$A$373,1)):INDEX($Q$5:$Q$373,MATCH($A101+90,$A$5:$A$373,1))),"")</f>
        <v>2.36647529566001</v>
      </c>
    </row>
    <row r="102" customFormat="false" ht="15" hidden="false" customHeight="false" outlineLevel="0" collapsed="false">
      <c r="A102" s="13" t="n">
        <v>45168.5008304051</v>
      </c>
      <c r="B102" s="8" t="n">
        <v>12</v>
      </c>
      <c r="C102" s="8" t="s">
        <v>71</v>
      </c>
      <c r="D102" s="8" t="s">
        <v>1313</v>
      </c>
      <c r="E102" s="14" t="s">
        <v>66</v>
      </c>
      <c r="F102" s="9" t="n">
        <v>1042</v>
      </c>
      <c r="G102" s="9" t="n">
        <v>160</v>
      </c>
      <c r="H102" s="9" t="n">
        <v>159</v>
      </c>
      <c r="I102" s="9" t="n">
        <v>118</v>
      </c>
      <c r="J102" s="9" t="n">
        <v>21</v>
      </c>
      <c r="K102" s="9" t="n">
        <v>1</v>
      </c>
      <c r="L102" s="9" t="n">
        <v>0</v>
      </c>
      <c r="M102" s="10" t="n">
        <f aca="false">IFERROR(G102/F102,"")</f>
        <v>0.153550863723608</v>
      </c>
      <c r="N102" s="10" t="n">
        <f aca="false">IFERROR(H102/G102,"")</f>
        <v>0.99375</v>
      </c>
      <c r="O102" s="11" t="n">
        <f aca="false">IFERROR(I102/H102,"")</f>
        <v>0.742138364779874</v>
      </c>
      <c r="P102" s="10" t="n">
        <f aca="false">IFERROR(J102/H102,"")</f>
        <v>0.132075471698113</v>
      </c>
      <c r="Q102" s="10" t="n">
        <f aca="false">IFERROR(K102/H102,"")</f>
        <v>0.00628930817610063</v>
      </c>
      <c r="R102" s="10" t="n">
        <f aca="false">IFERROR(L102/H102,"")</f>
        <v>0</v>
      </c>
      <c r="S102" s="11" t="n">
        <f aca="false">IFERROR(M102/MEDIAN(INDEX($M$5:$M$373,MATCH($A102-90,$A$5:$A$373,1)):INDEX($M$5:$M$373,MATCH($A102+90,$A$5:$A$373,1))),"")</f>
        <v>0.799932256971887</v>
      </c>
      <c r="T102" s="11" t="n">
        <f aca="false">IFERROR(N102/MEDIAN(INDEX($N$5:$N$373,MATCH($A102-90,$A$5:$A$373,1)):INDEX($N$5:$N$373,MATCH($A102+90,$A$5:$A$373,1))),"")</f>
        <v>0.996581196581197</v>
      </c>
      <c r="U102" s="11" t="n">
        <f aca="false">IFERROR(Q102/MEDIAN(INDEX($Q$5:$Q$373,MATCH($A102-90,$A$5:$A$373,1)):INDEX($Q$5:$Q$373,MATCH($A102+90,$A$5:$A$373,1))),"")</f>
        <v>1.0125786163522</v>
      </c>
    </row>
    <row r="103" customFormat="false" ht="15" hidden="false" customHeight="false" outlineLevel="0" collapsed="false">
      <c r="A103" s="13" t="n">
        <v>45169.4547295602</v>
      </c>
      <c r="B103" s="8" t="n">
        <v>10</v>
      </c>
      <c r="C103" s="8" t="s">
        <v>73</v>
      </c>
      <c r="D103" s="8" t="s">
        <v>1314</v>
      </c>
      <c r="E103" s="14" t="s">
        <v>66</v>
      </c>
      <c r="F103" s="9" t="n">
        <v>1116</v>
      </c>
      <c r="G103" s="9" t="n">
        <v>234</v>
      </c>
      <c r="H103" s="9" t="n">
        <v>233</v>
      </c>
      <c r="I103" s="9" t="n">
        <v>174</v>
      </c>
      <c r="J103" s="9" t="n">
        <v>34</v>
      </c>
      <c r="K103" s="9" t="n">
        <v>1</v>
      </c>
      <c r="L103" s="9" t="n">
        <v>0</v>
      </c>
      <c r="M103" s="10" t="n">
        <f aca="false">IFERROR(G103/F103,"")</f>
        <v>0.209677419354839</v>
      </c>
      <c r="N103" s="10" t="n">
        <f aca="false">IFERROR(H103/G103,"")</f>
        <v>0.995726495726496</v>
      </c>
      <c r="O103" s="11" t="n">
        <f aca="false">IFERROR(I103/H103,"")</f>
        <v>0.746781115879828</v>
      </c>
      <c r="P103" s="10" t="n">
        <f aca="false">IFERROR(J103/H103,"")</f>
        <v>0.145922746781116</v>
      </c>
      <c r="Q103" s="10" t="n">
        <f aca="false">IFERROR(K103/H103,"")</f>
        <v>0.00429184549356223</v>
      </c>
      <c r="R103" s="10" t="n">
        <f aca="false">IFERROR(L103/H103,"")</f>
        <v>0</v>
      </c>
      <c r="S103" s="11" t="n">
        <f aca="false">IFERROR(M103/MEDIAN(INDEX($M$5:$M$373,MATCH($A103-90,$A$5:$A$373,1)):INDEX($M$5:$M$373,MATCH($A103+90,$A$5:$A$373,1))),"")</f>
        <v>1.09300171751677</v>
      </c>
      <c r="T103" s="11" t="n">
        <f aca="false">IFERROR(N103/MEDIAN(INDEX($N$5:$N$373,MATCH($A103-90,$A$5:$A$373,1)):INDEX($N$5:$N$373,MATCH($A103+90,$A$5:$A$373,1))),"")</f>
        <v>0.998555286946096</v>
      </c>
      <c r="U103" s="11" t="n">
        <f aca="false">IFERROR(Q103/MEDIAN(INDEX($Q$5:$Q$373,MATCH($A103-90,$A$5:$A$373,1)):INDEX($Q$5:$Q$373,MATCH($A103+90,$A$5:$A$373,1))),"")</f>
        <v>0.689194215474252</v>
      </c>
    </row>
    <row r="104" customFormat="false" ht="15" hidden="false" customHeight="false" outlineLevel="0" collapsed="false">
      <c r="A104" s="13" t="n">
        <v>45170.4936073611</v>
      </c>
      <c r="B104" s="8" t="n">
        <v>11</v>
      </c>
      <c r="C104" s="8" t="s">
        <v>84</v>
      </c>
      <c r="D104" s="8" t="s">
        <v>1315</v>
      </c>
      <c r="E104" s="14" t="s">
        <v>66</v>
      </c>
      <c r="F104" s="9" t="n">
        <v>1037</v>
      </c>
      <c r="G104" s="9" t="n">
        <v>125</v>
      </c>
      <c r="H104" s="9" t="n">
        <v>125</v>
      </c>
      <c r="I104" s="9" t="n">
        <v>57</v>
      </c>
      <c r="J104" s="9" t="n">
        <v>23</v>
      </c>
      <c r="K104" s="9" t="n">
        <v>5</v>
      </c>
      <c r="L104" s="9" t="n">
        <v>0</v>
      </c>
      <c r="M104" s="10" t="n">
        <f aca="false">IFERROR(G104/F104,"")</f>
        <v>0.120540019286403</v>
      </c>
      <c r="N104" s="10" t="n">
        <f aca="false">IFERROR(H104/G104,"")</f>
        <v>1</v>
      </c>
      <c r="O104" s="11" t="n">
        <f aca="false">IFERROR(I104/H104,"")</f>
        <v>0.456</v>
      </c>
      <c r="P104" s="10" t="n">
        <f aca="false">IFERROR(J104/H104,"")</f>
        <v>0.184</v>
      </c>
      <c r="Q104" s="10" t="n">
        <f aca="false">IFERROR(K104/H104,"")</f>
        <v>0.04</v>
      </c>
      <c r="R104" s="10" t="n">
        <f aca="false">IFERROR(L104/H104,"")</f>
        <v>0</v>
      </c>
      <c r="S104" s="11" t="n">
        <f aca="false">IFERROR(M104/MEDIAN(INDEX($M$5:$M$373,MATCH($A104-90,$A$5:$A$373,1)):INDEX($M$5:$M$373,MATCH($A104+90,$A$5:$A$373,1))),"")</f>
        <v>0.628736740597878</v>
      </c>
      <c r="T104" s="11" t="n">
        <f aca="false">IFERROR(N104/MEDIAN(INDEX($N$5:$N$373,MATCH($A104-90,$A$5:$A$373,1)):INDEX($N$5:$N$373,MATCH($A104+90,$A$5:$A$373,1))),"")</f>
        <v>1.0028328611898</v>
      </c>
      <c r="U104" s="11" t="n">
        <f aca="false">IFERROR(Q104/MEDIAN(INDEX($Q$5:$Q$373,MATCH($A104-90,$A$5:$A$373,1)):INDEX($Q$5:$Q$373,MATCH($A104+90,$A$5:$A$373,1))),"")</f>
        <v>6.44</v>
      </c>
    </row>
    <row r="105" customFormat="false" ht="15" hidden="false" customHeight="false" outlineLevel="0" collapsed="false">
      <c r="A105" s="13" t="n">
        <v>45171.4940571412</v>
      </c>
      <c r="B105" s="8" t="n">
        <v>11</v>
      </c>
      <c r="C105" s="8" t="s">
        <v>68</v>
      </c>
      <c r="D105" s="8" t="s">
        <v>1316</v>
      </c>
      <c r="E105" s="14" t="s">
        <v>66</v>
      </c>
      <c r="F105" s="9" t="n">
        <v>2018</v>
      </c>
      <c r="G105" s="9" t="n">
        <v>298</v>
      </c>
      <c r="H105" s="9" t="n">
        <v>298</v>
      </c>
      <c r="I105" s="9" t="n">
        <v>162</v>
      </c>
      <c r="J105" s="9" t="n">
        <v>30</v>
      </c>
      <c r="K105" s="9" t="n">
        <v>3</v>
      </c>
      <c r="L105" s="9" t="n">
        <v>1</v>
      </c>
      <c r="M105" s="10" t="n">
        <f aca="false">IFERROR(G105/F105,"")</f>
        <v>0.147670961347869</v>
      </c>
      <c r="N105" s="10" t="n">
        <f aca="false">IFERROR(H105/G105,"")</f>
        <v>1</v>
      </c>
      <c r="O105" s="11" t="n">
        <f aca="false">IFERROR(I105/H105,"")</f>
        <v>0.543624161073826</v>
      </c>
      <c r="P105" s="10" t="n">
        <f aca="false">IFERROR(J105/H105,"")</f>
        <v>0.100671140939597</v>
      </c>
      <c r="Q105" s="10" t="n">
        <f aca="false">IFERROR(K105/H105,"")</f>
        <v>0.0100671140939597</v>
      </c>
      <c r="R105" s="10" t="n">
        <f aca="false">IFERROR(L105/H105,"")</f>
        <v>0.00335570469798658</v>
      </c>
      <c r="S105" s="11" t="n">
        <f aca="false">IFERROR(M105/MEDIAN(INDEX($M$5:$M$373,MATCH($A105-90,$A$5:$A$373,1)):INDEX($M$5:$M$373,MATCH($A105+90,$A$5:$A$373,1))),"")</f>
        <v>0.77131292217845</v>
      </c>
      <c r="T105" s="11" t="n">
        <f aca="false">IFERROR(N105/MEDIAN(INDEX($N$5:$N$373,MATCH($A105-90,$A$5:$A$373,1)):INDEX($N$5:$N$373,MATCH($A105+90,$A$5:$A$373,1))),"")</f>
        <v>1.00270507410738</v>
      </c>
      <c r="U105" s="11" t="n">
        <f aca="false">IFERROR(Q105/MEDIAN(INDEX($Q$5:$Q$373,MATCH($A105-90,$A$5:$A$373,1)):INDEX($Q$5:$Q$373,MATCH($A105+90,$A$5:$A$373,1))),"")</f>
        <v>1.61659985441779</v>
      </c>
    </row>
    <row r="106" customFormat="false" ht="15" hidden="false" customHeight="false" outlineLevel="0" collapsed="false">
      <c r="A106" s="13" t="n">
        <v>45172.4908789005</v>
      </c>
      <c r="B106" s="8" t="n">
        <v>11</v>
      </c>
      <c r="C106" s="8" t="s">
        <v>86</v>
      </c>
      <c r="D106" s="8" t="s">
        <v>1317</v>
      </c>
      <c r="E106" s="14" t="s">
        <v>66</v>
      </c>
      <c r="F106" s="9" t="n">
        <v>1071</v>
      </c>
      <c r="G106" s="9" t="n">
        <v>159</v>
      </c>
      <c r="H106" s="9" t="n">
        <v>158</v>
      </c>
      <c r="I106" s="9" t="n">
        <v>97</v>
      </c>
      <c r="J106" s="9" t="n">
        <v>24</v>
      </c>
      <c r="K106" s="9" t="n">
        <v>2</v>
      </c>
      <c r="L106" s="9" t="n">
        <v>0</v>
      </c>
      <c r="M106" s="10" t="n">
        <f aca="false">IFERROR(G106/F106,"")</f>
        <v>0.148459383753501</v>
      </c>
      <c r="N106" s="10" t="n">
        <f aca="false">IFERROR(H106/G106,"")</f>
        <v>0.993710691823899</v>
      </c>
      <c r="O106" s="11" t="n">
        <f aca="false">IFERROR(I106/H106,"")</f>
        <v>0.613924050632911</v>
      </c>
      <c r="P106" s="10" t="n">
        <f aca="false">IFERROR(J106/H106,"")</f>
        <v>0.151898734177215</v>
      </c>
      <c r="Q106" s="10" t="n">
        <f aca="false">IFERROR(K106/H106,"")</f>
        <v>0.0126582278481013</v>
      </c>
      <c r="R106" s="10" t="n">
        <f aca="false">IFERROR(L106/H106,"")</f>
        <v>0</v>
      </c>
      <c r="S106" s="11" t="n">
        <f aca="false">IFERROR(M106/MEDIAN(INDEX($M$5:$M$373,MATCH($A106-90,$A$5:$A$373,1)):INDEX($M$5:$M$373,MATCH($A106+90,$A$5:$A$373,1))),"")</f>
        <v>0.77650079639699</v>
      </c>
      <c r="T106" s="11" t="n">
        <f aca="false">IFERROR(N106/MEDIAN(INDEX($N$5:$N$373,MATCH($A106-90,$A$5:$A$373,1)):INDEX($N$5:$N$373,MATCH($A106+90,$A$5:$A$373,1))),"")</f>
        <v>0.996525736276658</v>
      </c>
      <c r="U106" s="11" t="n">
        <f aca="false">IFERROR(Q106/MEDIAN(INDEX($Q$5:$Q$373,MATCH($A106-90,$A$5:$A$373,1)):INDEX($Q$5:$Q$373,MATCH($A106+90,$A$5:$A$373,1))),"")</f>
        <v>2.02742616033755</v>
      </c>
    </row>
    <row r="107" customFormat="false" ht="15" hidden="false" customHeight="false" outlineLevel="0" collapsed="false">
      <c r="A107" s="13" t="n">
        <v>45173.5033684607</v>
      </c>
      <c r="B107" s="8" t="n">
        <v>12</v>
      </c>
      <c r="C107" s="8" t="s">
        <v>80</v>
      </c>
      <c r="D107" s="8" t="s">
        <v>1318</v>
      </c>
      <c r="E107" s="14" t="s">
        <v>66</v>
      </c>
      <c r="F107" s="9" t="n">
        <v>2424</v>
      </c>
      <c r="G107" s="9" t="n">
        <v>302</v>
      </c>
      <c r="H107" s="9" t="n">
        <v>299</v>
      </c>
      <c r="I107" s="9" t="n">
        <v>139</v>
      </c>
      <c r="J107" s="9" t="n">
        <v>25</v>
      </c>
      <c r="K107" s="9" t="n">
        <v>0</v>
      </c>
      <c r="L107" s="9" t="n">
        <v>1</v>
      </c>
      <c r="M107" s="10" t="n">
        <f aca="false">IFERROR(G107/F107,"")</f>
        <v>0.124587458745875</v>
      </c>
      <c r="N107" s="10" t="n">
        <f aca="false">IFERROR(H107/G107,"")</f>
        <v>0.990066225165563</v>
      </c>
      <c r="O107" s="11" t="n">
        <f aca="false">IFERROR(I107/H107,"")</f>
        <v>0.464882943143813</v>
      </c>
      <c r="P107" s="10" t="n">
        <f aca="false">IFERROR(J107/H107,"")</f>
        <v>0.0836120401337793</v>
      </c>
      <c r="Q107" s="10" t="n">
        <f aca="false">IFERROR(K107/H107,"")</f>
        <v>0</v>
      </c>
      <c r="R107" s="10" t="n">
        <f aca="false">IFERROR(L107/H107,"")</f>
        <v>0.00334448160535117</v>
      </c>
      <c r="S107" s="11" t="n">
        <f aca="false">IFERROR(M107/MEDIAN(INDEX($M$5:$M$373,MATCH($A107-90,$A$5:$A$373,1)):INDEX($M$5:$M$373,MATCH($A107+90,$A$5:$A$373,1))),"")</f>
        <v>0.652270707992168</v>
      </c>
      <c r="T107" s="11" t="n">
        <f aca="false">IFERROR(N107/MEDIAN(INDEX($N$5:$N$373,MATCH($A107-90,$A$5:$A$373,1)):INDEX($N$5:$N$373,MATCH($A107+90,$A$5:$A$373,1))),"")</f>
        <v>0.99274442767585</v>
      </c>
      <c r="U107" s="11" t="n">
        <f aca="false">IFERROR(Q107/MEDIAN(INDEX($Q$5:$Q$373,MATCH($A107-90,$A$5:$A$373,1)):INDEX($Q$5:$Q$373,MATCH($A107+90,$A$5:$A$373,1))),"")</f>
        <v>0</v>
      </c>
    </row>
    <row r="108" customFormat="false" ht="15" hidden="false" customHeight="false" outlineLevel="0" collapsed="false">
      <c r="A108" s="13" t="n">
        <v>45174.4975644329</v>
      </c>
      <c r="B108" s="8" t="n">
        <v>11</v>
      </c>
      <c r="C108" s="8" t="s">
        <v>64</v>
      </c>
      <c r="D108" s="8" t="s">
        <v>1319</v>
      </c>
      <c r="E108" s="14" t="s">
        <v>66</v>
      </c>
      <c r="F108" s="9" t="n">
        <v>1154</v>
      </c>
      <c r="G108" s="9" t="n">
        <v>269</v>
      </c>
      <c r="H108" s="9" t="n">
        <v>269</v>
      </c>
      <c r="I108" s="9" t="n">
        <v>154</v>
      </c>
      <c r="J108" s="9" t="n">
        <v>23</v>
      </c>
      <c r="K108" s="9" t="n">
        <v>1</v>
      </c>
      <c r="L108" s="9" t="n">
        <v>2</v>
      </c>
      <c r="M108" s="10" t="n">
        <f aca="false">IFERROR(G108/F108,"")</f>
        <v>0.233102253032929</v>
      </c>
      <c r="N108" s="10" t="n">
        <f aca="false">IFERROR(H108/G108,"")</f>
        <v>1</v>
      </c>
      <c r="O108" s="11" t="n">
        <f aca="false">IFERROR(I108/H108,"")</f>
        <v>0.572490706319703</v>
      </c>
      <c r="P108" s="10" t="n">
        <f aca="false">IFERROR(J108/H108,"")</f>
        <v>0.0855018587360595</v>
      </c>
      <c r="Q108" s="10" t="n">
        <f aca="false">IFERROR(K108/H108,"")</f>
        <v>0.00371747211895911</v>
      </c>
      <c r="R108" s="10" t="n">
        <f aca="false">IFERROR(L108/H108,"")</f>
        <v>0.00743494423791822</v>
      </c>
      <c r="S108" s="11" t="n">
        <f aca="false">IFERROR(M108/MEDIAN(INDEX($M$5:$M$373,MATCH($A108-90,$A$5:$A$373,1)):INDEX($M$5:$M$373,MATCH($A108+90,$A$5:$A$373,1))),"")</f>
        <v>1.22157383234978</v>
      </c>
      <c r="T108" s="11" t="n">
        <f aca="false">IFERROR(N108/MEDIAN(INDEX($N$5:$N$373,MATCH($A108-90,$A$5:$A$373,1)):INDEX($N$5:$N$373,MATCH($A108+90,$A$5:$A$373,1))),"")</f>
        <v>1.00257731958763</v>
      </c>
      <c r="U108" s="11" t="n">
        <f aca="false">IFERROR(Q108/MEDIAN(INDEX($Q$5:$Q$373,MATCH($A108-90,$A$5:$A$373,1)):INDEX($Q$5:$Q$373,MATCH($A108+90,$A$5:$A$373,1))),"")</f>
        <v>0.593556381660471</v>
      </c>
    </row>
    <row r="109" customFormat="false" ht="15" hidden="false" customHeight="false" outlineLevel="0" collapsed="false">
      <c r="A109" s="13" t="n">
        <v>45175.5030890857</v>
      </c>
      <c r="B109" s="8" t="n">
        <v>12</v>
      </c>
      <c r="C109" s="8" t="s">
        <v>71</v>
      </c>
      <c r="D109" s="8" t="s">
        <v>1320</v>
      </c>
      <c r="E109" s="14" t="s">
        <v>66</v>
      </c>
      <c r="F109" s="9" t="n">
        <v>1099</v>
      </c>
      <c r="G109" s="9" t="n">
        <v>240</v>
      </c>
      <c r="H109" s="9" t="n">
        <v>240</v>
      </c>
      <c r="I109" s="9" t="n">
        <v>170</v>
      </c>
      <c r="J109" s="9" t="n">
        <v>33</v>
      </c>
      <c r="K109" s="9" t="n">
        <v>3</v>
      </c>
      <c r="L109" s="9" t="n">
        <v>0</v>
      </c>
      <c r="M109" s="10" t="n">
        <f aca="false">IFERROR(G109/F109,"")</f>
        <v>0.218380345768881</v>
      </c>
      <c r="N109" s="10" t="n">
        <f aca="false">IFERROR(H109/G109,"")</f>
        <v>1</v>
      </c>
      <c r="O109" s="11" t="n">
        <f aca="false">IFERROR(I109/H109,"")</f>
        <v>0.708333333333333</v>
      </c>
      <c r="P109" s="10" t="n">
        <f aca="false">IFERROR(J109/H109,"")</f>
        <v>0.1375</v>
      </c>
      <c r="Q109" s="10" t="n">
        <f aca="false">IFERROR(K109/H109,"")</f>
        <v>0.0125</v>
      </c>
      <c r="R109" s="10" t="n">
        <f aca="false">IFERROR(L109/H109,"")</f>
        <v>0</v>
      </c>
      <c r="S109" s="11" t="n">
        <f aca="false">IFERROR(M109/MEDIAN(INDEX($M$5:$M$373,MATCH($A109-90,$A$5:$A$373,1)):INDEX($M$5:$M$373,MATCH($A109+90,$A$5:$A$373,1))),"")</f>
        <v>1.14586081328605</v>
      </c>
      <c r="T109" s="11" t="n">
        <f aca="false">IFERROR(N109/MEDIAN(INDEX($N$5:$N$373,MATCH($A109-90,$A$5:$A$373,1)):INDEX($N$5:$N$373,MATCH($A109+90,$A$5:$A$373,1))),"")</f>
        <v>1.00251715741235</v>
      </c>
      <c r="U109" s="11" t="n">
        <f aca="false">IFERROR(Q109/MEDIAN(INDEX($Q$5:$Q$373,MATCH($A109-90,$A$5:$A$373,1)):INDEX($Q$5:$Q$373,MATCH($A109+90,$A$5:$A$373,1))),"")</f>
        <v>1.9916579497908</v>
      </c>
    </row>
    <row r="110" customFormat="false" ht="15" hidden="false" customHeight="false" outlineLevel="0" collapsed="false">
      <c r="A110" s="13" t="n">
        <v>45176.5036295602</v>
      </c>
      <c r="B110" s="8" t="n">
        <v>12</v>
      </c>
      <c r="C110" s="8" t="s">
        <v>73</v>
      </c>
      <c r="D110" s="8" t="s">
        <v>1321</v>
      </c>
      <c r="E110" s="14" t="s">
        <v>66</v>
      </c>
      <c r="F110" s="9" t="n">
        <v>2928</v>
      </c>
      <c r="G110" s="9" t="n">
        <v>426</v>
      </c>
      <c r="H110" s="9" t="n">
        <v>420</v>
      </c>
      <c r="I110" s="9" t="n">
        <v>224</v>
      </c>
      <c r="J110" s="9" t="n">
        <v>28</v>
      </c>
      <c r="K110" s="9" t="n">
        <v>3</v>
      </c>
      <c r="L110" s="9" t="n">
        <v>1</v>
      </c>
      <c r="M110" s="10" t="n">
        <f aca="false">IFERROR(G110/F110,"")</f>
        <v>0.145491803278689</v>
      </c>
      <c r="N110" s="10" t="n">
        <f aca="false">IFERROR(H110/G110,"")</f>
        <v>0.985915492957747</v>
      </c>
      <c r="O110" s="11" t="n">
        <f aca="false">IFERROR(I110/H110,"")</f>
        <v>0.533333333333333</v>
      </c>
      <c r="P110" s="10" t="n">
        <f aca="false">IFERROR(J110/H110,"")</f>
        <v>0.0666666666666667</v>
      </c>
      <c r="Q110" s="10" t="n">
        <f aca="false">IFERROR(K110/H110,"")</f>
        <v>0.00714285714285714</v>
      </c>
      <c r="R110" s="10" t="n">
        <f aca="false">IFERROR(L110/H110,"")</f>
        <v>0.00238095238095238</v>
      </c>
      <c r="S110" s="11" t="n">
        <f aca="false">IFERROR(M110/MEDIAN(INDEX($M$5:$M$373,MATCH($A110-90,$A$5:$A$373,1)):INDEX($M$5:$M$373,MATCH($A110+90,$A$5:$A$373,1))),"")</f>
        <v>0.764368177790309</v>
      </c>
      <c r="T110" s="11" t="n">
        <f aca="false">IFERROR(N110/MEDIAN(INDEX($N$5:$N$373,MATCH($A110-90,$A$5:$A$373,1)):INDEX($N$5:$N$373,MATCH($A110+90,$A$5:$A$373,1))),"")</f>
        <v>0.988337889746341</v>
      </c>
      <c r="U110" s="11" t="n">
        <f aca="false">IFERROR(Q110/MEDIAN(INDEX($Q$5:$Q$373,MATCH($A110-90,$A$5:$A$373,1)):INDEX($Q$5:$Q$373,MATCH($A110+90,$A$5:$A$373,1))),"")</f>
        <v>1.14047619047619</v>
      </c>
    </row>
    <row r="111" customFormat="false" ht="15" hidden="false" customHeight="false" outlineLevel="0" collapsed="false">
      <c r="A111" s="13" t="n">
        <v>45177.5105994792</v>
      </c>
      <c r="B111" s="8" t="n">
        <v>12</v>
      </c>
      <c r="C111" s="8" t="s">
        <v>84</v>
      </c>
      <c r="D111" s="8" t="s">
        <v>1322</v>
      </c>
      <c r="E111" s="14" t="s">
        <v>66</v>
      </c>
      <c r="F111" s="9" t="n">
        <v>1062</v>
      </c>
      <c r="G111" s="9" t="n">
        <v>454</v>
      </c>
      <c r="H111" s="9" t="n">
        <v>440</v>
      </c>
      <c r="I111" s="9" t="n">
        <v>262</v>
      </c>
      <c r="J111" s="9" t="n">
        <v>22</v>
      </c>
      <c r="K111" s="9" t="n">
        <v>4</v>
      </c>
      <c r="L111" s="9" t="n">
        <v>0</v>
      </c>
      <c r="M111" s="10" t="n">
        <f aca="false">IFERROR(G111/F111,"")</f>
        <v>0.427495291902072</v>
      </c>
      <c r="N111" s="10" t="n">
        <f aca="false">IFERROR(H111/G111,"")</f>
        <v>0.969162995594714</v>
      </c>
      <c r="O111" s="11" t="n">
        <f aca="false">IFERROR(I111/H111,"")</f>
        <v>0.595454545454546</v>
      </c>
      <c r="P111" s="10" t="n">
        <f aca="false">IFERROR(J111/H111,"")</f>
        <v>0.05</v>
      </c>
      <c r="Q111" s="10" t="n">
        <f aca="false">IFERROR(K111/H111,"")</f>
        <v>0.00909090909090909</v>
      </c>
      <c r="R111" s="10" t="n">
        <f aca="false">IFERROR(L111/H111,"")</f>
        <v>0</v>
      </c>
      <c r="S111" s="11" t="n">
        <f aca="false">IFERROR(M111/MEDIAN(INDEX($M$5:$M$373,MATCH($A111-90,$A$5:$A$373,1)):INDEX($M$5:$M$373,MATCH($A111+90,$A$5:$A$373,1))),"")</f>
        <v>2.25030082519939</v>
      </c>
      <c r="T111" s="11" t="n">
        <f aca="false">IFERROR(N111/MEDIAN(INDEX($N$5:$N$373,MATCH($A111-90,$A$5:$A$373,1)):INDEX($N$5:$N$373,MATCH($A111+90,$A$5:$A$373,1))),"")</f>
        <v>0.971493802667532</v>
      </c>
      <c r="U111" s="11" t="n">
        <f aca="false">IFERROR(Q111/MEDIAN(INDEX($Q$5:$Q$373,MATCH($A111-90,$A$5:$A$373,1)):INDEX($Q$5:$Q$373,MATCH($A111+90,$A$5:$A$373,1))),"")</f>
        <v>1.44847850893876</v>
      </c>
    </row>
    <row r="112" customFormat="false" ht="15" hidden="false" customHeight="false" outlineLevel="0" collapsed="false">
      <c r="A112" s="13" t="n">
        <v>45178.510940544</v>
      </c>
      <c r="B112" s="8" t="n">
        <v>12</v>
      </c>
      <c r="C112" s="8" t="s">
        <v>68</v>
      </c>
      <c r="D112" s="8" t="s">
        <v>1323</v>
      </c>
      <c r="E112" s="14" t="s">
        <v>66</v>
      </c>
      <c r="F112" s="9" t="n">
        <v>1105</v>
      </c>
      <c r="G112" s="9" t="n">
        <v>222</v>
      </c>
      <c r="H112" s="9" t="n">
        <v>222</v>
      </c>
      <c r="I112" s="9" t="n">
        <v>135</v>
      </c>
      <c r="J112" s="9" t="n">
        <v>15</v>
      </c>
      <c r="K112" s="9" t="n">
        <v>3</v>
      </c>
      <c r="L112" s="9" t="n">
        <v>0</v>
      </c>
      <c r="M112" s="10" t="n">
        <f aca="false">IFERROR(G112/F112,"")</f>
        <v>0.200904977375566</v>
      </c>
      <c r="N112" s="10" t="n">
        <f aca="false">IFERROR(H112/G112,"")</f>
        <v>1</v>
      </c>
      <c r="O112" s="11" t="n">
        <f aca="false">IFERROR(I112/H112,"")</f>
        <v>0.608108108108108</v>
      </c>
      <c r="P112" s="10" t="n">
        <f aca="false">IFERROR(J112/H112,"")</f>
        <v>0.0675675675675676</v>
      </c>
      <c r="Q112" s="10" t="n">
        <f aca="false">IFERROR(K112/H112,"")</f>
        <v>0.0135135135135135</v>
      </c>
      <c r="R112" s="10" t="n">
        <f aca="false">IFERROR(L112/H112,"")</f>
        <v>0</v>
      </c>
      <c r="S112" s="11" t="n">
        <f aca="false">IFERROR(M112/MEDIAN(INDEX($M$5:$M$373,MATCH($A112-90,$A$5:$A$373,1)):INDEX($M$5:$M$373,MATCH($A112+90,$A$5:$A$373,1))),"")</f>
        <v>1.05961173551306</v>
      </c>
      <c r="T112" s="11" t="n">
        <f aca="false">IFERROR(N112/MEDIAN(INDEX($N$5:$N$373,MATCH($A112-90,$A$5:$A$373,1)):INDEX($N$5:$N$373,MATCH($A112+90,$A$5:$A$373,1))),"")</f>
        <v>1.00235294117647</v>
      </c>
      <c r="U112" s="11" t="n">
        <f aca="false">IFERROR(Q112/MEDIAN(INDEX($Q$5:$Q$373,MATCH($A112-90,$A$5:$A$373,1)):INDEX($Q$5:$Q$373,MATCH($A112+90,$A$5:$A$373,1))),"")</f>
        <v>2.14864864864865</v>
      </c>
    </row>
    <row r="113" customFormat="false" ht="15" hidden="false" customHeight="false" outlineLevel="0" collapsed="false">
      <c r="A113" s="13" t="n">
        <v>45179.5479379282</v>
      </c>
      <c r="B113" s="8" t="n">
        <v>13</v>
      </c>
      <c r="C113" s="8" t="s">
        <v>86</v>
      </c>
      <c r="D113" s="8" t="s">
        <v>1324</v>
      </c>
      <c r="E113" s="14" t="s">
        <v>66</v>
      </c>
      <c r="F113" s="9" t="n">
        <v>2431</v>
      </c>
      <c r="G113" s="9" t="n">
        <v>378</v>
      </c>
      <c r="H113" s="9" t="n">
        <v>374</v>
      </c>
      <c r="I113" s="9" t="n">
        <v>225</v>
      </c>
      <c r="J113" s="9" t="n">
        <v>26</v>
      </c>
      <c r="K113" s="9" t="n">
        <v>2</v>
      </c>
      <c r="L113" s="9" t="n">
        <v>3</v>
      </c>
      <c r="M113" s="10" t="n">
        <f aca="false">IFERROR(G113/F113,"")</f>
        <v>0.155491567256273</v>
      </c>
      <c r="N113" s="10" t="n">
        <f aca="false">IFERROR(H113/G113,"")</f>
        <v>0.989417989417989</v>
      </c>
      <c r="O113" s="11" t="n">
        <f aca="false">IFERROR(I113/H113,"")</f>
        <v>0.601604278074866</v>
      </c>
      <c r="P113" s="10" t="n">
        <f aca="false">IFERROR(J113/H113,"")</f>
        <v>0.0695187165775401</v>
      </c>
      <c r="Q113" s="10" t="n">
        <f aca="false">IFERROR(K113/H113,"")</f>
        <v>0.0053475935828877</v>
      </c>
      <c r="R113" s="10" t="n">
        <f aca="false">IFERROR(L113/H113,"")</f>
        <v>0.00802139037433155</v>
      </c>
      <c r="S113" s="11" t="n">
        <f aca="false">IFERROR(M113/MEDIAN(INDEX($M$5:$M$373,MATCH($A113-90,$A$5:$A$373,1)):INDEX($M$5:$M$373,MATCH($A113+90,$A$5:$A$373,1))),"")</f>
        <v>0.827219537322253</v>
      </c>
      <c r="T113" s="11" t="n">
        <f aca="false">IFERROR(N113/MEDIAN(INDEX($N$5:$N$373,MATCH($A113-90,$A$5:$A$373,1)):INDEX($N$5:$N$373,MATCH($A113+90,$A$5:$A$373,1))),"")</f>
        <v>0.991729827010296</v>
      </c>
      <c r="U113" s="11" t="n">
        <f aca="false">IFERROR(Q113/MEDIAN(INDEX($Q$5:$Q$373,MATCH($A113-90,$A$5:$A$373,1)):INDEX($Q$5:$Q$373,MATCH($A113+90,$A$5:$A$373,1))),"")</f>
        <v>0.852046181728682</v>
      </c>
    </row>
    <row r="114" customFormat="false" ht="15" hidden="false" customHeight="false" outlineLevel="0" collapsed="false">
      <c r="A114" s="13" t="n">
        <v>45180.5063094792</v>
      </c>
      <c r="B114" s="8" t="n">
        <v>12</v>
      </c>
      <c r="C114" s="8" t="s">
        <v>80</v>
      </c>
      <c r="D114" s="8" t="s">
        <v>1325</v>
      </c>
      <c r="E114" s="14" t="s">
        <v>66</v>
      </c>
      <c r="F114" s="9" t="n">
        <v>1013</v>
      </c>
      <c r="G114" s="9" t="n">
        <v>127</v>
      </c>
      <c r="H114" s="9" t="n">
        <v>127</v>
      </c>
      <c r="I114" s="9" t="n">
        <v>66</v>
      </c>
      <c r="J114" s="9" t="n">
        <v>14</v>
      </c>
      <c r="K114" s="9" t="n">
        <v>3</v>
      </c>
      <c r="L114" s="9" t="n">
        <v>0</v>
      </c>
      <c r="M114" s="10" t="n">
        <f aca="false">IFERROR(G114/F114,"")</f>
        <v>0.125370187561698</v>
      </c>
      <c r="N114" s="10" t="n">
        <f aca="false">IFERROR(H114/G114,"")</f>
        <v>1</v>
      </c>
      <c r="O114" s="11" t="n">
        <f aca="false">IFERROR(I114/H114,"")</f>
        <v>0.519685039370079</v>
      </c>
      <c r="P114" s="10" t="n">
        <f aca="false">IFERROR(J114/H114,"")</f>
        <v>0.110236220472441</v>
      </c>
      <c r="Q114" s="10" t="n">
        <f aca="false">IFERROR(K114/H114,"")</f>
        <v>0.0236220472440945</v>
      </c>
      <c r="R114" s="10" t="n">
        <f aca="false">IFERROR(L114/H114,"")</f>
        <v>0</v>
      </c>
      <c r="S114" s="11" t="n">
        <f aca="false">IFERROR(M114/MEDIAN(INDEX($M$5:$M$373,MATCH($A114-90,$A$5:$A$373,1)):INDEX($M$5:$M$373,MATCH($A114+90,$A$5:$A$373,1))),"")</f>
        <v>0.666972945084955</v>
      </c>
      <c r="T114" s="11" t="n">
        <f aca="false">IFERROR(N114/MEDIAN(INDEX($N$5:$N$373,MATCH($A114-90,$A$5:$A$373,1)):INDEX($N$5:$N$373,MATCH($A114+90,$A$5:$A$373,1))),"")</f>
        <v>1.00233656312805</v>
      </c>
      <c r="U114" s="11" t="n">
        <f aca="false">IFERROR(Q114/MEDIAN(INDEX($Q$5:$Q$373,MATCH($A114-90,$A$5:$A$373,1)):INDEX($Q$5:$Q$373,MATCH($A114+90,$A$5:$A$373,1))),"")</f>
        <v>3.76376305472276</v>
      </c>
    </row>
    <row r="115" customFormat="false" ht="15" hidden="false" customHeight="false" outlineLevel="0" collapsed="false">
      <c r="A115" s="13" t="n">
        <v>45181.475964375</v>
      </c>
      <c r="B115" s="8" t="n">
        <v>11</v>
      </c>
      <c r="C115" s="8" t="s">
        <v>64</v>
      </c>
      <c r="D115" s="8" t="s">
        <v>1326</v>
      </c>
      <c r="E115" s="14" t="s">
        <v>66</v>
      </c>
      <c r="F115" s="9" t="n">
        <v>967</v>
      </c>
      <c r="G115" s="9" t="n">
        <v>117</v>
      </c>
      <c r="H115" s="9" t="n">
        <v>116</v>
      </c>
      <c r="I115" s="9" t="n">
        <v>88</v>
      </c>
      <c r="J115" s="9" t="n">
        <v>18</v>
      </c>
      <c r="K115" s="9" t="n">
        <v>0</v>
      </c>
      <c r="L115" s="9" t="n">
        <v>0</v>
      </c>
      <c r="M115" s="10" t="n">
        <f aca="false">IFERROR(G115/F115,"")</f>
        <v>0.120992761116856</v>
      </c>
      <c r="N115" s="10" t="n">
        <f aca="false">IFERROR(H115/G115,"")</f>
        <v>0.991452991452992</v>
      </c>
      <c r="O115" s="11" t="n">
        <f aca="false">IFERROR(I115/H115,"")</f>
        <v>0.758620689655172</v>
      </c>
      <c r="P115" s="10" t="n">
        <f aca="false">IFERROR(J115/H115,"")</f>
        <v>0.155172413793103</v>
      </c>
      <c r="Q115" s="10" t="n">
        <f aca="false">IFERROR(K115/H115,"")</f>
        <v>0</v>
      </c>
      <c r="R115" s="10" t="n">
        <f aca="false">IFERROR(L115/H115,"")</f>
        <v>0</v>
      </c>
      <c r="S115" s="11" t="n">
        <f aca="false">IFERROR(M115/MEDIAN(INDEX($M$5:$M$373,MATCH($A115-90,$A$5:$A$373,1)):INDEX($M$5:$M$373,MATCH($A115+90,$A$5:$A$373,1))),"")</f>
        <v>0.649327817993795</v>
      </c>
      <c r="T115" s="11" t="n">
        <f aca="false">IFERROR(N115/MEDIAN(INDEX($N$5:$N$373,MATCH($A115-90,$A$5:$A$373,1)):INDEX($N$5:$N$373,MATCH($A115+90,$A$5:$A$373,1))),"")</f>
        <v>0.99375334642156</v>
      </c>
      <c r="U115" s="11" t="n">
        <f aca="false">IFERROR(Q115/MEDIAN(INDEX($Q$5:$Q$373,MATCH($A115-90,$A$5:$A$373,1)):INDEX($Q$5:$Q$373,MATCH($A115+90,$A$5:$A$373,1))),"")</f>
        <v>0</v>
      </c>
    </row>
    <row r="116" customFormat="false" ht="15" hidden="false" customHeight="false" outlineLevel="0" collapsed="false">
      <c r="A116" s="13" t="n">
        <v>45182.5162868403</v>
      </c>
      <c r="B116" s="8" t="n">
        <v>12</v>
      </c>
      <c r="C116" s="8" t="s">
        <v>71</v>
      </c>
      <c r="D116" s="8" t="s">
        <v>1327</v>
      </c>
      <c r="E116" s="14" t="s">
        <v>66</v>
      </c>
      <c r="F116" s="9" t="n">
        <v>2469</v>
      </c>
      <c r="G116" s="9" t="n">
        <v>448</v>
      </c>
      <c r="H116" s="9" t="n">
        <v>435</v>
      </c>
      <c r="I116" s="9" t="n">
        <v>256</v>
      </c>
      <c r="J116" s="9" t="n">
        <v>29</v>
      </c>
      <c r="K116" s="9" t="n">
        <v>0</v>
      </c>
      <c r="L116" s="9" t="n">
        <v>1</v>
      </c>
      <c r="M116" s="10" t="n">
        <f aca="false">IFERROR(G116/F116,"")</f>
        <v>0.181449979748886</v>
      </c>
      <c r="N116" s="10" t="n">
        <f aca="false">IFERROR(H116/G116,"")</f>
        <v>0.970982142857143</v>
      </c>
      <c r="O116" s="11" t="n">
        <f aca="false">IFERROR(I116/H116,"")</f>
        <v>0.588505747126437</v>
      </c>
      <c r="P116" s="10" t="n">
        <f aca="false">IFERROR(J116/H116,"")</f>
        <v>0.0666666666666667</v>
      </c>
      <c r="Q116" s="10" t="n">
        <f aca="false">IFERROR(K116/H116,"")</f>
        <v>0</v>
      </c>
      <c r="R116" s="10" t="n">
        <f aca="false">IFERROR(L116/H116,"")</f>
        <v>0.00229885057471264</v>
      </c>
      <c r="S116" s="11" t="n">
        <f aca="false">IFERROR(M116/MEDIAN(INDEX($M$5:$M$373,MATCH($A116-90,$A$5:$A$373,1)):INDEX($M$5:$M$373,MATCH($A116+90,$A$5:$A$373,1))),"")</f>
        <v>0.977561077272512</v>
      </c>
      <c r="T116" s="11" t="n">
        <f aca="false">IFERROR(N116/MEDIAN(INDEX($N$5:$N$373,MATCH($A116-90,$A$5:$A$373,1)):INDEX($N$5:$N$373,MATCH($A116+90,$A$5:$A$373,1))),"")</f>
        <v>0.97309232251113</v>
      </c>
      <c r="U116" s="11" t="n">
        <f aca="false">IFERROR(Q116/MEDIAN(INDEX($Q$5:$Q$373,MATCH($A116-90,$A$5:$A$373,1)):INDEX($Q$5:$Q$373,MATCH($A116+90,$A$5:$A$373,1))),"")</f>
        <v>0</v>
      </c>
    </row>
    <row r="117" customFormat="false" ht="15" hidden="false" customHeight="false" outlineLevel="0" collapsed="false">
      <c r="A117" s="13" t="n">
        <v>45183.5181688542</v>
      </c>
      <c r="B117" s="8" t="n">
        <v>12</v>
      </c>
      <c r="C117" s="8" t="s">
        <v>73</v>
      </c>
      <c r="D117" s="8" t="s">
        <v>1328</v>
      </c>
      <c r="E117" s="14" t="s">
        <v>66</v>
      </c>
      <c r="F117" s="9" t="n">
        <v>965</v>
      </c>
      <c r="G117" s="9" t="n">
        <v>207</v>
      </c>
      <c r="H117" s="9" t="n">
        <v>202</v>
      </c>
      <c r="I117" s="9" t="n">
        <v>127</v>
      </c>
      <c r="J117" s="9" t="n">
        <v>27</v>
      </c>
      <c r="K117" s="9" t="n">
        <v>1</v>
      </c>
      <c r="L117" s="9" t="n">
        <v>0</v>
      </c>
      <c r="M117" s="10" t="n">
        <f aca="false">IFERROR(G117/F117,"")</f>
        <v>0.214507772020725</v>
      </c>
      <c r="N117" s="10" t="n">
        <f aca="false">IFERROR(H117/G117,"")</f>
        <v>0.975845410628019</v>
      </c>
      <c r="O117" s="11" t="n">
        <f aca="false">IFERROR(I117/H117,"")</f>
        <v>0.628712871287129</v>
      </c>
      <c r="P117" s="10" t="n">
        <f aca="false">IFERROR(J117/H117,"")</f>
        <v>0.133663366336634</v>
      </c>
      <c r="Q117" s="10" t="n">
        <f aca="false">IFERROR(K117/H117,"")</f>
        <v>0.00495049504950495</v>
      </c>
      <c r="R117" s="10" t="n">
        <f aca="false">IFERROR(L117/H117,"")</f>
        <v>0</v>
      </c>
      <c r="S117" s="11" t="n">
        <f aca="false">IFERROR(M117/MEDIAN(INDEX($M$5:$M$373,MATCH($A117-90,$A$5:$A$373,1)):INDEX($M$5:$M$373,MATCH($A117+90,$A$5:$A$373,1))),"")</f>
        <v>1.1601627245365</v>
      </c>
      <c r="T117" s="11" t="n">
        <f aca="false">IFERROR(N117/MEDIAN(INDEX($N$5:$N$373,MATCH($A117-90,$A$5:$A$373,1)):INDEX($N$5:$N$373,MATCH($A117+90,$A$5:$A$373,1))),"")</f>
        <v>0.977822807610042</v>
      </c>
      <c r="U117" s="11" t="n">
        <f aca="false">IFERROR(Q117/MEDIAN(INDEX($Q$5:$Q$373,MATCH($A117-90,$A$5:$A$373,1)):INDEX($Q$5:$Q$373,MATCH($A117+90,$A$5:$A$373,1))),"")</f>
        <v>0.792904290429043</v>
      </c>
    </row>
    <row r="118" customFormat="false" ht="15" hidden="false" customHeight="false" outlineLevel="0" collapsed="false">
      <c r="A118" s="13" t="n">
        <v>45184.4948642014</v>
      </c>
      <c r="B118" s="8" t="n">
        <v>11</v>
      </c>
      <c r="C118" s="8" t="s">
        <v>84</v>
      </c>
      <c r="D118" s="8" t="s">
        <v>1329</v>
      </c>
      <c r="E118" s="14" t="s">
        <v>66</v>
      </c>
      <c r="F118" s="9" t="n">
        <v>966</v>
      </c>
      <c r="G118" s="9" t="n">
        <v>180</v>
      </c>
      <c r="H118" s="9" t="n">
        <v>179</v>
      </c>
      <c r="I118" s="9" t="n">
        <v>117</v>
      </c>
      <c r="J118" s="9" t="n">
        <v>23</v>
      </c>
      <c r="K118" s="9" t="n">
        <v>0</v>
      </c>
      <c r="L118" s="9" t="n">
        <v>0</v>
      </c>
      <c r="M118" s="10" t="n">
        <f aca="false">IFERROR(G118/F118,"")</f>
        <v>0.186335403726708</v>
      </c>
      <c r="N118" s="10" t="n">
        <f aca="false">IFERROR(H118/G118,"")</f>
        <v>0.994444444444445</v>
      </c>
      <c r="O118" s="11" t="n">
        <f aca="false">IFERROR(I118/H118,"")</f>
        <v>0.653631284916201</v>
      </c>
      <c r="P118" s="10" t="n">
        <f aca="false">IFERROR(J118/H118,"")</f>
        <v>0.128491620111732</v>
      </c>
      <c r="Q118" s="10" t="n">
        <f aca="false">IFERROR(K118/H118,"")</f>
        <v>0</v>
      </c>
      <c r="R118" s="10" t="n">
        <f aca="false">IFERROR(L118/H118,"")</f>
        <v>0</v>
      </c>
      <c r="S118" s="11" t="n">
        <f aca="false">IFERROR(M118/MEDIAN(INDEX($M$5:$M$373,MATCH($A118-90,$A$5:$A$373,1)):INDEX($M$5:$M$373,MATCH($A118+90,$A$5:$A$373,1))),"")</f>
        <v>1.01541033204629</v>
      </c>
      <c r="T118" s="11" t="n">
        <f aca="false">IFERROR(N118/MEDIAN(INDEX($N$5:$N$373,MATCH($A118-90,$A$5:$A$373,1)):INDEX($N$5:$N$373,MATCH($A118+90,$A$5:$A$373,1))),"")</f>
        <v>0.996391910939585</v>
      </c>
      <c r="U118" s="11" t="n">
        <f aca="false">IFERROR(Q118/MEDIAN(INDEX($Q$5:$Q$373,MATCH($A118-90,$A$5:$A$373,1)):INDEX($Q$5:$Q$373,MATCH($A118+90,$A$5:$A$373,1))),"")</f>
        <v>0</v>
      </c>
    </row>
    <row r="119" customFormat="false" ht="15" hidden="false" customHeight="false" outlineLevel="0" collapsed="false">
      <c r="A119" s="13" t="n">
        <v>45185.5132927199</v>
      </c>
      <c r="B119" s="8" t="n">
        <v>12</v>
      </c>
      <c r="C119" s="8" t="s">
        <v>68</v>
      </c>
      <c r="D119" s="8" t="s">
        <v>1330</v>
      </c>
      <c r="E119" s="14" t="s">
        <v>66</v>
      </c>
      <c r="F119" s="9" t="n">
        <v>1032</v>
      </c>
      <c r="G119" s="9" t="n">
        <v>136</v>
      </c>
      <c r="H119" s="9" t="n">
        <v>136</v>
      </c>
      <c r="I119" s="9" t="n">
        <v>103</v>
      </c>
      <c r="J119" s="9" t="n">
        <v>25</v>
      </c>
      <c r="K119" s="9" t="n">
        <v>2</v>
      </c>
      <c r="L119" s="9" t="n">
        <v>1</v>
      </c>
      <c r="M119" s="10" t="n">
        <f aca="false">IFERROR(G119/F119,"")</f>
        <v>0.131782945736434</v>
      </c>
      <c r="N119" s="10" t="n">
        <f aca="false">IFERROR(H119/G119,"")</f>
        <v>1</v>
      </c>
      <c r="O119" s="11" t="n">
        <f aca="false">IFERROR(I119/H119,"")</f>
        <v>0.757352941176471</v>
      </c>
      <c r="P119" s="10" t="n">
        <f aca="false">IFERROR(J119/H119,"")</f>
        <v>0.183823529411765</v>
      </c>
      <c r="Q119" s="10" t="n">
        <f aca="false">IFERROR(K119/H119,"")</f>
        <v>0.0147058823529412</v>
      </c>
      <c r="R119" s="10" t="n">
        <f aca="false">IFERROR(L119/H119,"")</f>
        <v>0.00735294117647059</v>
      </c>
      <c r="S119" s="11" t="n">
        <f aca="false">IFERROR(M119/MEDIAN(INDEX($M$5:$M$373,MATCH($A119-90,$A$5:$A$373,1)):INDEX($M$5:$M$373,MATCH($A119+90,$A$5:$A$373,1))),"")</f>
        <v>0.723603314621759</v>
      </c>
      <c r="T119" s="11" t="n">
        <f aca="false">IFERROR(N119/MEDIAN(INDEX($N$5:$N$373,MATCH($A119-90,$A$5:$A$373,1)):INDEX($N$5:$N$373,MATCH($A119+90,$A$5:$A$373,1))),"")</f>
        <v>1.00189035916824</v>
      </c>
      <c r="U119" s="11" t="n">
        <f aca="false">IFERROR(Q119/MEDIAN(INDEX($Q$5:$Q$373,MATCH($A119-90,$A$5:$A$373,1)):INDEX($Q$5:$Q$373,MATCH($A119+90,$A$5:$A$373,1))),"")</f>
        <v>2.36764705882353</v>
      </c>
    </row>
    <row r="120" customFormat="false" ht="15" hidden="false" customHeight="false" outlineLevel="0" collapsed="false">
      <c r="A120" s="13" t="n">
        <v>45186.5366599884</v>
      </c>
      <c r="B120" s="8" t="n">
        <v>12</v>
      </c>
      <c r="C120" s="8" t="s">
        <v>86</v>
      </c>
      <c r="D120" s="8" t="s">
        <v>1331</v>
      </c>
      <c r="E120" s="14" t="s">
        <v>66</v>
      </c>
      <c r="F120" s="9" t="n">
        <v>1117</v>
      </c>
      <c r="G120" s="9" t="n">
        <v>188</v>
      </c>
      <c r="H120" s="9" t="n">
        <v>178</v>
      </c>
      <c r="I120" s="9" t="n">
        <v>174</v>
      </c>
      <c r="J120" s="9" t="n">
        <v>18</v>
      </c>
      <c r="K120" s="9" t="n">
        <v>3</v>
      </c>
      <c r="L120" s="9" t="n">
        <v>1</v>
      </c>
      <c r="M120" s="10" t="n">
        <f aca="false">IFERROR(G120/F120,"")</f>
        <v>0.168307967770815</v>
      </c>
      <c r="N120" s="10" t="n">
        <f aca="false">IFERROR(H120/G120,"")</f>
        <v>0.946808510638298</v>
      </c>
      <c r="O120" s="11" t="n">
        <f aca="false">IFERROR(I120/H120,"")</f>
        <v>0.97752808988764</v>
      </c>
      <c r="P120" s="10" t="n">
        <f aca="false">IFERROR(J120/H120,"")</f>
        <v>0.101123595505618</v>
      </c>
      <c r="Q120" s="10" t="n">
        <f aca="false">IFERROR(K120/H120,"")</f>
        <v>0.0168539325842697</v>
      </c>
      <c r="R120" s="10" t="n">
        <f aca="false">IFERROR(L120/H120,"")</f>
        <v>0.00561797752808989</v>
      </c>
      <c r="S120" s="11" t="n">
        <f aca="false">IFERROR(M120/MEDIAN(INDEX($M$5:$M$373,MATCH($A120-90,$A$5:$A$373,1)):INDEX($M$5:$M$373,MATCH($A120+90,$A$5:$A$373,1))),"")</f>
        <v>0.925861753011326</v>
      </c>
      <c r="T120" s="11" t="n">
        <f aca="false">IFERROR(N120/MEDIAN(INDEX($N$5:$N$373,MATCH($A120-90,$A$5:$A$373,1)):INDEX($N$5:$N$373,MATCH($A120+90,$A$5:$A$373,1))),"")</f>
        <v>0.948544271767218</v>
      </c>
      <c r="U120" s="11" t="n">
        <f aca="false">IFERROR(Q120/MEDIAN(INDEX($Q$5:$Q$373,MATCH($A120-90,$A$5:$A$373,1)):INDEX($Q$5:$Q$373,MATCH($A120+90,$A$5:$A$373,1))),"")</f>
        <v>2.73646106339362</v>
      </c>
    </row>
    <row r="121" customFormat="false" ht="15" hidden="false" customHeight="false" outlineLevel="0" collapsed="false">
      <c r="A121" s="13" t="n">
        <v>45187.4908374306</v>
      </c>
      <c r="B121" s="8" t="n">
        <v>11</v>
      </c>
      <c r="C121" s="8" t="s">
        <v>80</v>
      </c>
      <c r="D121" s="8" t="s">
        <v>1332</v>
      </c>
      <c r="E121" s="14" t="s">
        <v>66</v>
      </c>
      <c r="F121" s="9" t="n">
        <v>924</v>
      </c>
      <c r="G121" s="9" t="n">
        <v>187</v>
      </c>
      <c r="H121" s="9" t="n">
        <v>187</v>
      </c>
      <c r="I121" s="9" t="n">
        <v>82</v>
      </c>
      <c r="J121" s="9" t="n">
        <v>21</v>
      </c>
      <c r="K121" s="9" t="n">
        <v>0</v>
      </c>
      <c r="L121" s="9" t="n">
        <v>0</v>
      </c>
      <c r="M121" s="10" t="n">
        <f aca="false">IFERROR(G121/F121,"")</f>
        <v>0.202380952380952</v>
      </c>
      <c r="N121" s="10" t="n">
        <f aca="false">IFERROR(H121/G121,"")</f>
        <v>1</v>
      </c>
      <c r="O121" s="11" t="n">
        <f aca="false">IFERROR(I121/H121,"")</f>
        <v>0.438502673796791</v>
      </c>
      <c r="P121" s="10" t="n">
        <f aca="false">IFERROR(J121/H121,"")</f>
        <v>0.112299465240642</v>
      </c>
      <c r="Q121" s="10" t="n">
        <f aca="false">IFERROR(K121/H121,"")</f>
        <v>0</v>
      </c>
      <c r="R121" s="10" t="n">
        <f aca="false">IFERROR(L121/H121,"")</f>
        <v>0</v>
      </c>
      <c r="S121" s="11" t="n">
        <f aca="false">IFERROR(M121/MEDIAN(INDEX($M$5:$M$373,MATCH($A121-90,$A$5:$A$373,1)):INDEX($M$5:$M$373,MATCH($A121+90,$A$5:$A$373,1))),"")</f>
        <v>1.11329716488932</v>
      </c>
      <c r="T121" s="11" t="n">
        <f aca="false">IFERROR(N121/MEDIAN(INDEX($N$5:$N$373,MATCH($A121-90,$A$5:$A$373,1)):INDEX($N$5:$N$373,MATCH($A121+90,$A$5:$A$373,1))),"")</f>
        <v>1.00183327579908</v>
      </c>
      <c r="U121" s="11" t="n">
        <f aca="false">IFERROR(Q121/MEDIAN(INDEX($Q$5:$Q$373,MATCH($A121-90,$A$5:$A$373,1)):INDEX($Q$5:$Q$373,MATCH($A121+90,$A$5:$A$373,1))),"")</f>
        <v>0</v>
      </c>
    </row>
    <row r="122" customFormat="false" ht="15" hidden="false" customHeight="false" outlineLevel="0" collapsed="false">
      <c r="A122" s="13" t="n">
        <v>45188.4917836806</v>
      </c>
      <c r="B122" s="8" t="n">
        <v>11</v>
      </c>
      <c r="C122" s="8" t="s">
        <v>64</v>
      </c>
      <c r="D122" s="8" t="s">
        <v>1333</v>
      </c>
      <c r="E122" s="14" t="s">
        <v>66</v>
      </c>
      <c r="F122" s="9" t="n">
        <v>2812</v>
      </c>
      <c r="G122" s="9" t="n">
        <v>491</v>
      </c>
      <c r="H122" s="9" t="n">
        <v>479</v>
      </c>
      <c r="I122" s="9" t="n">
        <v>355</v>
      </c>
      <c r="J122" s="9" t="n">
        <v>29</v>
      </c>
      <c r="K122" s="9" t="n">
        <v>3</v>
      </c>
      <c r="L122" s="9" t="n">
        <v>0</v>
      </c>
      <c r="M122" s="10" t="n">
        <f aca="false">IFERROR(G122/F122,"")</f>
        <v>0.174608819345661</v>
      </c>
      <c r="N122" s="10" t="n">
        <f aca="false">IFERROR(H122/G122,"")</f>
        <v>0.975560081466395</v>
      </c>
      <c r="O122" s="11" t="n">
        <f aca="false">IFERROR(I122/H122,"")</f>
        <v>0.741127348643006</v>
      </c>
      <c r="P122" s="10" t="n">
        <f aca="false">IFERROR(J122/H122,"")</f>
        <v>0.0605427974947808</v>
      </c>
      <c r="Q122" s="10" t="n">
        <f aca="false">IFERROR(K122/H122,"")</f>
        <v>0.00626304801670146</v>
      </c>
      <c r="R122" s="10" t="n">
        <f aca="false">IFERROR(L122/H122,"")</f>
        <v>0</v>
      </c>
      <c r="S122" s="11" t="n">
        <f aca="false">IFERROR(M122/MEDIAN(INDEX($M$5:$M$373,MATCH($A122-90,$A$5:$A$373,1)):INDEX($M$5:$M$373,MATCH($A122+90,$A$5:$A$373,1))),"")</f>
        <v>0.960522723384966</v>
      </c>
      <c r="T122" s="11" t="n">
        <f aca="false">IFERROR(N122/MEDIAN(INDEX($N$5:$N$373,MATCH($A122-90,$A$5:$A$373,1)):INDEX($N$5:$N$373,MATCH($A122+90,$A$5:$A$373,1))),"")</f>
        <v>0.9773485521543</v>
      </c>
      <c r="U122" s="11" t="n">
        <f aca="false">IFERROR(Q122/MEDIAN(INDEX($Q$5:$Q$373,MATCH($A122-90,$A$5:$A$373,1)):INDEX($Q$5:$Q$373,MATCH($A122+90,$A$5:$A$373,1))),"")</f>
        <v>1.01688949746151</v>
      </c>
    </row>
    <row r="123" customFormat="false" ht="15" hidden="false" customHeight="false" outlineLevel="0" collapsed="false">
      <c r="A123" s="13" t="n">
        <v>45189.4165284838</v>
      </c>
      <c r="B123" s="8" t="n">
        <v>9</v>
      </c>
      <c r="C123" s="8" t="s">
        <v>71</v>
      </c>
      <c r="D123" s="8" t="s">
        <v>1334</v>
      </c>
      <c r="E123" s="14" t="s">
        <v>66</v>
      </c>
      <c r="F123" s="9" t="n">
        <v>1058</v>
      </c>
      <c r="G123" s="9" t="n">
        <v>178</v>
      </c>
      <c r="H123" s="9" t="n">
        <v>177</v>
      </c>
      <c r="I123" s="9" t="n">
        <v>106</v>
      </c>
      <c r="J123" s="9" t="n">
        <v>18</v>
      </c>
      <c r="K123" s="9" t="n">
        <v>6</v>
      </c>
      <c r="L123" s="9" t="n">
        <v>0</v>
      </c>
      <c r="M123" s="10" t="n">
        <f aca="false">IFERROR(G123/F123,"")</f>
        <v>0.168241965973535</v>
      </c>
      <c r="N123" s="10" t="n">
        <f aca="false">IFERROR(H123/G123,"")</f>
        <v>0.99438202247191</v>
      </c>
      <c r="O123" s="11" t="n">
        <f aca="false">IFERROR(I123/H123,"")</f>
        <v>0.598870056497175</v>
      </c>
      <c r="P123" s="10" t="n">
        <f aca="false">IFERROR(J123/H123,"")</f>
        <v>0.101694915254237</v>
      </c>
      <c r="Q123" s="10" t="n">
        <f aca="false">IFERROR(K123/H123,"")</f>
        <v>0.0338983050847458</v>
      </c>
      <c r="R123" s="10" t="n">
        <f aca="false">IFERROR(L123/H123,"")</f>
        <v>0</v>
      </c>
      <c r="S123" s="11" t="n">
        <f aca="false">IFERROR(M123/MEDIAN(INDEX($M$5:$M$373,MATCH($A123-90,$A$5:$A$373,1)):INDEX($M$5:$M$373,MATCH($A123+90,$A$5:$A$373,1))),"")</f>
        <v>0.92720851336754</v>
      </c>
      <c r="T123" s="11" t="n">
        <f aca="false">IFERROR(N123/MEDIAN(INDEX($N$5:$N$373,MATCH($A123-90,$A$5:$A$373,1)):INDEX($N$5:$N$373,MATCH($A123+90,$A$5:$A$373,1))),"")</f>
        <v>0.996261761644825</v>
      </c>
      <c r="U123" s="11" t="n">
        <f aca="false">IFERROR(Q123/MEDIAN(INDEX($Q$5:$Q$373,MATCH($A123-90,$A$5:$A$373,1)):INDEX($Q$5:$Q$373,MATCH($A123+90,$A$5:$A$373,1))),"")</f>
        <v>5.55084745762712</v>
      </c>
    </row>
    <row r="124" customFormat="false" ht="15" hidden="false" customHeight="false" outlineLevel="0" collapsed="false">
      <c r="A124" s="13" t="n">
        <v>45190.4872011921</v>
      </c>
      <c r="B124" s="8" t="n">
        <v>11</v>
      </c>
      <c r="C124" s="8" t="s">
        <v>73</v>
      </c>
      <c r="D124" s="8" t="s">
        <v>1335</v>
      </c>
      <c r="E124" s="14" t="s">
        <v>66</v>
      </c>
      <c r="F124" s="9" t="n">
        <v>1062</v>
      </c>
      <c r="G124" s="9" t="n">
        <v>238</v>
      </c>
      <c r="H124" s="9" t="n">
        <v>238</v>
      </c>
      <c r="I124" s="9" t="n">
        <v>192</v>
      </c>
      <c r="J124" s="9" t="n">
        <v>40</v>
      </c>
      <c r="K124" s="9" t="n">
        <v>6</v>
      </c>
      <c r="L124" s="9" t="n">
        <v>0</v>
      </c>
      <c r="M124" s="10" t="n">
        <f aca="false">IFERROR(G124/F124,"")</f>
        <v>0.224105461393597</v>
      </c>
      <c r="N124" s="10" t="n">
        <f aca="false">IFERROR(H124/G124,"")</f>
        <v>1</v>
      </c>
      <c r="O124" s="11" t="n">
        <f aca="false">IFERROR(I124/H124,"")</f>
        <v>0.80672268907563</v>
      </c>
      <c r="P124" s="10" t="n">
        <f aca="false">IFERROR(J124/H124,"")</f>
        <v>0.168067226890756</v>
      </c>
      <c r="Q124" s="10" t="n">
        <f aca="false">IFERROR(K124/H124,"")</f>
        <v>0.0252100840336134</v>
      </c>
      <c r="R124" s="10" t="n">
        <f aca="false">IFERROR(L124/H124,"")</f>
        <v>0</v>
      </c>
      <c r="S124" s="11" t="n">
        <f aca="false">IFERROR(M124/MEDIAN(INDEX($M$5:$M$373,MATCH($A124-90,$A$5:$A$373,1)):INDEX($M$5:$M$373,MATCH($A124+90,$A$5:$A$373,1))),"")</f>
        <v>1.24863391691528</v>
      </c>
      <c r="T124" s="11" t="n">
        <f aca="false">IFERROR(N124/MEDIAN(INDEX($N$5:$N$373,MATCH($A124-90,$A$5:$A$373,1)):INDEX($N$5:$N$373,MATCH($A124+90,$A$5:$A$373,1))),"")</f>
        <v>1.00183327579908</v>
      </c>
      <c r="U124" s="11" t="n">
        <f aca="false">IFERROR(Q124/MEDIAN(INDEX($Q$5:$Q$373,MATCH($A124-90,$A$5:$A$373,1)):INDEX($Q$5:$Q$373,MATCH($A124+90,$A$5:$A$373,1))),"")</f>
        <v>4.09319385952996</v>
      </c>
    </row>
    <row r="125" customFormat="false" ht="15" hidden="false" customHeight="false" outlineLevel="0" collapsed="false">
      <c r="A125" s="13" t="n">
        <v>45191.3901977431</v>
      </c>
      <c r="B125" s="8" t="n">
        <v>9</v>
      </c>
      <c r="C125" s="8" t="s">
        <v>84</v>
      </c>
      <c r="D125" s="8" t="s">
        <v>1336</v>
      </c>
      <c r="E125" s="14" t="s">
        <v>66</v>
      </c>
      <c r="F125" s="9" t="n">
        <v>1081</v>
      </c>
      <c r="G125" s="9" t="n">
        <v>214</v>
      </c>
      <c r="H125" s="9" t="n">
        <v>214</v>
      </c>
      <c r="I125" s="9" t="n">
        <v>131</v>
      </c>
      <c r="J125" s="9" t="n">
        <v>27</v>
      </c>
      <c r="K125" s="9" t="n">
        <v>6</v>
      </c>
      <c r="L125" s="9" t="n">
        <v>0</v>
      </c>
      <c r="M125" s="10" t="n">
        <f aca="false">IFERROR(G125/F125,"")</f>
        <v>0.197964847363552</v>
      </c>
      <c r="N125" s="10" t="n">
        <f aca="false">IFERROR(H125/G125,"")</f>
        <v>1</v>
      </c>
      <c r="O125" s="11" t="n">
        <f aca="false">IFERROR(I125/H125,"")</f>
        <v>0.61214953271028</v>
      </c>
      <c r="P125" s="10" t="n">
        <f aca="false">IFERROR(J125/H125,"")</f>
        <v>0.126168224299065</v>
      </c>
      <c r="Q125" s="10" t="n">
        <f aca="false">IFERROR(K125/H125,"")</f>
        <v>0.0280373831775701</v>
      </c>
      <c r="R125" s="10" t="n">
        <f aca="false">IFERROR(L125/H125,"")</f>
        <v>0</v>
      </c>
      <c r="S125" s="11" t="n">
        <f aca="false">IFERROR(M125/MEDIAN(INDEX($M$5:$M$373,MATCH($A125-90,$A$5:$A$373,1)):INDEX($M$5:$M$373,MATCH($A125+90,$A$5:$A$373,1))),"")</f>
        <v>1.11522545685588</v>
      </c>
      <c r="T125" s="11" t="n">
        <f aca="false">IFERROR(N125/MEDIAN(INDEX($N$5:$N$373,MATCH($A125-90,$A$5:$A$373,1)):INDEX($N$5:$N$373,MATCH($A125+90,$A$5:$A$373,1))),"")</f>
        <v>1.00177619893428</v>
      </c>
      <c r="U125" s="11" t="n">
        <f aca="false">IFERROR(Q125/MEDIAN(INDEX($Q$5:$Q$373,MATCH($A125-90,$A$5:$A$373,1)):INDEX($Q$5:$Q$373,MATCH($A125+90,$A$5:$A$373,1))),"")</f>
        <v>4.5911214953271</v>
      </c>
    </row>
    <row r="126" customFormat="false" ht="15" hidden="false" customHeight="false" outlineLevel="0" collapsed="false">
      <c r="A126" s="13" t="n">
        <v>45191.4168362269</v>
      </c>
      <c r="B126" s="8" t="n">
        <v>10</v>
      </c>
      <c r="C126" s="8" t="s">
        <v>84</v>
      </c>
      <c r="D126" s="8" t="s">
        <v>1336</v>
      </c>
      <c r="E126" s="14" t="s">
        <v>66</v>
      </c>
      <c r="F126" s="9" t="n">
        <v>121</v>
      </c>
      <c r="G126" s="9" t="n">
        <v>35</v>
      </c>
      <c r="H126" s="9" t="n">
        <v>35</v>
      </c>
      <c r="I126" s="9" t="n">
        <v>26</v>
      </c>
      <c r="J126" s="9" t="n">
        <v>5</v>
      </c>
      <c r="K126" s="9" t="n">
        <v>1</v>
      </c>
      <c r="L126" s="9" t="n">
        <v>0</v>
      </c>
      <c r="M126" s="10" t="n">
        <f aca="false">IFERROR(G126/F126,"")</f>
        <v>0.289256198347107</v>
      </c>
      <c r="N126" s="10" t="n">
        <f aca="false">IFERROR(H126/G126,"")</f>
        <v>1</v>
      </c>
      <c r="O126" s="11" t="n">
        <f aca="false">IFERROR(I126/H126,"")</f>
        <v>0.742857142857143</v>
      </c>
      <c r="P126" s="10" t="n">
        <f aca="false">IFERROR(J126/H126,"")</f>
        <v>0.142857142857143</v>
      </c>
      <c r="Q126" s="10" t="n">
        <f aca="false">IFERROR(K126/H126,"")</f>
        <v>0.0285714285714286</v>
      </c>
      <c r="R126" s="10" t="n">
        <f aca="false">IFERROR(L126/H126,"")</f>
        <v>0</v>
      </c>
      <c r="S126" s="11" t="n">
        <f aca="false">IFERROR(M126/MEDIAN(INDEX($M$5:$M$373,MATCH($A126-90,$A$5:$A$373,1)):INDEX($M$5:$M$373,MATCH($A126+90,$A$5:$A$373,1))),"")</f>
        <v>1.62951089673833</v>
      </c>
      <c r="T126" s="11" t="n">
        <f aca="false">IFERROR(N126/MEDIAN(INDEX($N$5:$N$373,MATCH($A126-90,$A$5:$A$373,1)):INDEX($N$5:$N$373,MATCH($A126+90,$A$5:$A$373,1))),"")</f>
        <v>1.00177619893428</v>
      </c>
      <c r="U126" s="11" t="n">
        <f aca="false">IFERROR(Q126/MEDIAN(INDEX($Q$5:$Q$373,MATCH($A126-90,$A$5:$A$373,1)):INDEX($Q$5:$Q$373,MATCH($A126+90,$A$5:$A$373,1))),"")</f>
        <v>4.67857142857143</v>
      </c>
    </row>
    <row r="127" customFormat="false" ht="15" hidden="false" customHeight="false" outlineLevel="0" collapsed="false">
      <c r="A127" s="13" t="n">
        <v>45192.3853090625</v>
      </c>
      <c r="B127" s="8" t="n">
        <v>9</v>
      </c>
      <c r="C127" s="8" t="s">
        <v>68</v>
      </c>
      <c r="D127" s="8" t="s">
        <v>1337</v>
      </c>
      <c r="E127" s="14" t="s">
        <v>66</v>
      </c>
      <c r="F127" s="9" t="n">
        <v>1067</v>
      </c>
      <c r="G127" s="9" t="n">
        <v>204</v>
      </c>
      <c r="H127" s="9" t="n">
        <v>191</v>
      </c>
      <c r="I127" s="9" t="n">
        <v>139</v>
      </c>
      <c r="J127" s="9" t="n">
        <v>22</v>
      </c>
      <c r="K127" s="9" t="n">
        <v>1</v>
      </c>
      <c r="L127" s="9" t="n">
        <v>0</v>
      </c>
      <c r="M127" s="10" t="n">
        <f aca="false">IFERROR(G127/F127,"")</f>
        <v>0.191190253045923</v>
      </c>
      <c r="N127" s="10" t="n">
        <f aca="false">IFERROR(H127/G127,"")</f>
        <v>0.936274509803922</v>
      </c>
      <c r="O127" s="11" t="n">
        <f aca="false">IFERROR(I127/H127,"")</f>
        <v>0.727748691099477</v>
      </c>
      <c r="P127" s="10" t="n">
        <f aca="false">IFERROR(J127/H127,"")</f>
        <v>0.115183246073298</v>
      </c>
      <c r="Q127" s="10" t="n">
        <f aca="false">IFERROR(K127/H127,"")</f>
        <v>0.00523560209424084</v>
      </c>
      <c r="R127" s="10" t="n">
        <f aca="false">IFERROR(L127/H127,"")</f>
        <v>0</v>
      </c>
      <c r="S127" s="11" t="n">
        <f aca="false">IFERROR(M127/MEDIAN(INDEX($M$5:$M$373,MATCH($A127-90,$A$5:$A$373,1)):INDEX($M$5:$M$373,MATCH($A127+90,$A$5:$A$373,1))),"")</f>
        <v>1.0652423776388</v>
      </c>
      <c r="T127" s="11" t="n">
        <f aca="false">IFERROR(N127/MEDIAN(INDEX($N$5:$N$373,MATCH($A127-90,$A$5:$A$373,1)):INDEX($N$5:$N$373,MATCH($A127+90,$A$5:$A$373,1))),"")</f>
        <v>0.937990959204044</v>
      </c>
      <c r="U127" s="11" t="n">
        <f aca="false">IFERROR(Q127/MEDIAN(INDEX($Q$5:$Q$373,MATCH($A127-90,$A$5:$A$373,1)):INDEX($Q$5:$Q$373,MATCH($A127+90,$A$5:$A$373,1))),"")</f>
        <v>0.850069928942521</v>
      </c>
    </row>
    <row r="128" customFormat="false" ht="15" hidden="false" customHeight="false" outlineLevel="0" collapsed="false">
      <c r="A128" s="13" t="n">
        <v>45193.5081727315</v>
      </c>
      <c r="B128" s="8" t="n">
        <v>12</v>
      </c>
      <c r="C128" s="8" t="s">
        <v>86</v>
      </c>
      <c r="D128" s="8" t="s">
        <v>1338</v>
      </c>
      <c r="E128" s="14" t="s">
        <v>66</v>
      </c>
      <c r="F128" s="9" t="n">
        <v>1045</v>
      </c>
      <c r="G128" s="9" t="n">
        <v>228</v>
      </c>
      <c r="H128" s="9" t="n">
        <v>226</v>
      </c>
      <c r="I128" s="9" t="n">
        <v>141</v>
      </c>
      <c r="J128" s="9" t="n">
        <v>43</v>
      </c>
      <c r="K128" s="9" t="n">
        <v>4</v>
      </c>
      <c r="L128" s="9" t="n">
        <v>1</v>
      </c>
      <c r="M128" s="10" t="n">
        <f aca="false">IFERROR(G128/F128,"")</f>
        <v>0.218181818181818</v>
      </c>
      <c r="N128" s="10" t="n">
        <f aca="false">IFERROR(H128/G128,"")</f>
        <v>0.991228070175439</v>
      </c>
      <c r="O128" s="11" t="n">
        <f aca="false">IFERROR(I128/H128,"")</f>
        <v>0.623893805309735</v>
      </c>
      <c r="P128" s="10" t="n">
        <f aca="false">IFERROR(J128/H128,"")</f>
        <v>0.190265486725664</v>
      </c>
      <c r="Q128" s="10" t="n">
        <f aca="false">IFERROR(K128/H128,"")</f>
        <v>0.0176991150442478</v>
      </c>
      <c r="R128" s="10" t="n">
        <f aca="false">IFERROR(L128/H128,"")</f>
        <v>0.00442477876106195</v>
      </c>
      <c r="S128" s="11" t="n">
        <f aca="false">IFERROR(M128/MEDIAN(INDEX($M$5:$M$373,MATCH($A128-90,$A$5:$A$373,1)):INDEX($M$5:$M$373,MATCH($A128+90,$A$5:$A$373,1))),"")</f>
        <v>1.20243506493506</v>
      </c>
      <c r="T128" s="11" t="n">
        <f aca="false">IFERROR(N128/MEDIAN(INDEX($N$5:$N$373,MATCH($A128-90,$A$5:$A$373,1)):INDEX($N$5:$N$373,MATCH($A128+90,$A$5:$A$373,1))),"")</f>
        <v>0.992988688417313</v>
      </c>
      <c r="U128" s="11" t="n">
        <f aca="false">IFERROR(Q128/MEDIAN(INDEX($Q$5:$Q$373,MATCH($A128-90,$A$5:$A$373,1)):INDEX($Q$5:$Q$373,MATCH($A128+90,$A$5:$A$373,1))),"")</f>
        <v>2.89823008849558</v>
      </c>
    </row>
    <row r="129" customFormat="false" ht="15" hidden="false" customHeight="false" outlineLevel="0" collapsed="false">
      <c r="A129" s="13" t="n">
        <v>45194.5242513889</v>
      </c>
      <c r="B129" s="8" t="n">
        <v>12</v>
      </c>
      <c r="C129" s="8" t="s">
        <v>80</v>
      </c>
      <c r="D129" s="8" t="s">
        <v>1339</v>
      </c>
      <c r="E129" s="14" t="s">
        <v>66</v>
      </c>
      <c r="F129" s="9" t="n">
        <v>1015</v>
      </c>
      <c r="G129" s="9" t="n">
        <v>242</v>
      </c>
      <c r="H129" s="9" t="n">
        <v>242</v>
      </c>
      <c r="I129" s="9" t="n">
        <v>161</v>
      </c>
      <c r="J129" s="9" t="n">
        <v>35</v>
      </c>
      <c r="K129" s="9" t="n">
        <v>5</v>
      </c>
      <c r="L129" s="9" t="n">
        <v>0</v>
      </c>
      <c r="M129" s="10" t="n">
        <f aca="false">IFERROR(G129/F129,"")</f>
        <v>0.238423645320197</v>
      </c>
      <c r="N129" s="10" t="n">
        <f aca="false">IFERROR(H129/G129,"")</f>
        <v>1</v>
      </c>
      <c r="O129" s="11" t="n">
        <f aca="false">IFERROR(I129/H129,"")</f>
        <v>0.665289256198347</v>
      </c>
      <c r="P129" s="10" t="n">
        <f aca="false">IFERROR(J129/H129,"")</f>
        <v>0.144628099173554</v>
      </c>
      <c r="Q129" s="10" t="n">
        <f aca="false">IFERROR(K129/H129,"")</f>
        <v>0.0206611570247934</v>
      </c>
      <c r="R129" s="10" t="n">
        <f aca="false">IFERROR(L129/H129,"")</f>
        <v>0</v>
      </c>
      <c r="S129" s="11" t="n">
        <f aca="false">IFERROR(M129/MEDIAN(INDEX($M$5:$M$373,MATCH($A129-90,$A$5:$A$373,1)):INDEX($M$5:$M$373,MATCH($A129+90,$A$5:$A$373,1))),"")</f>
        <v>1.31399102744546</v>
      </c>
      <c r="T129" s="11" t="n">
        <f aca="false">IFERROR(N129/MEDIAN(INDEX($N$5:$N$373,MATCH($A129-90,$A$5:$A$373,1)):INDEX($N$5:$N$373,MATCH($A129+90,$A$5:$A$373,1))),"")</f>
        <v>1.00177619893428</v>
      </c>
      <c r="U129" s="11" t="n">
        <f aca="false">IFERROR(Q129/MEDIAN(INDEX($Q$5:$Q$373,MATCH($A129-90,$A$5:$A$373,1)):INDEX($Q$5:$Q$373,MATCH($A129+90,$A$5:$A$373,1))),"")</f>
        <v>3.38326446280992</v>
      </c>
    </row>
    <row r="130" customFormat="false" ht="15" hidden="false" customHeight="false" outlineLevel="0" collapsed="false">
      <c r="A130" s="13" t="n">
        <v>45195.4678709259</v>
      </c>
      <c r="B130" s="8" t="n">
        <v>11</v>
      </c>
      <c r="C130" s="8" t="s">
        <v>64</v>
      </c>
      <c r="D130" s="8" t="s">
        <v>1340</v>
      </c>
      <c r="E130" s="14" t="s">
        <v>66</v>
      </c>
      <c r="F130" s="9" t="n">
        <v>943</v>
      </c>
      <c r="G130" s="9" t="n">
        <v>84</v>
      </c>
      <c r="H130" s="9" t="n">
        <v>84</v>
      </c>
      <c r="I130" s="9" t="n">
        <v>34</v>
      </c>
      <c r="J130" s="9" t="n">
        <v>36</v>
      </c>
      <c r="K130" s="9" t="n">
        <v>7</v>
      </c>
      <c r="L130" s="9" t="n">
        <v>0</v>
      </c>
      <c r="M130" s="10" t="n">
        <f aca="false">IFERROR(G130/F130,"")</f>
        <v>0.0890774125132556</v>
      </c>
      <c r="N130" s="10" t="n">
        <f aca="false">IFERROR(H130/G130,"")</f>
        <v>1</v>
      </c>
      <c r="O130" s="11" t="n">
        <f aca="false">IFERROR(I130/H130,"")</f>
        <v>0.404761904761905</v>
      </c>
      <c r="P130" s="10" t="n">
        <f aca="false">IFERROR(J130/H130,"")</f>
        <v>0.428571428571429</v>
      </c>
      <c r="Q130" s="10" t="n">
        <f aca="false">IFERROR(K130/H130,"")</f>
        <v>0.0833333333333333</v>
      </c>
      <c r="R130" s="10" t="n">
        <f aca="false">IFERROR(L130/H130,"")</f>
        <v>0</v>
      </c>
      <c r="S130" s="11" t="n">
        <f aca="false">IFERROR(M130/MEDIAN(INDEX($M$5:$M$373,MATCH($A130-90,$A$5:$A$373,1)):INDEX($M$5:$M$373,MATCH($A130+90,$A$5:$A$373,1))),"")</f>
        <v>0.490919936373277</v>
      </c>
      <c r="T130" s="11" t="n">
        <f aca="false">IFERROR(N130/MEDIAN(INDEX($N$5:$N$373,MATCH($A130-90,$A$5:$A$373,1)):INDEX($N$5:$N$373,MATCH($A130+90,$A$5:$A$373,1))),"")</f>
        <v>1.00177619893428</v>
      </c>
      <c r="U130" s="11" t="n">
        <f aca="false">IFERROR(Q130/MEDIAN(INDEX($Q$5:$Q$373,MATCH($A130-90,$A$5:$A$373,1)):INDEX($Q$5:$Q$373,MATCH($A130+90,$A$5:$A$373,1))),"")</f>
        <v>13.6458333333333</v>
      </c>
    </row>
    <row r="131" customFormat="false" ht="15" hidden="false" customHeight="false" outlineLevel="0" collapsed="false">
      <c r="A131" s="13" t="n">
        <v>45196.5242229167</v>
      </c>
      <c r="B131" s="8" t="n">
        <v>12</v>
      </c>
      <c r="C131" s="8" t="s">
        <v>71</v>
      </c>
      <c r="D131" s="8" t="s">
        <v>1341</v>
      </c>
      <c r="E131" s="14" t="s">
        <v>66</v>
      </c>
      <c r="F131" s="9" t="n">
        <v>1077</v>
      </c>
      <c r="G131" s="9" t="n">
        <v>153</v>
      </c>
      <c r="H131" s="9" t="n">
        <v>153</v>
      </c>
      <c r="I131" s="9" t="n">
        <v>103</v>
      </c>
      <c r="J131" s="9" t="n">
        <v>16</v>
      </c>
      <c r="K131" s="9" t="n">
        <v>0</v>
      </c>
      <c r="L131" s="9" t="n">
        <v>0</v>
      </c>
      <c r="M131" s="10" t="n">
        <f aca="false">IFERROR(G131/F131,"")</f>
        <v>0.142061281337047</v>
      </c>
      <c r="N131" s="10" t="n">
        <f aca="false">IFERROR(H131/G131,"")</f>
        <v>1</v>
      </c>
      <c r="O131" s="11" t="n">
        <f aca="false">IFERROR(I131/H131,"")</f>
        <v>0.673202614379085</v>
      </c>
      <c r="P131" s="10" t="n">
        <f aca="false">IFERROR(J131/H131,"")</f>
        <v>0.104575163398693</v>
      </c>
      <c r="Q131" s="10" t="n">
        <f aca="false">IFERROR(K131/H131,"")</f>
        <v>0</v>
      </c>
      <c r="R131" s="10" t="n">
        <f aca="false">IFERROR(L131/H131,"")</f>
        <v>0</v>
      </c>
      <c r="S131" s="11" t="n">
        <f aca="false">IFERROR(M131/MEDIAN(INDEX($M$5:$M$373,MATCH($A131-90,$A$5:$A$373,1)):INDEX($M$5:$M$373,MATCH($A131+90,$A$5:$A$373,1))),"")</f>
        <v>0.791513660822143</v>
      </c>
      <c r="T131" s="11" t="n">
        <f aca="false">IFERROR(N131/MEDIAN(INDEX($N$5:$N$373,MATCH($A131-90,$A$5:$A$373,1)):INDEX($N$5:$N$373,MATCH($A131+90,$A$5:$A$373,1))),"")</f>
        <v>1.00183327579908</v>
      </c>
      <c r="U131" s="11" t="n">
        <f aca="false">IFERROR(Q131/MEDIAN(INDEX($Q$5:$Q$373,MATCH($A131-90,$A$5:$A$373,1)):INDEX($Q$5:$Q$373,MATCH($A131+90,$A$5:$A$373,1))),"")</f>
        <v>0</v>
      </c>
    </row>
    <row r="132" customFormat="false" ht="15" hidden="false" customHeight="false" outlineLevel="0" collapsed="false">
      <c r="A132" s="13" t="n">
        <v>45197.4253516319</v>
      </c>
      <c r="B132" s="8" t="n">
        <v>10</v>
      </c>
      <c r="C132" s="8" t="s">
        <v>73</v>
      </c>
      <c r="D132" s="8" t="s">
        <v>1342</v>
      </c>
      <c r="E132" s="14" t="s">
        <v>66</v>
      </c>
      <c r="F132" s="9" t="n">
        <v>963</v>
      </c>
      <c r="G132" s="9" t="n">
        <v>121</v>
      </c>
      <c r="H132" s="9" t="n">
        <v>120</v>
      </c>
      <c r="I132" s="9" t="n">
        <v>109</v>
      </c>
      <c r="J132" s="9" t="n">
        <v>16</v>
      </c>
      <c r="K132" s="9" t="n">
        <v>2</v>
      </c>
      <c r="L132" s="9" t="n">
        <v>0</v>
      </c>
      <c r="M132" s="10" t="n">
        <f aca="false">IFERROR(G132/F132,"")</f>
        <v>0.125649013499481</v>
      </c>
      <c r="N132" s="10" t="n">
        <f aca="false">IFERROR(H132/G132,"")</f>
        <v>0.991735537190083</v>
      </c>
      <c r="O132" s="11" t="n">
        <f aca="false">IFERROR(I132/H132,"")</f>
        <v>0.908333333333333</v>
      </c>
      <c r="P132" s="10" t="n">
        <f aca="false">IFERROR(J132/H132,"")</f>
        <v>0.133333333333333</v>
      </c>
      <c r="Q132" s="10" t="n">
        <f aca="false">IFERROR(K132/H132,"")</f>
        <v>0.0166666666666667</v>
      </c>
      <c r="R132" s="10" t="n">
        <f aca="false">IFERROR(L132/H132,"")</f>
        <v>0</v>
      </c>
      <c r="S132" s="11" t="n">
        <f aca="false">IFERROR(M132/MEDIAN(INDEX($M$5:$M$373,MATCH($A132-90,$A$5:$A$373,1)):INDEX($M$5:$M$373,MATCH($A132+90,$A$5:$A$373,1))),"")</f>
        <v>0.707837681030883</v>
      </c>
      <c r="T132" s="11" t="n">
        <f aca="false">IFERROR(N132/MEDIAN(INDEX($N$5:$N$373,MATCH($A132-90,$A$5:$A$373,1)):INDEX($N$5:$N$373,MATCH($A132+90,$A$5:$A$373,1))),"")</f>
        <v>0.993497056794328</v>
      </c>
      <c r="U132" s="11" t="n">
        <f aca="false">IFERROR(Q132/MEDIAN(INDEX($Q$5:$Q$373,MATCH($A132-90,$A$5:$A$373,1)):INDEX($Q$5:$Q$373,MATCH($A132+90,$A$5:$A$373,1))),"")</f>
        <v>2.72916666666667</v>
      </c>
    </row>
    <row r="133" customFormat="false" ht="15" hidden="false" customHeight="false" outlineLevel="0" collapsed="false">
      <c r="A133" s="13" t="n">
        <v>45198.4897129167</v>
      </c>
      <c r="B133" s="8" t="n">
        <v>11</v>
      </c>
      <c r="C133" s="8" t="s">
        <v>84</v>
      </c>
      <c r="D133" s="8" t="s">
        <v>1343</v>
      </c>
      <c r="E133" s="14" t="s">
        <v>66</v>
      </c>
      <c r="F133" s="9" t="n">
        <v>1020</v>
      </c>
      <c r="G133" s="9" t="n">
        <v>112</v>
      </c>
      <c r="H133" s="9" t="n">
        <v>111</v>
      </c>
      <c r="I133" s="9" t="n">
        <v>65</v>
      </c>
      <c r="J133" s="9" t="n">
        <v>15</v>
      </c>
      <c r="K133" s="9" t="n">
        <v>0</v>
      </c>
      <c r="L133" s="9" t="n">
        <v>0</v>
      </c>
      <c r="M133" s="10" t="n">
        <f aca="false">IFERROR(G133/F133,"")</f>
        <v>0.109803921568627</v>
      </c>
      <c r="N133" s="10" t="n">
        <f aca="false">IFERROR(H133/G133,"")</f>
        <v>0.991071428571429</v>
      </c>
      <c r="O133" s="11" t="n">
        <f aca="false">IFERROR(I133/H133,"")</f>
        <v>0.585585585585586</v>
      </c>
      <c r="P133" s="10" t="n">
        <f aca="false">IFERROR(J133/H133,"")</f>
        <v>0.135135135135135</v>
      </c>
      <c r="Q133" s="10" t="n">
        <f aca="false">IFERROR(K133/H133,"")</f>
        <v>0</v>
      </c>
      <c r="R133" s="10" t="n">
        <f aca="false">IFERROR(L133/H133,"")</f>
        <v>0</v>
      </c>
      <c r="S133" s="11" t="n">
        <f aca="false">IFERROR(M133/MEDIAN(INDEX($M$5:$M$373,MATCH($A133-90,$A$5:$A$373,1)):INDEX($M$5:$M$373,MATCH($A133+90,$A$5:$A$373,1))),"")</f>
        <v>0.618833925189078</v>
      </c>
      <c r="T133" s="11" t="n">
        <f aca="false">IFERROR(N133/MEDIAN(INDEX($N$5:$N$373,MATCH($A133-90,$A$5:$A$373,1)):INDEX($N$5:$N$373,MATCH($A133+90,$A$5:$A$373,1))),"")</f>
        <v>0.992813399481423</v>
      </c>
      <c r="U133" s="11" t="n">
        <f aca="false">IFERROR(Q133/MEDIAN(INDEX($Q$5:$Q$373,MATCH($A133-90,$A$5:$A$373,1)):INDEX($Q$5:$Q$373,MATCH($A133+90,$A$5:$A$373,1))),"")</f>
        <v>0</v>
      </c>
    </row>
    <row r="134" customFormat="false" ht="15" hidden="false" customHeight="false" outlineLevel="0" collapsed="false">
      <c r="A134" s="13" t="n">
        <v>45199.516663588</v>
      </c>
      <c r="B134" s="8" t="n">
        <v>12</v>
      </c>
      <c r="C134" s="8" t="s">
        <v>68</v>
      </c>
      <c r="D134" s="8" t="s">
        <v>1344</v>
      </c>
      <c r="E134" s="14" t="s">
        <v>66</v>
      </c>
      <c r="F134" s="9" t="n">
        <v>1044</v>
      </c>
      <c r="G134" s="9" t="n">
        <v>145</v>
      </c>
      <c r="H134" s="9" t="n">
        <v>145</v>
      </c>
      <c r="I134" s="9" t="n">
        <v>107</v>
      </c>
      <c r="J134" s="9" t="n">
        <v>23</v>
      </c>
      <c r="K134" s="9" t="n">
        <v>3</v>
      </c>
      <c r="L134" s="9" t="n">
        <v>0</v>
      </c>
      <c r="M134" s="10" t="n">
        <f aca="false">IFERROR(G134/F134,"")</f>
        <v>0.138888888888889</v>
      </c>
      <c r="N134" s="10" t="n">
        <f aca="false">IFERROR(H134/G134,"")</f>
        <v>1</v>
      </c>
      <c r="O134" s="11" t="n">
        <f aca="false">IFERROR(I134/H134,"")</f>
        <v>0.737931034482759</v>
      </c>
      <c r="P134" s="10" t="n">
        <f aca="false">IFERROR(J134/H134,"")</f>
        <v>0.158620689655172</v>
      </c>
      <c r="Q134" s="10" t="n">
        <f aca="false">IFERROR(K134/H134,"")</f>
        <v>0.0206896551724138</v>
      </c>
      <c r="R134" s="10" t="n">
        <f aca="false">IFERROR(L134/H134,"")</f>
        <v>0</v>
      </c>
      <c r="S134" s="11" t="n">
        <f aca="false">IFERROR(M134/MEDIAN(INDEX($M$5:$M$373,MATCH($A134-90,$A$5:$A$373,1)):INDEX($M$5:$M$373,MATCH($A134+90,$A$5:$A$373,1))),"")</f>
        <v>0.78603499213508</v>
      </c>
      <c r="T134" s="11" t="n">
        <f aca="false">IFERROR(N134/MEDIAN(INDEX($N$5:$N$373,MATCH($A134-90,$A$5:$A$373,1)):INDEX($N$5:$N$373,MATCH($A134+90,$A$5:$A$373,1))),"")</f>
        <v>1.00183327579908</v>
      </c>
      <c r="U134" s="11" t="n">
        <f aca="false">IFERROR(Q134/MEDIAN(INDEX($Q$5:$Q$373,MATCH($A134-90,$A$5:$A$373,1)):INDEX($Q$5:$Q$373,MATCH($A134+90,$A$5:$A$373,1))),"")</f>
        <v>3.35924185713148</v>
      </c>
    </row>
    <row r="135" customFormat="false" ht="15" hidden="false" customHeight="false" outlineLevel="0" collapsed="false">
      <c r="A135" s="13" t="n">
        <v>45200.479169132</v>
      </c>
      <c r="B135" s="8" t="n">
        <v>11</v>
      </c>
      <c r="C135" s="8" t="s">
        <v>86</v>
      </c>
      <c r="D135" s="8" t="s">
        <v>1345</v>
      </c>
      <c r="E135" s="14" t="s">
        <v>66</v>
      </c>
      <c r="F135" s="9" t="n">
        <v>1103</v>
      </c>
      <c r="G135" s="9" t="n">
        <v>193</v>
      </c>
      <c r="H135" s="9" t="n">
        <v>193</v>
      </c>
      <c r="I135" s="9" t="n">
        <v>105</v>
      </c>
      <c r="J135" s="9" t="n">
        <v>22</v>
      </c>
      <c r="K135" s="9" t="n">
        <v>1</v>
      </c>
      <c r="L135" s="9" t="n">
        <v>1</v>
      </c>
      <c r="M135" s="10" t="n">
        <f aca="false">IFERROR(G135/F135,"")</f>
        <v>0.174977334542158</v>
      </c>
      <c r="N135" s="10" t="n">
        <f aca="false">IFERROR(H135/G135,"")</f>
        <v>1</v>
      </c>
      <c r="O135" s="11" t="n">
        <f aca="false">IFERROR(I135/H135,"")</f>
        <v>0.544041450777202</v>
      </c>
      <c r="P135" s="10" t="n">
        <f aca="false">IFERROR(J135/H135,"")</f>
        <v>0.113989637305699</v>
      </c>
      <c r="Q135" s="10" t="n">
        <f aca="false">IFERROR(K135/H135,"")</f>
        <v>0.00518134715025907</v>
      </c>
      <c r="R135" s="10" t="n">
        <f aca="false">IFERROR(L135/H135,"")</f>
        <v>0.00518134715025907</v>
      </c>
      <c r="S135" s="11" t="n">
        <f aca="false">IFERROR(M135/MEDIAN(INDEX($M$5:$M$373,MATCH($A135-90,$A$5:$A$373,1)):INDEX($M$5:$M$373,MATCH($A135+90,$A$5:$A$373,1))),"")</f>
        <v>0.990275816020768</v>
      </c>
      <c r="T135" s="11" t="n">
        <f aca="false">IFERROR(N135/MEDIAN(INDEX($N$5:$N$373,MATCH($A135-90,$A$5:$A$373,1)):INDEX($N$5:$N$373,MATCH($A135+90,$A$5:$A$373,1))),"")</f>
        <v>1.00183327579908</v>
      </c>
      <c r="U135" s="11" t="n">
        <f aca="false">IFERROR(Q135/MEDIAN(INDEX($Q$5:$Q$373,MATCH($A135-90,$A$5:$A$373,1)):INDEX($Q$5:$Q$373,MATCH($A135+90,$A$5:$A$373,1))),"")</f>
        <v>0.841260914134827</v>
      </c>
    </row>
    <row r="136" customFormat="false" ht="15" hidden="false" customHeight="false" outlineLevel="0" collapsed="false">
      <c r="A136" s="13" t="n">
        <v>45201.5194006944</v>
      </c>
      <c r="B136" s="8" t="n">
        <v>12</v>
      </c>
      <c r="C136" s="8" t="s">
        <v>80</v>
      </c>
      <c r="D136" s="8" t="s">
        <v>1346</v>
      </c>
      <c r="E136" s="14" t="s">
        <v>66</v>
      </c>
      <c r="F136" s="9" t="n">
        <v>1028</v>
      </c>
      <c r="G136" s="9" t="n">
        <v>172</v>
      </c>
      <c r="H136" s="9" t="n">
        <v>171</v>
      </c>
      <c r="I136" s="9" t="n">
        <v>62</v>
      </c>
      <c r="J136" s="9" t="n">
        <v>21</v>
      </c>
      <c r="K136" s="9" t="n">
        <v>0</v>
      </c>
      <c r="L136" s="9" t="n">
        <v>0</v>
      </c>
      <c r="M136" s="10" t="n">
        <f aca="false">IFERROR(G136/F136,"")</f>
        <v>0.167315175097276</v>
      </c>
      <c r="N136" s="10" t="n">
        <f aca="false">IFERROR(H136/G136,"")</f>
        <v>0.994186046511628</v>
      </c>
      <c r="O136" s="11" t="n">
        <f aca="false">IFERROR(I136/H136,"")</f>
        <v>0.362573099415205</v>
      </c>
      <c r="P136" s="10" t="n">
        <f aca="false">IFERROR(J136/H136,"")</f>
        <v>0.12280701754386</v>
      </c>
      <c r="Q136" s="10" t="n">
        <f aca="false">IFERROR(K136/H136,"")</f>
        <v>0</v>
      </c>
      <c r="R136" s="10" t="n">
        <f aca="false">IFERROR(L136/H136,"")</f>
        <v>0</v>
      </c>
      <c r="S136" s="11" t="n">
        <f aca="false">IFERROR(M136/MEDIAN(INDEX($M$5:$M$373,MATCH($A136-90,$A$5:$A$373,1)):INDEX($M$5:$M$373,MATCH($A136+90,$A$5:$A$373,1))),"")</f>
        <v>0.943351055930139</v>
      </c>
      <c r="T136" s="11" t="n">
        <f aca="false">IFERROR(N136/MEDIAN(INDEX($N$5:$N$373,MATCH($A136-90,$A$5:$A$373,1)):INDEX($N$5:$N$373,MATCH($A136+90,$A$5:$A$373,1))),"")</f>
        <v>0.996065415219589</v>
      </c>
      <c r="U136" s="11" t="n">
        <f aca="false">IFERROR(Q136/MEDIAN(INDEX($Q$5:$Q$373,MATCH($A136-90,$A$5:$A$373,1)):INDEX($Q$5:$Q$373,MATCH($A136+90,$A$5:$A$373,1))),"")</f>
        <v>0</v>
      </c>
    </row>
    <row r="137" customFormat="false" ht="15" hidden="false" customHeight="false" outlineLevel="0" collapsed="false">
      <c r="A137" s="13" t="n">
        <v>45202.553261794</v>
      </c>
      <c r="B137" s="8" t="n">
        <v>13</v>
      </c>
      <c r="C137" s="8" t="s">
        <v>64</v>
      </c>
      <c r="D137" s="8" t="s">
        <v>1347</v>
      </c>
      <c r="E137" s="14" t="s">
        <v>66</v>
      </c>
      <c r="F137" s="9" t="n">
        <v>1019</v>
      </c>
      <c r="G137" s="9" t="n">
        <v>144</v>
      </c>
      <c r="H137" s="9" t="n">
        <v>144</v>
      </c>
      <c r="I137" s="9" t="n">
        <v>90</v>
      </c>
      <c r="J137" s="9" t="n">
        <v>14</v>
      </c>
      <c r="K137" s="9" t="n">
        <v>0</v>
      </c>
      <c r="L137" s="9" t="n">
        <v>0</v>
      </c>
      <c r="M137" s="10" t="n">
        <f aca="false">IFERROR(G137/F137,"")</f>
        <v>0.141315014720314</v>
      </c>
      <c r="N137" s="10" t="n">
        <f aca="false">IFERROR(H137/G137,"")</f>
        <v>1</v>
      </c>
      <c r="O137" s="11" t="n">
        <f aca="false">IFERROR(I137/H137,"")</f>
        <v>0.625</v>
      </c>
      <c r="P137" s="10" t="n">
        <f aca="false">IFERROR(J137/H137,"")</f>
        <v>0.0972222222222222</v>
      </c>
      <c r="Q137" s="10" t="n">
        <f aca="false">IFERROR(K137/H137,"")</f>
        <v>0</v>
      </c>
      <c r="R137" s="10" t="n">
        <f aca="false">IFERROR(L137/H137,"")</f>
        <v>0</v>
      </c>
      <c r="S137" s="11" t="n">
        <f aca="false">IFERROR(M137/MEDIAN(INDEX($M$5:$M$373,MATCH($A137-90,$A$5:$A$373,1)):INDEX($M$5:$M$373,MATCH($A137+90,$A$5:$A$373,1))),"")</f>
        <v>0.796757785285679</v>
      </c>
      <c r="T137" s="11" t="n">
        <f aca="false">IFERROR(N137/MEDIAN(INDEX($N$5:$N$373,MATCH($A137-90,$A$5:$A$373,1)):INDEX($N$5:$N$373,MATCH($A137+90,$A$5:$A$373,1))),"")</f>
        <v>1.00177619893428</v>
      </c>
      <c r="U137" s="11" t="n">
        <f aca="false">IFERROR(Q137/MEDIAN(INDEX($Q$5:$Q$373,MATCH($A137-90,$A$5:$A$373,1)):INDEX($Q$5:$Q$373,MATCH($A137+90,$A$5:$A$373,1))),"")</f>
        <v>0</v>
      </c>
    </row>
    <row r="138" customFormat="false" ht="15" hidden="false" customHeight="false" outlineLevel="0" collapsed="false">
      <c r="A138" s="13" t="n">
        <v>45203.5065024769</v>
      </c>
      <c r="B138" s="8" t="n">
        <v>12</v>
      </c>
      <c r="C138" s="8" t="s">
        <v>71</v>
      </c>
      <c r="D138" s="8" t="s">
        <v>1348</v>
      </c>
      <c r="E138" s="14" t="s">
        <v>66</v>
      </c>
      <c r="F138" s="9" t="n">
        <v>1053</v>
      </c>
      <c r="G138" s="9" t="n">
        <v>148</v>
      </c>
      <c r="H138" s="9" t="n">
        <v>147</v>
      </c>
      <c r="I138" s="9" t="n">
        <v>106</v>
      </c>
      <c r="J138" s="9" t="n">
        <v>27</v>
      </c>
      <c r="K138" s="9" t="n">
        <v>2</v>
      </c>
      <c r="L138" s="9" t="n">
        <v>0</v>
      </c>
      <c r="M138" s="10" t="n">
        <f aca="false">IFERROR(G138/F138,"")</f>
        <v>0.140550807217474</v>
      </c>
      <c r="N138" s="10" t="n">
        <f aca="false">IFERROR(H138/G138,"")</f>
        <v>0.993243243243243</v>
      </c>
      <c r="O138" s="11" t="n">
        <f aca="false">IFERROR(I138/H138,"")</f>
        <v>0.72108843537415</v>
      </c>
      <c r="P138" s="10" t="n">
        <f aca="false">IFERROR(J138/H138,"")</f>
        <v>0.183673469387755</v>
      </c>
      <c r="Q138" s="10" t="n">
        <f aca="false">IFERROR(K138/H138,"")</f>
        <v>0.0136054421768707</v>
      </c>
      <c r="R138" s="10" t="n">
        <f aca="false">IFERROR(L138/H138,"")</f>
        <v>0</v>
      </c>
      <c r="S138" s="11" t="n">
        <f aca="false">IFERROR(M138/MEDIAN(INDEX($M$5:$M$373,MATCH($A138-90,$A$5:$A$373,1)):INDEX($M$5:$M$373,MATCH($A138+90,$A$5:$A$373,1))),"")</f>
        <v>0.795106475436447</v>
      </c>
      <c r="T138" s="11" t="n">
        <f aca="false">IFERROR(N138/MEDIAN(INDEX($N$5:$N$373,MATCH($A138-90,$A$5:$A$373,1)):INDEX($N$5:$N$373,MATCH($A138+90,$A$5:$A$373,1))),"")</f>
        <v>0.995064132043685</v>
      </c>
      <c r="U138" s="11" t="n">
        <f aca="false">IFERROR(Q138/MEDIAN(INDEX($Q$5:$Q$373,MATCH($A138-90,$A$5:$A$373,1)):INDEX($Q$5:$Q$373,MATCH($A138+90,$A$5:$A$373,1))),"")</f>
        <v>2.16779096575869</v>
      </c>
    </row>
    <row r="139" customFormat="false" ht="15" hidden="false" customHeight="false" outlineLevel="0" collapsed="false">
      <c r="A139" s="13" t="n">
        <v>45204.5019588657</v>
      </c>
      <c r="B139" s="8" t="n">
        <v>12</v>
      </c>
      <c r="C139" s="8" t="s">
        <v>73</v>
      </c>
      <c r="D139" s="8" t="s">
        <v>1349</v>
      </c>
      <c r="E139" s="14" t="s">
        <v>66</v>
      </c>
      <c r="F139" s="9" t="n">
        <v>1555</v>
      </c>
      <c r="G139" s="9" t="n">
        <v>218</v>
      </c>
      <c r="H139" s="9" t="n">
        <v>218</v>
      </c>
      <c r="I139" s="9" t="n">
        <v>146</v>
      </c>
      <c r="J139" s="9" t="n">
        <v>23</v>
      </c>
      <c r="K139" s="9" t="n">
        <v>3</v>
      </c>
      <c r="L139" s="9" t="n">
        <v>1</v>
      </c>
      <c r="M139" s="10" t="n">
        <f aca="false">IFERROR(G139/F139,"")</f>
        <v>0.140192926045016</v>
      </c>
      <c r="N139" s="10" t="n">
        <f aca="false">IFERROR(H139/G139,"")</f>
        <v>1</v>
      </c>
      <c r="O139" s="11" t="n">
        <f aca="false">IFERROR(I139/H139,"")</f>
        <v>0.669724770642202</v>
      </c>
      <c r="P139" s="10" t="n">
        <f aca="false">IFERROR(J139/H139,"")</f>
        <v>0.105504587155963</v>
      </c>
      <c r="Q139" s="10" t="n">
        <f aca="false">IFERROR(K139/H139,"")</f>
        <v>0.0137614678899083</v>
      </c>
      <c r="R139" s="10" t="n">
        <f aca="false">IFERROR(L139/H139,"")</f>
        <v>0.00458715596330275</v>
      </c>
      <c r="S139" s="11" t="n">
        <f aca="false">IFERROR(M139/MEDIAN(INDEX($M$5:$M$373,MATCH($A139-90,$A$5:$A$373,1)):INDEX($M$5:$M$373,MATCH($A139+90,$A$5:$A$373,1))),"")</f>
        <v>0.793081914757704</v>
      </c>
      <c r="T139" s="11" t="n">
        <f aca="false">IFERROR(N139/MEDIAN(INDEX($N$5:$N$373,MATCH($A139-90,$A$5:$A$373,1)):INDEX($N$5:$N$373,MATCH($A139+90,$A$5:$A$373,1))),"")</f>
        <v>1.00183327579908</v>
      </c>
      <c r="U139" s="11" t="n">
        <f aca="false">IFERROR(Q139/MEDIAN(INDEX($Q$5:$Q$373,MATCH($A139-90,$A$5:$A$373,1)):INDEX($Q$5:$Q$373,MATCH($A139+90,$A$5:$A$373,1))),"")</f>
        <v>2.19265095389812</v>
      </c>
    </row>
    <row r="140" customFormat="false" ht="15" hidden="false" customHeight="false" outlineLevel="0" collapsed="false">
      <c r="A140" s="13" t="n">
        <v>45205.5079571181</v>
      </c>
      <c r="B140" s="8" t="n">
        <v>12</v>
      </c>
      <c r="C140" s="8" t="s">
        <v>84</v>
      </c>
      <c r="D140" s="8" t="s">
        <v>1350</v>
      </c>
      <c r="E140" s="14" t="s">
        <v>66</v>
      </c>
      <c r="F140" s="9" t="n">
        <v>1060</v>
      </c>
      <c r="G140" s="9" t="n">
        <v>65</v>
      </c>
      <c r="H140" s="9" t="n">
        <v>64</v>
      </c>
      <c r="I140" s="9" t="n">
        <v>47</v>
      </c>
      <c r="J140" s="9" t="n">
        <v>19</v>
      </c>
      <c r="K140" s="9" t="n">
        <v>5</v>
      </c>
      <c r="L140" s="9" t="n">
        <v>0</v>
      </c>
      <c r="M140" s="10" t="n">
        <f aca="false">IFERROR(G140/F140,"")</f>
        <v>0.0613207547169811</v>
      </c>
      <c r="N140" s="10" t="n">
        <f aca="false">IFERROR(H140/G140,"")</f>
        <v>0.984615384615385</v>
      </c>
      <c r="O140" s="11" t="n">
        <f aca="false">IFERROR(I140/H140,"")</f>
        <v>0.734375</v>
      </c>
      <c r="P140" s="10" t="n">
        <f aca="false">IFERROR(J140/H140,"")</f>
        <v>0.296875</v>
      </c>
      <c r="Q140" s="10" t="n">
        <f aca="false">IFERROR(K140/H140,"")</f>
        <v>0.078125</v>
      </c>
      <c r="R140" s="10" t="n">
        <f aca="false">IFERROR(L140/H140,"")</f>
        <v>0</v>
      </c>
      <c r="S140" s="11" t="n">
        <f aca="false">IFERROR(M140/MEDIAN(INDEX($M$5:$M$373,MATCH($A140-90,$A$5:$A$373,1)):INDEX($M$5:$M$373,MATCH($A140+90,$A$5:$A$373,1))),"")</f>
        <v>0.348356906861808</v>
      </c>
      <c r="T140" s="11" t="n">
        <f aca="false">IFERROR(N140/MEDIAN(INDEX($N$5:$N$373,MATCH($A140-90,$A$5:$A$373,1)):INDEX($N$5:$N$373,MATCH($A140+90,$A$5:$A$373,1))),"")</f>
        <v>0.986364257412215</v>
      </c>
      <c r="U140" s="11" t="n">
        <f aca="false">IFERROR(Q140/MEDIAN(INDEX($Q$5:$Q$373,MATCH($A140-90,$A$5:$A$373,1)):INDEX($Q$5:$Q$373,MATCH($A140+90,$A$5:$A$373,1))),"")</f>
        <v>12.421875</v>
      </c>
    </row>
    <row r="141" customFormat="false" ht="15" hidden="false" customHeight="false" outlineLevel="0" collapsed="false">
      <c r="A141" s="13" t="n">
        <v>45206.53257</v>
      </c>
      <c r="B141" s="8" t="n">
        <v>12</v>
      </c>
      <c r="C141" s="8" t="s">
        <v>68</v>
      </c>
      <c r="D141" s="8" t="s">
        <v>1351</v>
      </c>
      <c r="E141" s="14" t="s">
        <v>66</v>
      </c>
      <c r="F141" s="9" t="n">
        <v>1086</v>
      </c>
      <c r="G141" s="9" t="n">
        <v>128</v>
      </c>
      <c r="H141" s="9" t="n">
        <v>127</v>
      </c>
      <c r="I141" s="9" t="n">
        <v>57</v>
      </c>
      <c r="J141" s="9" t="n">
        <v>13</v>
      </c>
      <c r="K141" s="9" t="n">
        <v>4</v>
      </c>
      <c r="L141" s="9" t="n">
        <v>0</v>
      </c>
      <c r="M141" s="10" t="n">
        <f aca="false">IFERROR(G141/F141,"")</f>
        <v>0.117863720073665</v>
      </c>
      <c r="N141" s="10" t="n">
        <f aca="false">IFERROR(H141/G141,"")</f>
        <v>0.9921875</v>
      </c>
      <c r="O141" s="11" t="n">
        <f aca="false">IFERROR(I141/H141,"")</f>
        <v>0.448818897637795</v>
      </c>
      <c r="P141" s="10" t="n">
        <f aca="false">IFERROR(J141/H141,"")</f>
        <v>0.102362204724409</v>
      </c>
      <c r="Q141" s="10" t="n">
        <f aca="false">IFERROR(K141/H141,"")</f>
        <v>0.031496062992126</v>
      </c>
      <c r="R141" s="10" t="n">
        <f aca="false">IFERROR(L141/H141,"")</f>
        <v>0</v>
      </c>
      <c r="S141" s="11" t="n">
        <f aca="false">IFERROR(M141/MEDIAN(INDEX($M$5:$M$373,MATCH($A141-90,$A$5:$A$373,1)):INDEX($M$5:$M$373,MATCH($A141+90,$A$5:$A$373,1))),"")</f>
        <v>0.673594213685245</v>
      </c>
      <c r="T141" s="11" t="n">
        <f aca="false">IFERROR(N141/MEDIAN(INDEX($N$5:$N$373,MATCH($A141-90,$A$5:$A$373,1)):INDEX($N$5:$N$373,MATCH($A141+90,$A$5:$A$373,1))),"")</f>
        <v>0.993949822380107</v>
      </c>
      <c r="U141" s="11" t="n">
        <f aca="false">IFERROR(Q141/MEDIAN(INDEX($Q$5:$Q$373,MATCH($A141-90,$A$5:$A$373,1)):INDEX($Q$5:$Q$373,MATCH($A141+90,$A$5:$A$373,1))),"")</f>
        <v>5.00787401574803</v>
      </c>
    </row>
    <row r="142" customFormat="false" ht="15" hidden="false" customHeight="false" outlineLevel="0" collapsed="false">
      <c r="A142" s="13" t="n">
        <v>45207.4919197685</v>
      </c>
      <c r="B142" s="8" t="n">
        <v>11</v>
      </c>
      <c r="C142" s="8" t="s">
        <v>86</v>
      </c>
      <c r="D142" s="8" t="s">
        <v>1352</v>
      </c>
      <c r="E142" s="14" t="s">
        <v>66</v>
      </c>
      <c r="F142" s="9" t="n">
        <v>1207</v>
      </c>
      <c r="G142" s="9" t="n">
        <v>206</v>
      </c>
      <c r="H142" s="9" t="n">
        <v>204</v>
      </c>
      <c r="I142" s="9" t="n">
        <v>111</v>
      </c>
      <c r="J142" s="9" t="n">
        <v>19</v>
      </c>
      <c r="K142" s="9" t="n">
        <v>3</v>
      </c>
      <c r="L142" s="9" t="n">
        <v>0</v>
      </c>
      <c r="M142" s="10" t="n">
        <f aca="false">IFERROR(G142/F142,"")</f>
        <v>0.170671085335543</v>
      </c>
      <c r="N142" s="10" t="n">
        <f aca="false">IFERROR(H142/G142,"")</f>
        <v>0.990291262135922</v>
      </c>
      <c r="O142" s="11" t="n">
        <f aca="false">IFERROR(I142/H142,"")</f>
        <v>0.544117647058824</v>
      </c>
      <c r="P142" s="10" t="n">
        <f aca="false">IFERROR(J142/H142,"")</f>
        <v>0.0931372549019608</v>
      </c>
      <c r="Q142" s="10" t="n">
        <f aca="false">IFERROR(K142/H142,"")</f>
        <v>0.0147058823529412</v>
      </c>
      <c r="R142" s="10" t="n">
        <f aca="false">IFERROR(L142/H142,"")</f>
        <v>0</v>
      </c>
      <c r="S142" s="11" t="n">
        <f aca="false">IFERROR(M142/MEDIAN(INDEX($M$5:$M$373,MATCH($A142-90,$A$5:$A$373,1)):INDEX($M$5:$M$373,MATCH($A142+90,$A$5:$A$373,1))),"")</f>
        <v>0.972468564756083</v>
      </c>
      <c r="T142" s="11" t="n">
        <f aca="false">IFERROR(N142/MEDIAN(INDEX($N$5:$N$373,MATCH($A142-90,$A$5:$A$373,1)):INDEX($N$5:$N$373,MATCH($A142+90,$A$5:$A$373,1))),"")</f>
        <v>0.99210673914084</v>
      </c>
      <c r="U142" s="11" t="n">
        <f aca="false">IFERROR(Q142/MEDIAN(INDEX($Q$5:$Q$373,MATCH($A142-90,$A$5:$A$373,1)):INDEX($Q$5:$Q$373,MATCH($A142+90,$A$5:$A$373,1))),"")</f>
        <v>2.21027216856892</v>
      </c>
    </row>
    <row r="143" customFormat="false" ht="15" hidden="false" customHeight="false" outlineLevel="0" collapsed="false">
      <c r="A143" s="13" t="n">
        <v>45208.5029427546</v>
      </c>
      <c r="B143" s="8" t="n">
        <v>12</v>
      </c>
      <c r="C143" s="8" t="s">
        <v>80</v>
      </c>
      <c r="D143" s="8" t="s">
        <v>1353</v>
      </c>
      <c r="E143" s="14" t="s">
        <v>66</v>
      </c>
      <c r="F143" s="9" t="n">
        <v>1118</v>
      </c>
      <c r="G143" s="9" t="n">
        <v>161</v>
      </c>
      <c r="H143" s="9" t="n">
        <v>161</v>
      </c>
      <c r="I143" s="9" t="n">
        <v>88</v>
      </c>
      <c r="J143" s="9" t="n">
        <v>19</v>
      </c>
      <c r="K143" s="9" t="n">
        <v>1</v>
      </c>
      <c r="L143" s="9" t="n">
        <v>0</v>
      </c>
      <c r="M143" s="10" t="n">
        <f aca="false">IFERROR(G143/F143,"")</f>
        <v>0.144007155635063</v>
      </c>
      <c r="N143" s="10" t="n">
        <f aca="false">IFERROR(H143/G143,"")</f>
        <v>1</v>
      </c>
      <c r="O143" s="11" t="n">
        <f aca="false">IFERROR(I143/H143,"")</f>
        <v>0.546583850931677</v>
      </c>
      <c r="P143" s="10" t="n">
        <f aca="false">IFERROR(J143/H143,"")</f>
        <v>0.118012422360248</v>
      </c>
      <c r="Q143" s="10" t="n">
        <f aca="false">IFERROR(K143/H143,"")</f>
        <v>0.0062111801242236</v>
      </c>
      <c r="R143" s="10" t="n">
        <f aca="false">IFERROR(L143/H143,"")</f>
        <v>0</v>
      </c>
      <c r="S143" s="11" t="n">
        <f aca="false">IFERROR(M143/MEDIAN(INDEX($M$5:$M$373,MATCH($A143-90,$A$5:$A$373,1)):INDEX($M$5:$M$373,MATCH($A143+90,$A$5:$A$373,1))),"")</f>
        <v>0.81808985447965</v>
      </c>
      <c r="T143" s="11" t="n">
        <f aca="false">IFERROR(N143/MEDIAN(INDEX($N$5:$N$373,MATCH($A143-90,$A$5:$A$373,1)):INDEX($N$5:$N$373,MATCH($A143+90,$A$5:$A$373,1))),"")</f>
        <v>1.00189035916824</v>
      </c>
      <c r="U143" s="11" t="n">
        <f aca="false">IFERROR(Q143/MEDIAN(INDEX($Q$5:$Q$373,MATCH($A143-90,$A$5:$A$373,1)):INDEX($Q$5:$Q$373,MATCH($A143+90,$A$5:$A$373,1))),"")</f>
        <v>0.885093167701863</v>
      </c>
    </row>
    <row r="144" customFormat="false" ht="15" hidden="false" customHeight="false" outlineLevel="0" collapsed="false">
      <c r="A144" s="13" t="n">
        <v>45221.6122334838</v>
      </c>
      <c r="B144" s="8" t="n">
        <v>14</v>
      </c>
      <c r="C144" s="8" t="s">
        <v>86</v>
      </c>
      <c r="D144" s="8" t="s">
        <v>1354</v>
      </c>
      <c r="E144" s="14" t="s">
        <v>66</v>
      </c>
      <c r="F144" s="9" t="n">
        <v>1233</v>
      </c>
      <c r="G144" s="9" t="n">
        <v>109</v>
      </c>
      <c r="H144" s="9" t="n">
        <v>109</v>
      </c>
      <c r="I144" s="9" t="n">
        <v>98</v>
      </c>
      <c r="J144" s="9" t="n">
        <v>13</v>
      </c>
      <c r="K144" s="9" t="n">
        <v>16</v>
      </c>
      <c r="L144" s="9" t="n">
        <v>0</v>
      </c>
      <c r="M144" s="10" t="n">
        <f aca="false">IFERROR(G144/F144,"")</f>
        <v>0.0884022708840227</v>
      </c>
      <c r="N144" s="10" t="n">
        <f aca="false">IFERROR(H144/G144,"")</f>
        <v>1</v>
      </c>
      <c r="O144" s="11" t="n">
        <f aca="false">IFERROR(I144/H144,"")</f>
        <v>0.89908256880734</v>
      </c>
      <c r="P144" s="10" t="n">
        <f aca="false">IFERROR(J144/H144,"")</f>
        <v>0.119266055045872</v>
      </c>
      <c r="Q144" s="10" t="n">
        <f aca="false">IFERROR(K144/H144,"")</f>
        <v>0.146788990825688</v>
      </c>
      <c r="R144" s="10" t="n">
        <f aca="false">IFERROR(L144/H144,"")</f>
        <v>0</v>
      </c>
      <c r="S144" s="11" t="n">
        <f aca="false">IFERROR(M144/MEDIAN(INDEX($M$5:$M$373,MATCH($A144-90,$A$5:$A$373,1)):INDEX($M$5:$M$373,MATCH($A144+90,$A$5:$A$373,1))),"")</f>
        <v>0.512061488001419</v>
      </c>
      <c r="T144" s="11" t="n">
        <f aca="false">IFERROR(N144/MEDIAN(INDEX($N$5:$N$373,MATCH($A144-90,$A$5:$A$373,1)):INDEX($N$5:$N$373,MATCH($A144+90,$A$5:$A$373,1))),"")</f>
        <v>1.00269610989858</v>
      </c>
      <c r="U144" s="11" t="n">
        <f aca="false">IFERROR(Q144/MEDIAN(INDEX($Q$5:$Q$373,MATCH($A144-90,$A$5:$A$373,1)):INDEX($Q$5:$Q$373,MATCH($A144+90,$A$5:$A$373,1))),"")</f>
        <v>15.8532110091743</v>
      </c>
    </row>
    <row r="145" customFormat="false" ht="15" hidden="false" customHeight="false" outlineLevel="0" collapsed="false">
      <c r="A145" s="13" t="n">
        <v>45317.5639729745</v>
      </c>
      <c r="B145" s="8" t="n">
        <v>13</v>
      </c>
      <c r="C145" s="8" t="s">
        <v>84</v>
      </c>
      <c r="D145" s="8" t="s">
        <v>1355</v>
      </c>
      <c r="E145" s="14" t="s">
        <v>66</v>
      </c>
      <c r="F145" s="9" t="n">
        <v>3498</v>
      </c>
      <c r="G145" s="9" t="n">
        <v>183</v>
      </c>
      <c r="H145" s="9" t="n">
        <v>182</v>
      </c>
      <c r="I145" s="9" t="n">
        <v>145</v>
      </c>
      <c r="J145" s="9" t="n">
        <v>18</v>
      </c>
      <c r="K145" s="9" t="n">
        <v>4</v>
      </c>
      <c r="L145" s="9" t="n">
        <v>1</v>
      </c>
      <c r="M145" s="10" t="n">
        <f aca="false">IFERROR(G145/F145,"")</f>
        <v>0.0523156089193825</v>
      </c>
      <c r="N145" s="10" t="n">
        <f aca="false">IFERROR(H145/G145,"")</f>
        <v>0.994535519125683</v>
      </c>
      <c r="O145" s="11" t="n">
        <f aca="false">IFERROR(I145/H145,"")</f>
        <v>0.796703296703297</v>
      </c>
      <c r="P145" s="10" t="n">
        <f aca="false">IFERROR(J145/H145,"")</f>
        <v>0.0989010989010989</v>
      </c>
      <c r="Q145" s="10" t="n">
        <f aca="false">IFERROR(K145/H145,"")</f>
        <v>0.021978021978022</v>
      </c>
      <c r="R145" s="10" t="n">
        <f aca="false">IFERROR(L145/H145,"")</f>
        <v>0.0054945054945055</v>
      </c>
      <c r="S145" s="11" t="n">
        <f aca="false">IFERROR(M145/MEDIAN(INDEX($M$5:$M$373,MATCH($A145-90,$A$5:$A$373,1)):INDEX($M$5:$M$373,MATCH($A145+90,$A$5:$A$373,1))),"")</f>
        <v>0.743553114820545</v>
      </c>
      <c r="T145" s="11" t="n">
        <f aca="false">IFERROR(N145/MEDIAN(INDEX($N$5:$N$373,MATCH($A145-90,$A$5:$A$373,1)):INDEX($N$5:$N$373,MATCH($A145+90,$A$5:$A$373,1))),"")</f>
        <v>0.997260273972603</v>
      </c>
      <c r="U145" s="11" t="n">
        <f aca="false">IFERROR(Q145/MEDIAN(INDEX($Q$5:$Q$373,MATCH($A145-90,$A$5:$A$373,1)):INDEX($Q$5:$Q$373,MATCH($A145+90,$A$5:$A$373,1))),"")</f>
        <v>0.260454002389486</v>
      </c>
    </row>
    <row r="146" customFormat="false" ht="15" hidden="false" customHeight="false" outlineLevel="0" collapsed="false">
      <c r="A146" s="13" t="n">
        <v>45599.6442010532</v>
      </c>
      <c r="B146" s="8" t="n">
        <v>15</v>
      </c>
      <c r="C146" s="8" t="s">
        <v>86</v>
      </c>
      <c r="D146" s="8" t="s">
        <v>1356</v>
      </c>
      <c r="E146" s="14" t="s">
        <v>66</v>
      </c>
      <c r="F146" s="9" t="n">
        <v>4524</v>
      </c>
      <c r="G146" s="9" t="n">
        <v>212</v>
      </c>
      <c r="H146" s="9" t="n">
        <v>212</v>
      </c>
      <c r="I146" s="9" t="n">
        <v>112</v>
      </c>
      <c r="J146" s="9" t="n">
        <v>48</v>
      </c>
      <c r="K146" s="9" t="n">
        <v>14</v>
      </c>
      <c r="L146" s="9" t="n">
        <v>4</v>
      </c>
      <c r="M146" s="10" t="n">
        <f aca="false">IFERROR(G146/F146,"")</f>
        <v>0.0468611847922193</v>
      </c>
      <c r="N146" s="10" t="n">
        <f aca="false">IFERROR(H146/G146,"")</f>
        <v>1</v>
      </c>
      <c r="O146" s="11" t="n">
        <f aca="false">IFERROR(I146/H146,"")</f>
        <v>0.528301886792453</v>
      </c>
      <c r="P146" s="10" t="n">
        <f aca="false">IFERROR(J146/H146,"")</f>
        <v>0.226415094339623</v>
      </c>
      <c r="Q146" s="10" t="n">
        <f aca="false">IFERROR(K146/H146,"")</f>
        <v>0.0660377358490566</v>
      </c>
      <c r="R146" s="10" t="n">
        <f aca="false">IFERROR(L146/H146,"")</f>
        <v>0.0188679245283019</v>
      </c>
      <c r="S146" s="11" t="n">
        <f aca="false">IFERROR(M146/MEDIAN(INDEX($M$5:$M$373,MATCH($A146-90,$A$5:$A$373,1)):INDEX($M$5:$M$373,MATCH($A146+90,$A$5:$A$373,1))),"")</f>
        <v>0.945003020131662</v>
      </c>
      <c r="T146" s="11" t="n">
        <f aca="false">IFERROR(N146/MEDIAN(INDEX($N$5:$N$373,MATCH($A146-90,$A$5:$A$373,1)):INDEX($N$5:$N$373,MATCH($A146+90,$A$5:$A$373,1))),"")</f>
        <v>1.0027397260274</v>
      </c>
      <c r="U146" s="11" t="n">
        <f aca="false">IFERROR(Q146/MEDIAN(INDEX($Q$5:$Q$373,MATCH($A146-90,$A$5:$A$373,1)):INDEX($Q$5:$Q$373,MATCH($A146+90,$A$5:$A$373,1))),"")</f>
        <v>1.50058892815077</v>
      </c>
    </row>
    <row r="147" customFormat="false" ht="15" hidden="false" customHeight="false" outlineLevel="0" collapsed="false">
      <c r="A147" s="13" t="n">
        <v>45775.2505863773</v>
      </c>
      <c r="B147" s="8" t="n">
        <v>6</v>
      </c>
      <c r="C147" s="8" t="s">
        <v>80</v>
      </c>
      <c r="D147" s="8" t="s">
        <v>1357</v>
      </c>
      <c r="E147" s="14" t="s">
        <v>66</v>
      </c>
      <c r="F147" s="9" t="n">
        <v>4250</v>
      </c>
      <c r="G147" s="9" t="n">
        <v>363</v>
      </c>
      <c r="H147" s="9" t="n">
        <v>360</v>
      </c>
      <c r="I147" s="9" t="n">
        <v>239</v>
      </c>
      <c r="J147" s="9" t="n">
        <v>25</v>
      </c>
      <c r="K147" s="9" t="n">
        <v>3</v>
      </c>
      <c r="L147" s="9" t="n">
        <v>1</v>
      </c>
      <c r="M147" s="10" t="n">
        <f aca="false">IFERROR(G147/F147,"")</f>
        <v>0.0854117647058824</v>
      </c>
      <c r="N147" s="10" t="n">
        <f aca="false">IFERROR(H147/G147,"")</f>
        <v>0.991735537190083</v>
      </c>
      <c r="O147" s="11" t="n">
        <f aca="false">IFERROR(I147/H147,"")</f>
        <v>0.663888888888889</v>
      </c>
      <c r="P147" s="10" t="n">
        <f aca="false">IFERROR(J147/H147,"")</f>
        <v>0.0694444444444445</v>
      </c>
      <c r="Q147" s="10" t="n">
        <f aca="false">IFERROR(K147/H147,"")</f>
        <v>0.00833333333333333</v>
      </c>
      <c r="R147" s="10" t="n">
        <f aca="false">IFERROR(L147/H147,"")</f>
        <v>0.00277777777777778</v>
      </c>
      <c r="S147" s="11" t="n">
        <f aca="false">IFERROR(M147/MEDIAN(INDEX($M$5:$M$373,MATCH($A147-90,$A$5:$A$373,1)):INDEX($M$5:$M$373,MATCH($A147+90,$A$5:$A$373,1))),"")</f>
        <v>1.7813225424398</v>
      </c>
      <c r="T147" s="11" t="n">
        <f aca="false">IFERROR(N147/MEDIAN(INDEX($N$5:$N$373,MATCH($A147-90,$A$5:$A$373,1)):INDEX($N$5:$N$373,MATCH($A147+90,$A$5:$A$373,1))),"")</f>
        <v>1.01127712412979</v>
      </c>
      <c r="U147" s="11" t="n">
        <f aca="false">IFERROR(Q147/MEDIAN(INDEX($Q$5:$Q$373,MATCH($A147-90,$A$5:$A$373,1)):INDEX($Q$5:$Q$373,MATCH($A147+90,$A$5:$A$373,1))),"")</f>
        <v>0.417361111111111</v>
      </c>
    </row>
    <row r="148" customFormat="false" ht="15" hidden="false" customHeight="false" outlineLevel="0" collapsed="false">
      <c r="A148" s="13" t="n">
        <v>45776.2443969097</v>
      </c>
      <c r="B148" s="8" t="n">
        <v>5</v>
      </c>
      <c r="C148" s="8" t="s">
        <v>64</v>
      </c>
      <c r="D148" s="8" t="s">
        <v>1358</v>
      </c>
      <c r="E148" s="14" t="s">
        <v>66</v>
      </c>
      <c r="F148" s="9" t="n">
        <v>4019</v>
      </c>
      <c r="G148" s="9" t="n">
        <v>270</v>
      </c>
      <c r="H148" s="9" t="n">
        <v>263</v>
      </c>
      <c r="I148" s="9" t="n">
        <v>146</v>
      </c>
      <c r="J148" s="9" t="n">
        <v>47</v>
      </c>
      <c r="K148" s="9" t="n">
        <v>2</v>
      </c>
      <c r="L148" s="9" t="n">
        <v>0</v>
      </c>
      <c r="M148" s="10" t="n">
        <f aca="false">IFERROR(G148/F148,"")</f>
        <v>0.067180890768848</v>
      </c>
      <c r="N148" s="10" t="n">
        <f aca="false">IFERROR(H148/G148,"")</f>
        <v>0.974074074074074</v>
      </c>
      <c r="O148" s="11" t="n">
        <f aca="false">IFERROR(I148/H148,"")</f>
        <v>0.555133079847909</v>
      </c>
      <c r="P148" s="10" t="n">
        <f aca="false">IFERROR(J148/H148,"")</f>
        <v>0.178707224334601</v>
      </c>
      <c r="Q148" s="10" t="n">
        <f aca="false">IFERROR(K148/H148,"")</f>
        <v>0.00760456273764259</v>
      </c>
      <c r="R148" s="10" t="n">
        <f aca="false">IFERROR(L148/H148,"")</f>
        <v>0</v>
      </c>
      <c r="S148" s="11" t="n">
        <f aca="false">IFERROR(M148/MEDIAN(INDEX($M$5:$M$373,MATCH($A148-90,$A$5:$A$373,1)):INDEX($M$5:$M$373,MATCH($A148+90,$A$5:$A$373,1))),"")</f>
        <v>1.37455480381054</v>
      </c>
      <c r="T148" s="11" t="n">
        <f aca="false">IFERROR(N148/MEDIAN(INDEX($N$5:$N$373,MATCH($A148-90,$A$5:$A$373,1)):INDEX($N$5:$N$373,MATCH($A148+90,$A$5:$A$373,1))),"")</f>
        <v>0.993411582862387</v>
      </c>
      <c r="U148" s="11" t="n">
        <f aca="false">IFERROR(Q148/MEDIAN(INDEX($Q$5:$Q$373,MATCH($A148-90,$A$5:$A$373,1)):INDEX($Q$5:$Q$373,MATCH($A148+90,$A$5:$A$373,1))),"")</f>
        <v>0.380544729835403</v>
      </c>
    </row>
    <row r="149" customFormat="false" ht="15" hidden="false" customHeight="false" outlineLevel="0" collapsed="false">
      <c r="A149" s="13" t="n">
        <v>45777.3308934838</v>
      </c>
      <c r="B149" s="8" t="n">
        <v>7</v>
      </c>
      <c r="C149" s="8" t="s">
        <v>71</v>
      </c>
      <c r="D149" s="8" t="s">
        <v>1359</v>
      </c>
      <c r="E149" s="14" t="s">
        <v>66</v>
      </c>
      <c r="F149" s="9" t="n">
        <v>3969</v>
      </c>
      <c r="G149" s="9" t="n">
        <v>160</v>
      </c>
      <c r="H149" s="9" t="n">
        <v>154</v>
      </c>
      <c r="I149" s="9" t="n">
        <v>77</v>
      </c>
      <c r="J149" s="9" t="n">
        <v>37</v>
      </c>
      <c r="K149" s="9" t="n">
        <v>1</v>
      </c>
      <c r="L149" s="9" t="n">
        <v>0</v>
      </c>
      <c r="M149" s="10" t="n">
        <f aca="false">IFERROR(G149/F149,"")</f>
        <v>0.0403124212648022</v>
      </c>
      <c r="N149" s="10" t="n">
        <f aca="false">IFERROR(H149/G149,"")</f>
        <v>0.9625</v>
      </c>
      <c r="O149" s="11" t="n">
        <f aca="false">IFERROR(I149/H149,"")</f>
        <v>0.5</v>
      </c>
      <c r="P149" s="10" t="n">
        <f aca="false">IFERROR(J149/H149,"")</f>
        <v>0.24025974025974</v>
      </c>
      <c r="Q149" s="10" t="n">
        <f aca="false">IFERROR(K149/H149,"")</f>
        <v>0.00649350649350649</v>
      </c>
      <c r="R149" s="10" t="n">
        <f aca="false">IFERROR(L149/H149,"")</f>
        <v>0</v>
      </c>
      <c r="S149" s="11" t="n">
        <f aca="false">IFERROR(M149/MEDIAN(INDEX($M$5:$M$373,MATCH($A149-90,$A$5:$A$373,1)):INDEX($M$5:$M$373,MATCH($A149+90,$A$5:$A$373,1))),"")</f>
        <v>0.809473418997229</v>
      </c>
      <c r="T149" s="11" t="n">
        <f aca="false">IFERROR(N149/MEDIAN(INDEX($N$5:$N$373,MATCH($A149-90,$A$5:$A$373,1)):INDEX($N$5:$N$373,MATCH($A149+90,$A$5:$A$373,1))),"")</f>
        <v>0.98175</v>
      </c>
      <c r="U149" s="11" t="n">
        <f aca="false">IFERROR(Q149/MEDIAN(INDEX($Q$5:$Q$373,MATCH($A149-90,$A$5:$A$373,1)):INDEX($Q$5:$Q$373,MATCH($A149+90,$A$5:$A$373,1))),"")</f>
        <v>0.32521645021645</v>
      </c>
    </row>
    <row r="150" customFormat="false" ht="15" hidden="false" customHeight="false" outlineLevel="0" collapsed="false">
      <c r="A150" s="13" t="n">
        <v>45778.2446357639</v>
      </c>
      <c r="B150" s="8" t="n">
        <v>5</v>
      </c>
      <c r="C150" s="8" t="s">
        <v>73</v>
      </c>
      <c r="D150" s="8" t="s">
        <v>1360</v>
      </c>
      <c r="E150" s="14" t="s">
        <v>66</v>
      </c>
      <c r="F150" s="9" t="n">
        <v>3724</v>
      </c>
      <c r="G150" s="9" t="n">
        <v>108</v>
      </c>
      <c r="H150" s="9" t="n">
        <v>105</v>
      </c>
      <c r="I150" s="9" t="n">
        <v>67</v>
      </c>
      <c r="J150" s="9" t="n">
        <v>27</v>
      </c>
      <c r="K150" s="9" t="n">
        <v>2</v>
      </c>
      <c r="L150" s="9" t="n">
        <v>2</v>
      </c>
      <c r="M150" s="10" t="n">
        <f aca="false">IFERROR(G150/F150,"")</f>
        <v>0.0290010741138561</v>
      </c>
      <c r="N150" s="10" t="n">
        <f aca="false">IFERROR(H150/G150,"")</f>
        <v>0.972222222222222</v>
      </c>
      <c r="O150" s="11" t="n">
        <f aca="false">IFERROR(I150/H150,"")</f>
        <v>0.638095238095238</v>
      </c>
      <c r="P150" s="10" t="n">
        <f aca="false">IFERROR(J150/H150,"")</f>
        <v>0.257142857142857</v>
      </c>
      <c r="Q150" s="10" t="n">
        <f aca="false">IFERROR(K150/H150,"")</f>
        <v>0.0190476190476191</v>
      </c>
      <c r="R150" s="10" t="n">
        <f aca="false">IFERROR(L150/H150,"")</f>
        <v>0.0190476190476191</v>
      </c>
      <c r="S150" s="11" t="n">
        <f aca="false">IFERROR(M150/MEDIAN(INDEX($M$5:$M$373,MATCH($A150-90,$A$5:$A$373,1)):INDEX($M$5:$M$373,MATCH($A150+90,$A$5:$A$373,1))),"")</f>
        <v>0.582277114241846</v>
      </c>
      <c r="T150" s="11" t="n">
        <f aca="false">IFERROR(N150/MEDIAN(INDEX($N$5:$N$373,MATCH($A150-90,$A$5:$A$373,1)):INDEX($N$5:$N$373,MATCH($A150+90,$A$5:$A$373,1))),"")</f>
        <v>0.991522967685843</v>
      </c>
      <c r="U150" s="11" t="n">
        <f aca="false">IFERROR(Q150/MEDIAN(INDEX($Q$5:$Q$373,MATCH($A150-90,$A$5:$A$373,1)):INDEX($Q$5:$Q$373,MATCH($A150+90,$A$5:$A$373,1))),"")</f>
        <v>0.953173942349629</v>
      </c>
    </row>
    <row r="151" customFormat="false" ht="15" hidden="false" customHeight="false" outlineLevel="0" collapsed="false">
      <c r="A151" s="13" t="n">
        <v>45779.2553399537</v>
      </c>
      <c r="B151" s="8" t="n">
        <v>6</v>
      </c>
      <c r="C151" s="8" t="s">
        <v>84</v>
      </c>
      <c r="D151" s="8" t="s">
        <v>1361</v>
      </c>
      <c r="E151" s="14" t="s">
        <v>66</v>
      </c>
      <c r="F151" s="9" t="n">
        <v>3950</v>
      </c>
      <c r="G151" s="9" t="n">
        <v>99</v>
      </c>
      <c r="H151" s="9" t="n">
        <v>93</v>
      </c>
      <c r="I151" s="9" t="n">
        <v>59</v>
      </c>
      <c r="J151" s="9" t="n">
        <v>26</v>
      </c>
      <c r="K151" s="9" t="n">
        <v>3</v>
      </c>
      <c r="L151" s="9" t="n">
        <v>0</v>
      </c>
      <c r="M151" s="10" t="n">
        <f aca="false">IFERROR(G151/F151,"")</f>
        <v>0.0250632911392405</v>
      </c>
      <c r="N151" s="10" t="n">
        <f aca="false">IFERROR(H151/G151,"")</f>
        <v>0.939393939393939</v>
      </c>
      <c r="O151" s="11" t="n">
        <f aca="false">IFERROR(I151/H151,"")</f>
        <v>0.634408602150538</v>
      </c>
      <c r="P151" s="10" t="n">
        <f aca="false">IFERROR(J151/H151,"")</f>
        <v>0.279569892473118</v>
      </c>
      <c r="Q151" s="10" t="n">
        <f aca="false">IFERROR(K151/H151,"")</f>
        <v>0.032258064516129</v>
      </c>
      <c r="R151" s="10" t="n">
        <f aca="false">IFERROR(L151/H151,"")</f>
        <v>0</v>
      </c>
      <c r="S151" s="11" t="n">
        <f aca="false">IFERROR(M151/MEDIAN(INDEX($M$5:$M$373,MATCH($A151-90,$A$5:$A$373,1)):INDEX($M$5:$M$373,MATCH($A151+90,$A$5:$A$373,1))),"")</f>
        <v>0.503215183708924</v>
      </c>
      <c r="T151" s="11" t="n">
        <f aca="false">IFERROR(N151/MEDIAN(INDEX($N$5:$N$373,MATCH($A151-90,$A$5:$A$373,1)):INDEX($N$5:$N$373,MATCH($A151+90,$A$5:$A$373,1))),"")</f>
        <v>0.958042971374373</v>
      </c>
      <c r="U151" s="11" t="n">
        <f aca="false">IFERROR(Q151/MEDIAN(INDEX($Q$5:$Q$373,MATCH($A151-90,$A$5:$A$373,1)):INDEX($Q$5:$Q$373,MATCH($A151+90,$A$5:$A$373,1))),"")</f>
        <v>1.61424619268889</v>
      </c>
    </row>
    <row r="152" customFormat="false" ht="15" hidden="false" customHeight="false" outlineLevel="0" collapsed="false">
      <c r="A152" s="13" t="n">
        <v>45780.2487901273</v>
      </c>
      <c r="B152" s="8" t="n">
        <v>5</v>
      </c>
      <c r="C152" s="8" t="s">
        <v>68</v>
      </c>
      <c r="D152" s="8" t="s">
        <v>1362</v>
      </c>
      <c r="E152" s="14" t="s">
        <v>66</v>
      </c>
      <c r="F152" s="9" t="n">
        <v>3800</v>
      </c>
      <c r="G152" s="9" t="n">
        <v>107</v>
      </c>
      <c r="H152" s="9" t="n">
        <v>106</v>
      </c>
      <c r="I152" s="9" t="n">
        <v>88</v>
      </c>
      <c r="J152" s="9" t="n">
        <v>16</v>
      </c>
      <c r="K152" s="9" t="n">
        <v>0</v>
      </c>
      <c r="L152" s="9" t="n">
        <v>2</v>
      </c>
      <c r="M152" s="10" t="n">
        <f aca="false">IFERROR(G152/F152,"")</f>
        <v>0.0281578947368421</v>
      </c>
      <c r="N152" s="10" t="n">
        <f aca="false">IFERROR(H152/G152,"")</f>
        <v>0.990654205607477</v>
      </c>
      <c r="O152" s="11" t="n">
        <f aca="false">IFERROR(I152/H152,"")</f>
        <v>0.830188679245283</v>
      </c>
      <c r="P152" s="10" t="n">
        <f aca="false">IFERROR(J152/H152,"")</f>
        <v>0.150943396226415</v>
      </c>
      <c r="Q152" s="10" t="n">
        <f aca="false">IFERROR(K152/H152,"")</f>
        <v>0</v>
      </c>
      <c r="R152" s="10" t="n">
        <f aca="false">IFERROR(L152/H152,"")</f>
        <v>0.0188679245283019</v>
      </c>
      <c r="S152" s="11" t="n">
        <f aca="false">IFERROR(M152/MEDIAN(INDEX($M$5:$M$373,MATCH($A152-90,$A$5:$A$373,1)):INDEX($M$5:$M$373,MATCH($A152+90,$A$5:$A$373,1))),"")</f>
        <v>0.565285380116959</v>
      </c>
      <c r="T152" s="11" t="n">
        <f aca="false">IFERROR(N152/MEDIAN(INDEX($N$5:$N$373,MATCH($A152-90,$A$5:$A$373,1)):INDEX($N$5:$N$373,MATCH($A152+90,$A$5:$A$373,1))),"")</f>
        <v>1.01017448552092</v>
      </c>
      <c r="U152" s="11" t="n">
        <f aca="false">IFERROR(Q152/MEDIAN(INDEX($Q$5:$Q$373,MATCH($A152-90,$A$5:$A$373,1)):INDEX($Q$5:$Q$373,MATCH($A152+90,$A$5:$A$373,1))),"")</f>
        <v>0</v>
      </c>
    </row>
    <row r="153" customFormat="false" ht="15" hidden="false" customHeight="false" outlineLevel="0" collapsed="false">
      <c r="A153" s="13" t="n">
        <v>45781.1205503935</v>
      </c>
      <c r="B153" s="8" t="n">
        <v>2</v>
      </c>
      <c r="C153" s="8" t="s">
        <v>86</v>
      </c>
      <c r="D153" s="8" t="s">
        <v>1363</v>
      </c>
      <c r="E153" s="14" t="s">
        <v>66</v>
      </c>
      <c r="F153" s="9" t="n">
        <v>4159</v>
      </c>
      <c r="G153" s="9" t="n">
        <v>211</v>
      </c>
      <c r="H153" s="9" t="n">
        <v>206</v>
      </c>
      <c r="I153" s="9" t="n">
        <v>128</v>
      </c>
      <c r="J153" s="9" t="n">
        <v>24</v>
      </c>
      <c r="K153" s="9" t="n">
        <v>6</v>
      </c>
      <c r="L153" s="9" t="n">
        <v>0</v>
      </c>
      <c r="M153" s="10" t="n">
        <f aca="false">IFERROR(G153/F153,"")</f>
        <v>0.0507333493628276</v>
      </c>
      <c r="N153" s="10" t="n">
        <f aca="false">IFERROR(H153/G153,"")</f>
        <v>0.976303317535545</v>
      </c>
      <c r="O153" s="11" t="n">
        <f aca="false">IFERROR(I153/H153,"")</f>
        <v>0.621359223300971</v>
      </c>
      <c r="P153" s="10" t="n">
        <f aca="false">IFERROR(J153/H153,"")</f>
        <v>0.116504854368932</v>
      </c>
      <c r="Q153" s="10" t="n">
        <f aca="false">IFERROR(K153/H153,"")</f>
        <v>0.029126213592233</v>
      </c>
      <c r="R153" s="10" t="n">
        <f aca="false">IFERROR(L153/H153,"")</f>
        <v>0</v>
      </c>
      <c r="S153" s="11" t="n">
        <f aca="false">IFERROR(M153/MEDIAN(INDEX($M$5:$M$373,MATCH($A153-90,$A$5:$A$373,1)):INDEX($M$5:$M$373,MATCH($A153+90,$A$5:$A$373,1))),"")</f>
        <v>1.01850017365285</v>
      </c>
      <c r="T153" s="11" t="n">
        <f aca="false">IFERROR(N153/MEDIAN(INDEX($N$5:$N$373,MATCH($A153-90,$A$5:$A$373,1)):INDEX($N$5:$N$373,MATCH($A153+90,$A$5:$A$373,1))),"")</f>
        <v>0.995540821329349</v>
      </c>
      <c r="U153" s="11" t="n">
        <f aca="false">IFERROR(Q153/MEDIAN(INDEX($Q$5:$Q$373,MATCH($A153-90,$A$5:$A$373,1)):INDEX($Q$5:$Q$373,MATCH($A153+90,$A$5:$A$373,1))),"")</f>
        <v>1.45631067961165</v>
      </c>
    </row>
    <row r="154" customFormat="false" ht="15" hidden="false" customHeight="false" outlineLevel="0" collapsed="false">
      <c r="A154" s="13" t="n">
        <v>45782.2495992361</v>
      </c>
      <c r="B154" s="8" t="n">
        <v>5</v>
      </c>
      <c r="C154" s="8" t="s">
        <v>80</v>
      </c>
      <c r="D154" s="8" t="s">
        <v>1364</v>
      </c>
      <c r="E154" s="14" t="s">
        <v>66</v>
      </c>
      <c r="F154" s="9" t="n">
        <v>4048</v>
      </c>
      <c r="G154" s="9" t="n">
        <v>129</v>
      </c>
      <c r="H154" s="9" t="n">
        <v>128</v>
      </c>
      <c r="I154" s="9" t="n">
        <v>114</v>
      </c>
      <c r="J154" s="9" t="n">
        <v>27</v>
      </c>
      <c r="K154" s="9" t="n">
        <v>2</v>
      </c>
      <c r="L154" s="9" t="n">
        <v>0</v>
      </c>
      <c r="M154" s="10" t="n">
        <f aca="false">IFERROR(G154/F154,"")</f>
        <v>0.0318675889328063</v>
      </c>
      <c r="N154" s="10" t="n">
        <f aca="false">IFERROR(H154/G154,"")</f>
        <v>0.992248062015504</v>
      </c>
      <c r="O154" s="11" t="n">
        <f aca="false">IFERROR(I154/H154,"")</f>
        <v>0.890625</v>
      </c>
      <c r="P154" s="10" t="n">
        <f aca="false">IFERROR(J154/H154,"")</f>
        <v>0.2109375</v>
      </c>
      <c r="Q154" s="10" t="n">
        <f aca="false">IFERROR(K154/H154,"")</f>
        <v>0.015625</v>
      </c>
      <c r="R154" s="10" t="n">
        <f aca="false">IFERROR(L154/H154,"")</f>
        <v>0</v>
      </c>
      <c r="S154" s="11" t="n">
        <f aca="false">IFERROR(M154/MEDIAN(INDEX($M$5:$M$373,MATCH($A154-90,$A$5:$A$373,1)):INDEX($M$5:$M$373,MATCH($A154+90,$A$5:$A$373,1))),"")</f>
        <v>0.639759552042161</v>
      </c>
      <c r="T154" s="11" t="n">
        <f aca="false">IFERROR(N154/MEDIAN(INDEX($N$5:$N$373,MATCH($A154-90,$A$5:$A$373,1)):INDEX($N$5:$N$373,MATCH($A154+90,$A$5:$A$373,1))),"")</f>
        <v>1.01179974796655</v>
      </c>
      <c r="U154" s="11" t="n">
        <f aca="false">IFERROR(Q154/MEDIAN(INDEX($Q$5:$Q$373,MATCH($A154-90,$A$5:$A$373,1)):INDEX($Q$5:$Q$373,MATCH($A154+90,$A$5:$A$373,1))),"")</f>
        <v>0.78125</v>
      </c>
    </row>
    <row r="155" customFormat="false" ht="15" hidden="false" customHeight="false" outlineLevel="0" collapsed="false">
      <c r="A155" s="13" t="n">
        <v>45783.2043744676</v>
      </c>
      <c r="B155" s="8" t="n">
        <v>4</v>
      </c>
      <c r="C155" s="8" t="s">
        <v>64</v>
      </c>
      <c r="D155" s="8" t="s">
        <v>1365</v>
      </c>
      <c r="E155" s="14" t="s">
        <v>66</v>
      </c>
      <c r="F155" s="9" t="n">
        <v>3999</v>
      </c>
      <c r="G155" s="9" t="n">
        <v>97</v>
      </c>
      <c r="H155" s="9" t="n">
        <v>94</v>
      </c>
      <c r="I155" s="9" t="n">
        <v>99</v>
      </c>
      <c r="J155" s="9" t="n">
        <v>11</v>
      </c>
      <c r="K155" s="9" t="n">
        <v>5</v>
      </c>
      <c r="L155" s="9" t="n">
        <v>1</v>
      </c>
      <c r="M155" s="10" t="n">
        <f aca="false">IFERROR(G155/F155,"")</f>
        <v>0.024256064016004</v>
      </c>
      <c r="N155" s="10" t="n">
        <f aca="false">IFERROR(H155/G155,"")</f>
        <v>0.969072164948454</v>
      </c>
      <c r="O155" s="11" t="n">
        <f aca="false">IFERROR(I155/H155,"")</f>
        <v>1.0531914893617</v>
      </c>
      <c r="P155" s="10" t="n">
        <f aca="false">IFERROR(J155/H155,"")</f>
        <v>0.117021276595745</v>
      </c>
      <c r="Q155" s="10" t="n">
        <f aca="false">IFERROR(K155/H155,"")</f>
        <v>0.0531914893617021</v>
      </c>
      <c r="R155" s="10" t="n">
        <f aca="false">IFERROR(L155/H155,"")</f>
        <v>0.0106382978723404</v>
      </c>
      <c r="S155" s="11" t="n">
        <f aca="false">IFERROR(M155/MEDIAN(INDEX($M$5:$M$373,MATCH($A155-90,$A$5:$A$373,1)):INDEX($M$5:$M$373,MATCH($A155+90,$A$5:$A$373,1))),"")</f>
        <v>0.482490878196127</v>
      </c>
      <c r="T155" s="11" t="n">
        <f aca="false">IFERROR(N155/MEDIAN(INDEX($N$5:$N$373,MATCH($A155-90,$A$5:$A$373,1)):INDEX($N$5:$N$373,MATCH($A155+90,$A$5:$A$373,1))),"")</f>
        <v>0.987819603946753</v>
      </c>
      <c r="U155" s="11" t="n">
        <f aca="false">IFERROR(Q155/MEDIAN(INDEX($Q$5:$Q$373,MATCH($A155-90,$A$5:$A$373,1)):INDEX($Q$5:$Q$373,MATCH($A155+90,$A$5:$A$373,1))),"")</f>
        <v>2.65290886791447</v>
      </c>
    </row>
    <row r="156" customFormat="false" ht="15" hidden="false" customHeight="false" outlineLevel="0" collapsed="false">
      <c r="A156" s="13" t="n">
        <v>45784.2094272454</v>
      </c>
      <c r="B156" s="8" t="n">
        <v>5</v>
      </c>
      <c r="C156" s="8" t="s">
        <v>71</v>
      </c>
      <c r="D156" s="8" t="s">
        <v>1366</v>
      </c>
      <c r="E156" s="14" t="s">
        <v>66</v>
      </c>
      <c r="F156" s="9" t="n">
        <v>3991</v>
      </c>
      <c r="G156" s="9" t="n">
        <v>73</v>
      </c>
      <c r="H156" s="9" t="n">
        <v>74</v>
      </c>
      <c r="I156" s="9" t="n">
        <v>51</v>
      </c>
      <c r="J156" s="9" t="n">
        <v>11</v>
      </c>
      <c r="K156" s="9" t="n">
        <v>5</v>
      </c>
      <c r="L156" s="9" t="n">
        <v>1</v>
      </c>
      <c r="M156" s="10" t="n">
        <f aca="false">IFERROR(G156/F156,"")</f>
        <v>0.0182911550989727</v>
      </c>
      <c r="N156" s="10" t="n">
        <f aca="false">IFERROR(H156/G156,"")</f>
        <v>1.01369863013699</v>
      </c>
      <c r="O156" s="11" t="n">
        <f aca="false">IFERROR(I156/H156,"")</f>
        <v>0.689189189189189</v>
      </c>
      <c r="P156" s="10" t="n">
        <f aca="false">IFERROR(J156/H156,"")</f>
        <v>0.148648648648649</v>
      </c>
      <c r="Q156" s="10" t="n">
        <f aca="false">IFERROR(K156/H156,"")</f>
        <v>0.0675675675675676</v>
      </c>
      <c r="R156" s="10" t="n">
        <f aca="false">IFERROR(L156/H156,"")</f>
        <v>0.0135135135135135</v>
      </c>
      <c r="S156" s="11" t="n">
        <f aca="false">IFERROR(M156/MEDIAN(INDEX($M$5:$M$373,MATCH($A156-90,$A$5:$A$373,1)):INDEX($M$5:$M$373,MATCH($A156+90,$A$5:$A$373,1))),"")</f>
        <v>0.363839552909409</v>
      </c>
      <c r="T156" s="11" t="n">
        <f aca="false">IFERROR(N156/MEDIAN(INDEX($N$5:$N$373,MATCH($A156-90,$A$5:$A$373,1)):INDEX($N$5:$N$373,MATCH($A156+90,$A$5:$A$373,1))),"")</f>
        <v>1.03330940208828</v>
      </c>
      <c r="U156" s="11" t="n">
        <f aca="false">IFERROR(Q156/MEDIAN(INDEX($Q$5:$Q$373,MATCH($A156-90,$A$5:$A$373,1)):INDEX($Q$5:$Q$373,MATCH($A156+90,$A$5:$A$373,1))),"")</f>
        <v>3.36991126464811</v>
      </c>
    </row>
    <row r="157" customFormat="false" ht="15" hidden="false" customHeight="false" outlineLevel="0" collapsed="false">
      <c r="A157" s="13" t="n">
        <v>45785.1216041319</v>
      </c>
      <c r="B157" s="8" t="n">
        <v>2</v>
      </c>
      <c r="C157" s="8" t="s">
        <v>73</v>
      </c>
      <c r="D157" s="8" t="s">
        <v>1367</v>
      </c>
      <c r="E157" s="14" t="s">
        <v>66</v>
      </c>
      <c r="F157" s="9" t="n">
        <v>4008</v>
      </c>
      <c r="G157" s="9" t="n">
        <v>113</v>
      </c>
      <c r="H157" s="9" t="n">
        <v>111</v>
      </c>
      <c r="I157" s="9" t="n">
        <v>98</v>
      </c>
      <c r="J157" s="9" t="n">
        <v>22</v>
      </c>
      <c r="K157" s="9" t="n">
        <v>3</v>
      </c>
      <c r="L157" s="9" t="n">
        <v>1</v>
      </c>
      <c r="M157" s="10" t="n">
        <f aca="false">IFERROR(G157/F157,"")</f>
        <v>0.0281936127744511</v>
      </c>
      <c r="N157" s="10" t="n">
        <f aca="false">IFERROR(H157/G157,"")</f>
        <v>0.982300884955752</v>
      </c>
      <c r="O157" s="11" t="n">
        <f aca="false">IFERROR(I157/H157,"")</f>
        <v>0.882882882882883</v>
      </c>
      <c r="P157" s="10" t="n">
        <f aca="false">IFERROR(J157/H157,"")</f>
        <v>0.198198198198198</v>
      </c>
      <c r="Q157" s="10" t="n">
        <f aca="false">IFERROR(K157/H157,"")</f>
        <v>0.027027027027027</v>
      </c>
      <c r="R157" s="10" t="n">
        <f aca="false">IFERROR(L157/H157,"")</f>
        <v>0.00900900900900901</v>
      </c>
      <c r="S157" s="11" t="n">
        <f aca="false">IFERROR(M157/MEDIAN(INDEX($M$5:$M$373,MATCH($A157-90,$A$5:$A$373,1)):INDEX($M$5:$M$373,MATCH($A157+90,$A$5:$A$373,1))),"")</f>
        <v>0.55572149539783</v>
      </c>
      <c r="T157" s="11" t="n">
        <f aca="false">IFERROR(N157/MEDIAN(INDEX($N$5:$N$373,MATCH($A157-90,$A$5:$A$373,1)):INDEX($N$5:$N$373,MATCH($A157+90,$A$5:$A$373,1))),"")</f>
        <v>1.00095216758149</v>
      </c>
      <c r="U157" s="11" t="n">
        <f aca="false">IFERROR(Q157/MEDIAN(INDEX($Q$5:$Q$373,MATCH($A157-90,$A$5:$A$373,1)):INDEX($Q$5:$Q$373,MATCH($A157+90,$A$5:$A$373,1))),"")</f>
        <v>1.34459459459459</v>
      </c>
    </row>
    <row r="158" customFormat="false" ht="15" hidden="false" customHeight="false" outlineLevel="0" collapsed="false">
      <c r="A158" s="13" t="n">
        <v>45786.1268944329</v>
      </c>
      <c r="B158" s="8" t="n">
        <v>3</v>
      </c>
      <c r="C158" s="8" t="s">
        <v>84</v>
      </c>
      <c r="D158" s="8" t="s">
        <v>1368</v>
      </c>
      <c r="E158" s="14" t="s">
        <v>66</v>
      </c>
      <c r="F158" s="9" t="n">
        <v>4107</v>
      </c>
      <c r="G158" s="9" t="n">
        <v>91</v>
      </c>
      <c r="H158" s="9" t="n">
        <v>85</v>
      </c>
      <c r="I158" s="9" t="n">
        <v>76</v>
      </c>
      <c r="J158" s="9" t="n">
        <v>14</v>
      </c>
      <c r="K158" s="9" t="n">
        <v>1</v>
      </c>
      <c r="L158" s="9" t="n">
        <v>0</v>
      </c>
      <c r="M158" s="10" t="n">
        <f aca="false">IFERROR(G158/F158,"")</f>
        <v>0.0221572924275627</v>
      </c>
      <c r="N158" s="10" t="n">
        <f aca="false">IFERROR(H158/G158,"")</f>
        <v>0.934065934065934</v>
      </c>
      <c r="O158" s="11" t="n">
        <f aca="false">IFERROR(I158/H158,"")</f>
        <v>0.894117647058824</v>
      </c>
      <c r="P158" s="10" t="n">
        <f aca="false">IFERROR(J158/H158,"")</f>
        <v>0.164705882352941</v>
      </c>
      <c r="Q158" s="10" t="n">
        <f aca="false">IFERROR(K158/H158,"")</f>
        <v>0.0117647058823529</v>
      </c>
      <c r="R158" s="10" t="n">
        <f aca="false">IFERROR(L158/H158,"")</f>
        <v>0</v>
      </c>
      <c r="S158" s="11" t="n">
        <f aca="false">IFERROR(M158/MEDIAN(INDEX($M$5:$M$373,MATCH($A158-90,$A$5:$A$373,1)):INDEX($M$5:$M$373,MATCH($A158+90,$A$5:$A$373,1))),"")</f>
        <v>0.436740185811532</v>
      </c>
      <c r="T158" s="11" t="n">
        <f aca="false">IFERROR(N158/MEDIAN(INDEX($N$5:$N$373,MATCH($A158-90,$A$5:$A$373,1)):INDEX($N$5:$N$373,MATCH($A158+90,$A$5:$A$373,1))),"")</f>
        <v>0.951801363193768</v>
      </c>
      <c r="U158" s="11" t="n">
        <f aca="false">IFERROR(Q158/MEDIAN(INDEX($Q$5:$Q$373,MATCH($A158-90,$A$5:$A$373,1)):INDEX($Q$5:$Q$373,MATCH($A158+90,$A$5:$A$373,1))),"")</f>
        <v>0.585294117647059</v>
      </c>
    </row>
    <row r="159" customFormat="false" ht="15" hidden="false" customHeight="false" outlineLevel="0" collapsed="false">
      <c r="A159" s="13" t="n">
        <v>45787.1293209259</v>
      </c>
      <c r="B159" s="8" t="n">
        <v>3</v>
      </c>
      <c r="C159" s="8" t="s">
        <v>68</v>
      </c>
      <c r="D159" s="8" t="s">
        <v>1369</v>
      </c>
      <c r="E159" s="14" t="s">
        <v>66</v>
      </c>
      <c r="F159" s="9" t="n">
        <v>4518</v>
      </c>
      <c r="G159" s="9" t="n">
        <v>133</v>
      </c>
      <c r="H159" s="9" t="n">
        <v>129</v>
      </c>
      <c r="I159" s="9" t="n">
        <v>71</v>
      </c>
      <c r="J159" s="9" t="n">
        <v>18</v>
      </c>
      <c r="K159" s="9" t="n">
        <v>2</v>
      </c>
      <c r="L159" s="9" t="n">
        <v>0</v>
      </c>
      <c r="M159" s="10" t="n">
        <f aca="false">IFERROR(G159/F159,"")</f>
        <v>0.0294378043382027</v>
      </c>
      <c r="N159" s="10" t="n">
        <f aca="false">IFERROR(H159/G159,"")</f>
        <v>0.969924812030075</v>
      </c>
      <c r="O159" s="11" t="n">
        <f aca="false">IFERROR(I159/H159,"")</f>
        <v>0.550387596899225</v>
      </c>
      <c r="P159" s="10" t="n">
        <f aca="false">IFERROR(J159/H159,"")</f>
        <v>0.13953488372093</v>
      </c>
      <c r="Q159" s="10" t="n">
        <f aca="false">IFERROR(K159/H159,"")</f>
        <v>0.0155038759689922</v>
      </c>
      <c r="R159" s="10" t="n">
        <f aca="false">IFERROR(L159/H159,"")</f>
        <v>0</v>
      </c>
      <c r="S159" s="11" t="n">
        <f aca="false">IFERROR(M159/MEDIAN(INDEX($M$5:$M$373,MATCH($A159-90,$A$5:$A$373,1)):INDEX($M$5:$M$373,MATCH($A159+90,$A$5:$A$373,1))),"")</f>
        <v>0.56861800329347</v>
      </c>
      <c r="T159" s="11" t="n">
        <f aca="false">IFERROR(N159/MEDIAN(INDEX($N$5:$N$373,MATCH($A159-90,$A$5:$A$373,1)):INDEX($N$5:$N$373,MATCH($A159+90,$A$5:$A$373,1))),"")</f>
        <v>0.988218890585717</v>
      </c>
      <c r="U159" s="11" t="n">
        <f aca="false">IFERROR(Q159/MEDIAN(INDEX($Q$5:$Q$373,MATCH($A159-90,$A$5:$A$373,1)):INDEX($Q$5:$Q$373,MATCH($A159+90,$A$5:$A$373,1))),"")</f>
        <v>0.773250956849488</v>
      </c>
    </row>
    <row r="160" customFormat="false" ht="15" hidden="false" customHeight="false" outlineLevel="0" collapsed="false">
      <c r="A160" s="13" t="n">
        <v>45788.5114898611</v>
      </c>
      <c r="B160" s="8" t="n">
        <v>12</v>
      </c>
      <c r="C160" s="8" t="s">
        <v>86</v>
      </c>
      <c r="D160" s="8" t="s">
        <v>1370</v>
      </c>
      <c r="E160" s="14" t="s">
        <v>66</v>
      </c>
      <c r="F160" s="9" t="n">
        <v>4797</v>
      </c>
      <c r="G160" s="9" t="n">
        <v>140</v>
      </c>
      <c r="H160" s="9" t="n">
        <v>134</v>
      </c>
      <c r="I160" s="9" t="n">
        <v>126</v>
      </c>
      <c r="J160" s="9" t="n">
        <v>25</v>
      </c>
      <c r="K160" s="9" t="n">
        <v>3</v>
      </c>
      <c r="L160" s="9" t="n">
        <v>2</v>
      </c>
      <c r="M160" s="10" t="n">
        <f aca="false">IFERROR(G160/F160,"")</f>
        <v>0.0291849072336877</v>
      </c>
      <c r="N160" s="10" t="n">
        <f aca="false">IFERROR(H160/G160,"")</f>
        <v>0.957142857142857</v>
      </c>
      <c r="O160" s="11" t="n">
        <f aca="false">IFERROR(I160/H160,"")</f>
        <v>0.940298507462687</v>
      </c>
      <c r="P160" s="10" t="n">
        <f aca="false">IFERROR(J160/H160,"")</f>
        <v>0.186567164179105</v>
      </c>
      <c r="Q160" s="10" t="n">
        <f aca="false">IFERROR(K160/H160,"")</f>
        <v>0.0223880597014925</v>
      </c>
      <c r="R160" s="10" t="n">
        <f aca="false">IFERROR(L160/H160,"")</f>
        <v>0.0149253731343284</v>
      </c>
      <c r="S160" s="11" t="n">
        <f aca="false">IFERROR(M160/MEDIAN(INDEX($M$5:$M$373,MATCH($A160-90,$A$5:$A$373,1)):INDEX($M$5:$M$373,MATCH($A160+90,$A$5:$A$373,1))),"")</f>
        <v>0.563733065376364</v>
      </c>
      <c r="T160" s="11" t="n">
        <f aca="false">IFERROR(N160/MEDIAN(INDEX($N$5:$N$373,MATCH($A160-90,$A$5:$A$373,1)):INDEX($N$5:$N$373,MATCH($A160+90,$A$5:$A$373,1))),"")</f>
        <v>0.97519585094234</v>
      </c>
      <c r="U160" s="11" t="n">
        <f aca="false">IFERROR(Q160/MEDIAN(INDEX($Q$5:$Q$373,MATCH($A160-90,$A$5:$A$373,1)):INDEX($Q$5:$Q$373,MATCH($A160+90,$A$5:$A$373,1))),"")</f>
        <v>1.11659746380878</v>
      </c>
    </row>
    <row r="161" customFormat="false" ht="15" hidden="false" customHeight="false" outlineLevel="0" collapsed="false">
      <c r="A161" s="13" t="n">
        <v>45789.1292824653</v>
      </c>
      <c r="B161" s="8" t="n">
        <v>3</v>
      </c>
      <c r="C161" s="8" t="s">
        <v>80</v>
      </c>
      <c r="D161" s="8" t="s">
        <v>1371</v>
      </c>
      <c r="E161" s="14" t="s">
        <v>66</v>
      </c>
      <c r="F161" s="9" t="n">
        <v>4923</v>
      </c>
      <c r="G161" s="9" t="n">
        <v>265</v>
      </c>
      <c r="H161" s="9" t="n">
        <v>262</v>
      </c>
      <c r="I161" s="9" t="n">
        <v>137</v>
      </c>
      <c r="J161" s="9" t="n">
        <v>51</v>
      </c>
      <c r="K161" s="9" t="n">
        <v>32</v>
      </c>
      <c r="L161" s="9" t="n">
        <v>1</v>
      </c>
      <c r="M161" s="10" t="n">
        <f aca="false">IFERROR(G161/F161,"")</f>
        <v>0.053828966077595</v>
      </c>
      <c r="N161" s="10" t="n">
        <f aca="false">IFERROR(H161/G161,"")</f>
        <v>0.988679245283019</v>
      </c>
      <c r="O161" s="11" t="n">
        <f aca="false">IFERROR(I161/H161,"")</f>
        <v>0.522900763358779</v>
      </c>
      <c r="P161" s="10" t="n">
        <f aca="false">IFERROR(J161/H161,"")</f>
        <v>0.194656488549618</v>
      </c>
      <c r="Q161" s="10" t="n">
        <f aca="false">IFERROR(K161/H161,"")</f>
        <v>0.122137404580153</v>
      </c>
      <c r="R161" s="10" t="n">
        <f aca="false">IFERROR(L161/H161,"")</f>
        <v>0.00381679389312977</v>
      </c>
      <c r="S161" s="11" t="n">
        <f aca="false">IFERROR(M161/MEDIAN(INDEX($M$5:$M$373,MATCH($A161-90,$A$5:$A$373,1)):INDEX($M$5:$M$373,MATCH($A161+90,$A$5:$A$373,1))),"")</f>
        <v>1.03975550821474</v>
      </c>
      <c r="T161" s="11" t="n">
        <f aca="false">IFERROR(N161/MEDIAN(INDEX($N$5:$N$373,MATCH($A161-90,$A$5:$A$373,1)):INDEX($N$5:$N$373,MATCH($A161+90,$A$5:$A$373,1))),"")</f>
        <v>1.00732705752084</v>
      </c>
      <c r="U161" s="11" t="n">
        <f aca="false">IFERROR(Q161/MEDIAN(INDEX($Q$5:$Q$373,MATCH($A161-90,$A$5:$A$373,1)):INDEX($Q$5:$Q$373,MATCH($A161+90,$A$5:$A$373,1))),"")</f>
        <v>6.09156478983719</v>
      </c>
    </row>
    <row r="162" customFormat="false" ht="15" hidden="false" customHeight="false" outlineLevel="0" collapsed="false">
      <c r="A162" s="13" t="n">
        <v>45790.8042385995</v>
      </c>
      <c r="B162" s="8" t="n">
        <v>19</v>
      </c>
      <c r="C162" s="8" t="s">
        <v>64</v>
      </c>
      <c r="D162" s="8" t="s">
        <v>1372</v>
      </c>
      <c r="E162" s="14" t="s">
        <v>66</v>
      </c>
      <c r="F162" s="9" t="n">
        <v>5166</v>
      </c>
      <c r="G162" s="9" t="n">
        <v>176</v>
      </c>
      <c r="H162" s="9" t="n">
        <v>177</v>
      </c>
      <c r="I162" s="9" t="n">
        <v>110</v>
      </c>
      <c r="J162" s="9" t="n">
        <v>36</v>
      </c>
      <c r="K162" s="9" t="n">
        <v>1</v>
      </c>
      <c r="L162" s="9" t="n">
        <v>0</v>
      </c>
      <c r="M162" s="10" t="n">
        <f aca="false">IFERROR(G162/F162,"")</f>
        <v>0.0340689121176926</v>
      </c>
      <c r="N162" s="10" t="n">
        <f aca="false">IFERROR(H162/G162,"")</f>
        <v>1.00568181818182</v>
      </c>
      <c r="O162" s="11" t="n">
        <f aca="false">IFERROR(I162/H162,"")</f>
        <v>0.621468926553672</v>
      </c>
      <c r="P162" s="10" t="n">
        <f aca="false">IFERROR(J162/H162,"")</f>
        <v>0.203389830508475</v>
      </c>
      <c r="Q162" s="10" t="n">
        <f aca="false">IFERROR(K162/H162,"")</f>
        <v>0.00564971751412429</v>
      </c>
      <c r="R162" s="10" t="n">
        <f aca="false">IFERROR(L162/H162,"")</f>
        <v>0</v>
      </c>
      <c r="S162" s="11" t="n">
        <f aca="false">IFERROR(M162/MEDIAN(INDEX($M$5:$M$373,MATCH($A162-90,$A$5:$A$373,1)):INDEX($M$5:$M$373,MATCH($A162+90,$A$5:$A$373,1))),"")</f>
        <v>0.671528936007031</v>
      </c>
      <c r="T162" s="11" t="n">
        <f aca="false">IFERROR(N162/MEDIAN(INDEX($N$5:$N$373,MATCH($A162-90,$A$5:$A$373,1)):INDEX($N$5:$N$373,MATCH($A162+90,$A$5:$A$373,1))),"")</f>
        <v>1.0245236321056</v>
      </c>
      <c r="U162" s="11" t="n">
        <f aca="false">IFERROR(Q162/MEDIAN(INDEX($Q$5:$Q$373,MATCH($A162-90,$A$5:$A$373,1)):INDEX($Q$5:$Q$373,MATCH($A162+90,$A$5:$A$373,1))),"")</f>
        <v>0.281073446327684</v>
      </c>
    </row>
    <row r="163" customFormat="false" ht="15" hidden="false" customHeight="false" outlineLevel="0" collapsed="false">
      <c r="A163" s="13" t="n">
        <v>45791.8103286458</v>
      </c>
      <c r="B163" s="8" t="n">
        <v>19</v>
      </c>
      <c r="C163" s="8" t="s">
        <v>71</v>
      </c>
      <c r="D163" s="8" t="s">
        <v>1373</v>
      </c>
      <c r="E163" s="14" t="s">
        <v>66</v>
      </c>
      <c r="F163" s="9" t="n">
        <v>4885</v>
      </c>
      <c r="G163" s="9" t="n">
        <v>80</v>
      </c>
      <c r="H163" s="9" t="n">
        <v>79</v>
      </c>
      <c r="I163" s="9" t="n">
        <v>59</v>
      </c>
      <c r="J163" s="9" t="n">
        <v>20</v>
      </c>
      <c r="K163" s="9" t="n">
        <v>2</v>
      </c>
      <c r="L163" s="9" t="n">
        <v>0</v>
      </c>
      <c r="M163" s="10" t="n">
        <f aca="false">IFERROR(G163/F163,"")</f>
        <v>0.0163766632548618</v>
      </c>
      <c r="N163" s="10" t="n">
        <f aca="false">IFERROR(H163/G163,"")</f>
        <v>0.9875</v>
      </c>
      <c r="O163" s="11" t="n">
        <f aca="false">IFERROR(I163/H163,"")</f>
        <v>0.746835443037975</v>
      </c>
      <c r="P163" s="10" t="n">
        <f aca="false">IFERROR(J163/H163,"")</f>
        <v>0.253164556962025</v>
      </c>
      <c r="Q163" s="10" t="n">
        <f aca="false">IFERROR(K163/H163,"")</f>
        <v>0.0253164556962025</v>
      </c>
      <c r="R163" s="10" t="n">
        <f aca="false">IFERROR(L163/H163,"")</f>
        <v>0</v>
      </c>
      <c r="S163" s="11" t="n">
        <f aca="false">IFERROR(M163/MEDIAN(INDEX($M$5:$M$373,MATCH($A163-90,$A$5:$A$373,1)):INDEX($M$5:$M$373,MATCH($A163+90,$A$5:$A$373,1))),"")</f>
        <v>0.323520292152022</v>
      </c>
      <c r="T163" s="11" t="n">
        <f aca="false">IFERROR(N163/MEDIAN(INDEX($N$5:$N$373,MATCH($A163-90,$A$5:$A$373,1)):INDEX($N$5:$N$373,MATCH($A163+90,$A$5:$A$373,1))),"")</f>
        <v>1.00564685713102</v>
      </c>
      <c r="U163" s="11" t="n">
        <f aca="false">IFERROR(Q163/MEDIAN(INDEX($Q$5:$Q$373,MATCH($A163-90,$A$5:$A$373,1)):INDEX($Q$5:$Q$373,MATCH($A163+90,$A$5:$A$373,1))),"")</f>
        <v>1.24562964233272</v>
      </c>
    </row>
    <row r="164" customFormat="false" ht="15" hidden="false" customHeight="false" outlineLevel="0" collapsed="false">
      <c r="A164" s="13" t="n">
        <v>45792.8046120023</v>
      </c>
      <c r="B164" s="8" t="n">
        <v>19</v>
      </c>
      <c r="C164" s="8" t="s">
        <v>73</v>
      </c>
      <c r="D164" s="8" t="s">
        <v>1374</v>
      </c>
      <c r="E164" s="14" t="s">
        <v>66</v>
      </c>
      <c r="F164" s="9" t="n">
        <v>5072</v>
      </c>
      <c r="G164" s="9" t="n">
        <v>222</v>
      </c>
      <c r="H164" s="9" t="n">
        <v>217</v>
      </c>
      <c r="I164" s="9" t="n">
        <v>201</v>
      </c>
      <c r="J164" s="9" t="n">
        <v>31</v>
      </c>
      <c r="K164" s="9" t="n">
        <v>2</v>
      </c>
      <c r="L164" s="9" t="n">
        <v>0</v>
      </c>
      <c r="M164" s="10" t="n">
        <f aca="false">IFERROR(G164/F164,"")</f>
        <v>0.0437697160883281</v>
      </c>
      <c r="N164" s="10" t="n">
        <f aca="false">IFERROR(H164/G164,"")</f>
        <v>0.977477477477478</v>
      </c>
      <c r="O164" s="11" t="n">
        <f aca="false">IFERROR(I164/H164,"")</f>
        <v>0.926267281105991</v>
      </c>
      <c r="P164" s="10" t="n">
        <f aca="false">IFERROR(J164/H164,"")</f>
        <v>0.142857142857143</v>
      </c>
      <c r="Q164" s="10" t="n">
        <f aca="false">IFERROR(K164/H164,"")</f>
        <v>0.00921658986175115</v>
      </c>
      <c r="R164" s="10" t="n">
        <f aca="false">IFERROR(L164/H164,"")</f>
        <v>0</v>
      </c>
      <c r="S164" s="11" t="n">
        <f aca="false">IFERROR(M164/MEDIAN(INDEX($M$5:$M$373,MATCH($A164-90,$A$5:$A$373,1)):INDEX($M$5:$M$373,MATCH($A164+90,$A$5:$A$373,1))),"")</f>
        <v>0.864668895973244</v>
      </c>
      <c r="T164" s="11" t="n">
        <f aca="false">IFERROR(N164/MEDIAN(INDEX($N$5:$N$373,MATCH($A164-90,$A$5:$A$373,1)):INDEX($N$5:$N$373,MATCH($A164+90,$A$5:$A$373,1))),"")</f>
        <v>0.995440155080082</v>
      </c>
      <c r="U164" s="11" t="n">
        <f aca="false">IFERROR(Q164/MEDIAN(INDEX($Q$5:$Q$373,MATCH($A164-90,$A$5:$A$373,1)):INDEX($Q$5:$Q$373,MATCH($A164+90,$A$5:$A$373,1))),"")</f>
        <v>0.453478072554306</v>
      </c>
    </row>
    <row r="165" customFormat="false" ht="15" hidden="false" customHeight="false" outlineLevel="0" collapsed="false">
      <c r="A165" s="13" t="n">
        <v>45793.810265081</v>
      </c>
      <c r="B165" s="8" t="n">
        <v>19</v>
      </c>
      <c r="C165" s="8" t="s">
        <v>84</v>
      </c>
      <c r="D165" s="8" t="s">
        <v>1375</v>
      </c>
      <c r="E165" s="14" t="s">
        <v>66</v>
      </c>
      <c r="F165" s="9" t="n">
        <v>5326</v>
      </c>
      <c r="G165" s="9" t="n">
        <v>144</v>
      </c>
      <c r="H165" s="9" t="n">
        <v>143</v>
      </c>
      <c r="I165" s="9" t="n">
        <v>110</v>
      </c>
      <c r="J165" s="9" t="n">
        <v>22</v>
      </c>
      <c r="K165" s="9" t="n">
        <v>5</v>
      </c>
      <c r="L165" s="9" t="n">
        <v>0</v>
      </c>
      <c r="M165" s="10" t="n">
        <f aca="false">IFERROR(G165/F165,"")</f>
        <v>0.0270371761171611</v>
      </c>
      <c r="N165" s="10" t="n">
        <f aca="false">IFERROR(H165/G165,"")</f>
        <v>0.993055555555556</v>
      </c>
      <c r="O165" s="11" t="n">
        <f aca="false">IFERROR(I165/H165,"")</f>
        <v>0.769230769230769</v>
      </c>
      <c r="P165" s="10" t="n">
        <f aca="false">IFERROR(J165/H165,"")</f>
        <v>0.153846153846154</v>
      </c>
      <c r="Q165" s="10" t="n">
        <f aca="false">IFERROR(K165/H165,"")</f>
        <v>0.034965034965035</v>
      </c>
      <c r="R165" s="10" t="n">
        <f aca="false">IFERROR(L165/H165,"")</f>
        <v>0</v>
      </c>
      <c r="S165" s="11" t="n">
        <f aca="false">IFERROR(M165/MEDIAN(INDEX($M$5:$M$373,MATCH($A165-90,$A$5:$A$373,1)):INDEX($M$5:$M$373,MATCH($A165+90,$A$5:$A$373,1))),"")</f>
        <v>0.532927087541578</v>
      </c>
      <c r="T165" s="11" t="n">
        <f aca="false">IFERROR(N165/MEDIAN(INDEX($N$5:$N$373,MATCH($A165-90,$A$5:$A$373,1)):INDEX($N$5:$N$373,MATCH($A165+90,$A$5:$A$373,1))),"")</f>
        <v>1.01094844844845</v>
      </c>
      <c r="U165" s="11" t="n">
        <f aca="false">IFERROR(Q165/MEDIAN(INDEX($Q$5:$Q$373,MATCH($A165-90,$A$5:$A$373,1)):INDEX($Q$5:$Q$373,MATCH($A165+90,$A$5:$A$373,1))),"")</f>
        <v>1.7016317016317</v>
      </c>
    </row>
    <row r="166" customFormat="false" ht="15" hidden="false" customHeight="false" outlineLevel="0" collapsed="false">
      <c r="A166" s="13" t="n">
        <v>45794.8106927894</v>
      </c>
      <c r="B166" s="8" t="n">
        <v>19</v>
      </c>
      <c r="C166" s="8" t="s">
        <v>68</v>
      </c>
      <c r="D166" s="8" t="s">
        <v>1376</v>
      </c>
      <c r="E166" s="14" t="s">
        <v>66</v>
      </c>
      <c r="F166" s="9" t="n">
        <v>5814</v>
      </c>
      <c r="G166" s="9" t="n">
        <v>208</v>
      </c>
      <c r="H166" s="9" t="n">
        <v>199</v>
      </c>
      <c r="I166" s="9" t="n">
        <v>128</v>
      </c>
      <c r="J166" s="9" t="n">
        <v>33</v>
      </c>
      <c r="K166" s="9" t="n">
        <v>4</v>
      </c>
      <c r="L166" s="9" t="n">
        <v>2</v>
      </c>
      <c r="M166" s="10" t="n">
        <f aca="false">IFERROR(G166/F166,"")</f>
        <v>0.0357757137942897</v>
      </c>
      <c r="N166" s="10" t="n">
        <f aca="false">IFERROR(H166/G166,"")</f>
        <v>0.956730769230769</v>
      </c>
      <c r="O166" s="11" t="n">
        <f aca="false">IFERROR(I166/H166,"")</f>
        <v>0.64321608040201</v>
      </c>
      <c r="P166" s="10" t="n">
        <f aca="false">IFERROR(J166/H166,"")</f>
        <v>0.165829145728643</v>
      </c>
      <c r="Q166" s="10" t="n">
        <f aca="false">IFERROR(K166/H166,"")</f>
        <v>0.0201005025125628</v>
      </c>
      <c r="R166" s="10" t="n">
        <f aca="false">IFERROR(L166/H166,"")</f>
        <v>0.0100502512562814</v>
      </c>
      <c r="S166" s="11" t="n">
        <f aca="false">IFERROR(M166/MEDIAN(INDEX($M$5:$M$373,MATCH($A166-90,$A$5:$A$373,1)):INDEX($M$5:$M$373,MATCH($A166+90,$A$5:$A$373,1))),"")</f>
        <v>0.705171533983178</v>
      </c>
      <c r="T166" s="11" t="n">
        <f aca="false">IFERROR(N166/MEDIAN(INDEX($N$5:$N$373,MATCH($A166-90,$A$5:$A$373,1)):INDEX($N$5:$N$373,MATCH($A166+90,$A$5:$A$373,1))),"")</f>
        <v>0.973969161469162</v>
      </c>
      <c r="U166" s="11" t="n">
        <f aca="false">IFERROR(Q166/MEDIAN(INDEX($Q$5:$Q$373,MATCH($A166-90,$A$5:$A$373,1)):INDEX($Q$5:$Q$373,MATCH($A166+90,$A$5:$A$373,1))),"")</f>
        <v>0.97822445561139</v>
      </c>
    </row>
    <row r="167" customFormat="false" ht="15" hidden="false" customHeight="false" outlineLevel="0" collapsed="false">
      <c r="A167" s="13" t="n">
        <v>45795.805393507</v>
      </c>
      <c r="B167" s="8" t="n">
        <v>19</v>
      </c>
      <c r="C167" s="8" t="s">
        <v>86</v>
      </c>
      <c r="D167" s="8" t="s">
        <v>1377</v>
      </c>
      <c r="E167" s="14" t="s">
        <v>66</v>
      </c>
      <c r="F167" s="9" t="n">
        <v>5793</v>
      </c>
      <c r="G167" s="9" t="n">
        <v>130</v>
      </c>
      <c r="H167" s="9" t="n">
        <v>125</v>
      </c>
      <c r="I167" s="9" t="n">
        <v>85</v>
      </c>
      <c r="J167" s="9" t="n">
        <v>22</v>
      </c>
      <c r="K167" s="9" t="n">
        <v>1</v>
      </c>
      <c r="L167" s="9" t="n">
        <v>0</v>
      </c>
      <c r="M167" s="10" t="n">
        <f aca="false">IFERROR(G167/F167,"")</f>
        <v>0.0224408769204212</v>
      </c>
      <c r="N167" s="10" t="n">
        <f aca="false">IFERROR(H167/G167,"")</f>
        <v>0.961538461538462</v>
      </c>
      <c r="O167" s="11" t="n">
        <f aca="false">IFERROR(I167/H167,"")</f>
        <v>0.68</v>
      </c>
      <c r="P167" s="10" t="n">
        <f aca="false">IFERROR(J167/H167,"")</f>
        <v>0.176</v>
      </c>
      <c r="Q167" s="10" t="n">
        <f aca="false">IFERROR(K167/H167,"")</f>
        <v>0.008</v>
      </c>
      <c r="R167" s="10" t="n">
        <f aca="false">IFERROR(L167/H167,"")</f>
        <v>0</v>
      </c>
      <c r="S167" s="11" t="n">
        <f aca="false">IFERROR(M167/MEDIAN(INDEX($M$5:$M$373,MATCH($A167-90,$A$5:$A$373,1)):INDEX($M$5:$M$373,MATCH($A167+90,$A$5:$A$373,1))),"")</f>
        <v>0.442329891526217</v>
      </c>
      <c r="T167" s="11" t="n">
        <f aca="false">IFERROR(N167/MEDIAN(INDEX($N$5:$N$373,MATCH($A167-90,$A$5:$A$373,1)):INDEX($N$5:$N$373,MATCH($A167+90,$A$5:$A$373,1))),"")</f>
        <v>0.978863478863479</v>
      </c>
      <c r="U167" s="11" t="n">
        <f aca="false">IFERROR(Q167/MEDIAN(INDEX($Q$5:$Q$373,MATCH($A167-90,$A$5:$A$373,1)):INDEX($Q$5:$Q$373,MATCH($A167+90,$A$5:$A$373,1))),"")</f>
        <v>0.389333333333333</v>
      </c>
    </row>
    <row r="168" customFormat="false" ht="15" hidden="false" customHeight="false" outlineLevel="0" collapsed="false">
      <c r="A168" s="13" t="n">
        <v>45796.8125660764</v>
      </c>
      <c r="B168" s="8" t="n">
        <v>19</v>
      </c>
      <c r="C168" s="8" t="s">
        <v>80</v>
      </c>
      <c r="D168" s="8" t="s">
        <v>1378</v>
      </c>
      <c r="E168" s="14" t="s">
        <v>66</v>
      </c>
      <c r="F168" s="9" t="n">
        <v>6433</v>
      </c>
      <c r="G168" s="9" t="n">
        <v>211</v>
      </c>
      <c r="H168" s="9" t="n">
        <v>198</v>
      </c>
      <c r="I168" s="9" t="n">
        <v>114</v>
      </c>
      <c r="J168" s="9" t="n">
        <v>30</v>
      </c>
      <c r="K168" s="9" t="n">
        <v>5</v>
      </c>
      <c r="L168" s="9" t="n">
        <v>2</v>
      </c>
      <c r="M168" s="10" t="n">
        <f aca="false">IFERROR(G168/F168,"")</f>
        <v>0.0327996269236748</v>
      </c>
      <c r="N168" s="10" t="n">
        <f aca="false">IFERROR(H168/G168,"")</f>
        <v>0.938388625592417</v>
      </c>
      <c r="O168" s="11" t="n">
        <f aca="false">IFERROR(I168/H168,"")</f>
        <v>0.575757575757576</v>
      </c>
      <c r="P168" s="10" t="n">
        <f aca="false">IFERROR(J168/H168,"")</f>
        <v>0.151515151515152</v>
      </c>
      <c r="Q168" s="10" t="n">
        <f aca="false">IFERROR(K168/H168,"")</f>
        <v>0.0252525252525253</v>
      </c>
      <c r="R168" s="10" t="n">
        <f aca="false">IFERROR(L168/H168,"")</f>
        <v>0.0101010101010101</v>
      </c>
      <c r="S168" s="11" t="n">
        <f aca="false">IFERROR(M168/MEDIAN(INDEX($M$5:$M$373,MATCH($A168-90,$A$5:$A$373,1)):INDEX($M$5:$M$373,MATCH($A168+90,$A$5:$A$373,1))),"")</f>
        <v>0.633554668542557</v>
      </c>
      <c r="T168" s="11" t="n">
        <f aca="false">IFERROR(N168/MEDIAN(INDEX($N$5:$N$373,MATCH($A168-90,$A$5:$A$373,1)):INDEX($N$5:$N$373,MATCH($A168+90,$A$5:$A$373,1))),"")</f>
        <v>0.954733893460363</v>
      </c>
      <c r="U168" s="11" t="n">
        <f aca="false">IFERROR(Q168/MEDIAN(INDEX($Q$5:$Q$373,MATCH($A168-90,$A$5:$A$373,1)):INDEX($Q$5:$Q$373,MATCH($A168+90,$A$5:$A$373,1))),"")</f>
        <v>1.24248411293289</v>
      </c>
    </row>
    <row r="169" customFormat="false" ht="15" hidden="false" customHeight="false" outlineLevel="0" collapsed="false">
      <c r="A169" s="13" t="n">
        <v>45797.8058927894</v>
      </c>
      <c r="B169" s="8" t="n">
        <v>19</v>
      </c>
      <c r="C169" s="8" t="s">
        <v>64</v>
      </c>
      <c r="D169" s="8" t="s">
        <v>1379</v>
      </c>
      <c r="E169" s="14" t="s">
        <v>66</v>
      </c>
      <c r="F169" s="9" t="n">
        <v>6390</v>
      </c>
      <c r="G169" s="9" t="n">
        <v>283</v>
      </c>
      <c r="H169" s="9" t="n">
        <v>282</v>
      </c>
      <c r="I169" s="9" t="n">
        <v>212</v>
      </c>
      <c r="J169" s="9" t="n">
        <v>44</v>
      </c>
      <c r="K169" s="9" t="n">
        <v>1</v>
      </c>
      <c r="L169" s="9" t="n">
        <v>2</v>
      </c>
      <c r="M169" s="10" t="n">
        <f aca="false">IFERROR(G169/F169,"")</f>
        <v>0.0442879499217527</v>
      </c>
      <c r="N169" s="10" t="n">
        <f aca="false">IFERROR(H169/G169,"")</f>
        <v>0.996466431095406</v>
      </c>
      <c r="O169" s="11" t="n">
        <f aca="false">IFERROR(I169/H169,"")</f>
        <v>0.75177304964539</v>
      </c>
      <c r="P169" s="10" t="n">
        <f aca="false">IFERROR(J169/H169,"")</f>
        <v>0.156028368794326</v>
      </c>
      <c r="Q169" s="10" t="n">
        <f aca="false">IFERROR(K169/H169,"")</f>
        <v>0.00354609929078014</v>
      </c>
      <c r="R169" s="10" t="n">
        <f aca="false">IFERROR(L169/H169,"")</f>
        <v>0.00709219858156028</v>
      </c>
      <c r="S169" s="11" t="n">
        <f aca="false">IFERROR(M169/MEDIAN(INDEX($M$5:$M$373,MATCH($A169-90,$A$5:$A$373,1)):INDEX($M$5:$M$373,MATCH($A169+90,$A$5:$A$373,1))),"")</f>
        <v>0.855462091029229</v>
      </c>
      <c r="T169" s="11" t="n">
        <f aca="false">IFERROR(N169/MEDIAN(INDEX($N$5:$N$373,MATCH($A169-90,$A$5:$A$373,1)):INDEX($N$5:$N$373,MATCH($A169+90,$A$5:$A$373,1))),"")</f>
        <v>1.01382332385121</v>
      </c>
      <c r="U169" s="11" t="n">
        <f aca="false">IFERROR(Q169/MEDIAN(INDEX($Q$5:$Q$373,MATCH($A169-90,$A$5:$A$373,1)):INDEX($Q$5:$Q$373,MATCH($A169+90,$A$5:$A$373,1))),"")</f>
        <v>0.174476492454405</v>
      </c>
    </row>
    <row r="170" customFormat="false" ht="15" hidden="false" customHeight="false" outlineLevel="0" collapsed="false">
      <c r="A170" s="13" t="n">
        <v>45798.8132875232</v>
      </c>
      <c r="B170" s="8" t="n">
        <v>19</v>
      </c>
      <c r="C170" s="8" t="s">
        <v>71</v>
      </c>
      <c r="D170" s="8" t="s">
        <v>1380</v>
      </c>
      <c r="E170" s="14" t="s">
        <v>66</v>
      </c>
      <c r="F170" s="9" t="n">
        <v>6491</v>
      </c>
      <c r="G170" s="9" t="n">
        <v>201</v>
      </c>
      <c r="H170" s="9" t="n">
        <v>200</v>
      </c>
      <c r="I170" s="9" t="n">
        <v>112</v>
      </c>
      <c r="J170" s="9" t="n">
        <v>24</v>
      </c>
      <c r="K170" s="9" t="n">
        <v>9</v>
      </c>
      <c r="L170" s="9" t="n">
        <v>3</v>
      </c>
      <c r="M170" s="10" t="n">
        <f aca="false">IFERROR(G170/F170,"")</f>
        <v>0.0309659528578031</v>
      </c>
      <c r="N170" s="10" t="n">
        <f aca="false">IFERROR(H170/G170,"")</f>
        <v>0.995024875621891</v>
      </c>
      <c r="O170" s="11" t="n">
        <f aca="false">IFERROR(I170/H170,"")</f>
        <v>0.56</v>
      </c>
      <c r="P170" s="10" t="n">
        <f aca="false">IFERROR(J170/H170,"")</f>
        <v>0.12</v>
      </c>
      <c r="Q170" s="10" t="n">
        <f aca="false">IFERROR(K170/H170,"")</f>
        <v>0.045</v>
      </c>
      <c r="R170" s="10" t="n">
        <f aca="false">IFERROR(L170/H170,"")</f>
        <v>0.015</v>
      </c>
      <c r="S170" s="11" t="n">
        <f aca="false">IFERROR(M170/MEDIAN(INDEX($M$5:$M$373,MATCH($A170-90,$A$5:$A$373,1)):INDEX($M$5:$M$373,MATCH($A170+90,$A$5:$A$373,1))),"")</f>
        <v>0.610366814860678</v>
      </c>
      <c r="T170" s="11" t="n">
        <f aca="false">IFERROR(N170/MEDIAN(INDEX($N$5:$N$373,MATCH($A170-90,$A$5:$A$373,1)):INDEX($N$5:$N$373,MATCH($A170+90,$A$5:$A$373,1))),"")</f>
        <v>1.01176076802532</v>
      </c>
      <c r="U170" s="11" t="n">
        <f aca="false">IFERROR(Q170/MEDIAN(INDEX($Q$5:$Q$373,MATCH($A170-90,$A$5:$A$373,1)):INDEX($Q$5:$Q$373,MATCH($A170+90,$A$5:$A$373,1))),"")</f>
        <v>2.23875</v>
      </c>
    </row>
    <row r="171" customFormat="false" ht="15" hidden="false" customHeight="false" outlineLevel="0" collapsed="false">
      <c r="A171" s="13" t="n">
        <v>45799.8061589468</v>
      </c>
      <c r="B171" s="8" t="n">
        <v>19</v>
      </c>
      <c r="C171" s="8" t="s">
        <v>73</v>
      </c>
      <c r="D171" s="8" t="s">
        <v>1381</v>
      </c>
      <c r="E171" s="14" t="s">
        <v>66</v>
      </c>
      <c r="F171" s="9" t="n">
        <v>6590</v>
      </c>
      <c r="G171" s="9" t="n">
        <v>207</v>
      </c>
      <c r="H171" s="9" t="n">
        <v>203</v>
      </c>
      <c r="I171" s="9" t="n">
        <v>136</v>
      </c>
      <c r="J171" s="9" t="n">
        <v>21</v>
      </c>
      <c r="K171" s="9" t="n">
        <v>2</v>
      </c>
      <c r="L171" s="9" t="n">
        <v>1</v>
      </c>
      <c r="M171" s="10" t="n">
        <f aca="false">IFERROR(G171/F171,"")</f>
        <v>0.0314112291350531</v>
      </c>
      <c r="N171" s="10" t="n">
        <f aca="false">IFERROR(H171/G171,"")</f>
        <v>0.980676328502416</v>
      </c>
      <c r="O171" s="11" t="n">
        <f aca="false">IFERROR(I171/H171,"")</f>
        <v>0.669950738916256</v>
      </c>
      <c r="P171" s="10" t="n">
        <f aca="false">IFERROR(J171/H171,"")</f>
        <v>0.103448275862069</v>
      </c>
      <c r="Q171" s="10" t="n">
        <f aca="false">IFERROR(K171/H171,"")</f>
        <v>0.00985221674876847</v>
      </c>
      <c r="R171" s="10" t="n">
        <f aca="false">IFERROR(L171/H171,"")</f>
        <v>0.00492610837438424</v>
      </c>
      <c r="S171" s="11" t="n">
        <f aca="false">IFERROR(M171/MEDIAN(INDEX($M$5:$M$373,MATCH($A171-90,$A$5:$A$373,1)):INDEX($M$5:$M$373,MATCH($A171+90,$A$5:$A$373,1))),"")</f>
        <v>0.619143611244957</v>
      </c>
      <c r="T171" s="11" t="n">
        <f aca="false">IFERROR(N171/MEDIAN(INDEX($N$5:$N$373,MATCH($A171-90,$A$5:$A$373,1)):INDEX($N$5:$N$373,MATCH($A171+90,$A$5:$A$373,1))),"")</f>
        <v>0.997170884486401</v>
      </c>
      <c r="U171" s="11" t="n">
        <f aca="false">IFERROR(Q171/MEDIAN(INDEX($Q$5:$Q$373,MATCH($A171-90,$A$5:$A$373,1)):INDEX($Q$5:$Q$373,MATCH($A171+90,$A$5:$A$373,1))),"")</f>
        <v>0.490147783251232</v>
      </c>
    </row>
    <row r="172" customFormat="false" ht="15" hidden="false" customHeight="false" outlineLevel="0" collapsed="false">
      <c r="A172" s="13" t="n">
        <v>45800.8130993866</v>
      </c>
      <c r="B172" s="8" t="n">
        <v>19</v>
      </c>
      <c r="C172" s="8" t="s">
        <v>84</v>
      </c>
      <c r="D172" s="8" t="s">
        <v>1382</v>
      </c>
      <c r="E172" s="14" t="s">
        <v>66</v>
      </c>
      <c r="F172" s="9" t="n">
        <v>7247</v>
      </c>
      <c r="G172" s="9" t="n">
        <v>256</v>
      </c>
      <c r="H172" s="9" t="n">
        <v>249</v>
      </c>
      <c r="I172" s="9" t="n">
        <v>186</v>
      </c>
      <c r="J172" s="9" t="n">
        <v>32</v>
      </c>
      <c r="K172" s="9" t="n">
        <v>7</v>
      </c>
      <c r="L172" s="9" t="n">
        <v>4</v>
      </c>
      <c r="M172" s="10" t="n">
        <f aca="false">IFERROR(G172/F172,"")</f>
        <v>0.0353249620532634</v>
      </c>
      <c r="N172" s="10" t="n">
        <f aca="false">IFERROR(H172/G172,"")</f>
        <v>0.97265625</v>
      </c>
      <c r="O172" s="11" t="n">
        <f aca="false">IFERROR(I172/H172,"")</f>
        <v>0.746987951807229</v>
      </c>
      <c r="P172" s="10" t="n">
        <f aca="false">IFERROR(J172/H172,"")</f>
        <v>0.1285140562249</v>
      </c>
      <c r="Q172" s="10" t="n">
        <f aca="false">IFERROR(K172/H172,"")</f>
        <v>0.0281124497991968</v>
      </c>
      <c r="R172" s="10" t="n">
        <f aca="false">IFERROR(L172/H172,"")</f>
        <v>0.0160642570281125</v>
      </c>
      <c r="S172" s="11" t="n">
        <f aca="false">IFERROR(M172/MEDIAN(INDEX($M$5:$M$373,MATCH($A172-90,$A$5:$A$373,1)):INDEX($M$5:$M$373,MATCH($A172+90,$A$5:$A$373,1))),"")</f>
        <v>0.697843136045316</v>
      </c>
      <c r="T172" s="11" t="n">
        <f aca="false">IFERROR(N172/MEDIAN(INDEX($N$5:$N$373,MATCH($A172-90,$A$5:$A$373,1)):INDEX($N$5:$N$373,MATCH($A172+90,$A$5:$A$373,1))),"")</f>
        <v>0.988346487122244</v>
      </c>
      <c r="U172" s="11" t="n">
        <f aca="false">IFERROR(Q172/MEDIAN(INDEX($Q$5:$Q$373,MATCH($A172-90,$A$5:$A$373,1)):INDEX($Q$5:$Q$373,MATCH($A172+90,$A$5:$A$373,1))),"")</f>
        <v>1.38319918114456</v>
      </c>
    </row>
    <row r="173" customFormat="false" ht="15" hidden="false" customHeight="false" outlineLevel="0" collapsed="false">
      <c r="A173" s="13" t="n">
        <v>45801.8138241667</v>
      </c>
      <c r="B173" s="8" t="n">
        <v>19</v>
      </c>
      <c r="C173" s="8" t="s">
        <v>68</v>
      </c>
      <c r="D173" s="8" t="s">
        <v>1383</v>
      </c>
      <c r="E173" s="14" t="s">
        <v>66</v>
      </c>
      <c r="F173" s="9" t="n">
        <v>7714</v>
      </c>
      <c r="G173" s="9" t="n">
        <v>285</v>
      </c>
      <c r="H173" s="9" t="n">
        <v>258</v>
      </c>
      <c r="I173" s="9" t="n">
        <v>171</v>
      </c>
      <c r="J173" s="9" t="n">
        <v>25</v>
      </c>
      <c r="K173" s="9" t="n">
        <v>10</v>
      </c>
      <c r="L173" s="9" t="n">
        <v>3</v>
      </c>
      <c r="M173" s="10" t="n">
        <f aca="false">IFERROR(G173/F173,"")</f>
        <v>0.0369458128078818</v>
      </c>
      <c r="N173" s="10" t="n">
        <f aca="false">IFERROR(H173/G173,"")</f>
        <v>0.905263157894737</v>
      </c>
      <c r="O173" s="11" t="n">
        <f aca="false">IFERROR(I173/H173,"")</f>
        <v>0.662790697674419</v>
      </c>
      <c r="P173" s="10" t="n">
        <f aca="false">IFERROR(J173/H173,"")</f>
        <v>0.0968992248062016</v>
      </c>
      <c r="Q173" s="10" t="n">
        <f aca="false">IFERROR(K173/H173,"")</f>
        <v>0.0387596899224806</v>
      </c>
      <c r="R173" s="10" t="n">
        <f aca="false">IFERROR(L173/H173,"")</f>
        <v>0.0116279069767442</v>
      </c>
      <c r="S173" s="11" t="n">
        <f aca="false">IFERROR(M173/MEDIAN(INDEX($M$5:$M$373,MATCH($A173-90,$A$5:$A$373,1)):INDEX($M$5:$M$373,MATCH($A173+90,$A$5:$A$373,1))),"")</f>
        <v>0.729862974366977</v>
      </c>
      <c r="T173" s="11" t="n">
        <f aca="false">IFERROR(N173/MEDIAN(INDEX($N$5:$N$373,MATCH($A173-90,$A$5:$A$373,1)):INDEX($N$5:$N$373,MATCH($A173+90,$A$5:$A$373,1))),"")</f>
        <v>0.919866254934827</v>
      </c>
      <c r="U173" s="11" t="n">
        <f aca="false">IFERROR(Q173/MEDIAN(INDEX($Q$5:$Q$373,MATCH($A173-90,$A$5:$A$373,1)):INDEX($Q$5:$Q$373,MATCH($A173+90,$A$5:$A$373,1))),"")</f>
        <v>1.90706863845513</v>
      </c>
    </row>
    <row r="174" customFormat="false" ht="15" hidden="false" customHeight="false" outlineLevel="0" collapsed="false">
      <c r="A174" s="13" t="n">
        <v>45802.8068253819</v>
      </c>
      <c r="B174" s="8" t="n">
        <v>19</v>
      </c>
      <c r="C174" s="8" t="s">
        <v>86</v>
      </c>
      <c r="D174" s="8" t="s">
        <v>1384</v>
      </c>
      <c r="E174" s="14" t="s">
        <v>66</v>
      </c>
      <c r="F174" s="9" t="n">
        <v>7426</v>
      </c>
      <c r="G174" s="9" t="n">
        <v>276</v>
      </c>
      <c r="H174" s="9" t="n">
        <v>265</v>
      </c>
      <c r="I174" s="9" t="n">
        <v>136</v>
      </c>
      <c r="J174" s="9" t="n">
        <v>38</v>
      </c>
      <c r="K174" s="9" t="n">
        <v>1</v>
      </c>
      <c r="L174" s="9" t="n">
        <v>1</v>
      </c>
      <c r="M174" s="10" t="n">
        <f aca="false">IFERROR(G174/F174,"")</f>
        <v>0.0371667115539995</v>
      </c>
      <c r="N174" s="10" t="n">
        <f aca="false">IFERROR(H174/G174,"")</f>
        <v>0.960144927536232</v>
      </c>
      <c r="O174" s="11" t="n">
        <f aca="false">IFERROR(I174/H174,"")</f>
        <v>0.513207547169811</v>
      </c>
      <c r="P174" s="10" t="n">
        <f aca="false">IFERROR(J174/H174,"")</f>
        <v>0.143396226415094</v>
      </c>
      <c r="Q174" s="10" t="n">
        <f aca="false">IFERROR(K174/H174,"")</f>
        <v>0.00377358490566038</v>
      </c>
      <c r="R174" s="10" t="n">
        <f aca="false">IFERROR(L174/H174,"")</f>
        <v>0.00377358490566038</v>
      </c>
      <c r="S174" s="11" t="n">
        <f aca="false">IFERROR(M174/MEDIAN(INDEX($M$5:$M$373,MATCH($A174-90,$A$5:$A$373,1)):INDEX($M$5:$M$373,MATCH($A174+90,$A$5:$A$373,1))),"")</f>
        <v>0.734226819783338</v>
      </c>
      <c r="T174" s="11" t="n">
        <f aca="false">IFERROR(N174/MEDIAN(INDEX($N$5:$N$373,MATCH($A174-90,$A$5:$A$373,1)):INDEX($N$5:$N$373,MATCH($A174+90,$A$5:$A$373,1))),"")</f>
        <v>0.975633340410527</v>
      </c>
      <c r="U174" s="11" t="n">
        <f aca="false">IFERROR(Q174/MEDIAN(INDEX($Q$5:$Q$373,MATCH($A174-90,$A$5:$A$373,1)):INDEX($Q$5:$Q$373,MATCH($A174+90,$A$5:$A$373,1))),"")</f>
        <v>0.18566932404582</v>
      </c>
    </row>
    <row r="175" customFormat="false" ht="15" hidden="false" customHeight="false" outlineLevel="0" collapsed="false">
      <c r="A175" s="13" t="n">
        <v>45803.8161369676</v>
      </c>
      <c r="B175" s="8" t="n">
        <v>19</v>
      </c>
      <c r="C175" s="8" t="s">
        <v>80</v>
      </c>
      <c r="D175" s="8" t="s">
        <v>1385</v>
      </c>
      <c r="E175" s="14" t="s">
        <v>66</v>
      </c>
      <c r="F175" s="9" t="n">
        <v>7218</v>
      </c>
      <c r="G175" s="9" t="n">
        <v>328</v>
      </c>
      <c r="H175" s="9" t="n">
        <v>329</v>
      </c>
      <c r="I175" s="9" t="n">
        <v>156</v>
      </c>
      <c r="J175" s="9" t="n">
        <v>34</v>
      </c>
      <c r="K175" s="9" t="n">
        <v>4</v>
      </c>
      <c r="L175" s="9" t="n">
        <v>1</v>
      </c>
      <c r="M175" s="10" t="n">
        <f aca="false">IFERROR(G175/F175,"")</f>
        <v>0.0454419506788584</v>
      </c>
      <c r="N175" s="10" t="n">
        <f aca="false">IFERROR(H175/G175,"")</f>
        <v>1.0030487804878</v>
      </c>
      <c r="O175" s="11" t="n">
        <f aca="false">IFERROR(I175/H175,"")</f>
        <v>0.474164133738602</v>
      </c>
      <c r="P175" s="10" t="n">
        <f aca="false">IFERROR(J175/H175,"")</f>
        <v>0.103343465045593</v>
      </c>
      <c r="Q175" s="10" t="n">
        <f aca="false">IFERROR(K175/H175,"")</f>
        <v>0.0121580547112462</v>
      </c>
      <c r="R175" s="10" t="n">
        <f aca="false">IFERROR(L175/H175,"")</f>
        <v>0.00303951367781155</v>
      </c>
      <c r="S175" s="11" t="n">
        <f aca="false">IFERROR(M175/MEDIAN(INDEX($M$5:$M$373,MATCH($A175-90,$A$5:$A$373,1)):INDEX($M$5:$M$373,MATCH($A175+90,$A$5:$A$373,1))),"")</f>
        <v>0.89971484237787</v>
      </c>
      <c r="T175" s="11" t="n">
        <f aca="false">IFERROR(N175/MEDIAN(INDEX($N$5:$N$373,MATCH($A175-90,$A$5:$A$373,1)):INDEX($N$5:$N$373,MATCH($A175+90,$A$5:$A$373,1))),"")</f>
        <v>1.01853988134476</v>
      </c>
      <c r="U175" s="11" t="n">
        <f aca="false">IFERROR(Q175/MEDIAN(INDEX($Q$5:$Q$373,MATCH($A175-90,$A$5:$A$373,1)):INDEX($Q$5:$Q$373,MATCH($A175+90,$A$5:$A$373,1))),"")</f>
        <v>0.604863221884499</v>
      </c>
    </row>
    <row r="176" customFormat="false" ht="15" hidden="false" customHeight="false" outlineLevel="0" collapsed="false">
      <c r="A176" s="13" t="n">
        <v>45804.8073925232</v>
      </c>
      <c r="B176" s="8" t="n">
        <v>19</v>
      </c>
      <c r="C176" s="8" t="s">
        <v>64</v>
      </c>
      <c r="D176" s="8" t="s">
        <v>1386</v>
      </c>
      <c r="E176" s="14" t="s">
        <v>66</v>
      </c>
      <c r="F176" s="9" t="n">
        <v>6671</v>
      </c>
      <c r="G176" s="9" t="n">
        <v>262</v>
      </c>
      <c r="H176" s="9" t="n">
        <v>247</v>
      </c>
      <c r="I176" s="9" t="n">
        <v>124</v>
      </c>
      <c r="J176" s="9" t="n">
        <v>38</v>
      </c>
      <c r="K176" s="9" t="n">
        <v>2</v>
      </c>
      <c r="L176" s="9" t="n">
        <v>1</v>
      </c>
      <c r="M176" s="10" t="n">
        <f aca="false">IFERROR(G176/F176,"")</f>
        <v>0.0392744715934643</v>
      </c>
      <c r="N176" s="10" t="n">
        <f aca="false">IFERROR(H176/G176,"")</f>
        <v>0.942748091603053</v>
      </c>
      <c r="O176" s="11" t="n">
        <f aca="false">IFERROR(I176/H176,"")</f>
        <v>0.502024291497976</v>
      </c>
      <c r="P176" s="10" t="n">
        <f aca="false">IFERROR(J176/H176,"")</f>
        <v>0.153846153846154</v>
      </c>
      <c r="Q176" s="10" t="n">
        <f aca="false">IFERROR(K176/H176,"")</f>
        <v>0.00809716599190283</v>
      </c>
      <c r="R176" s="10" t="n">
        <f aca="false">IFERROR(L176/H176,"")</f>
        <v>0.00404858299595142</v>
      </c>
      <c r="S176" s="11" t="n">
        <f aca="false">IFERROR(M176/MEDIAN(INDEX($M$5:$M$373,MATCH($A176-90,$A$5:$A$373,1)):INDEX($M$5:$M$373,MATCH($A176+90,$A$5:$A$373,1))),"")</f>
        <v>0.77760361276981</v>
      </c>
      <c r="T176" s="11" t="n">
        <f aca="false">IFERROR(N176/MEDIAN(INDEX($N$5:$N$373,MATCH($A176-90,$A$5:$A$373,1)):INDEX($N$5:$N$373,MATCH($A176+90,$A$5:$A$373,1))),"")</f>
        <v>0.957307907689587</v>
      </c>
      <c r="U176" s="11" t="n">
        <f aca="false">IFERROR(Q176/MEDIAN(INDEX($Q$5:$Q$373,MATCH($A176-90,$A$5:$A$373,1)):INDEX($Q$5:$Q$373,MATCH($A176+90,$A$5:$A$373,1))),"")</f>
        <v>0.402834008097166</v>
      </c>
    </row>
    <row r="177" customFormat="false" ht="15" hidden="false" customHeight="false" outlineLevel="0" collapsed="false">
      <c r="A177" s="13" t="n">
        <v>45805.8148565278</v>
      </c>
      <c r="B177" s="8" t="n">
        <v>19</v>
      </c>
      <c r="C177" s="8" t="s">
        <v>71</v>
      </c>
      <c r="D177" s="8" t="s">
        <v>1387</v>
      </c>
      <c r="E177" s="14" t="s">
        <v>66</v>
      </c>
      <c r="F177" s="9" t="n">
        <v>6215</v>
      </c>
      <c r="G177" s="9" t="n">
        <v>298</v>
      </c>
      <c r="H177" s="9" t="n">
        <v>289</v>
      </c>
      <c r="I177" s="9" t="n">
        <v>258</v>
      </c>
      <c r="J177" s="9" t="n">
        <v>42</v>
      </c>
      <c r="K177" s="9" t="n">
        <v>19</v>
      </c>
      <c r="L177" s="9" t="n">
        <v>1</v>
      </c>
      <c r="M177" s="10" t="n">
        <f aca="false">IFERROR(G177/F177,"")</f>
        <v>0.0479485116653258</v>
      </c>
      <c r="N177" s="10" t="n">
        <f aca="false">IFERROR(H177/G177,"")</f>
        <v>0.969798657718121</v>
      </c>
      <c r="O177" s="11" t="n">
        <f aca="false">IFERROR(I177/H177,"")</f>
        <v>0.892733564013841</v>
      </c>
      <c r="P177" s="10" t="n">
        <f aca="false">IFERROR(J177/H177,"")</f>
        <v>0.145328719723183</v>
      </c>
      <c r="Q177" s="10" t="n">
        <f aca="false">IFERROR(K177/H177,"")</f>
        <v>0.0657439446366782</v>
      </c>
      <c r="R177" s="10" t="n">
        <f aca="false">IFERROR(L177/H177,"")</f>
        <v>0.00346020761245675</v>
      </c>
      <c r="S177" s="11" t="n">
        <f aca="false">IFERROR(M177/MEDIAN(INDEX($M$5:$M$373,MATCH($A177-90,$A$5:$A$373,1)):INDEX($M$5:$M$373,MATCH($A177+90,$A$5:$A$373,1))),"")</f>
        <v>0.955921979135868</v>
      </c>
      <c r="T177" s="11" t="n">
        <f aca="false">IFERROR(N177/MEDIAN(INDEX($N$5:$N$373,MATCH($A177-90,$A$5:$A$373,1)):INDEX($N$5:$N$373,MATCH($A177+90,$A$5:$A$373,1))),"")</f>
        <v>0.984089166397719</v>
      </c>
      <c r="U177" s="11" t="n">
        <f aca="false">IFERROR(Q177/MEDIAN(INDEX($Q$5:$Q$373,MATCH($A177-90,$A$5:$A$373,1)):INDEX($Q$5:$Q$373,MATCH($A177+90,$A$5:$A$373,1))),"")</f>
        <v>3.27895864228044</v>
      </c>
    </row>
    <row r="178" customFormat="false" ht="15" hidden="false" customHeight="false" outlineLevel="0" collapsed="false">
      <c r="A178" s="13" t="n">
        <v>45806.8084027662</v>
      </c>
      <c r="B178" s="8" t="n">
        <v>19</v>
      </c>
      <c r="C178" s="8" t="s">
        <v>73</v>
      </c>
      <c r="D178" s="8" t="s">
        <v>1388</v>
      </c>
      <c r="E178" s="14" t="s">
        <v>66</v>
      </c>
      <c r="F178" s="9" t="n">
        <v>5850</v>
      </c>
      <c r="G178" s="9" t="n">
        <v>232</v>
      </c>
      <c r="H178" s="9" t="n">
        <v>227</v>
      </c>
      <c r="I178" s="9" t="n">
        <v>80</v>
      </c>
      <c r="J178" s="9" t="n">
        <v>23</v>
      </c>
      <c r="K178" s="9" t="n">
        <v>11</v>
      </c>
      <c r="L178" s="9" t="n">
        <v>0</v>
      </c>
      <c r="M178" s="10" t="n">
        <f aca="false">IFERROR(G178/F178,"")</f>
        <v>0.0396581196581197</v>
      </c>
      <c r="N178" s="10" t="n">
        <f aca="false">IFERROR(H178/G178,"")</f>
        <v>0.978448275862069</v>
      </c>
      <c r="O178" s="11" t="n">
        <f aca="false">IFERROR(I178/H178,"")</f>
        <v>0.352422907488987</v>
      </c>
      <c r="P178" s="10" t="n">
        <f aca="false">IFERROR(J178/H178,"")</f>
        <v>0.101321585903084</v>
      </c>
      <c r="Q178" s="10" t="n">
        <f aca="false">IFERROR(K178/H178,"")</f>
        <v>0.0484581497797357</v>
      </c>
      <c r="R178" s="10" t="n">
        <f aca="false">IFERROR(L178/H178,"")</f>
        <v>0</v>
      </c>
      <c r="S178" s="11" t="n">
        <f aca="false">IFERROR(M178/MEDIAN(INDEX($M$5:$M$373,MATCH($A178-90,$A$5:$A$373,1)):INDEX($M$5:$M$373,MATCH($A178+90,$A$5:$A$373,1))),"")</f>
        <v>0.79064118813539</v>
      </c>
      <c r="T178" s="11" t="n">
        <f aca="false">IFERROR(N178/MEDIAN(INDEX($N$5:$N$373,MATCH($A178-90,$A$5:$A$373,1)):INDEX($N$5:$N$373,MATCH($A178+90,$A$5:$A$373,1))),"")</f>
        <v>0.992866241351571</v>
      </c>
      <c r="U178" s="11" t="n">
        <f aca="false">IFERROR(Q178/MEDIAN(INDEX($Q$5:$Q$373,MATCH($A178-90,$A$5:$A$373,1)):INDEX($Q$5:$Q$373,MATCH($A178+90,$A$5:$A$373,1))),"")</f>
        <v>2.4168350391397</v>
      </c>
    </row>
    <row r="179" customFormat="false" ht="15" hidden="false" customHeight="false" outlineLevel="0" collapsed="false">
      <c r="A179" s="13" t="n">
        <v>45807.8155272222</v>
      </c>
      <c r="B179" s="8" t="n">
        <v>19</v>
      </c>
      <c r="C179" s="8" t="s">
        <v>84</v>
      </c>
      <c r="D179" s="8" t="s">
        <v>1389</v>
      </c>
      <c r="E179" s="14" t="s">
        <v>66</v>
      </c>
      <c r="F179" s="9" t="n">
        <v>5620</v>
      </c>
      <c r="G179" s="9" t="n">
        <v>177</v>
      </c>
      <c r="H179" s="9" t="n">
        <v>176</v>
      </c>
      <c r="I179" s="9" t="n">
        <v>105</v>
      </c>
      <c r="J179" s="9" t="n">
        <v>37</v>
      </c>
      <c r="K179" s="9" t="n">
        <v>16</v>
      </c>
      <c r="L179" s="9" t="n">
        <v>0</v>
      </c>
      <c r="M179" s="10" t="n">
        <f aca="false">IFERROR(G179/F179,"")</f>
        <v>0.0314946619217082</v>
      </c>
      <c r="N179" s="10" t="n">
        <f aca="false">IFERROR(H179/G179,"")</f>
        <v>0.994350282485876</v>
      </c>
      <c r="O179" s="11" t="n">
        <f aca="false">IFERROR(I179/H179,"")</f>
        <v>0.596590909090909</v>
      </c>
      <c r="P179" s="10" t="n">
        <f aca="false">IFERROR(J179/H179,"")</f>
        <v>0.210227272727273</v>
      </c>
      <c r="Q179" s="10" t="n">
        <f aca="false">IFERROR(K179/H179,"")</f>
        <v>0.0909090909090909</v>
      </c>
      <c r="R179" s="10" t="n">
        <f aca="false">IFERROR(L179/H179,"")</f>
        <v>0</v>
      </c>
      <c r="S179" s="11" t="n">
        <f aca="false">IFERROR(M179/MEDIAN(INDEX($M$5:$M$373,MATCH($A179-90,$A$5:$A$373,1)):INDEX($M$5:$M$373,MATCH($A179+90,$A$5:$A$373,1))),"")</f>
        <v>0.62789101289636</v>
      </c>
      <c r="T179" s="11" t="n">
        <f aca="false">IFERROR(N179/MEDIAN(INDEX($N$5:$N$373,MATCH($A179-90,$A$5:$A$373,1)):INDEX($N$5:$N$373,MATCH($A179+90,$A$5:$A$373,1))),"")</f>
        <v>1.00900257265903</v>
      </c>
      <c r="U179" s="11" t="n">
        <f aca="false">IFERROR(Q179/MEDIAN(INDEX($Q$5:$Q$373,MATCH($A179-90,$A$5:$A$373,1)):INDEX($Q$5:$Q$373,MATCH($A179+90,$A$5:$A$373,1))),"")</f>
        <v>4.53406242879927</v>
      </c>
    </row>
    <row r="180" customFormat="false" ht="15" hidden="false" customHeight="false" outlineLevel="0" collapsed="false">
      <c r="A180" s="13" t="n">
        <v>45808.8158729398</v>
      </c>
      <c r="B180" s="8" t="n">
        <v>19</v>
      </c>
      <c r="C180" s="8" t="s">
        <v>68</v>
      </c>
      <c r="D180" s="8" t="s">
        <v>1390</v>
      </c>
      <c r="E180" s="14" t="s">
        <v>66</v>
      </c>
      <c r="F180" s="9" t="n">
        <v>5642</v>
      </c>
      <c r="G180" s="9" t="n">
        <v>200</v>
      </c>
      <c r="H180" s="9" t="n">
        <v>195</v>
      </c>
      <c r="I180" s="9" t="n">
        <v>109</v>
      </c>
      <c r="J180" s="9" t="n">
        <v>36</v>
      </c>
      <c r="K180" s="9" t="n">
        <v>7</v>
      </c>
      <c r="L180" s="9" t="n">
        <v>0</v>
      </c>
      <c r="M180" s="10" t="n">
        <f aca="false">IFERROR(G180/F180,"")</f>
        <v>0.0354484225451967</v>
      </c>
      <c r="N180" s="10" t="n">
        <f aca="false">IFERROR(H180/G180,"")</f>
        <v>0.975</v>
      </c>
      <c r="O180" s="11" t="n">
        <f aca="false">IFERROR(I180/H180,"")</f>
        <v>0.558974358974359</v>
      </c>
      <c r="P180" s="10" t="n">
        <f aca="false">IFERROR(J180/H180,"")</f>
        <v>0.184615384615385</v>
      </c>
      <c r="Q180" s="10" t="n">
        <f aca="false">IFERROR(K180/H180,"")</f>
        <v>0.0358974358974359</v>
      </c>
      <c r="R180" s="10" t="n">
        <f aca="false">IFERROR(L180/H180,"")</f>
        <v>0</v>
      </c>
      <c r="S180" s="11" t="n">
        <f aca="false">IFERROR(M180/MEDIAN(INDEX($M$5:$M$373,MATCH($A180-90,$A$5:$A$373,1)):INDEX($M$5:$M$373,MATCH($A180+90,$A$5:$A$373,1))),"")</f>
        <v>0.706714871009307</v>
      </c>
      <c r="T180" s="11" t="n">
        <f aca="false">IFERROR(N180/MEDIAN(INDEX($N$5:$N$373,MATCH($A180-90,$A$5:$A$373,1)):INDEX($N$5:$N$373,MATCH($A180+90,$A$5:$A$373,1))),"")</f>
        <v>0.989367153276323</v>
      </c>
      <c r="U180" s="11" t="n">
        <f aca="false">IFERROR(Q180/MEDIAN(INDEX($Q$5:$Q$373,MATCH($A180-90,$A$5:$A$373,1)):INDEX($Q$5:$Q$373,MATCH($A180+90,$A$5:$A$373,1))),"")</f>
        <v>1.79037336932074</v>
      </c>
    </row>
    <row r="181" customFormat="false" ht="15" hidden="false" customHeight="false" outlineLevel="0" collapsed="false">
      <c r="A181" s="13" t="n">
        <v>45809.8093688773</v>
      </c>
      <c r="B181" s="8" t="n">
        <v>19</v>
      </c>
      <c r="C181" s="8" t="s">
        <v>86</v>
      </c>
      <c r="D181" s="8" t="s">
        <v>1391</v>
      </c>
      <c r="E181" s="14" t="s">
        <v>66</v>
      </c>
      <c r="F181" s="9" t="n">
        <v>5215</v>
      </c>
      <c r="G181" s="9" t="n">
        <v>157</v>
      </c>
      <c r="H181" s="9" t="n">
        <v>142</v>
      </c>
      <c r="I181" s="9" t="n">
        <v>76</v>
      </c>
      <c r="J181" s="9" t="n">
        <v>30</v>
      </c>
      <c r="K181" s="9" t="n">
        <v>1</v>
      </c>
      <c r="L181" s="9" t="n">
        <v>0</v>
      </c>
      <c r="M181" s="10" t="n">
        <f aca="false">IFERROR(G181/F181,"")</f>
        <v>0.0301054650047939</v>
      </c>
      <c r="N181" s="10" t="n">
        <f aca="false">IFERROR(H181/G181,"")</f>
        <v>0.904458598726115</v>
      </c>
      <c r="O181" s="11" t="n">
        <f aca="false">IFERROR(I181/H181,"")</f>
        <v>0.535211267605634</v>
      </c>
      <c r="P181" s="10" t="n">
        <f aca="false">IFERROR(J181/H181,"")</f>
        <v>0.211267605633803</v>
      </c>
      <c r="Q181" s="10" t="n">
        <f aca="false">IFERROR(K181/H181,"")</f>
        <v>0.00704225352112676</v>
      </c>
      <c r="R181" s="10" t="n">
        <f aca="false">IFERROR(L181/H181,"")</f>
        <v>0</v>
      </c>
      <c r="S181" s="11" t="n">
        <f aca="false">IFERROR(M181/MEDIAN(INDEX($M$5:$M$373,MATCH($A181-90,$A$5:$A$373,1)):INDEX($M$5:$M$373,MATCH($A181+90,$A$5:$A$373,1))),"")</f>
        <v>0.60019539065275</v>
      </c>
      <c r="T181" s="11" t="n">
        <f aca="false">IFERROR(N181/MEDIAN(INDEX($N$5:$N$373,MATCH($A181-90,$A$5:$A$373,1)):INDEX($N$5:$N$373,MATCH($A181+90,$A$5:$A$373,1))),"")</f>
        <v>0.917786286233793</v>
      </c>
      <c r="U181" s="11" t="n">
        <f aca="false">IFERROR(Q181/MEDIAN(INDEX($Q$5:$Q$373,MATCH($A181-90,$A$5:$A$373,1)):INDEX($Q$5:$Q$373,MATCH($A181+90,$A$5:$A$373,1))),"")</f>
        <v>0.351230188146422</v>
      </c>
    </row>
    <row r="182" customFormat="false" ht="15" hidden="false" customHeight="false" outlineLevel="0" collapsed="false">
      <c r="A182" s="13" t="n">
        <v>45810.2072832176</v>
      </c>
      <c r="B182" s="8" t="n">
        <v>4</v>
      </c>
      <c r="C182" s="8" t="s">
        <v>80</v>
      </c>
      <c r="D182" s="8" t="s">
        <v>1392</v>
      </c>
      <c r="E182" s="14" t="s">
        <v>66</v>
      </c>
      <c r="F182" s="9" t="n">
        <v>5231</v>
      </c>
      <c r="G182" s="9" t="n">
        <v>98</v>
      </c>
      <c r="H182" s="9" t="n">
        <v>94</v>
      </c>
      <c r="I182" s="9" t="n">
        <v>74</v>
      </c>
      <c r="J182" s="9" t="n">
        <v>23</v>
      </c>
      <c r="K182" s="9" t="n">
        <v>2</v>
      </c>
      <c r="L182" s="9" t="n">
        <v>1</v>
      </c>
      <c r="M182" s="10" t="n">
        <f aca="false">IFERROR(G182/F182,"")</f>
        <v>0.0187344675970178</v>
      </c>
      <c r="N182" s="10" t="n">
        <f aca="false">IFERROR(H182/G182,"")</f>
        <v>0.959183673469388</v>
      </c>
      <c r="O182" s="11" t="n">
        <f aca="false">IFERROR(I182/H182,"")</f>
        <v>0.787234042553192</v>
      </c>
      <c r="P182" s="10" t="n">
        <f aca="false">IFERROR(J182/H182,"")</f>
        <v>0.24468085106383</v>
      </c>
      <c r="Q182" s="10" t="n">
        <f aca="false">IFERROR(K182/H182,"")</f>
        <v>0.0212765957446809</v>
      </c>
      <c r="R182" s="10" t="n">
        <f aca="false">IFERROR(L182/H182,"")</f>
        <v>0.0106382978723404</v>
      </c>
      <c r="S182" s="11" t="n">
        <f aca="false">IFERROR(M182/MEDIAN(INDEX($M$5:$M$373,MATCH($A182-90,$A$5:$A$373,1)):INDEX($M$5:$M$373,MATCH($A182+90,$A$5:$A$373,1))),"")</f>
        <v>0.373498336473888</v>
      </c>
      <c r="T182" s="11" t="n">
        <f aca="false">IFERROR(N182/MEDIAN(INDEX($N$5:$N$373,MATCH($A182-90,$A$5:$A$373,1)):INDEX($N$5:$N$373,MATCH($A182+90,$A$5:$A$373,1))),"")</f>
        <v>0.97331776460465</v>
      </c>
      <c r="U182" s="11" t="n">
        <f aca="false">IFERROR(Q182/MEDIAN(INDEX($Q$5:$Q$373,MATCH($A182-90,$A$5:$A$373,1)):INDEX($Q$5:$Q$373,MATCH($A182+90,$A$5:$A$373,1))),"")</f>
        <v>1.06116354716579</v>
      </c>
    </row>
    <row r="183" customFormat="false" ht="15" hidden="false" customHeight="false" outlineLevel="0" collapsed="false">
      <c r="A183" s="13" t="n">
        <v>45811.8085070486</v>
      </c>
      <c r="B183" s="8" t="n">
        <v>19</v>
      </c>
      <c r="C183" s="8" t="s">
        <v>64</v>
      </c>
      <c r="D183" s="8" t="s">
        <v>1393</v>
      </c>
      <c r="E183" s="14" t="s">
        <v>66</v>
      </c>
      <c r="F183" s="9" t="n">
        <v>4849</v>
      </c>
      <c r="G183" s="9" t="n">
        <v>153</v>
      </c>
      <c r="H183" s="9" t="n">
        <v>146</v>
      </c>
      <c r="I183" s="9" t="n">
        <v>78</v>
      </c>
      <c r="J183" s="9" t="n">
        <v>36</v>
      </c>
      <c r="K183" s="9" t="n">
        <v>3</v>
      </c>
      <c r="L183" s="9" t="n">
        <v>1</v>
      </c>
      <c r="M183" s="10" t="n">
        <f aca="false">IFERROR(G183/F183,"")</f>
        <v>0.0315528975046401</v>
      </c>
      <c r="N183" s="10" t="n">
        <f aca="false">IFERROR(H183/G183,"")</f>
        <v>0.954248366013072</v>
      </c>
      <c r="O183" s="11" t="n">
        <f aca="false">IFERROR(I183/H183,"")</f>
        <v>0.534246575342466</v>
      </c>
      <c r="P183" s="10" t="n">
        <f aca="false">IFERROR(J183/H183,"")</f>
        <v>0.246575342465753</v>
      </c>
      <c r="Q183" s="10" t="n">
        <f aca="false">IFERROR(K183/H183,"")</f>
        <v>0.0205479452054795</v>
      </c>
      <c r="R183" s="10" t="n">
        <f aca="false">IFERROR(L183/H183,"")</f>
        <v>0.00684931506849315</v>
      </c>
      <c r="S183" s="11" t="n">
        <f aca="false">IFERROR(M183/MEDIAN(INDEX($M$5:$M$373,MATCH($A183-90,$A$5:$A$373,1)):INDEX($M$5:$M$373,MATCH($A183+90,$A$5:$A$373,1))),"")</f>
        <v>0.633441946793153</v>
      </c>
      <c r="T183" s="11" t="n">
        <f aca="false">IFERROR(N183/MEDIAN(INDEX($N$5:$N$373,MATCH($A183-90,$A$5:$A$373,1)):INDEX($N$5:$N$373,MATCH($A183+90,$A$5:$A$373,1))),"")</f>
        <v>0.967634615636502</v>
      </c>
      <c r="U183" s="11" t="n">
        <f aca="false">IFERROR(Q183/MEDIAN(INDEX($Q$5:$Q$373,MATCH($A183-90,$A$5:$A$373,1)):INDEX($Q$5:$Q$373,MATCH($A183+90,$A$5:$A$373,1))),"")</f>
        <v>1.0222602739726</v>
      </c>
    </row>
    <row r="184" customFormat="false" ht="15" hidden="false" customHeight="false" outlineLevel="0" collapsed="false">
      <c r="A184" s="13" t="n">
        <v>45812.2948208333</v>
      </c>
      <c r="B184" s="8" t="n">
        <v>7</v>
      </c>
      <c r="C184" s="8" t="s">
        <v>71</v>
      </c>
      <c r="D184" s="8" t="s">
        <v>1394</v>
      </c>
      <c r="E184" s="14" t="s">
        <v>66</v>
      </c>
      <c r="F184" s="9" t="n">
        <v>5219</v>
      </c>
      <c r="G184" s="9" t="n">
        <v>178</v>
      </c>
      <c r="H184" s="9" t="n">
        <v>174</v>
      </c>
      <c r="I184" s="9" t="n">
        <v>99</v>
      </c>
      <c r="J184" s="9" t="n">
        <v>41</v>
      </c>
      <c r="K184" s="9" t="n">
        <v>8</v>
      </c>
      <c r="L184" s="9" t="n">
        <v>0</v>
      </c>
      <c r="M184" s="10" t="n">
        <f aca="false">IFERROR(G184/F184,"")</f>
        <v>0.0341061506035639</v>
      </c>
      <c r="N184" s="10" t="n">
        <f aca="false">IFERROR(H184/G184,"")</f>
        <v>0.97752808988764</v>
      </c>
      <c r="O184" s="11" t="n">
        <f aca="false">IFERROR(I184/H184,"")</f>
        <v>0.568965517241379</v>
      </c>
      <c r="P184" s="10" t="n">
        <f aca="false">IFERROR(J184/H184,"")</f>
        <v>0.235632183908046</v>
      </c>
      <c r="Q184" s="10" t="n">
        <f aca="false">IFERROR(K184/H184,"")</f>
        <v>0.0459770114942529</v>
      </c>
      <c r="R184" s="10" t="n">
        <f aca="false">IFERROR(L184/H184,"")</f>
        <v>0</v>
      </c>
      <c r="S184" s="11" t="n">
        <f aca="false">IFERROR(M184/MEDIAN(INDEX($M$5:$M$373,MATCH($A184-90,$A$5:$A$373,1)):INDEX($M$5:$M$373,MATCH($A184+90,$A$5:$A$373,1))),"")</f>
        <v>0.684699921227992</v>
      </c>
      <c r="T184" s="11" t="n">
        <f aca="false">IFERROR(N184/MEDIAN(INDEX($N$5:$N$373,MATCH($A184-90,$A$5:$A$373,1)):INDEX($N$5:$N$373,MATCH($A184+90,$A$5:$A$373,1))),"")</f>
        <v>0.99124090878386</v>
      </c>
      <c r="U184" s="11" t="n">
        <f aca="false">IFERROR(Q184/MEDIAN(INDEX($Q$5:$Q$373,MATCH($A184-90,$A$5:$A$373,1)):INDEX($Q$5:$Q$373,MATCH($A184+90,$A$5:$A$373,1))),"")</f>
        <v>2.28735632183908</v>
      </c>
    </row>
    <row r="185" customFormat="false" ht="15" hidden="false" customHeight="false" outlineLevel="0" collapsed="false">
      <c r="A185" s="13" t="n">
        <v>45813.287351088</v>
      </c>
      <c r="B185" s="8" t="n">
        <v>6</v>
      </c>
      <c r="C185" s="8" t="s">
        <v>73</v>
      </c>
      <c r="D185" s="8" t="s">
        <v>1362</v>
      </c>
      <c r="E185" s="14" t="s">
        <v>66</v>
      </c>
      <c r="F185" s="9" t="n">
        <v>4947</v>
      </c>
      <c r="G185" s="9" t="n">
        <v>203</v>
      </c>
      <c r="H185" s="9" t="n">
        <v>194</v>
      </c>
      <c r="I185" s="9" t="n">
        <v>125</v>
      </c>
      <c r="J185" s="9" t="n">
        <v>46</v>
      </c>
      <c r="K185" s="9" t="n">
        <v>13</v>
      </c>
      <c r="L185" s="9" t="n">
        <v>3</v>
      </c>
      <c r="M185" s="10" t="n">
        <f aca="false">IFERROR(G185/F185,"")</f>
        <v>0.0410349706893067</v>
      </c>
      <c r="N185" s="10" t="n">
        <f aca="false">IFERROR(H185/G185,"")</f>
        <v>0.955665024630542</v>
      </c>
      <c r="O185" s="11" t="n">
        <f aca="false">IFERROR(I185/H185,"")</f>
        <v>0.644329896907217</v>
      </c>
      <c r="P185" s="10" t="n">
        <f aca="false">IFERROR(J185/H185,"")</f>
        <v>0.237113402061856</v>
      </c>
      <c r="Q185" s="10" t="n">
        <f aca="false">IFERROR(K185/H185,"")</f>
        <v>0.0670103092783505</v>
      </c>
      <c r="R185" s="10" t="n">
        <f aca="false">IFERROR(L185/H185,"")</f>
        <v>0.0154639175257732</v>
      </c>
      <c r="S185" s="11" t="n">
        <f aca="false">IFERROR(M185/MEDIAN(INDEX($M$5:$M$373,MATCH($A185-90,$A$5:$A$373,1)):INDEX($M$5:$M$373,MATCH($A185+90,$A$5:$A$373,1))),"")</f>
        <v>0.823891012524682</v>
      </c>
      <c r="T185" s="11" t="n">
        <f aca="false">IFERROR(N185/MEDIAN(INDEX($N$5:$N$373,MATCH($A185-90,$A$5:$A$373,1)):INDEX($N$5:$N$373,MATCH($A185+90,$A$5:$A$373,1))),"")</f>
        <v>0.969020043959081</v>
      </c>
      <c r="U185" s="11" t="n">
        <f aca="false">IFERROR(Q185/MEDIAN(INDEX($Q$5:$Q$373,MATCH($A185-90,$A$5:$A$373,1)):INDEX($Q$5:$Q$373,MATCH($A185+90,$A$5:$A$373,1))),"")</f>
        <v>3.29706608937036</v>
      </c>
    </row>
    <row r="186" customFormat="false" ht="15" hidden="false" customHeight="false" outlineLevel="0" collapsed="false">
      <c r="A186" s="13" t="n">
        <v>45814.294158044</v>
      </c>
      <c r="B186" s="8" t="n">
        <v>7</v>
      </c>
      <c r="C186" s="8" t="s">
        <v>84</v>
      </c>
      <c r="D186" s="8" t="s">
        <v>1395</v>
      </c>
      <c r="E186" s="14" t="s">
        <v>66</v>
      </c>
      <c r="F186" s="9" t="n">
        <v>5020</v>
      </c>
      <c r="G186" s="9" t="n">
        <v>250</v>
      </c>
      <c r="H186" s="9" t="n">
        <v>225</v>
      </c>
      <c r="I186" s="9" t="n">
        <v>108</v>
      </c>
      <c r="J186" s="9" t="n">
        <v>52</v>
      </c>
      <c r="K186" s="9" t="n">
        <v>4</v>
      </c>
      <c r="L186" s="9" t="n">
        <v>3</v>
      </c>
      <c r="M186" s="10" t="n">
        <f aca="false">IFERROR(G186/F186,"")</f>
        <v>0.049800796812749</v>
      </c>
      <c r="N186" s="10" t="n">
        <f aca="false">IFERROR(H186/G186,"")</f>
        <v>0.9</v>
      </c>
      <c r="O186" s="11" t="n">
        <f aca="false">IFERROR(I186/H186,"")</f>
        <v>0.48</v>
      </c>
      <c r="P186" s="10" t="n">
        <f aca="false">IFERROR(J186/H186,"")</f>
        <v>0.231111111111111</v>
      </c>
      <c r="Q186" s="10" t="n">
        <f aca="false">IFERROR(K186/H186,"")</f>
        <v>0.0177777777777778</v>
      </c>
      <c r="R186" s="10" t="n">
        <f aca="false">IFERROR(L186/H186,"")</f>
        <v>0.0133333333333333</v>
      </c>
      <c r="S186" s="11" t="n">
        <f aca="false">IFERROR(M186/MEDIAN(INDEX($M$5:$M$373,MATCH($A186-90,$A$5:$A$373,1)):INDEX($M$5:$M$373,MATCH($A186+90,$A$5:$A$373,1))),"")</f>
        <v>0.99988931931378</v>
      </c>
      <c r="T186" s="11" t="n">
        <f aca="false">IFERROR(N186/MEDIAN(INDEX($N$5:$N$373,MATCH($A186-90,$A$5:$A$373,1)):INDEX($N$5:$N$373,MATCH($A186+90,$A$5:$A$373,1))),"")</f>
        <v>0.912577123872805</v>
      </c>
      <c r="U186" s="11" t="n">
        <f aca="false">IFERROR(Q186/MEDIAN(INDEX($Q$5:$Q$373,MATCH($A186-90,$A$5:$A$373,1)):INDEX($Q$5:$Q$373,MATCH($A186+90,$A$5:$A$373,1))),"")</f>
        <v>0.874708815504751</v>
      </c>
    </row>
    <row r="187" customFormat="false" ht="15" hidden="false" customHeight="false" outlineLevel="0" collapsed="false">
      <c r="A187" s="13" t="n">
        <v>45815.2889774421</v>
      </c>
      <c r="B187" s="8" t="n">
        <v>6</v>
      </c>
      <c r="C187" s="8" t="s">
        <v>68</v>
      </c>
      <c r="D187" s="8" t="s">
        <v>1366</v>
      </c>
      <c r="E187" s="14" t="s">
        <v>66</v>
      </c>
      <c r="F187" s="9" t="n">
        <v>5092</v>
      </c>
      <c r="G187" s="9" t="n">
        <v>187</v>
      </c>
      <c r="H187" s="9" t="n">
        <v>179</v>
      </c>
      <c r="I187" s="9" t="n">
        <v>102</v>
      </c>
      <c r="J187" s="9" t="n">
        <v>38</v>
      </c>
      <c r="K187" s="9" t="n">
        <v>7</v>
      </c>
      <c r="L187" s="9" t="n">
        <v>0</v>
      </c>
      <c r="M187" s="10" t="n">
        <f aca="false">IFERROR(G187/F187,"")</f>
        <v>0.0367242733699921</v>
      </c>
      <c r="N187" s="10" t="n">
        <f aca="false">IFERROR(H187/G187,"")</f>
        <v>0.957219251336898</v>
      </c>
      <c r="O187" s="11" t="n">
        <f aca="false">IFERROR(I187/H187,"")</f>
        <v>0.569832402234637</v>
      </c>
      <c r="P187" s="10" t="n">
        <f aca="false">IFERROR(J187/H187,"")</f>
        <v>0.212290502793296</v>
      </c>
      <c r="Q187" s="10" t="n">
        <f aca="false">IFERROR(K187/H187,"")</f>
        <v>0.0391061452513967</v>
      </c>
      <c r="R187" s="10" t="n">
        <f aca="false">IFERROR(L187/H187,"")</f>
        <v>0</v>
      </c>
      <c r="S187" s="11" t="n">
        <f aca="false">IFERROR(M187/MEDIAN(INDEX($M$5:$M$373,MATCH($A187-90,$A$5:$A$373,1)):INDEX($M$5:$M$373,MATCH($A187+90,$A$5:$A$373,1))),"")</f>
        <v>0.737260190276687</v>
      </c>
      <c r="T187" s="11" t="n">
        <f aca="false">IFERROR(N187/MEDIAN(INDEX($N$5:$N$373,MATCH($A187-90,$A$5:$A$373,1)):INDEX($N$5:$N$373,MATCH($A187+90,$A$5:$A$373,1))),"")</f>
        <v>0.97054480936015</v>
      </c>
      <c r="U187" s="11" t="n">
        <f aca="false">IFERROR(Q187/MEDIAN(INDEX($Q$5:$Q$373,MATCH($A187-90,$A$5:$A$373,1)):INDEX($Q$5:$Q$373,MATCH($A187+90,$A$5:$A$373,1))),"")</f>
        <v>1.90316573556797</v>
      </c>
    </row>
    <row r="188" customFormat="false" ht="15" hidden="false" customHeight="false" outlineLevel="0" collapsed="false">
      <c r="A188" s="13" t="n">
        <v>45816.2073048611</v>
      </c>
      <c r="B188" s="8" t="n">
        <v>4</v>
      </c>
      <c r="C188" s="8" t="s">
        <v>86</v>
      </c>
      <c r="D188" s="8" t="s">
        <v>1396</v>
      </c>
      <c r="E188" s="14" t="s">
        <v>66</v>
      </c>
      <c r="F188" s="9" t="n">
        <v>4994</v>
      </c>
      <c r="G188" s="9" t="n">
        <v>357</v>
      </c>
      <c r="H188" s="9" t="n">
        <v>350</v>
      </c>
      <c r="I188" s="9" t="n">
        <v>231</v>
      </c>
      <c r="J188" s="9" t="n">
        <v>59</v>
      </c>
      <c r="K188" s="9" t="n">
        <v>29</v>
      </c>
      <c r="L188" s="9" t="n">
        <v>4</v>
      </c>
      <c r="M188" s="10" t="n">
        <f aca="false">IFERROR(G188/F188,"")</f>
        <v>0.0714857829395274</v>
      </c>
      <c r="N188" s="10" t="n">
        <f aca="false">IFERROR(H188/G188,"")</f>
        <v>0.980392156862745</v>
      </c>
      <c r="O188" s="11" t="n">
        <f aca="false">IFERROR(I188/H188,"")</f>
        <v>0.66</v>
      </c>
      <c r="P188" s="10" t="n">
        <f aca="false">IFERROR(J188/H188,"")</f>
        <v>0.168571428571429</v>
      </c>
      <c r="Q188" s="10" t="n">
        <f aca="false">IFERROR(K188/H188,"")</f>
        <v>0.0828571428571429</v>
      </c>
      <c r="R188" s="10" t="n">
        <f aca="false">IFERROR(L188/H188,"")</f>
        <v>0.0114285714285714</v>
      </c>
      <c r="S188" s="11" t="n">
        <f aca="false">IFERROR(M188/MEDIAN(INDEX($M$5:$M$373,MATCH($A188-90,$A$5:$A$373,1)):INDEX($M$5:$M$373,MATCH($A188+90,$A$5:$A$373,1))),"")</f>
        <v>1.43511680683487</v>
      </c>
      <c r="T188" s="11" t="n">
        <f aca="false">IFERROR(N188/MEDIAN(INDEX($N$5:$N$373,MATCH($A188-90,$A$5:$A$373,1)):INDEX($N$5:$N$373,MATCH($A188+90,$A$5:$A$373,1))),"")</f>
        <v>0.994040307538329</v>
      </c>
      <c r="U188" s="11" t="n">
        <f aca="false">IFERROR(Q188/MEDIAN(INDEX($Q$5:$Q$373,MATCH($A188-90,$A$5:$A$373,1)):INDEX($Q$5:$Q$373,MATCH($A188+90,$A$5:$A$373,1))),"")</f>
        <v>4.03238095238095</v>
      </c>
    </row>
    <row r="189" customFormat="false" ht="15" hidden="false" customHeight="false" outlineLevel="0" collapsed="false">
      <c r="A189" s="13" t="n">
        <v>45817.2230861458</v>
      </c>
      <c r="B189" s="8" t="n">
        <v>5</v>
      </c>
      <c r="C189" s="8" t="s">
        <v>80</v>
      </c>
      <c r="D189" s="8" t="s">
        <v>1397</v>
      </c>
      <c r="E189" s="14" t="s">
        <v>66</v>
      </c>
      <c r="F189" s="9" t="n">
        <v>5357</v>
      </c>
      <c r="G189" s="9" t="n">
        <v>338</v>
      </c>
      <c r="H189" s="9" t="n">
        <v>311</v>
      </c>
      <c r="I189" s="9" t="n">
        <v>173</v>
      </c>
      <c r="J189" s="9" t="n">
        <v>49</v>
      </c>
      <c r="K189" s="9" t="n">
        <v>9</v>
      </c>
      <c r="L189" s="9" t="n">
        <v>1</v>
      </c>
      <c r="M189" s="10" t="n">
        <f aca="false">IFERROR(G189/F189,"")</f>
        <v>0.0630950158670898</v>
      </c>
      <c r="N189" s="10" t="n">
        <f aca="false">IFERROR(H189/G189,"")</f>
        <v>0.920118343195266</v>
      </c>
      <c r="O189" s="11" t="n">
        <f aca="false">IFERROR(I189/H189,"")</f>
        <v>0.556270096463023</v>
      </c>
      <c r="P189" s="10" t="n">
        <f aca="false">IFERROR(J189/H189,"")</f>
        <v>0.157556270096463</v>
      </c>
      <c r="Q189" s="10" t="n">
        <f aca="false">IFERROR(K189/H189,"")</f>
        <v>0.0289389067524116</v>
      </c>
      <c r="R189" s="10" t="n">
        <f aca="false">IFERROR(L189/H189,"")</f>
        <v>0.00321543408360129</v>
      </c>
      <c r="S189" s="11" t="n">
        <f aca="false">IFERROR(M189/MEDIAN(INDEX($M$5:$M$373,MATCH($A189-90,$A$5:$A$373,1)):INDEX($M$5:$M$373,MATCH($A189+90,$A$5:$A$373,1))),"")</f>
        <v>1.26666749631842</v>
      </c>
      <c r="T189" s="11" t="n">
        <f aca="false">IFERROR(N189/MEDIAN(INDEX($N$5:$N$373,MATCH($A189-90,$A$5:$A$373,1)):INDEX($N$5:$N$373,MATCH($A189+90,$A$5:$A$373,1))),"")</f>
        <v>0.93292741525831</v>
      </c>
      <c r="U189" s="11" t="n">
        <f aca="false">IFERROR(Q189/MEDIAN(INDEX($Q$5:$Q$373,MATCH($A189-90,$A$5:$A$373,1)):INDEX($Q$5:$Q$373,MATCH($A189+90,$A$5:$A$373,1))),"")</f>
        <v>1.40836012861736</v>
      </c>
    </row>
    <row r="190" customFormat="false" ht="15" hidden="false" customHeight="false" outlineLevel="0" collapsed="false">
      <c r="A190" s="13" t="n">
        <v>45818.2109817477</v>
      </c>
      <c r="B190" s="8" t="n">
        <v>5</v>
      </c>
      <c r="C190" s="8" t="s">
        <v>64</v>
      </c>
      <c r="D190" s="8" t="s">
        <v>1398</v>
      </c>
      <c r="E190" s="14" t="s">
        <v>66</v>
      </c>
      <c r="F190" s="9" t="n">
        <v>4984</v>
      </c>
      <c r="G190" s="9" t="n">
        <v>228</v>
      </c>
      <c r="H190" s="9" t="n">
        <v>219</v>
      </c>
      <c r="I190" s="9" t="n">
        <v>87</v>
      </c>
      <c r="J190" s="9" t="n">
        <v>36</v>
      </c>
      <c r="K190" s="9" t="n">
        <v>3</v>
      </c>
      <c r="L190" s="9" t="n">
        <v>3</v>
      </c>
      <c r="M190" s="10" t="n">
        <f aca="false">IFERROR(G190/F190,"")</f>
        <v>0.0457463884430177</v>
      </c>
      <c r="N190" s="10" t="n">
        <f aca="false">IFERROR(H190/G190,"")</f>
        <v>0.960526315789474</v>
      </c>
      <c r="O190" s="11" t="n">
        <f aca="false">IFERROR(I190/H190,"")</f>
        <v>0.397260273972603</v>
      </c>
      <c r="P190" s="10" t="n">
        <f aca="false">IFERROR(J190/H190,"")</f>
        <v>0.164383561643836</v>
      </c>
      <c r="Q190" s="10" t="n">
        <f aca="false">IFERROR(K190/H190,"")</f>
        <v>0.0136986301369863</v>
      </c>
      <c r="R190" s="10" t="n">
        <f aca="false">IFERROR(L190/H190,"")</f>
        <v>0.0136986301369863</v>
      </c>
      <c r="S190" s="11" t="n">
        <f aca="false">IFERROR(M190/MEDIAN(INDEX($M$5:$M$373,MATCH($A190-90,$A$5:$A$373,1)):INDEX($M$5:$M$373,MATCH($A190+90,$A$5:$A$373,1))),"")</f>
        <v>0.918485810043162</v>
      </c>
      <c r="T190" s="11" t="n">
        <f aca="false">IFERROR(N190/MEDIAN(INDEX($N$5:$N$373,MATCH($A190-90,$A$5:$A$373,1)):INDEX($N$5:$N$373,MATCH($A190+90,$A$5:$A$373,1))),"")</f>
        <v>0.973721672919923</v>
      </c>
      <c r="U190" s="11" t="n">
        <f aca="false">IFERROR(Q190/MEDIAN(INDEX($Q$5:$Q$373,MATCH($A190-90,$A$5:$A$373,1)):INDEX($Q$5:$Q$373,MATCH($A190+90,$A$5:$A$373,1))),"")</f>
        <v>0.674005080440305</v>
      </c>
    </row>
    <row r="191" customFormat="false" ht="15" hidden="false" customHeight="false" outlineLevel="0" collapsed="false">
      <c r="A191" s="13" t="n">
        <v>45819.3894895486</v>
      </c>
      <c r="B191" s="8" t="n">
        <v>9</v>
      </c>
      <c r="C191" s="8" t="s">
        <v>71</v>
      </c>
      <c r="D191" s="8" t="s">
        <v>1399</v>
      </c>
      <c r="E191" s="14" t="s">
        <v>66</v>
      </c>
      <c r="F191" s="9" t="n">
        <v>4986</v>
      </c>
      <c r="G191" s="9" t="n">
        <v>437</v>
      </c>
      <c r="H191" s="9" t="n">
        <v>431</v>
      </c>
      <c r="I191" s="9" t="n">
        <v>230</v>
      </c>
      <c r="J191" s="9" t="n">
        <v>61</v>
      </c>
      <c r="K191" s="9" t="n">
        <v>8</v>
      </c>
      <c r="L191" s="9" t="n">
        <v>1</v>
      </c>
      <c r="M191" s="10" t="n">
        <f aca="false">IFERROR(G191/F191,"")</f>
        <v>0.087645407139992</v>
      </c>
      <c r="N191" s="10" t="n">
        <f aca="false">IFERROR(H191/G191,"")</f>
        <v>0.986270022883295</v>
      </c>
      <c r="O191" s="11" t="n">
        <f aca="false">IFERROR(I191/H191,"")</f>
        <v>0.533642691415313</v>
      </c>
      <c r="P191" s="10" t="n">
        <f aca="false">IFERROR(J191/H191,"")</f>
        <v>0.1415313225058</v>
      </c>
      <c r="Q191" s="10" t="n">
        <f aca="false">IFERROR(K191/H191,"")</f>
        <v>0.0185614849187935</v>
      </c>
      <c r="R191" s="10" t="n">
        <f aca="false">IFERROR(L191/H191,"")</f>
        <v>0.00232018561484919</v>
      </c>
      <c r="S191" s="11" t="n">
        <f aca="false">IFERROR(M191/MEDIAN(INDEX($M$5:$M$373,MATCH($A191-90,$A$5:$A$373,1)):INDEX($M$5:$M$373,MATCH($A191+90,$A$5:$A$373,1))),"")</f>
        <v>1.75972498624261</v>
      </c>
      <c r="T191" s="11" t="n">
        <f aca="false">IFERROR(N191/MEDIAN(INDEX($N$5:$N$373,MATCH($A191-90,$A$5:$A$373,1)):INDEX($N$5:$N$373,MATCH($A191+90,$A$5:$A$373,1))),"")</f>
        <v>0.999819037590201</v>
      </c>
      <c r="U191" s="11" t="n">
        <f aca="false">IFERROR(Q191/MEDIAN(INDEX($Q$5:$Q$373,MATCH($A191-90,$A$5:$A$373,1)):INDEX($Q$5:$Q$373,MATCH($A191+90,$A$5:$A$373,1))),"")</f>
        <v>0.913269064912153</v>
      </c>
    </row>
    <row r="192" customFormat="false" ht="15" hidden="false" customHeight="false" outlineLevel="0" collapsed="false">
      <c r="A192" s="13" t="n">
        <v>45820.2108123727</v>
      </c>
      <c r="B192" s="8" t="n">
        <v>5</v>
      </c>
      <c r="C192" s="8" t="s">
        <v>73</v>
      </c>
      <c r="D192" s="8" t="s">
        <v>1400</v>
      </c>
      <c r="E192" s="14" t="s">
        <v>66</v>
      </c>
      <c r="F192" s="9" t="n">
        <v>4642</v>
      </c>
      <c r="G192" s="9" t="n">
        <v>199</v>
      </c>
      <c r="H192" s="9" t="n">
        <v>195</v>
      </c>
      <c r="I192" s="9" t="n">
        <v>103</v>
      </c>
      <c r="J192" s="9" t="n">
        <v>25</v>
      </c>
      <c r="K192" s="9" t="n">
        <v>1</v>
      </c>
      <c r="L192" s="9" t="n">
        <v>2</v>
      </c>
      <c r="M192" s="10" t="n">
        <f aca="false">IFERROR(G192/F192,"")</f>
        <v>0.0428694528220595</v>
      </c>
      <c r="N192" s="10" t="n">
        <f aca="false">IFERROR(H192/G192,"")</f>
        <v>0.979899497487437</v>
      </c>
      <c r="O192" s="11" t="n">
        <f aca="false">IFERROR(I192/H192,"")</f>
        <v>0.528205128205128</v>
      </c>
      <c r="P192" s="10" t="n">
        <f aca="false">IFERROR(J192/H192,"")</f>
        <v>0.128205128205128</v>
      </c>
      <c r="Q192" s="10" t="n">
        <f aca="false">IFERROR(K192/H192,"")</f>
        <v>0.00512820512820513</v>
      </c>
      <c r="R192" s="10" t="n">
        <f aca="false">IFERROR(L192/H192,"")</f>
        <v>0.0102564102564103</v>
      </c>
      <c r="S192" s="11" t="n">
        <f aca="false">IFERROR(M192/MEDIAN(INDEX($M$5:$M$373,MATCH($A192-90,$A$5:$A$373,1)):INDEX($M$5:$M$373,MATCH($A192+90,$A$5:$A$373,1))),"")</f>
        <v>0.860628081765523</v>
      </c>
      <c r="T192" s="11" t="n">
        <f aca="false">IFERROR(N192/MEDIAN(INDEX($N$5:$N$373,MATCH($A192-90,$A$5:$A$373,1)):INDEX($N$5:$N$373,MATCH($A192+90,$A$5:$A$373,1))),"")</f>
        <v>0.993181267784707</v>
      </c>
      <c r="U192" s="11" t="n">
        <f aca="false">IFERROR(Q192/MEDIAN(INDEX($Q$5:$Q$373,MATCH($A192-90,$A$5:$A$373,1)):INDEX($Q$5:$Q$373,MATCH($A192+90,$A$5:$A$373,1))),"")</f>
        <v>0.24957264957265</v>
      </c>
    </row>
    <row r="193" customFormat="false" ht="15" hidden="false" customHeight="false" outlineLevel="0" collapsed="false">
      <c r="A193" s="13" t="n">
        <v>45821.3898308449</v>
      </c>
      <c r="B193" s="8" t="n">
        <v>9</v>
      </c>
      <c r="C193" s="8" t="s">
        <v>84</v>
      </c>
      <c r="D193" s="8" t="s">
        <v>1401</v>
      </c>
      <c r="E193" s="14" t="s">
        <v>66</v>
      </c>
      <c r="F193" s="9" t="n">
        <v>5486</v>
      </c>
      <c r="G193" s="9" t="n">
        <v>435</v>
      </c>
      <c r="H193" s="9" t="n">
        <v>427</v>
      </c>
      <c r="I193" s="9" t="n">
        <v>160</v>
      </c>
      <c r="J193" s="9" t="n">
        <v>51</v>
      </c>
      <c r="K193" s="9" t="n">
        <v>0</v>
      </c>
      <c r="L193" s="9" t="n">
        <v>2</v>
      </c>
      <c r="M193" s="10" t="n">
        <f aca="false">IFERROR(G193/F193,"")</f>
        <v>0.0792927451695224</v>
      </c>
      <c r="N193" s="10" t="n">
        <f aca="false">IFERROR(H193/G193,"")</f>
        <v>0.981609195402299</v>
      </c>
      <c r="O193" s="11" t="n">
        <f aca="false">IFERROR(I193/H193,"")</f>
        <v>0.374707259953162</v>
      </c>
      <c r="P193" s="10" t="n">
        <f aca="false">IFERROR(J193/H193,"")</f>
        <v>0.11943793911007</v>
      </c>
      <c r="Q193" s="10" t="n">
        <f aca="false">IFERROR(K193/H193,"")</f>
        <v>0</v>
      </c>
      <c r="R193" s="10" t="n">
        <f aca="false">IFERROR(L193/H193,"")</f>
        <v>0.00468384074941452</v>
      </c>
      <c r="S193" s="11" t="n">
        <f aca="false">IFERROR(M193/MEDIAN(INDEX($M$5:$M$373,MATCH($A193-90,$A$5:$A$373,1)):INDEX($M$5:$M$373,MATCH($A193+90,$A$5:$A$373,1))),"")</f>
        <v>1.59184591080326</v>
      </c>
      <c r="T193" s="11" t="n">
        <f aca="false">IFERROR(N193/MEDIAN(INDEX($N$5:$N$373,MATCH($A193-90,$A$5:$A$373,1)):INDEX($N$5:$N$373,MATCH($A193+90,$A$5:$A$373,1))),"")</f>
        <v>0.994914139315884</v>
      </c>
      <c r="U193" s="11" t="n">
        <f aca="false">IFERROR(Q193/MEDIAN(INDEX($Q$5:$Q$373,MATCH($A193-90,$A$5:$A$373,1)):INDEX($Q$5:$Q$373,MATCH($A193+90,$A$5:$A$373,1))),"")</f>
        <v>0</v>
      </c>
    </row>
    <row r="194" customFormat="false" ht="15" hidden="false" customHeight="false" outlineLevel="0" collapsed="false">
      <c r="A194" s="13" t="n">
        <v>45822.3906144329</v>
      </c>
      <c r="B194" s="8" t="n">
        <v>9</v>
      </c>
      <c r="C194" s="8" t="s">
        <v>68</v>
      </c>
      <c r="D194" s="8" t="s">
        <v>1402</v>
      </c>
      <c r="E194" s="14" t="s">
        <v>66</v>
      </c>
      <c r="F194" s="9" t="n">
        <v>5621</v>
      </c>
      <c r="G194" s="9" t="n">
        <v>813</v>
      </c>
      <c r="H194" s="9" t="n">
        <v>786</v>
      </c>
      <c r="I194" s="9" t="n">
        <v>290</v>
      </c>
      <c r="J194" s="9" t="n">
        <v>62</v>
      </c>
      <c r="K194" s="9" t="n">
        <v>9</v>
      </c>
      <c r="L194" s="9" t="n">
        <v>4</v>
      </c>
      <c r="M194" s="10" t="n">
        <f aca="false">IFERROR(G194/F194,"")</f>
        <v>0.144636185732076</v>
      </c>
      <c r="N194" s="10" t="n">
        <f aca="false">IFERROR(H194/G194,"")</f>
        <v>0.966789667896679</v>
      </c>
      <c r="O194" s="11" t="n">
        <f aca="false">IFERROR(I194/H194,"")</f>
        <v>0.368956743002545</v>
      </c>
      <c r="P194" s="10" t="n">
        <f aca="false">IFERROR(J194/H194,"")</f>
        <v>0.0788804071246819</v>
      </c>
      <c r="Q194" s="10" t="n">
        <f aca="false">IFERROR(K194/H194,"")</f>
        <v>0.0114503816793893</v>
      </c>
      <c r="R194" s="10" t="n">
        <f aca="false">IFERROR(L194/H194,"")</f>
        <v>0.00508905852417303</v>
      </c>
      <c r="S194" s="11" t="n">
        <f aca="false">IFERROR(M194/MEDIAN(INDEX($M$5:$M$373,MATCH($A194-90,$A$5:$A$373,1)):INDEX($M$5:$M$373,MATCH($A194+90,$A$5:$A$373,1))),"")</f>
        <v>2.90397316017972</v>
      </c>
      <c r="T194" s="11" t="n">
        <f aca="false">IFERROR(N194/MEDIAN(INDEX($N$5:$N$373,MATCH($A194-90,$A$5:$A$373,1)):INDEX($N$5:$N$373,MATCH($A194+90,$A$5:$A$373,1))),"")</f>
        <v>0.979874068534465</v>
      </c>
      <c r="U194" s="11" t="n">
        <f aca="false">IFERROR(Q194/MEDIAN(INDEX($Q$5:$Q$373,MATCH($A194-90,$A$5:$A$373,1)):INDEX($Q$5:$Q$373,MATCH($A194+90,$A$5:$A$373,1))),"")</f>
        <v>0.55257836007788</v>
      </c>
    </row>
    <row r="195" customFormat="false" ht="15" hidden="false" customHeight="false" outlineLevel="0" collapsed="false">
      <c r="A195" s="13" t="n">
        <v>45823.2116100232</v>
      </c>
      <c r="B195" s="8" t="n">
        <v>5</v>
      </c>
      <c r="C195" s="8" t="s">
        <v>86</v>
      </c>
      <c r="D195" s="8" t="s">
        <v>1403</v>
      </c>
      <c r="E195" s="14" t="s">
        <v>66</v>
      </c>
      <c r="F195" s="9" t="n">
        <v>5581</v>
      </c>
      <c r="G195" s="9" t="n">
        <v>622</v>
      </c>
      <c r="H195" s="9" t="n">
        <v>540</v>
      </c>
      <c r="I195" s="9" t="n">
        <v>151</v>
      </c>
      <c r="J195" s="9" t="n">
        <v>47</v>
      </c>
      <c r="K195" s="9" t="n">
        <v>4</v>
      </c>
      <c r="L195" s="9" t="n">
        <v>0</v>
      </c>
      <c r="M195" s="10" t="n">
        <f aca="false">IFERROR(G195/F195,"")</f>
        <v>0.111449561010572</v>
      </c>
      <c r="N195" s="10" t="n">
        <f aca="false">IFERROR(H195/G195,"")</f>
        <v>0.868167202572347</v>
      </c>
      <c r="O195" s="11" t="n">
        <f aca="false">IFERROR(I195/H195,"")</f>
        <v>0.27962962962963</v>
      </c>
      <c r="P195" s="10" t="n">
        <f aca="false">IFERROR(J195/H195,"")</f>
        <v>0.087037037037037</v>
      </c>
      <c r="Q195" s="10" t="n">
        <f aca="false">IFERROR(K195/H195,"")</f>
        <v>0.00740740740740741</v>
      </c>
      <c r="R195" s="10" t="n">
        <f aca="false">IFERROR(L195/H195,"")</f>
        <v>0</v>
      </c>
      <c r="S195" s="11" t="n">
        <f aca="false">IFERROR(M195/MEDIAN(INDEX($M$5:$M$373,MATCH($A195-90,$A$5:$A$373,1)):INDEX($M$5:$M$373,MATCH($A195+90,$A$5:$A$373,1))),"")</f>
        <v>2.23765949198933</v>
      </c>
      <c r="T195" s="11" t="n">
        <f aca="false">IFERROR(N195/MEDIAN(INDEX($N$5:$N$373,MATCH($A195-90,$A$5:$A$373,1)):INDEX($N$5:$N$373,MATCH($A195+90,$A$5:$A$373,1))),"")</f>
        <v>0.879916860099982</v>
      </c>
      <c r="U195" s="11" t="n">
        <f aca="false">IFERROR(Q195/MEDIAN(INDEX($Q$5:$Q$373,MATCH($A195-90,$A$5:$A$373,1)):INDEX($Q$5:$Q$373,MATCH($A195+90,$A$5:$A$373,1))),"")</f>
        <v>0.35747044528495</v>
      </c>
    </row>
    <row r="196" customFormat="false" ht="15" hidden="false" customHeight="false" outlineLevel="0" collapsed="false">
      <c r="A196" s="13" t="n">
        <v>45824.0579265857</v>
      </c>
      <c r="B196" s="8" t="n">
        <v>1</v>
      </c>
      <c r="C196" s="8" t="s">
        <v>80</v>
      </c>
      <c r="D196" s="8" t="s">
        <v>1404</v>
      </c>
      <c r="E196" s="14" t="s">
        <v>66</v>
      </c>
      <c r="F196" s="9" t="n">
        <v>5320</v>
      </c>
      <c r="G196" s="9" t="n">
        <v>731</v>
      </c>
      <c r="H196" s="9" t="n">
        <v>716</v>
      </c>
      <c r="I196" s="9" t="n">
        <v>227</v>
      </c>
      <c r="J196" s="9" t="n">
        <v>43</v>
      </c>
      <c r="K196" s="9" t="n">
        <v>2</v>
      </c>
      <c r="L196" s="9" t="n">
        <v>3</v>
      </c>
      <c r="M196" s="10" t="n">
        <f aca="false">IFERROR(G196/F196,"")</f>
        <v>0.137406015037594</v>
      </c>
      <c r="N196" s="10" t="n">
        <f aca="false">IFERROR(H196/G196,"")</f>
        <v>0.979480164158687</v>
      </c>
      <c r="O196" s="11" t="n">
        <f aca="false">IFERROR(I196/H196,"")</f>
        <v>0.317039106145251</v>
      </c>
      <c r="P196" s="10" t="n">
        <f aca="false">IFERROR(J196/H196,"")</f>
        <v>0.0600558659217877</v>
      </c>
      <c r="Q196" s="10" t="n">
        <f aca="false">IFERROR(K196/H196,"")</f>
        <v>0.00279329608938548</v>
      </c>
      <c r="R196" s="10" t="n">
        <f aca="false">IFERROR(L196/H196,"")</f>
        <v>0.00418994413407821</v>
      </c>
      <c r="S196" s="11" t="n">
        <f aca="false">IFERROR(M196/MEDIAN(INDEX($M$5:$M$373,MATCH($A196-90,$A$5:$A$373,1)):INDEX($M$5:$M$373,MATCH($A196+90,$A$5:$A$373,1))),"")</f>
        <v>2.75880740145882</v>
      </c>
      <c r="T196" s="11" t="n">
        <f aca="false">IFERROR(N196/MEDIAN(INDEX($N$5:$N$373,MATCH($A196-90,$A$5:$A$373,1)):INDEX($N$5:$N$373,MATCH($A196+90,$A$5:$A$373,1))),"")</f>
        <v>0.992736316256897</v>
      </c>
      <c r="U196" s="11" t="n">
        <f aca="false">IFERROR(Q196/MEDIAN(INDEX($Q$5:$Q$373,MATCH($A196-90,$A$5:$A$373,1)):INDEX($Q$5:$Q$373,MATCH($A196+90,$A$5:$A$373,1))),"")</f>
        <v>0.13480030757952</v>
      </c>
    </row>
    <row r="197" customFormat="false" ht="15" hidden="false" customHeight="false" outlineLevel="0" collapsed="false">
      <c r="A197" s="13" t="n">
        <v>45825.2725893982</v>
      </c>
      <c r="B197" s="8" t="n">
        <v>6</v>
      </c>
      <c r="C197" s="8" t="s">
        <v>64</v>
      </c>
      <c r="D197" s="8" t="s">
        <v>1405</v>
      </c>
      <c r="E197" s="14" t="s">
        <v>66</v>
      </c>
      <c r="F197" s="9" t="n">
        <v>5516</v>
      </c>
      <c r="G197" s="9" t="n">
        <v>416</v>
      </c>
      <c r="H197" s="9" t="n">
        <v>411</v>
      </c>
      <c r="I197" s="9" t="n">
        <v>221</v>
      </c>
      <c r="J197" s="9" t="n">
        <v>43</v>
      </c>
      <c r="K197" s="9" t="n">
        <v>14</v>
      </c>
      <c r="L197" s="9" t="n">
        <v>3</v>
      </c>
      <c r="M197" s="10" t="n">
        <f aca="false">IFERROR(G197/F197,"")</f>
        <v>0.075416968817984</v>
      </c>
      <c r="N197" s="10" t="n">
        <f aca="false">IFERROR(H197/G197,"")</f>
        <v>0.987980769230769</v>
      </c>
      <c r="O197" s="11" t="n">
        <f aca="false">IFERROR(I197/H197,"")</f>
        <v>0.537712895377129</v>
      </c>
      <c r="P197" s="10" t="n">
        <f aca="false">IFERROR(J197/H197,"")</f>
        <v>0.104622871046229</v>
      </c>
      <c r="Q197" s="10" t="n">
        <f aca="false">IFERROR(K197/H197,"")</f>
        <v>0.0340632603406326</v>
      </c>
      <c r="R197" s="10" t="n">
        <f aca="false">IFERROR(L197/H197,"")</f>
        <v>0.0072992700729927</v>
      </c>
      <c r="S197" s="11" t="n">
        <f aca="false">IFERROR(M197/MEDIAN(INDEX($M$5:$M$373,MATCH($A197-90,$A$5:$A$373,1)):INDEX($M$5:$M$373,MATCH($A197+90,$A$5:$A$373,1))),"")</f>
        <v>1.51437273386512</v>
      </c>
      <c r="T197" s="11" t="n">
        <f aca="false">IFERROR(N197/MEDIAN(INDEX($N$5:$N$373,MATCH($A197-90,$A$5:$A$373,1)):INDEX($N$5:$N$373,MATCH($A197+90,$A$5:$A$373,1))),"")</f>
        <v>1.00133186070686</v>
      </c>
      <c r="U197" s="11" t="n">
        <f aca="false">IFERROR(Q197/MEDIAN(INDEX($Q$5:$Q$373,MATCH($A197-90,$A$5:$A$373,1)):INDEX($Q$5:$Q$373,MATCH($A197+90,$A$5:$A$373,1))),"")</f>
        <v>1.6301703163017</v>
      </c>
    </row>
    <row r="198" customFormat="false" ht="15" hidden="false" customHeight="false" outlineLevel="0" collapsed="false">
      <c r="A198" s="13" t="n">
        <v>45826.0582390625</v>
      </c>
      <c r="B198" s="8" t="n">
        <v>1</v>
      </c>
      <c r="C198" s="8" t="s">
        <v>71</v>
      </c>
      <c r="D198" s="8" t="s">
        <v>1406</v>
      </c>
      <c r="E198" s="14" t="s">
        <v>66</v>
      </c>
      <c r="F198" s="9" t="n">
        <v>5031</v>
      </c>
      <c r="G198" s="9" t="n">
        <v>710</v>
      </c>
      <c r="H198" s="9" t="n">
        <v>707</v>
      </c>
      <c r="I198" s="9" t="n">
        <v>262</v>
      </c>
      <c r="J198" s="9" t="n">
        <v>41</v>
      </c>
      <c r="K198" s="9" t="n">
        <v>9</v>
      </c>
      <c r="L198" s="9" t="n">
        <v>6</v>
      </c>
      <c r="M198" s="10" t="n">
        <f aca="false">IFERROR(G198/F198,"")</f>
        <v>0.141125024845955</v>
      </c>
      <c r="N198" s="10" t="n">
        <f aca="false">IFERROR(H198/G198,"")</f>
        <v>0.995774647887324</v>
      </c>
      <c r="O198" s="11" t="n">
        <f aca="false">IFERROR(I198/H198,"")</f>
        <v>0.370579915134371</v>
      </c>
      <c r="P198" s="10" t="n">
        <f aca="false">IFERROR(J198/H198,"")</f>
        <v>0.057991513437058</v>
      </c>
      <c r="Q198" s="10" t="n">
        <f aca="false">IFERROR(K198/H198,"")</f>
        <v>0.0127298444130127</v>
      </c>
      <c r="R198" s="10" t="n">
        <f aca="false">IFERROR(L198/H198,"")</f>
        <v>0.00848656294200849</v>
      </c>
      <c r="S198" s="11" t="n">
        <f aca="false">IFERROR(M198/MEDIAN(INDEX($M$5:$M$373,MATCH($A198-90,$A$5:$A$373,1)):INDEX($M$5:$M$373,MATCH($A198+90,$A$5:$A$373,1))),"")</f>
        <v>2.83379049890678</v>
      </c>
      <c r="T198" s="11" t="n">
        <f aca="false">IFERROR(N198/MEDIAN(INDEX($N$5:$N$373,MATCH($A198-90,$A$5:$A$373,1)):INDEX($N$5:$N$373,MATCH($A198+90,$A$5:$A$373,1))),"")</f>
        <v>1.00923106204796</v>
      </c>
      <c r="U198" s="11" t="n">
        <f aca="false">IFERROR(Q198/MEDIAN(INDEX($Q$5:$Q$373,MATCH($A198-90,$A$5:$A$373,1)):INDEX($Q$5:$Q$373,MATCH($A198+90,$A$5:$A$373,1))),"")</f>
        <v>0.609213982622752</v>
      </c>
    </row>
    <row r="199" customFormat="false" ht="15" hidden="false" customHeight="false" outlineLevel="0" collapsed="false">
      <c r="A199" s="13" t="n">
        <v>45827.2742672338</v>
      </c>
      <c r="B199" s="8" t="n">
        <v>6</v>
      </c>
      <c r="C199" s="8" t="s">
        <v>73</v>
      </c>
      <c r="D199" s="8" t="s">
        <v>1407</v>
      </c>
      <c r="E199" s="14" t="s">
        <v>66</v>
      </c>
      <c r="F199" s="9" t="n">
        <v>5099</v>
      </c>
      <c r="G199" s="9" t="n">
        <v>241</v>
      </c>
      <c r="H199" s="9" t="n">
        <v>245</v>
      </c>
      <c r="I199" s="9" t="n">
        <v>88</v>
      </c>
      <c r="J199" s="9" t="n">
        <v>21</v>
      </c>
      <c r="K199" s="9" t="n">
        <v>7</v>
      </c>
      <c r="L199" s="9" t="n">
        <v>0</v>
      </c>
      <c r="M199" s="10" t="n">
        <f aca="false">IFERROR(G199/F199,"")</f>
        <v>0.0472641694449892</v>
      </c>
      <c r="N199" s="10" t="n">
        <f aca="false">IFERROR(H199/G199,"")</f>
        <v>1.01659751037344</v>
      </c>
      <c r="O199" s="11" t="n">
        <f aca="false">IFERROR(I199/H199,"")</f>
        <v>0.359183673469388</v>
      </c>
      <c r="P199" s="10" t="n">
        <f aca="false">IFERROR(J199/H199,"")</f>
        <v>0.0857142857142857</v>
      </c>
      <c r="Q199" s="10" t="n">
        <f aca="false">IFERROR(K199/H199,"")</f>
        <v>0.0285714285714286</v>
      </c>
      <c r="R199" s="10" t="n">
        <f aca="false">IFERROR(L199/H199,"")</f>
        <v>0</v>
      </c>
      <c r="S199" s="11" t="n">
        <f aca="false">IFERROR(M199/MEDIAN(INDEX($M$5:$M$373,MATCH($A199-90,$A$5:$A$373,1)):INDEX($M$5:$M$373,MATCH($A199+90,$A$5:$A$373,1))),"")</f>
        <v>0.949064522455383</v>
      </c>
      <c r="T199" s="11" t="n">
        <f aca="false">IFERROR(N199/MEDIAN(INDEX($N$5:$N$373,MATCH($A199-90,$A$5:$A$373,1)):INDEX($N$5:$N$373,MATCH($A199+90,$A$5:$A$373,1))),"")</f>
        <v>1.03033531456768</v>
      </c>
      <c r="U199" s="11" t="n">
        <f aca="false">IFERROR(Q199/MEDIAN(INDEX($Q$5:$Q$373,MATCH($A199-90,$A$5:$A$373,1)):INDEX($Q$5:$Q$373,MATCH($A199+90,$A$5:$A$373,1))),"")</f>
        <v>1.36734693877551</v>
      </c>
    </row>
    <row r="200" customFormat="false" ht="15" hidden="false" customHeight="false" outlineLevel="0" collapsed="false">
      <c r="A200" s="13" t="n">
        <v>45828.3506044792</v>
      </c>
      <c r="B200" s="8" t="n">
        <v>8</v>
      </c>
      <c r="C200" s="8" t="s">
        <v>84</v>
      </c>
      <c r="D200" s="8" t="s">
        <v>1408</v>
      </c>
      <c r="E200" s="14" t="s">
        <v>66</v>
      </c>
      <c r="F200" s="9" t="n">
        <v>5379</v>
      </c>
      <c r="G200" s="9" t="n">
        <v>712</v>
      </c>
      <c r="H200" s="9" t="n">
        <v>697</v>
      </c>
      <c r="I200" s="9" t="n">
        <v>330</v>
      </c>
      <c r="J200" s="9" t="n">
        <v>62</v>
      </c>
      <c r="K200" s="9" t="n">
        <v>31</v>
      </c>
      <c r="L200" s="9" t="n">
        <v>10</v>
      </c>
      <c r="M200" s="10" t="n">
        <f aca="false">IFERROR(G200/F200,"")</f>
        <v>0.132366610894218</v>
      </c>
      <c r="N200" s="10" t="n">
        <f aca="false">IFERROR(H200/G200,"")</f>
        <v>0.978932584269663</v>
      </c>
      <c r="O200" s="11" t="n">
        <f aca="false">IFERROR(I200/H200,"")</f>
        <v>0.473457675753228</v>
      </c>
      <c r="P200" s="10" t="n">
        <f aca="false">IFERROR(J200/H200,"")</f>
        <v>0.0889526542324247</v>
      </c>
      <c r="Q200" s="10" t="n">
        <f aca="false">IFERROR(K200/H200,"")</f>
        <v>0.0444763271162123</v>
      </c>
      <c r="R200" s="10" t="n">
        <f aca="false">IFERROR(L200/H200,"")</f>
        <v>0.0143472022955524</v>
      </c>
      <c r="S200" s="11" t="n">
        <f aca="false">IFERROR(M200/MEDIAN(INDEX($M$5:$M$373,MATCH($A200-90,$A$5:$A$373,1)):INDEX($M$5:$M$373,MATCH($A200+90,$A$5:$A$373,1))),"")</f>
        <v>2.6579215467559</v>
      </c>
      <c r="T200" s="11" t="n">
        <f aca="false">IFERROR(N200/MEDIAN(INDEX($N$5:$N$373,MATCH($A200-90,$A$5:$A$373,1)):INDEX($N$5:$N$373,MATCH($A200+90,$A$5:$A$373,1))),"")</f>
        <v>0.99216140297601</v>
      </c>
      <c r="U200" s="11" t="n">
        <f aca="false">IFERROR(Q200/MEDIAN(INDEX($Q$5:$Q$373,MATCH($A200-90,$A$5:$A$373,1)):INDEX($Q$5:$Q$373,MATCH($A200+90,$A$5:$A$373,1))),"")</f>
        <v>2.12850994056159</v>
      </c>
    </row>
    <row r="201" customFormat="false" ht="15" hidden="false" customHeight="false" outlineLevel="0" collapsed="false">
      <c r="A201" s="13" t="n">
        <v>45829.3916796528</v>
      </c>
      <c r="B201" s="8" t="n">
        <v>9</v>
      </c>
      <c r="C201" s="8" t="s">
        <v>68</v>
      </c>
      <c r="D201" s="8" t="s">
        <v>1409</v>
      </c>
      <c r="E201" s="14" t="s">
        <v>66</v>
      </c>
      <c r="F201" s="9" t="n">
        <v>5285</v>
      </c>
      <c r="G201" s="9" t="n">
        <v>789</v>
      </c>
      <c r="H201" s="9" t="n">
        <v>777</v>
      </c>
      <c r="I201" s="9" t="n">
        <v>272</v>
      </c>
      <c r="J201" s="9" t="n">
        <v>55</v>
      </c>
      <c r="K201" s="9" t="n">
        <v>5</v>
      </c>
      <c r="L201" s="9" t="n">
        <v>4</v>
      </c>
      <c r="M201" s="10" t="n">
        <f aca="false">IFERROR(G201/F201,"")</f>
        <v>0.149290444654683</v>
      </c>
      <c r="N201" s="10" t="n">
        <f aca="false">IFERROR(H201/G201,"")</f>
        <v>0.984790874524715</v>
      </c>
      <c r="O201" s="11" t="n">
        <f aca="false">IFERROR(I201/H201,"")</f>
        <v>0.35006435006435</v>
      </c>
      <c r="P201" s="10" t="n">
        <f aca="false">IFERROR(J201/H201,"")</f>
        <v>0.0707850707850708</v>
      </c>
      <c r="Q201" s="10" t="n">
        <f aca="false">IFERROR(K201/H201,"")</f>
        <v>0.00643500643500644</v>
      </c>
      <c r="R201" s="10" t="n">
        <f aca="false">IFERROR(L201/H201,"")</f>
        <v>0.00514800514800515</v>
      </c>
      <c r="S201" s="11" t="n">
        <f aca="false">IFERROR(M201/MEDIAN(INDEX($M$5:$M$373,MATCH($A201-90,$A$5:$A$373,1)):INDEX($M$5:$M$373,MATCH($A201+90,$A$5:$A$373,1))),"")</f>
        <v>2.99742033540332</v>
      </c>
      <c r="T201" s="11" t="n">
        <f aca="false">IFERROR(N201/MEDIAN(INDEX($N$5:$N$373,MATCH($A201-90,$A$5:$A$373,1)):INDEX($N$5:$N$373,MATCH($A201+90,$A$5:$A$373,1))),"")</f>
        <v>0.997677542785697</v>
      </c>
      <c r="U201" s="11" t="n">
        <f aca="false">IFERROR(Q201/MEDIAN(INDEX($Q$5:$Q$373,MATCH($A201-90,$A$5:$A$373,1)):INDEX($Q$5:$Q$373,MATCH($A201+90,$A$5:$A$373,1))),"")</f>
        <v>0.307615903432116</v>
      </c>
    </row>
    <row r="202" customFormat="false" ht="15" hidden="false" customHeight="false" outlineLevel="0" collapsed="false">
      <c r="A202" s="13" t="n">
        <v>45830.2753602083</v>
      </c>
      <c r="B202" s="8" t="n">
        <v>6</v>
      </c>
      <c r="C202" s="8" t="s">
        <v>86</v>
      </c>
      <c r="D202" s="8" t="s">
        <v>1410</v>
      </c>
      <c r="E202" s="14" t="s">
        <v>66</v>
      </c>
      <c r="F202" s="9" t="n">
        <v>5282</v>
      </c>
      <c r="G202" s="9" t="n">
        <v>282</v>
      </c>
      <c r="H202" s="9" t="n">
        <v>276</v>
      </c>
      <c r="I202" s="9" t="n">
        <v>91</v>
      </c>
      <c r="J202" s="9" t="n">
        <v>33</v>
      </c>
      <c r="K202" s="9" t="n">
        <v>5</v>
      </c>
      <c r="L202" s="9" t="n">
        <v>0</v>
      </c>
      <c r="M202" s="10" t="n">
        <f aca="false">IFERROR(G202/F202,"")</f>
        <v>0.053388867853086</v>
      </c>
      <c r="N202" s="10" t="n">
        <f aca="false">IFERROR(H202/G202,"")</f>
        <v>0.978723404255319</v>
      </c>
      <c r="O202" s="11" t="n">
        <f aca="false">IFERROR(I202/H202,"")</f>
        <v>0.329710144927536</v>
      </c>
      <c r="P202" s="10" t="n">
        <f aca="false">IFERROR(J202/H202,"")</f>
        <v>0.119565217391304</v>
      </c>
      <c r="Q202" s="10" t="n">
        <f aca="false">IFERROR(K202/H202,"")</f>
        <v>0.0181159420289855</v>
      </c>
      <c r="R202" s="10" t="n">
        <f aca="false">IFERROR(L202/H202,"")</f>
        <v>0</v>
      </c>
      <c r="S202" s="11" t="n">
        <f aca="false">IFERROR(M202/MEDIAN(INDEX($M$5:$M$373,MATCH($A202-90,$A$5:$A$373,1)):INDEX($M$5:$M$373,MATCH($A202+90,$A$5:$A$373,1))),"")</f>
        <v>1.07192981143003</v>
      </c>
      <c r="T202" s="11" t="n">
        <f aca="false">IFERROR(N202/MEDIAN(INDEX($N$5:$N$373,MATCH($A202-90,$A$5:$A$373,1)):INDEX($N$5:$N$373,MATCH($A202+90,$A$5:$A$373,1))),"")</f>
        <v>0.991530675480273</v>
      </c>
      <c r="U202" s="11" t="n">
        <f aca="false">IFERROR(Q202/MEDIAN(INDEX($Q$5:$Q$373,MATCH($A202-90,$A$5:$A$373,1)):INDEX($Q$5:$Q$373,MATCH($A202+90,$A$5:$A$373,1))),"")</f>
        <v>0.866005641183891</v>
      </c>
    </row>
    <row r="203" customFormat="false" ht="15" hidden="false" customHeight="false" outlineLevel="0" collapsed="false">
      <c r="A203" s="13" t="n">
        <v>45831.3529502199</v>
      </c>
      <c r="B203" s="8" t="n">
        <v>8</v>
      </c>
      <c r="C203" s="8" t="s">
        <v>80</v>
      </c>
      <c r="D203" s="8" t="s">
        <v>1411</v>
      </c>
      <c r="E203" s="14" t="s">
        <v>66</v>
      </c>
      <c r="F203" s="9" t="n">
        <v>5610</v>
      </c>
      <c r="G203" s="9" t="n">
        <v>665</v>
      </c>
      <c r="H203" s="9" t="n">
        <v>654</v>
      </c>
      <c r="I203" s="9" t="n">
        <v>212</v>
      </c>
      <c r="J203" s="9" t="n">
        <v>66</v>
      </c>
      <c r="K203" s="9" t="n">
        <v>8</v>
      </c>
      <c r="L203" s="9" t="n">
        <v>4</v>
      </c>
      <c r="M203" s="10" t="n">
        <f aca="false">IFERROR(G203/F203,"")</f>
        <v>0.118538324420677</v>
      </c>
      <c r="N203" s="10" t="n">
        <f aca="false">IFERROR(H203/G203,"")</f>
        <v>0.983458646616541</v>
      </c>
      <c r="O203" s="11" t="n">
        <f aca="false">IFERROR(I203/H203,"")</f>
        <v>0.324159021406728</v>
      </c>
      <c r="P203" s="10" t="n">
        <f aca="false">IFERROR(J203/H203,"")</f>
        <v>0.100917431192661</v>
      </c>
      <c r="Q203" s="10" t="n">
        <f aca="false">IFERROR(K203/H203,"")</f>
        <v>0.0122324159021407</v>
      </c>
      <c r="R203" s="10" t="n">
        <f aca="false">IFERROR(L203/H203,"")</f>
        <v>0.00611620795107034</v>
      </c>
      <c r="S203" s="11" t="n">
        <f aca="false">IFERROR(M203/MEDIAN(INDEX($M$5:$M$373,MATCH($A203-90,$A$5:$A$373,1)):INDEX($M$5:$M$373,MATCH($A203+90,$A$5:$A$373,1))),"")</f>
        <v>2.37998610671315</v>
      </c>
      <c r="T203" s="11" t="n">
        <f aca="false">IFERROR(N203/MEDIAN(INDEX($N$5:$N$373,MATCH($A203-90,$A$5:$A$373,1)):INDEX($N$5:$N$373,MATCH($A203+90,$A$5:$A$373,1))),"")</f>
        <v>0.996327881755888</v>
      </c>
      <c r="U203" s="11" t="n">
        <f aca="false">IFERROR(Q203/MEDIAN(INDEX($Q$5:$Q$373,MATCH($A203-90,$A$5:$A$373,1)):INDEX($Q$5:$Q$373,MATCH($A203+90,$A$5:$A$373,1))),"")</f>
        <v>0.584752432946187</v>
      </c>
    </row>
    <row r="204" customFormat="false" ht="15" hidden="false" customHeight="false" outlineLevel="0" collapsed="false">
      <c r="A204" s="13" t="n">
        <v>45832.2741840625</v>
      </c>
      <c r="B204" s="8" t="n">
        <v>6</v>
      </c>
      <c r="C204" s="8" t="s">
        <v>64</v>
      </c>
      <c r="D204" s="8" t="s">
        <v>1412</v>
      </c>
      <c r="E204" s="14" t="s">
        <v>66</v>
      </c>
      <c r="F204" s="9" t="n">
        <v>5390</v>
      </c>
      <c r="G204" s="9" t="n">
        <v>545</v>
      </c>
      <c r="H204" s="9" t="n">
        <v>530</v>
      </c>
      <c r="I204" s="9" t="n">
        <v>141</v>
      </c>
      <c r="J204" s="9" t="n">
        <v>54</v>
      </c>
      <c r="K204" s="9" t="n">
        <v>5</v>
      </c>
      <c r="L204" s="9" t="n">
        <v>0</v>
      </c>
      <c r="M204" s="10" t="n">
        <f aca="false">IFERROR(G204/F204,"")</f>
        <v>0.101113172541744</v>
      </c>
      <c r="N204" s="10" t="n">
        <f aca="false">IFERROR(H204/G204,"")</f>
        <v>0.972477064220184</v>
      </c>
      <c r="O204" s="11" t="n">
        <f aca="false">IFERROR(I204/H204,"")</f>
        <v>0.266037735849057</v>
      </c>
      <c r="P204" s="10" t="n">
        <f aca="false">IFERROR(J204/H204,"")</f>
        <v>0.10188679245283</v>
      </c>
      <c r="Q204" s="10" t="n">
        <f aca="false">IFERROR(K204/H204,"")</f>
        <v>0.00943396226415094</v>
      </c>
      <c r="R204" s="10" t="n">
        <f aca="false">IFERROR(L204/H204,"")</f>
        <v>0</v>
      </c>
      <c r="S204" s="11" t="n">
        <f aca="false">IFERROR(M204/MEDIAN(INDEX($M$5:$M$373,MATCH($A204-90,$A$5:$A$373,1)):INDEX($M$5:$M$373,MATCH($A204+90,$A$5:$A$373,1))),"")</f>
        <v>2.02990311276026</v>
      </c>
      <c r="T204" s="11" t="n">
        <f aca="false">IFERROR(N204/MEDIAN(INDEX($N$5:$N$373,MATCH($A204-90,$A$5:$A$373,1)):INDEX($N$5:$N$373,MATCH($A204+90,$A$5:$A$373,1))),"")</f>
        <v>0.984786900476135</v>
      </c>
      <c r="U204" s="11" t="n">
        <f aca="false">IFERROR(Q204/MEDIAN(INDEX($Q$5:$Q$373,MATCH($A204-90,$A$5:$A$373,1)):INDEX($Q$5:$Q$373,MATCH($A204+90,$A$5:$A$373,1))),"")</f>
        <v>0.450471698113208</v>
      </c>
    </row>
    <row r="205" customFormat="false" ht="15" hidden="false" customHeight="false" outlineLevel="0" collapsed="false">
      <c r="A205" s="13" t="n">
        <v>45833.0605841088</v>
      </c>
      <c r="B205" s="8" t="n">
        <v>1</v>
      </c>
      <c r="C205" s="8" t="s">
        <v>71</v>
      </c>
      <c r="D205" s="8" t="s">
        <v>1413</v>
      </c>
      <c r="E205" s="14" t="s">
        <v>66</v>
      </c>
      <c r="F205" s="9" t="n">
        <v>5028</v>
      </c>
      <c r="G205" s="9" t="n">
        <v>189</v>
      </c>
      <c r="H205" s="9" t="n">
        <v>194</v>
      </c>
      <c r="I205" s="9" t="n">
        <v>80</v>
      </c>
      <c r="J205" s="9" t="n">
        <v>25</v>
      </c>
      <c r="K205" s="9" t="n">
        <v>0</v>
      </c>
      <c r="L205" s="9" t="n">
        <v>1</v>
      </c>
      <c r="M205" s="10" t="n">
        <f aca="false">IFERROR(G205/F205,"")</f>
        <v>0.0375894988066826</v>
      </c>
      <c r="N205" s="10" t="n">
        <f aca="false">IFERROR(H205/G205,"")</f>
        <v>1.02645502645503</v>
      </c>
      <c r="O205" s="11" t="n">
        <f aca="false">IFERROR(I205/H205,"")</f>
        <v>0.412371134020619</v>
      </c>
      <c r="P205" s="10" t="n">
        <f aca="false">IFERROR(J205/H205,"")</f>
        <v>0.128865979381443</v>
      </c>
      <c r="Q205" s="10" t="n">
        <f aca="false">IFERROR(K205/H205,"")</f>
        <v>0</v>
      </c>
      <c r="R205" s="10" t="n">
        <f aca="false">IFERROR(L205/H205,"")</f>
        <v>0.00515463917525773</v>
      </c>
      <c r="S205" s="11" t="n">
        <f aca="false">IFERROR(M205/MEDIAN(INDEX($M$5:$M$373,MATCH($A205-90,$A$5:$A$373,1)):INDEX($M$5:$M$373,MATCH($A205+90,$A$5:$A$373,1))),"")</f>
        <v>0.754630071599045</v>
      </c>
      <c r="T205" s="11" t="n">
        <f aca="false">IFERROR(N205/MEDIAN(INDEX($N$5:$N$373,MATCH($A205-90,$A$5:$A$373,1)):INDEX($N$5:$N$373,MATCH($A205+90,$A$5:$A$373,1))),"")</f>
        <v>1.03944812805572</v>
      </c>
      <c r="U205" s="11" t="n">
        <f aca="false">IFERROR(Q205/MEDIAN(INDEX($Q$5:$Q$373,MATCH($A205-90,$A$5:$A$373,1)):INDEX($Q$5:$Q$373,MATCH($A205+90,$A$5:$A$373,1))),"")</f>
        <v>0</v>
      </c>
    </row>
    <row r="206" customFormat="false" ht="15" hidden="false" customHeight="false" outlineLevel="0" collapsed="false">
      <c r="A206" s="13" t="n">
        <v>45834.2756063542</v>
      </c>
      <c r="B206" s="8" t="n">
        <v>6</v>
      </c>
      <c r="C206" s="8" t="s">
        <v>73</v>
      </c>
      <c r="D206" s="8" t="s">
        <v>1414</v>
      </c>
      <c r="E206" s="14" t="s">
        <v>66</v>
      </c>
      <c r="F206" s="9" t="n">
        <v>5595</v>
      </c>
      <c r="G206" s="9" t="n">
        <v>453</v>
      </c>
      <c r="H206" s="9" t="n">
        <v>450</v>
      </c>
      <c r="I206" s="9" t="n">
        <v>131</v>
      </c>
      <c r="J206" s="9" t="n">
        <v>52</v>
      </c>
      <c r="K206" s="9" t="n">
        <v>6</v>
      </c>
      <c r="L206" s="9" t="n">
        <v>0</v>
      </c>
      <c r="M206" s="10" t="n">
        <f aca="false">IFERROR(G206/F206,"")</f>
        <v>0.0809651474530831</v>
      </c>
      <c r="N206" s="10" t="n">
        <f aca="false">IFERROR(H206/G206,"")</f>
        <v>0.993377483443709</v>
      </c>
      <c r="O206" s="11" t="n">
        <f aca="false">IFERROR(I206/H206,"")</f>
        <v>0.291111111111111</v>
      </c>
      <c r="P206" s="10" t="n">
        <f aca="false">IFERROR(J206/H206,"")</f>
        <v>0.115555555555556</v>
      </c>
      <c r="Q206" s="10" t="n">
        <f aca="false">IFERROR(K206/H206,"")</f>
        <v>0.0133333333333333</v>
      </c>
      <c r="R206" s="10" t="n">
        <f aca="false">IFERROR(L206/H206,"")</f>
        <v>0</v>
      </c>
      <c r="S206" s="11" t="n">
        <f aca="false">IFERROR(M206/MEDIAN(INDEX($M$5:$M$373,MATCH($A206-90,$A$5:$A$373,1)):INDEX($M$5:$M$373,MATCH($A206+90,$A$5:$A$373,1))),"")</f>
        <v>1.62560021839406</v>
      </c>
      <c r="T206" s="11" t="n">
        <f aca="false">IFERROR(N206/MEDIAN(INDEX($N$5:$N$373,MATCH($A206-90,$A$5:$A$373,1)):INDEX($N$5:$N$373,MATCH($A206+90,$A$5:$A$373,1))),"")</f>
        <v>1.0057070652533</v>
      </c>
      <c r="U206" s="11" t="n">
        <f aca="false">IFERROR(Q206/MEDIAN(INDEX($Q$5:$Q$373,MATCH($A206-90,$A$5:$A$373,1)):INDEX($Q$5:$Q$373,MATCH($A206+90,$A$5:$A$373,1))),"")</f>
        <v>0.637380151911344</v>
      </c>
    </row>
    <row r="207" customFormat="false" ht="15" hidden="false" customHeight="false" outlineLevel="0" collapsed="false">
      <c r="A207" s="13" t="n">
        <v>45835.0602125463</v>
      </c>
      <c r="B207" s="8" t="n">
        <v>1</v>
      </c>
      <c r="C207" s="8" t="s">
        <v>84</v>
      </c>
      <c r="D207" s="8" t="s">
        <v>1415</v>
      </c>
      <c r="E207" s="14" t="s">
        <v>66</v>
      </c>
      <c r="F207" s="9" t="n">
        <v>5260</v>
      </c>
      <c r="G207" s="9" t="n">
        <v>673</v>
      </c>
      <c r="H207" s="9" t="n">
        <v>664</v>
      </c>
      <c r="I207" s="9" t="n">
        <v>220</v>
      </c>
      <c r="J207" s="9" t="n">
        <v>45</v>
      </c>
      <c r="K207" s="9" t="n">
        <v>4</v>
      </c>
      <c r="L207" s="9" t="n">
        <v>3</v>
      </c>
      <c r="M207" s="10" t="n">
        <f aca="false">IFERROR(G207/F207,"")</f>
        <v>0.127946768060837</v>
      </c>
      <c r="N207" s="10" t="n">
        <f aca="false">IFERROR(H207/G207,"")</f>
        <v>0.986627043090639</v>
      </c>
      <c r="O207" s="11" t="n">
        <f aca="false">IFERROR(I207/H207,"")</f>
        <v>0.331325301204819</v>
      </c>
      <c r="P207" s="10" t="n">
        <f aca="false">IFERROR(J207/H207,"")</f>
        <v>0.0677710843373494</v>
      </c>
      <c r="Q207" s="10" t="n">
        <f aca="false">IFERROR(K207/H207,"")</f>
        <v>0.00602409638554217</v>
      </c>
      <c r="R207" s="10" t="n">
        <f aca="false">IFERROR(L207/H207,"")</f>
        <v>0.00451807228915663</v>
      </c>
      <c r="S207" s="11" t="n">
        <f aca="false">IFERROR(M207/MEDIAN(INDEX($M$5:$M$373,MATCH($A207-90,$A$5:$A$373,1)):INDEX($M$5:$M$373,MATCH($A207+90,$A$5:$A$373,1))),"")</f>
        <v>2.56888674504094</v>
      </c>
      <c r="T207" s="11" t="n">
        <f aca="false">IFERROR(N207/MEDIAN(INDEX($N$5:$N$373,MATCH($A207-90,$A$5:$A$373,1)):INDEX($N$5:$N$373,MATCH($A207+90,$A$5:$A$373,1))),"")</f>
        <v>0.998872839926274</v>
      </c>
      <c r="U207" s="11" t="n">
        <f aca="false">IFERROR(Q207/MEDIAN(INDEX($Q$5:$Q$373,MATCH($A207-90,$A$5:$A$373,1)):INDEX($Q$5:$Q$373,MATCH($A207+90,$A$5:$A$373,1))),"")</f>
        <v>0.287972960200908</v>
      </c>
    </row>
    <row r="208" customFormat="false" ht="15" hidden="false" customHeight="false" outlineLevel="0" collapsed="false">
      <c r="A208" s="13" t="n">
        <v>45836.3534945833</v>
      </c>
      <c r="B208" s="8" t="n">
        <v>8</v>
      </c>
      <c r="C208" s="8" t="s">
        <v>68</v>
      </c>
      <c r="D208" s="8" t="s">
        <v>1416</v>
      </c>
      <c r="E208" s="14" t="s">
        <v>66</v>
      </c>
      <c r="F208" s="9" t="n">
        <v>5581</v>
      </c>
      <c r="G208" s="9" t="n">
        <v>506</v>
      </c>
      <c r="H208" s="9" t="n">
        <v>499</v>
      </c>
      <c r="I208" s="9" t="n">
        <v>264</v>
      </c>
      <c r="J208" s="9" t="n">
        <v>61</v>
      </c>
      <c r="K208" s="9" t="n">
        <v>6</v>
      </c>
      <c r="L208" s="9" t="n">
        <v>0</v>
      </c>
      <c r="M208" s="10" t="n">
        <f aca="false">IFERROR(G208/F208,"")</f>
        <v>0.0906647554201756</v>
      </c>
      <c r="N208" s="10" t="n">
        <f aca="false">IFERROR(H208/G208,"")</f>
        <v>0.986166007905138</v>
      </c>
      <c r="O208" s="11" t="n">
        <f aca="false">IFERROR(I208/H208,"")</f>
        <v>0.529058116232465</v>
      </c>
      <c r="P208" s="10" t="n">
        <f aca="false">IFERROR(J208/H208,"")</f>
        <v>0.122244488977956</v>
      </c>
      <c r="Q208" s="10" t="n">
        <f aca="false">IFERROR(K208/H208,"")</f>
        <v>0.0120240480961924</v>
      </c>
      <c r="R208" s="10" t="n">
        <f aca="false">IFERROR(L208/H208,"")</f>
        <v>0</v>
      </c>
      <c r="S208" s="11" t="n">
        <f aca="false">IFERROR(M208/MEDIAN(INDEX($M$5:$M$373,MATCH($A208-90,$A$5:$A$373,1)):INDEX($M$5:$M$373,MATCH($A208+90,$A$5:$A$373,1))),"")</f>
        <v>1.82054828883713</v>
      </c>
      <c r="T208" s="11" t="n">
        <f aca="false">IFERROR(N208/MEDIAN(INDEX($N$5:$N$373,MATCH($A208-90,$A$5:$A$373,1)):INDEX($N$5:$N$373,MATCH($A208+90,$A$5:$A$373,1))),"")</f>
        <v>0.998163161285979</v>
      </c>
      <c r="U208" s="11" t="n">
        <f aca="false">IFERROR(Q208/MEDIAN(INDEX($Q$5:$Q$373,MATCH($A208-90,$A$5:$A$373,1)):INDEX($Q$5:$Q$373,MATCH($A208+90,$A$5:$A$373,1))),"")</f>
        <v>0.575436587460636</v>
      </c>
    </row>
    <row r="209" customFormat="false" ht="15" hidden="false" customHeight="false" outlineLevel="0" collapsed="false">
      <c r="A209" s="13" t="n">
        <v>45837.2743121528</v>
      </c>
      <c r="B209" s="8" t="n">
        <v>6</v>
      </c>
      <c r="C209" s="8" t="s">
        <v>86</v>
      </c>
      <c r="D209" s="8" t="s">
        <v>1417</v>
      </c>
      <c r="E209" s="14" t="s">
        <v>66</v>
      </c>
      <c r="F209" s="9" t="n">
        <v>5285</v>
      </c>
      <c r="G209" s="9" t="n">
        <v>368</v>
      </c>
      <c r="H209" s="9" t="n">
        <v>366</v>
      </c>
      <c r="I209" s="9" t="n">
        <v>172</v>
      </c>
      <c r="J209" s="9" t="n">
        <v>47</v>
      </c>
      <c r="K209" s="9" t="n">
        <v>21</v>
      </c>
      <c r="L209" s="9" t="n">
        <v>2</v>
      </c>
      <c r="M209" s="10" t="n">
        <f aca="false">IFERROR(G209/F209,"")</f>
        <v>0.0696310312204352</v>
      </c>
      <c r="N209" s="10" t="n">
        <f aca="false">IFERROR(H209/G209,"")</f>
        <v>0.994565217391304</v>
      </c>
      <c r="O209" s="11" t="n">
        <f aca="false">IFERROR(I209/H209,"")</f>
        <v>0.469945355191257</v>
      </c>
      <c r="P209" s="10" t="n">
        <f aca="false">IFERROR(J209/H209,"")</f>
        <v>0.128415300546448</v>
      </c>
      <c r="Q209" s="10" t="n">
        <f aca="false">IFERROR(K209/H209,"")</f>
        <v>0.0573770491803279</v>
      </c>
      <c r="R209" s="10" t="n">
        <f aca="false">IFERROR(L209/H209,"")</f>
        <v>0.00546448087431694</v>
      </c>
      <c r="S209" s="11" t="n">
        <f aca="false">IFERROR(M209/MEDIAN(INDEX($M$5:$M$373,MATCH($A209-90,$A$5:$A$373,1)):INDEX($M$5:$M$373,MATCH($A209+90,$A$5:$A$373,1))),"")</f>
        <v>1.39819110690634</v>
      </c>
      <c r="T209" s="11" t="n">
        <f aca="false">IFERROR(N209/MEDIAN(INDEX($N$5:$N$373,MATCH($A209-90,$A$5:$A$373,1)):INDEX($N$5:$N$373,MATCH($A209+90,$A$5:$A$373,1))),"")</f>
        <v>1.00666455093621</v>
      </c>
      <c r="U209" s="11" t="n">
        <f aca="false">IFERROR(Q209/MEDIAN(INDEX($Q$5:$Q$373,MATCH($A209-90,$A$5:$A$373,1)):INDEX($Q$5:$Q$373,MATCH($A209+90,$A$5:$A$373,1))),"")</f>
        <v>2.74590163934426</v>
      </c>
    </row>
    <row r="210" customFormat="false" ht="15" hidden="false" customHeight="false" outlineLevel="0" collapsed="false">
      <c r="A210" s="13" t="n">
        <v>45838.3537190394</v>
      </c>
      <c r="B210" s="8" t="n">
        <v>8</v>
      </c>
      <c r="C210" s="8" t="s">
        <v>80</v>
      </c>
      <c r="D210" s="8" t="s">
        <v>1418</v>
      </c>
      <c r="E210" s="14" t="s">
        <v>66</v>
      </c>
      <c r="F210" s="9" t="n">
        <v>5476</v>
      </c>
      <c r="G210" s="9" t="n">
        <v>226</v>
      </c>
      <c r="H210" s="9" t="n">
        <v>230</v>
      </c>
      <c r="I210" s="9" t="n">
        <v>98</v>
      </c>
      <c r="J210" s="9" t="n">
        <v>29</v>
      </c>
      <c r="K210" s="9" t="n">
        <v>2</v>
      </c>
      <c r="L210" s="9" t="n">
        <v>0</v>
      </c>
      <c r="M210" s="10" t="n">
        <f aca="false">IFERROR(G210/F210,"")</f>
        <v>0.0412710007304602</v>
      </c>
      <c r="N210" s="10" t="n">
        <f aca="false">IFERROR(H210/G210,"")</f>
        <v>1.01769911504425</v>
      </c>
      <c r="O210" s="11" t="n">
        <f aca="false">IFERROR(I210/H210,"")</f>
        <v>0.426086956521739</v>
      </c>
      <c r="P210" s="10" t="n">
        <f aca="false">IFERROR(J210/H210,"")</f>
        <v>0.126086956521739</v>
      </c>
      <c r="Q210" s="10" t="n">
        <f aca="false">IFERROR(K210/H210,"")</f>
        <v>0.00869565217391304</v>
      </c>
      <c r="R210" s="10" t="n">
        <f aca="false">IFERROR(L210/H210,"")</f>
        <v>0</v>
      </c>
      <c r="S210" s="11" t="n">
        <f aca="false">IFERROR(M210/MEDIAN(INDEX($M$5:$M$373,MATCH($A210-90,$A$5:$A$373,1)):INDEX($M$5:$M$373,MATCH($A210+90,$A$5:$A$373,1))),"")</f>
        <v>0.828721694667641</v>
      </c>
      <c r="T210" s="11" t="n">
        <f aca="false">IFERROR(N210/MEDIAN(INDEX($N$5:$N$373,MATCH($A210-90,$A$5:$A$373,1)):INDEX($N$5:$N$373,MATCH($A210+90,$A$5:$A$373,1))),"")</f>
        <v>1.03007988286717</v>
      </c>
      <c r="U210" s="11" t="n">
        <f aca="false">IFERROR(Q210/MEDIAN(INDEX($Q$5:$Q$373,MATCH($A210-90,$A$5:$A$373,1)):INDEX($Q$5:$Q$373,MATCH($A210+90,$A$5:$A$373,1))),"")</f>
        <v>0.416149068322981</v>
      </c>
    </row>
    <row r="211" customFormat="false" ht="15" hidden="false" customHeight="false" outlineLevel="0" collapsed="false">
      <c r="A211" s="13" t="n">
        <v>45839.275436169</v>
      </c>
      <c r="B211" s="8" t="n">
        <v>6</v>
      </c>
      <c r="C211" s="8" t="s">
        <v>64</v>
      </c>
      <c r="D211" s="8" t="s">
        <v>1419</v>
      </c>
      <c r="E211" s="14" t="s">
        <v>66</v>
      </c>
      <c r="F211" s="9" t="n">
        <v>5247</v>
      </c>
      <c r="G211" s="9" t="n">
        <v>450</v>
      </c>
      <c r="H211" s="9" t="n">
        <v>444</v>
      </c>
      <c r="I211" s="9" t="n">
        <v>132</v>
      </c>
      <c r="J211" s="9" t="n">
        <v>45</v>
      </c>
      <c r="K211" s="9" t="n">
        <v>3</v>
      </c>
      <c r="L211" s="9" t="n">
        <v>2</v>
      </c>
      <c r="M211" s="10" t="n">
        <f aca="false">IFERROR(G211/F211,"")</f>
        <v>0.0857632933104631</v>
      </c>
      <c r="N211" s="10" t="n">
        <f aca="false">IFERROR(H211/G211,"")</f>
        <v>0.986666666666667</v>
      </c>
      <c r="O211" s="11" t="n">
        <f aca="false">IFERROR(I211/H211,"")</f>
        <v>0.297297297297297</v>
      </c>
      <c r="P211" s="10" t="n">
        <f aca="false">IFERROR(J211/H211,"")</f>
        <v>0.101351351351351</v>
      </c>
      <c r="Q211" s="10" t="n">
        <f aca="false">IFERROR(K211/H211,"")</f>
        <v>0.00675675675675676</v>
      </c>
      <c r="R211" s="10" t="n">
        <f aca="false">IFERROR(L211/H211,"")</f>
        <v>0.0045045045045045</v>
      </c>
      <c r="S211" s="11" t="n">
        <f aca="false">IFERROR(M211/MEDIAN(INDEX($M$5:$M$373,MATCH($A211-90,$A$5:$A$373,1)):INDEX($M$5:$M$373,MATCH($A211+90,$A$5:$A$373,1))),"")</f>
        <v>1.72193632348376</v>
      </c>
      <c r="T211" s="11" t="n">
        <f aca="false">IFERROR(N211/MEDIAN(INDEX($N$5:$N$373,MATCH($A211-90,$A$5:$A$373,1)):INDEX($N$5:$N$373,MATCH($A211+90,$A$5:$A$373,1))),"")</f>
        <v>0.998460808554654</v>
      </c>
      <c r="U211" s="11" t="n">
        <f aca="false">IFERROR(Q211/MEDIAN(INDEX($Q$5:$Q$373,MATCH($A211-90,$A$5:$A$373,1)):INDEX($Q$5:$Q$373,MATCH($A211+90,$A$5:$A$373,1))),"")</f>
        <v>0.32607101428019</v>
      </c>
    </row>
    <row r="212" customFormat="false" ht="15" hidden="false" customHeight="false" outlineLevel="0" collapsed="false">
      <c r="A212" s="13" t="n">
        <v>45840.3534297222</v>
      </c>
      <c r="B212" s="8" t="n">
        <v>8</v>
      </c>
      <c r="C212" s="8" t="s">
        <v>71</v>
      </c>
      <c r="D212" s="8" t="s">
        <v>1420</v>
      </c>
      <c r="E212" s="14" t="s">
        <v>66</v>
      </c>
      <c r="F212" s="9" t="n">
        <v>5301</v>
      </c>
      <c r="G212" s="9" t="n">
        <v>615</v>
      </c>
      <c r="H212" s="9" t="n">
        <v>620</v>
      </c>
      <c r="I212" s="9" t="n">
        <v>241</v>
      </c>
      <c r="J212" s="9" t="n">
        <v>61</v>
      </c>
      <c r="K212" s="9" t="n">
        <v>8</v>
      </c>
      <c r="L212" s="9" t="n">
        <v>2</v>
      </c>
      <c r="M212" s="10" t="n">
        <f aca="false">IFERROR(G212/F212,"")</f>
        <v>0.11601584606678</v>
      </c>
      <c r="N212" s="10" t="n">
        <f aca="false">IFERROR(H212/G212,"")</f>
        <v>1.00813008130081</v>
      </c>
      <c r="O212" s="11" t="n">
        <f aca="false">IFERROR(I212/H212,"")</f>
        <v>0.388709677419355</v>
      </c>
      <c r="P212" s="10" t="n">
        <f aca="false">IFERROR(J212/H212,"")</f>
        <v>0.0983870967741936</v>
      </c>
      <c r="Q212" s="10" t="n">
        <f aca="false">IFERROR(K212/H212,"")</f>
        <v>0.0129032258064516</v>
      </c>
      <c r="R212" s="10" t="n">
        <f aca="false">IFERROR(L212/H212,"")</f>
        <v>0.0032258064516129</v>
      </c>
      <c r="S212" s="11" t="n">
        <f aca="false">IFERROR(M212/MEDIAN(INDEX($M$5:$M$373,MATCH($A212-90,$A$5:$A$373,1)):INDEX($M$5:$M$373,MATCH($A212+90,$A$5:$A$373,1))),"")</f>
        <v>2.32934034749476</v>
      </c>
      <c r="T212" s="11" t="n">
        <f aca="false">IFERROR(N212/MEDIAN(INDEX($N$5:$N$373,MATCH($A212-90,$A$5:$A$373,1)):INDEX($N$5:$N$373,MATCH($A212+90,$A$5:$A$373,1))),"")</f>
        <v>1.02018078659177</v>
      </c>
      <c r="U212" s="11" t="n">
        <f aca="false">IFERROR(Q212/MEDIAN(INDEX($Q$5:$Q$373,MATCH($A212-90,$A$5:$A$373,1)):INDEX($Q$5:$Q$373,MATCH($A212+90,$A$5:$A$373,1))),"")</f>
        <v>0.622690453077009</v>
      </c>
    </row>
    <row r="213" customFormat="false" ht="15" hidden="false" customHeight="false" outlineLevel="0" collapsed="false">
      <c r="A213" s="13" t="n">
        <v>45841.275051412</v>
      </c>
      <c r="B213" s="8" t="n">
        <v>6</v>
      </c>
      <c r="C213" s="8" t="s">
        <v>73</v>
      </c>
      <c r="D213" s="8" t="s">
        <v>1421</v>
      </c>
      <c r="E213" s="14" t="s">
        <v>66</v>
      </c>
      <c r="F213" s="9" t="n">
        <v>5030</v>
      </c>
      <c r="G213" s="9" t="n">
        <v>602</v>
      </c>
      <c r="H213" s="9" t="n">
        <v>601</v>
      </c>
      <c r="I213" s="9" t="n">
        <v>206</v>
      </c>
      <c r="J213" s="9" t="n">
        <v>68</v>
      </c>
      <c r="K213" s="9" t="n">
        <v>12</v>
      </c>
      <c r="L213" s="9" t="n">
        <v>3</v>
      </c>
      <c r="M213" s="10" t="n">
        <f aca="false">IFERROR(G213/F213,"")</f>
        <v>0.119681908548708</v>
      </c>
      <c r="N213" s="10" t="n">
        <f aca="false">IFERROR(H213/G213,"")</f>
        <v>0.998338870431894</v>
      </c>
      <c r="O213" s="11" t="n">
        <f aca="false">IFERROR(I213/H213,"")</f>
        <v>0.342762063227953</v>
      </c>
      <c r="P213" s="10" t="n">
        <f aca="false">IFERROR(J213/H213,"")</f>
        <v>0.113144758735441</v>
      </c>
      <c r="Q213" s="10" t="n">
        <f aca="false">IFERROR(K213/H213,"")</f>
        <v>0.0199667221297837</v>
      </c>
      <c r="R213" s="10" t="n">
        <f aca="false">IFERROR(L213/H213,"")</f>
        <v>0.00499168053244592</v>
      </c>
      <c r="S213" s="11" t="n">
        <f aca="false">IFERROR(M213/MEDIAN(INDEX($M$5:$M$373,MATCH($A213-90,$A$5:$A$373,1)):INDEX($M$5:$M$373,MATCH($A213+90,$A$5:$A$373,1))),"")</f>
        <v>2.4026808040645</v>
      </c>
      <c r="T213" s="11" t="n">
        <f aca="false">IFERROR(N213/MEDIAN(INDEX($N$5:$N$373,MATCH($A213-90,$A$5:$A$373,1)):INDEX($N$5:$N$373,MATCH($A213+90,$A$5:$A$373,1))),"")</f>
        <v>1.01006104894969</v>
      </c>
      <c r="U213" s="11" t="n">
        <f aca="false">IFERROR(Q213/MEDIAN(INDEX($Q$5:$Q$373,MATCH($A213-90,$A$5:$A$373,1)):INDEX($Q$5:$Q$373,MATCH($A213+90,$A$5:$A$373,1))),"")</f>
        <v>0.97171381031614</v>
      </c>
    </row>
    <row r="214" customFormat="false" ht="15" hidden="false" customHeight="false" outlineLevel="0" collapsed="false">
      <c r="A214" s="13" t="n">
        <v>45842.6252554398</v>
      </c>
      <c r="B214" s="8" t="n">
        <v>15</v>
      </c>
      <c r="C214" s="8" t="s">
        <v>84</v>
      </c>
      <c r="D214" s="8" t="s">
        <v>1422</v>
      </c>
      <c r="E214" s="14" t="s">
        <v>66</v>
      </c>
      <c r="F214" s="9" t="n">
        <v>4972</v>
      </c>
      <c r="G214" s="9" t="n">
        <v>580</v>
      </c>
      <c r="H214" s="9" t="n">
        <v>568</v>
      </c>
      <c r="I214" s="9" t="n">
        <v>209</v>
      </c>
      <c r="J214" s="9" t="n">
        <v>72</v>
      </c>
      <c r="K214" s="9" t="n">
        <v>17</v>
      </c>
      <c r="L214" s="9" t="n">
        <v>2</v>
      </c>
      <c r="M214" s="10" t="n">
        <f aca="false">IFERROR(G214/F214,"")</f>
        <v>0.116653258246179</v>
      </c>
      <c r="N214" s="10" t="n">
        <f aca="false">IFERROR(H214/G214,"")</f>
        <v>0.979310344827586</v>
      </c>
      <c r="O214" s="11" t="n">
        <f aca="false">IFERROR(I214/H214,"")</f>
        <v>0.367957746478873</v>
      </c>
      <c r="P214" s="10" t="n">
        <f aca="false">IFERROR(J214/H214,"")</f>
        <v>0.126760563380282</v>
      </c>
      <c r="Q214" s="10" t="n">
        <f aca="false">IFERROR(K214/H214,"")</f>
        <v>0.0299295774647887</v>
      </c>
      <c r="R214" s="10" t="n">
        <f aca="false">IFERROR(L214/H214,"")</f>
        <v>0.00352112676056338</v>
      </c>
      <c r="S214" s="11" t="n">
        <f aca="false">IFERROR(M214/MEDIAN(INDEX($M$5:$M$373,MATCH($A214-90,$A$5:$A$373,1)):INDEX($M$5:$M$373,MATCH($A214+90,$A$5:$A$373,1))),"")</f>
        <v>2.34187896665773</v>
      </c>
      <c r="T214" s="11" t="n">
        <f aca="false">IFERROR(N214/MEDIAN(INDEX($N$5:$N$373,MATCH($A214-90,$A$5:$A$373,1)):INDEX($N$5:$N$373,MATCH($A214+90,$A$5:$A$373,1))),"")</f>
        <v>0.990809096430259</v>
      </c>
      <c r="U214" s="11" t="n">
        <f aca="false">IFERROR(Q214/MEDIAN(INDEX($Q$5:$Q$373,MATCH($A214-90,$A$5:$A$373,1)):INDEX($Q$5:$Q$373,MATCH($A214+90,$A$5:$A$373,1))),"")</f>
        <v>1.45657276995305</v>
      </c>
    </row>
    <row r="215" customFormat="false" ht="15" hidden="false" customHeight="false" outlineLevel="0" collapsed="false">
      <c r="A215" s="13" t="n">
        <v>45843.4390636458</v>
      </c>
      <c r="B215" s="8" t="n">
        <v>10</v>
      </c>
      <c r="C215" s="8" t="s">
        <v>68</v>
      </c>
      <c r="D215" s="8" t="s">
        <v>1423</v>
      </c>
      <c r="E215" s="14" t="s">
        <v>66</v>
      </c>
      <c r="F215" s="9" t="n">
        <v>5305</v>
      </c>
      <c r="G215" s="9" t="n">
        <v>416</v>
      </c>
      <c r="H215" s="9" t="n">
        <v>421</v>
      </c>
      <c r="I215" s="9" t="n">
        <v>171</v>
      </c>
      <c r="J215" s="9" t="n">
        <v>69</v>
      </c>
      <c r="K215" s="9" t="n">
        <v>10</v>
      </c>
      <c r="L215" s="9" t="n">
        <v>0</v>
      </c>
      <c r="M215" s="10" t="n">
        <f aca="false">IFERROR(G215/F215,"")</f>
        <v>0.0784165881244109</v>
      </c>
      <c r="N215" s="10" t="n">
        <f aca="false">IFERROR(H215/G215,"")</f>
        <v>1.01201923076923</v>
      </c>
      <c r="O215" s="11" t="n">
        <f aca="false">IFERROR(I215/H215,"")</f>
        <v>0.406175771971496</v>
      </c>
      <c r="P215" s="10" t="n">
        <f aca="false">IFERROR(J215/H215,"")</f>
        <v>0.163895486935867</v>
      </c>
      <c r="Q215" s="10" t="n">
        <f aca="false">IFERROR(K215/H215,"")</f>
        <v>0.0237529691211401</v>
      </c>
      <c r="R215" s="10" t="n">
        <f aca="false">IFERROR(L215/H215,"")</f>
        <v>0</v>
      </c>
      <c r="S215" s="11" t="n">
        <f aca="false">IFERROR(M215/MEDIAN(INDEX($M$5:$M$373,MATCH($A215-90,$A$5:$A$373,1)):INDEX($M$5:$M$373,MATCH($A215+90,$A$5:$A$373,1))),"")</f>
        <v>1.57443081116634</v>
      </c>
      <c r="T215" s="11" t="n">
        <f aca="false">IFERROR(N215/MEDIAN(INDEX($N$5:$N$373,MATCH($A215-90,$A$5:$A$373,1)):INDEX($N$5:$N$373,MATCH($A215+90,$A$5:$A$373,1))),"")</f>
        <v>1.02375461726176</v>
      </c>
      <c r="U215" s="11" t="n">
        <f aca="false">IFERROR(Q215/MEDIAN(INDEX($Q$5:$Q$373,MATCH($A215-90,$A$5:$A$373,1)):INDEX($Q$5:$Q$373,MATCH($A215+90,$A$5:$A$373,1))),"")</f>
        <v>1.16870239601288</v>
      </c>
    </row>
    <row r="216" customFormat="false" ht="15" hidden="false" customHeight="false" outlineLevel="0" collapsed="false">
      <c r="A216" s="13" t="n">
        <v>45844.2768018982</v>
      </c>
      <c r="B216" s="8" t="n">
        <v>6</v>
      </c>
      <c r="C216" s="8" t="s">
        <v>86</v>
      </c>
      <c r="D216" s="8" t="s">
        <v>1424</v>
      </c>
      <c r="E216" s="14" t="s">
        <v>66</v>
      </c>
      <c r="F216" s="9" t="n">
        <v>5294</v>
      </c>
      <c r="G216" s="9" t="n">
        <v>483</v>
      </c>
      <c r="H216" s="9" t="n">
        <v>474</v>
      </c>
      <c r="I216" s="9" t="n">
        <v>156</v>
      </c>
      <c r="J216" s="9" t="n">
        <v>59</v>
      </c>
      <c r="K216" s="9" t="n">
        <v>11</v>
      </c>
      <c r="L216" s="9" t="n">
        <v>1</v>
      </c>
      <c r="M216" s="10" t="n">
        <f aca="false">IFERROR(G216/F216,"")</f>
        <v>0.0912353607857952</v>
      </c>
      <c r="N216" s="10" t="n">
        <f aca="false">IFERROR(H216/G216,"")</f>
        <v>0.981366459627329</v>
      </c>
      <c r="O216" s="11" t="n">
        <f aca="false">IFERROR(I216/H216,"")</f>
        <v>0.329113924050633</v>
      </c>
      <c r="P216" s="10" t="n">
        <f aca="false">IFERROR(J216/H216,"")</f>
        <v>0.124472573839662</v>
      </c>
      <c r="Q216" s="10" t="n">
        <f aca="false">IFERROR(K216/H216,"")</f>
        <v>0.0232067510548523</v>
      </c>
      <c r="R216" s="10" t="n">
        <f aca="false">IFERROR(L216/H216,"")</f>
        <v>0.00210970464135021</v>
      </c>
      <c r="S216" s="11" t="n">
        <f aca="false">IFERROR(M216/MEDIAN(INDEX($M$5:$M$373,MATCH($A216-90,$A$5:$A$373,1)):INDEX($M$5:$M$373,MATCH($A216+90,$A$5:$A$373,1))),"")</f>
        <v>1.8318032768926</v>
      </c>
      <c r="T216" s="11" t="n">
        <f aca="false">IFERROR(N216/MEDIAN(INDEX($N$5:$N$373,MATCH($A216-90,$A$5:$A$373,1)):INDEX($N$5:$N$373,MATCH($A216+90,$A$5:$A$373,1))),"")</f>
        <v>0.992746396237607</v>
      </c>
      <c r="U216" s="11" t="n">
        <f aca="false">IFERROR(Q216/MEDIAN(INDEX($Q$5:$Q$373,MATCH($A216-90,$A$5:$A$373,1)):INDEX($Q$5:$Q$373,MATCH($A216+90,$A$5:$A$373,1))),"")</f>
        <v>1.14182717213832</v>
      </c>
    </row>
    <row r="217" customFormat="false" ht="15" hidden="false" customHeight="false" outlineLevel="0" collapsed="false">
      <c r="A217" s="13" t="n">
        <v>45845.4389579745</v>
      </c>
      <c r="B217" s="8" t="n">
        <v>10</v>
      </c>
      <c r="C217" s="8" t="s">
        <v>80</v>
      </c>
      <c r="D217" s="8" t="s">
        <v>1425</v>
      </c>
      <c r="E217" s="14" t="s">
        <v>66</v>
      </c>
      <c r="F217" s="9" t="n">
        <v>5412</v>
      </c>
      <c r="G217" s="9" t="n">
        <v>928</v>
      </c>
      <c r="H217" s="9" t="n">
        <v>825</v>
      </c>
      <c r="I217" s="9" t="n">
        <v>242</v>
      </c>
      <c r="J217" s="9" t="n">
        <v>74</v>
      </c>
      <c r="K217" s="9" t="n">
        <v>13</v>
      </c>
      <c r="L217" s="9" t="n">
        <v>0</v>
      </c>
      <c r="M217" s="10" t="n">
        <f aca="false">IFERROR(G217/F217,"")</f>
        <v>0.171470805617147</v>
      </c>
      <c r="N217" s="10" t="n">
        <f aca="false">IFERROR(H217/G217,"")</f>
        <v>0.889008620689655</v>
      </c>
      <c r="O217" s="11" t="n">
        <f aca="false">IFERROR(I217/H217,"")</f>
        <v>0.293333333333333</v>
      </c>
      <c r="P217" s="10" t="n">
        <f aca="false">IFERROR(J217/H217,"")</f>
        <v>0.0896969696969697</v>
      </c>
      <c r="Q217" s="10" t="n">
        <f aca="false">IFERROR(K217/H217,"")</f>
        <v>0.0157575757575758</v>
      </c>
      <c r="R217" s="10" t="n">
        <f aca="false">IFERROR(L217/H217,"")</f>
        <v>0</v>
      </c>
      <c r="S217" s="11" t="n">
        <f aca="false">IFERROR(M217/MEDIAN(INDEX($M$5:$M$373,MATCH($A217-90,$A$5:$A$373,1)):INDEX($M$5:$M$373,MATCH($A217+90,$A$5:$A$373,1))),"")</f>
        <v>3.44275268838315</v>
      </c>
      <c r="T217" s="11" t="n">
        <f aca="false">IFERROR(N217/MEDIAN(INDEX($N$5:$N$373,MATCH($A217-90,$A$5:$A$373,1)):INDEX($N$5:$N$373,MATCH($A217+90,$A$5:$A$373,1))),"")</f>
        <v>0.899317574750792</v>
      </c>
      <c r="U217" s="11" t="n">
        <f aca="false">IFERROR(Q217/MEDIAN(INDEX($Q$5:$Q$373,MATCH($A217-90,$A$5:$A$373,1)):INDEX($Q$5:$Q$373,MATCH($A217+90,$A$5:$A$373,1))),"")</f>
        <v>0.77531008647012</v>
      </c>
    </row>
    <row r="218" customFormat="false" ht="15" hidden="false" customHeight="false" outlineLevel="0" collapsed="false">
      <c r="A218" s="13" t="n">
        <v>45846.2769446181</v>
      </c>
      <c r="B218" s="8" t="n">
        <v>6</v>
      </c>
      <c r="C218" s="8" t="s">
        <v>64</v>
      </c>
      <c r="D218" s="8" t="s">
        <v>1426</v>
      </c>
      <c r="E218" s="14" t="s">
        <v>66</v>
      </c>
      <c r="F218" s="9" t="n">
        <v>4994</v>
      </c>
      <c r="G218" s="9" t="n">
        <v>496</v>
      </c>
      <c r="H218" s="9" t="n">
        <v>484</v>
      </c>
      <c r="I218" s="9" t="n">
        <v>176</v>
      </c>
      <c r="J218" s="9" t="n">
        <v>56</v>
      </c>
      <c r="K218" s="9" t="n">
        <v>15</v>
      </c>
      <c r="L218" s="9" t="n">
        <v>1</v>
      </c>
      <c r="M218" s="10" t="n">
        <f aca="false">IFERROR(G218/F218,"")</f>
        <v>0.0993191830196235</v>
      </c>
      <c r="N218" s="10" t="n">
        <f aca="false">IFERROR(H218/G218,"")</f>
        <v>0.975806451612903</v>
      </c>
      <c r="O218" s="11" t="n">
        <f aca="false">IFERROR(I218/H218,"")</f>
        <v>0.363636363636364</v>
      </c>
      <c r="P218" s="10" t="n">
        <f aca="false">IFERROR(J218/H218,"")</f>
        <v>0.115702479338843</v>
      </c>
      <c r="Q218" s="10" t="n">
        <f aca="false">IFERROR(K218/H218,"")</f>
        <v>0.0309917355371901</v>
      </c>
      <c r="R218" s="10" t="n">
        <f aca="false">IFERROR(L218/H218,"")</f>
        <v>0.00206611570247934</v>
      </c>
      <c r="S218" s="11" t="n">
        <f aca="false">IFERROR(M218/MEDIAN(INDEX($M$5:$M$373,MATCH($A218-90,$A$5:$A$373,1)):INDEX($M$5:$M$373,MATCH($A218+90,$A$5:$A$373,1))),"")</f>
        <v>1.99388777644284</v>
      </c>
      <c r="T218" s="11" t="n">
        <f aca="false">IFERROR(N218/MEDIAN(INDEX($N$5:$N$373,MATCH($A218-90,$A$5:$A$373,1)):INDEX($N$5:$N$373,MATCH($A218+90,$A$5:$A$373,1))),"")</f>
        <v>0.986979807929082</v>
      </c>
      <c r="U218" s="11" t="n">
        <f aca="false">IFERROR(Q218/MEDIAN(INDEX($Q$5:$Q$373,MATCH($A218-90,$A$5:$A$373,1)):INDEX($Q$5:$Q$373,MATCH($A218+90,$A$5:$A$373,1))),"")</f>
        <v>1.54183884297521</v>
      </c>
    </row>
    <row r="219" customFormat="false" ht="15" hidden="false" customHeight="false" outlineLevel="0" collapsed="false">
      <c r="A219" s="13" t="n">
        <v>45847.0650481945</v>
      </c>
      <c r="B219" s="8" t="n">
        <v>1</v>
      </c>
      <c r="C219" s="8" t="s">
        <v>71</v>
      </c>
      <c r="D219" s="8" t="s">
        <v>1427</v>
      </c>
      <c r="E219" s="14" t="s">
        <v>66</v>
      </c>
      <c r="F219" s="9" t="n">
        <v>4469</v>
      </c>
      <c r="G219" s="9" t="n">
        <v>236</v>
      </c>
      <c r="H219" s="9" t="n">
        <v>236</v>
      </c>
      <c r="I219" s="9" t="n">
        <v>114</v>
      </c>
      <c r="J219" s="9" t="n">
        <v>28</v>
      </c>
      <c r="K219" s="9" t="n">
        <v>1</v>
      </c>
      <c r="L219" s="9" t="n">
        <v>0</v>
      </c>
      <c r="M219" s="10" t="n">
        <f aca="false">IFERROR(G219/F219,"")</f>
        <v>0.0528082345043634</v>
      </c>
      <c r="N219" s="10" t="n">
        <f aca="false">IFERROR(H219/G219,"")</f>
        <v>1</v>
      </c>
      <c r="O219" s="11" t="n">
        <f aca="false">IFERROR(I219/H219,"")</f>
        <v>0.483050847457627</v>
      </c>
      <c r="P219" s="10" t="n">
        <f aca="false">IFERROR(J219/H219,"")</f>
        <v>0.11864406779661</v>
      </c>
      <c r="Q219" s="10" t="n">
        <f aca="false">IFERROR(K219/H219,"")</f>
        <v>0.00423728813559322</v>
      </c>
      <c r="R219" s="10" t="n">
        <f aca="false">IFERROR(L219/H219,"")</f>
        <v>0</v>
      </c>
      <c r="S219" s="11" t="n">
        <f aca="false">IFERROR(M219/MEDIAN(INDEX($M$5:$M$373,MATCH($A219-90,$A$5:$A$373,1)):INDEX($M$5:$M$373,MATCH($A219+90,$A$5:$A$373,1))),"")</f>
        <v>1.06015464558315</v>
      </c>
      <c r="T219" s="11" t="n">
        <f aca="false">IFERROR(N219/MEDIAN(INDEX($N$5:$N$373,MATCH($A219-90,$A$5:$A$373,1)):INDEX($N$5:$N$373,MATCH($A219+90,$A$5:$A$373,1))),"")</f>
        <v>1.01145038167939</v>
      </c>
      <c r="U219" s="11" t="n">
        <f aca="false">IFERROR(Q219/MEDIAN(INDEX($Q$5:$Q$373,MATCH($A219-90,$A$5:$A$373,1)):INDEX($Q$5:$Q$373,MATCH($A219+90,$A$5:$A$373,1))),"")</f>
        <v>0.210805084745763</v>
      </c>
    </row>
    <row r="220" customFormat="false" ht="15" hidden="false" customHeight="false" outlineLevel="0" collapsed="false">
      <c r="A220" s="13" t="n">
        <v>45848.2787293287</v>
      </c>
      <c r="B220" s="8" t="n">
        <v>6</v>
      </c>
      <c r="C220" s="8" t="s">
        <v>73</v>
      </c>
      <c r="D220" s="8" t="s">
        <v>1428</v>
      </c>
      <c r="E220" s="14" t="s">
        <v>66</v>
      </c>
      <c r="F220" s="9" t="n">
        <v>4945</v>
      </c>
      <c r="G220" s="9" t="n">
        <v>478</v>
      </c>
      <c r="H220" s="9" t="n">
        <v>480</v>
      </c>
      <c r="I220" s="9" t="n">
        <v>194</v>
      </c>
      <c r="J220" s="9" t="n">
        <v>62</v>
      </c>
      <c r="K220" s="9" t="n">
        <v>15</v>
      </c>
      <c r="L220" s="9" t="n">
        <v>0</v>
      </c>
      <c r="M220" s="10" t="n">
        <f aca="false">IFERROR(G220/F220,"")</f>
        <v>0.0966632962588473</v>
      </c>
      <c r="N220" s="10" t="n">
        <f aca="false">IFERROR(H220/G220,"")</f>
        <v>1.00418410041841</v>
      </c>
      <c r="O220" s="11" t="n">
        <f aca="false">IFERROR(I220/H220,"")</f>
        <v>0.404166666666667</v>
      </c>
      <c r="P220" s="10" t="n">
        <f aca="false">IFERROR(J220/H220,"")</f>
        <v>0.129166666666667</v>
      </c>
      <c r="Q220" s="10" t="n">
        <f aca="false">IFERROR(K220/H220,"")</f>
        <v>0.03125</v>
      </c>
      <c r="R220" s="10" t="n">
        <f aca="false">IFERROR(L220/H220,"")</f>
        <v>0</v>
      </c>
      <c r="S220" s="11" t="n">
        <f aca="false">IFERROR(M220/MEDIAN(INDEX($M$5:$M$373,MATCH($A220-90,$A$5:$A$373,1)):INDEX($M$5:$M$373,MATCH($A220+90,$A$5:$A$373,1))),"")</f>
        <v>1.94078415777761</v>
      </c>
      <c r="T220" s="11" t="n">
        <f aca="false">IFERROR(N220/MEDIAN(INDEX($N$5:$N$373,MATCH($A220-90,$A$5:$A$373,1)):INDEX($N$5:$N$373,MATCH($A220+90,$A$5:$A$373,1))),"")</f>
        <v>1.01582863065042</v>
      </c>
      <c r="U220" s="11" t="n">
        <f aca="false">IFERROR(Q220/MEDIAN(INDEX($Q$5:$Q$373,MATCH($A220-90,$A$5:$A$373,1)):INDEX($Q$5:$Q$373,MATCH($A220+90,$A$5:$A$373,1))),"")</f>
        <v>1.53757408975445</v>
      </c>
    </row>
    <row r="221" customFormat="false" ht="15" hidden="false" customHeight="false" outlineLevel="0" collapsed="false">
      <c r="A221" s="13" t="n">
        <v>45849.4819600463</v>
      </c>
      <c r="B221" s="8" t="n">
        <v>11</v>
      </c>
      <c r="C221" s="8" t="s">
        <v>84</v>
      </c>
      <c r="D221" s="8" t="s">
        <v>1429</v>
      </c>
      <c r="E221" s="14" t="s">
        <v>66</v>
      </c>
      <c r="F221" s="9" t="n">
        <v>4819</v>
      </c>
      <c r="G221" s="9" t="n">
        <v>341</v>
      </c>
      <c r="H221" s="9" t="n">
        <v>346</v>
      </c>
      <c r="I221" s="9" t="n">
        <v>188</v>
      </c>
      <c r="J221" s="9" t="n">
        <v>43</v>
      </c>
      <c r="K221" s="9" t="n">
        <v>26</v>
      </c>
      <c r="L221" s="9" t="n">
        <v>3</v>
      </c>
      <c r="M221" s="10" t="n">
        <f aca="false">IFERROR(G221/F221,"")</f>
        <v>0.0707615687902054</v>
      </c>
      <c r="N221" s="10" t="n">
        <f aca="false">IFERROR(H221/G221,"")</f>
        <v>1.01466275659824</v>
      </c>
      <c r="O221" s="11" t="n">
        <f aca="false">IFERROR(I221/H221,"")</f>
        <v>0.543352601156069</v>
      </c>
      <c r="P221" s="10" t="n">
        <f aca="false">IFERROR(J221/H221,"")</f>
        <v>0.124277456647399</v>
      </c>
      <c r="Q221" s="10" t="n">
        <f aca="false">IFERROR(K221/H221,"")</f>
        <v>0.0751445086705202</v>
      </c>
      <c r="R221" s="10" t="n">
        <f aca="false">IFERROR(L221/H221,"")</f>
        <v>0.00867052023121387</v>
      </c>
      <c r="S221" s="11" t="n">
        <f aca="false">IFERROR(M221/MEDIAN(INDEX($M$5:$M$373,MATCH($A221-90,$A$5:$A$373,1)):INDEX($M$5:$M$373,MATCH($A221+90,$A$5:$A$373,1))),"")</f>
        <v>1.42073503597237</v>
      </c>
      <c r="T221" s="11" t="n">
        <f aca="false">IFERROR(N221/MEDIAN(INDEX($N$5:$N$373,MATCH($A221-90,$A$5:$A$373,1)):INDEX($N$5:$N$373,MATCH($A221+90,$A$5:$A$373,1))),"")</f>
        <v>1.02642879744631</v>
      </c>
      <c r="U221" s="11" t="n">
        <f aca="false">IFERROR(Q221/MEDIAN(INDEX($Q$5:$Q$373,MATCH($A221-90,$A$5:$A$373,1)):INDEX($Q$5:$Q$373,MATCH($A221+90,$A$5:$A$373,1))),"")</f>
        <v>3.69728798461185</v>
      </c>
    </row>
    <row r="222" customFormat="false" ht="15" hidden="false" customHeight="false" outlineLevel="0" collapsed="false">
      <c r="A222" s="13" t="n">
        <v>45850.0663591667</v>
      </c>
      <c r="B222" s="8" t="n">
        <v>1</v>
      </c>
      <c r="C222" s="8" t="s">
        <v>68</v>
      </c>
      <c r="D222" s="8" t="s">
        <v>1430</v>
      </c>
      <c r="E222" s="14" t="s">
        <v>66</v>
      </c>
      <c r="F222" s="9" t="n">
        <v>4377</v>
      </c>
      <c r="G222" s="9" t="n">
        <v>517</v>
      </c>
      <c r="H222" s="9" t="n">
        <v>511</v>
      </c>
      <c r="I222" s="9" t="n">
        <v>200</v>
      </c>
      <c r="J222" s="9" t="n">
        <v>40</v>
      </c>
      <c r="K222" s="9" t="n">
        <v>4</v>
      </c>
      <c r="L222" s="9" t="n">
        <v>1</v>
      </c>
      <c r="M222" s="10" t="n">
        <f aca="false">IFERROR(G222/F222,"")</f>
        <v>0.118117432031072</v>
      </c>
      <c r="N222" s="10" t="n">
        <f aca="false">IFERROR(H222/G222,"")</f>
        <v>0.988394584139265</v>
      </c>
      <c r="O222" s="11" t="n">
        <f aca="false">IFERROR(I222/H222,"")</f>
        <v>0.391389432485323</v>
      </c>
      <c r="P222" s="10" t="n">
        <f aca="false">IFERROR(J222/H222,"")</f>
        <v>0.0782778864970646</v>
      </c>
      <c r="Q222" s="10" t="n">
        <f aca="false">IFERROR(K222/H222,"")</f>
        <v>0.00782778864970646</v>
      </c>
      <c r="R222" s="10" t="n">
        <f aca="false">IFERROR(L222/H222,"")</f>
        <v>0.00195694716242661</v>
      </c>
      <c r="S222" s="11" t="n">
        <f aca="false">IFERROR(M222/MEDIAN(INDEX($M$5:$M$373,MATCH($A222-90,$A$5:$A$373,1)):INDEX($M$5:$M$373,MATCH($A222+90,$A$5:$A$373,1))),"")</f>
        <v>2.37179803518392</v>
      </c>
      <c r="T222" s="11" t="n">
        <f aca="false">IFERROR(N222/MEDIAN(INDEX($N$5:$N$373,MATCH($A222-90,$A$5:$A$373,1)):INDEX($N$5:$N$373,MATCH($A222+90,$A$5:$A$373,1))),"")</f>
        <v>1</v>
      </c>
      <c r="U222" s="11" t="n">
        <f aca="false">IFERROR(Q222/MEDIAN(INDEX($Q$5:$Q$373,MATCH($A222-90,$A$5:$A$373,1)):INDEX($Q$5:$Q$373,MATCH($A222+90,$A$5:$A$373,1))),"")</f>
        <v>0.380952380952381</v>
      </c>
    </row>
    <row r="223" customFormat="false" ht="15" hidden="false" customHeight="false" outlineLevel="0" collapsed="false">
      <c r="A223" s="13" t="n">
        <v>45851.2812259722</v>
      </c>
      <c r="B223" s="8" t="n">
        <v>6</v>
      </c>
      <c r="C223" s="8" t="s">
        <v>86</v>
      </c>
      <c r="D223" s="8" t="s">
        <v>1431</v>
      </c>
      <c r="E223" s="14" t="s">
        <v>66</v>
      </c>
      <c r="F223" s="9" t="n">
        <v>4729</v>
      </c>
      <c r="G223" s="9" t="n">
        <v>466</v>
      </c>
      <c r="H223" s="9" t="n">
        <v>412</v>
      </c>
      <c r="I223" s="9" t="n">
        <v>182</v>
      </c>
      <c r="J223" s="9" t="n">
        <v>60</v>
      </c>
      <c r="K223" s="9" t="n">
        <v>35</v>
      </c>
      <c r="L223" s="9" t="n">
        <v>0</v>
      </c>
      <c r="M223" s="10" t="n">
        <f aca="false">IFERROR(G223/F223,"")</f>
        <v>0.0985409177415944</v>
      </c>
      <c r="N223" s="10" t="n">
        <f aca="false">IFERROR(H223/G223,"")</f>
        <v>0.88412017167382</v>
      </c>
      <c r="O223" s="11" t="n">
        <f aca="false">IFERROR(I223/H223,"")</f>
        <v>0.441747572815534</v>
      </c>
      <c r="P223" s="10" t="n">
        <f aca="false">IFERROR(J223/H223,"")</f>
        <v>0.145631067961165</v>
      </c>
      <c r="Q223" s="10" t="n">
        <f aca="false">IFERROR(K223/H223,"")</f>
        <v>0.0849514563106796</v>
      </c>
      <c r="R223" s="10" t="n">
        <f aca="false">IFERROR(L223/H223,"")</f>
        <v>0</v>
      </c>
      <c r="S223" s="11" t="n">
        <f aca="false">IFERROR(M223/MEDIAN(INDEX($M$5:$M$373,MATCH($A223-90,$A$5:$A$373,1)):INDEX($M$5:$M$373,MATCH($A223+90,$A$5:$A$373,1))),"")</f>
        <v>1.97870162825122</v>
      </c>
      <c r="T223" s="11" t="n">
        <f aca="false">IFERROR(N223/MEDIAN(INDEX($N$5:$N$373,MATCH($A223-90,$A$5:$A$373,1)):INDEX($N$5:$N$373,MATCH($A223+90,$A$5:$A$373,1))),"")</f>
        <v>0.894501230441027</v>
      </c>
      <c r="U223" s="11" t="n">
        <f aca="false">IFERROR(Q223/MEDIAN(INDEX($Q$5:$Q$373,MATCH($A223-90,$A$5:$A$373,1)):INDEX($Q$5:$Q$373,MATCH($A223+90,$A$5:$A$373,1))),"")</f>
        <v>4.13430420711974</v>
      </c>
    </row>
    <row r="224" customFormat="false" ht="15" hidden="false" customHeight="false" outlineLevel="0" collapsed="false">
      <c r="A224" s="13" t="n">
        <v>45852.0668958102</v>
      </c>
      <c r="B224" s="8" t="n">
        <v>1</v>
      </c>
      <c r="C224" s="8" t="s">
        <v>80</v>
      </c>
      <c r="D224" s="8" t="s">
        <v>1432</v>
      </c>
      <c r="E224" s="14" t="s">
        <v>66</v>
      </c>
      <c r="F224" s="9" t="n">
        <v>4248</v>
      </c>
      <c r="G224" s="9" t="n">
        <v>317</v>
      </c>
      <c r="H224" s="9" t="n">
        <v>325</v>
      </c>
      <c r="I224" s="9" t="n">
        <v>223</v>
      </c>
      <c r="J224" s="9" t="n">
        <v>40</v>
      </c>
      <c r="K224" s="9" t="n">
        <v>4</v>
      </c>
      <c r="L224" s="9" t="n">
        <v>2</v>
      </c>
      <c r="M224" s="10" t="n">
        <f aca="false">IFERROR(G224/F224,"")</f>
        <v>0.0746233521657251</v>
      </c>
      <c r="N224" s="10" t="n">
        <f aca="false">IFERROR(H224/G224,"")</f>
        <v>1.02523659305994</v>
      </c>
      <c r="O224" s="11" t="n">
        <f aca="false">IFERROR(I224/H224,"")</f>
        <v>0.686153846153846</v>
      </c>
      <c r="P224" s="10" t="n">
        <f aca="false">IFERROR(J224/H224,"")</f>
        <v>0.123076923076923</v>
      </c>
      <c r="Q224" s="10" t="n">
        <f aca="false">IFERROR(K224/H224,"")</f>
        <v>0.0123076923076923</v>
      </c>
      <c r="R224" s="10" t="n">
        <f aca="false">IFERROR(L224/H224,"")</f>
        <v>0.00615384615384615</v>
      </c>
      <c r="S224" s="11" t="n">
        <f aca="false">IFERROR(M224/MEDIAN(INDEX($M$5:$M$373,MATCH($A224-90,$A$5:$A$373,1)):INDEX($M$5:$M$373,MATCH($A224+90,$A$5:$A$373,1))),"")</f>
        <v>1.49843691148776</v>
      </c>
      <c r="T224" s="11" t="n">
        <f aca="false">IFERROR(N224/MEDIAN(INDEX($N$5:$N$373,MATCH($A224-90,$A$5:$A$373,1)):INDEX($N$5:$N$373,MATCH($A224+90,$A$5:$A$373,1))),"")</f>
        <v>1.03727459610956</v>
      </c>
      <c r="U224" s="11" t="n">
        <f aca="false">IFERROR(Q224/MEDIAN(INDEX($Q$5:$Q$373,MATCH($A224-90,$A$5:$A$373,1)):INDEX($Q$5:$Q$373,MATCH($A224+90,$A$5:$A$373,1))),"")</f>
        <v>0.598974358974359</v>
      </c>
    </row>
    <row r="225" customFormat="false" ht="15" hidden="false" customHeight="false" outlineLevel="0" collapsed="false">
      <c r="A225" s="13" t="n">
        <v>45853.280941794</v>
      </c>
      <c r="B225" s="8" t="n">
        <v>6</v>
      </c>
      <c r="C225" s="8" t="s">
        <v>64</v>
      </c>
      <c r="D225" s="8" t="s">
        <v>1433</v>
      </c>
      <c r="E225" s="14" t="s">
        <v>66</v>
      </c>
      <c r="F225" s="9" t="n">
        <v>4355</v>
      </c>
      <c r="G225" s="9" t="n">
        <v>348</v>
      </c>
      <c r="H225" s="9" t="n">
        <v>347</v>
      </c>
      <c r="I225" s="9" t="n">
        <v>196</v>
      </c>
      <c r="J225" s="9" t="n">
        <v>42</v>
      </c>
      <c r="K225" s="9" t="n">
        <v>18</v>
      </c>
      <c r="L225" s="9" t="n">
        <v>0</v>
      </c>
      <c r="M225" s="10" t="n">
        <f aca="false">IFERROR(G225/F225,"")</f>
        <v>0.0799081515499426</v>
      </c>
      <c r="N225" s="10" t="n">
        <f aca="false">IFERROR(H225/G225,"")</f>
        <v>0.997126436781609</v>
      </c>
      <c r="O225" s="11" t="n">
        <f aca="false">IFERROR(I225/H225,"")</f>
        <v>0.564841498559078</v>
      </c>
      <c r="P225" s="10" t="n">
        <f aca="false">IFERROR(J225/H225,"")</f>
        <v>0.121037463976945</v>
      </c>
      <c r="Q225" s="10" t="n">
        <f aca="false">IFERROR(K225/H225,"")</f>
        <v>0.0518731988472623</v>
      </c>
      <c r="R225" s="10" t="n">
        <f aca="false">IFERROR(L225/H225,"")</f>
        <v>0</v>
      </c>
      <c r="S225" s="11" t="n">
        <f aca="false">IFERROR(M225/MEDIAN(INDEX($M$5:$M$373,MATCH($A225-90,$A$5:$A$373,1)):INDEX($M$5:$M$373,MATCH($A225+90,$A$5:$A$373,1))),"")</f>
        <v>1.62352058182713</v>
      </c>
      <c r="T225" s="11" t="n">
        <f aca="false">IFERROR(N225/MEDIAN(INDEX($N$5:$N$373,MATCH($A225-90,$A$5:$A$373,1)):INDEX($N$5:$N$373,MATCH($A225+90,$A$5:$A$373,1))),"")</f>
        <v>1.00868912626594</v>
      </c>
      <c r="U225" s="11" t="n">
        <f aca="false">IFERROR(Q225/MEDIAN(INDEX($Q$5:$Q$373,MATCH($A225-90,$A$5:$A$373,1)):INDEX($Q$5:$Q$373,MATCH($A225+90,$A$5:$A$373,1))),"")</f>
        <v>2.50332329118855</v>
      </c>
    </row>
    <row r="226" customFormat="false" ht="15" hidden="false" customHeight="false" outlineLevel="0" collapsed="false">
      <c r="A226" s="13" t="n">
        <v>45854.0673977431</v>
      </c>
      <c r="B226" s="8" t="n">
        <v>1</v>
      </c>
      <c r="C226" s="8" t="s">
        <v>71</v>
      </c>
      <c r="D226" s="8" t="s">
        <v>1434</v>
      </c>
      <c r="E226" s="14" t="s">
        <v>66</v>
      </c>
      <c r="F226" s="9" t="n">
        <v>3997</v>
      </c>
      <c r="G226" s="9" t="n">
        <v>190</v>
      </c>
      <c r="H226" s="9" t="n">
        <v>191</v>
      </c>
      <c r="I226" s="9" t="n">
        <v>106</v>
      </c>
      <c r="J226" s="9" t="n">
        <v>28</v>
      </c>
      <c r="K226" s="9" t="n">
        <v>0</v>
      </c>
      <c r="L226" s="9" t="n">
        <v>0</v>
      </c>
      <c r="M226" s="10" t="n">
        <f aca="false">IFERROR(G226/F226,"")</f>
        <v>0.0475356517388041</v>
      </c>
      <c r="N226" s="10" t="n">
        <f aca="false">IFERROR(H226/G226,"")</f>
        <v>1.00526315789474</v>
      </c>
      <c r="O226" s="11" t="n">
        <f aca="false">IFERROR(I226/H226,"")</f>
        <v>0.554973821989529</v>
      </c>
      <c r="P226" s="10" t="n">
        <f aca="false">IFERROR(J226/H226,"")</f>
        <v>0.146596858638743</v>
      </c>
      <c r="Q226" s="10" t="n">
        <f aca="false">IFERROR(K226/H226,"")</f>
        <v>0</v>
      </c>
      <c r="R226" s="10" t="n">
        <f aca="false">IFERROR(L226/H226,"")</f>
        <v>0</v>
      </c>
      <c r="S226" s="11" t="n">
        <f aca="false">IFERROR(M226/MEDIAN(INDEX($M$5:$M$373,MATCH($A226-90,$A$5:$A$373,1)):INDEX($M$5:$M$373,MATCH($A226+90,$A$5:$A$373,1))),"")</f>
        <v>0.965797699878972</v>
      </c>
      <c r="T226" s="11" t="n">
        <f aca="false">IFERROR(N226/MEDIAN(INDEX($N$5:$N$373,MATCH($A226-90,$A$5:$A$373,1)):INDEX($N$5:$N$373,MATCH($A226+90,$A$5:$A$373,1))),"")</f>
        <v>1.0169202008895</v>
      </c>
      <c r="U226" s="11" t="n">
        <f aca="false">IFERROR(Q226/MEDIAN(INDEX($Q$5:$Q$373,MATCH($A226-90,$A$5:$A$373,1)):INDEX($Q$5:$Q$373,MATCH($A226+90,$A$5:$A$373,1))),"")</f>
        <v>0</v>
      </c>
    </row>
    <row r="227" customFormat="false" ht="15" hidden="false" customHeight="false" outlineLevel="0" collapsed="false">
      <c r="A227" s="13" t="n">
        <v>45855.281226169</v>
      </c>
      <c r="B227" s="8" t="n">
        <v>6</v>
      </c>
      <c r="C227" s="8" t="s">
        <v>73</v>
      </c>
      <c r="D227" s="8" t="s">
        <v>1435</v>
      </c>
      <c r="E227" s="14" t="s">
        <v>66</v>
      </c>
      <c r="F227" s="9" t="n">
        <v>4609</v>
      </c>
      <c r="G227" s="9" t="n">
        <v>489</v>
      </c>
      <c r="H227" s="9" t="n">
        <v>462</v>
      </c>
      <c r="I227" s="9" t="n">
        <v>173</v>
      </c>
      <c r="J227" s="9" t="n">
        <v>58</v>
      </c>
      <c r="K227" s="9" t="n">
        <v>23</v>
      </c>
      <c r="L227" s="9" t="n">
        <v>1</v>
      </c>
      <c r="M227" s="10" t="n">
        <f aca="false">IFERROR(G227/F227,"")</f>
        <v>0.106096767194619</v>
      </c>
      <c r="N227" s="10" t="n">
        <f aca="false">IFERROR(H227/G227,"")</f>
        <v>0.94478527607362</v>
      </c>
      <c r="O227" s="11" t="n">
        <f aca="false">IFERROR(I227/H227,"")</f>
        <v>0.374458874458874</v>
      </c>
      <c r="P227" s="10" t="n">
        <f aca="false">IFERROR(J227/H227,"")</f>
        <v>0.125541125541126</v>
      </c>
      <c r="Q227" s="10" t="n">
        <f aca="false">IFERROR(K227/H227,"")</f>
        <v>0.0497835497835498</v>
      </c>
      <c r="R227" s="10" t="n">
        <f aca="false">IFERROR(L227/H227,"")</f>
        <v>0.00216450216450216</v>
      </c>
      <c r="S227" s="11" t="n">
        <f aca="false">IFERROR(M227/MEDIAN(INDEX($M$5:$M$373,MATCH($A227-90,$A$5:$A$373,1)):INDEX($M$5:$M$373,MATCH($A227+90,$A$5:$A$373,1))),"")</f>
        <v>2.13042308526795</v>
      </c>
      <c r="T227" s="11" t="n">
        <f aca="false">IFERROR(N227/MEDIAN(INDEX($N$5:$N$373,MATCH($A227-90,$A$5:$A$373,1)):INDEX($N$5:$N$373,MATCH($A227+90,$A$5:$A$373,1))),"")</f>
        <v>0.95560342808973</v>
      </c>
      <c r="U227" s="11" t="n">
        <f aca="false">IFERROR(Q227/MEDIAN(INDEX($Q$5:$Q$373,MATCH($A227-90,$A$5:$A$373,1)):INDEX($Q$5:$Q$373,MATCH($A227+90,$A$5:$A$373,1))),"")</f>
        <v>2.42279942279942</v>
      </c>
    </row>
    <row r="228" customFormat="false" ht="15" hidden="false" customHeight="false" outlineLevel="0" collapsed="false">
      <c r="A228" s="13" t="n">
        <v>45856.0684872801</v>
      </c>
      <c r="B228" s="8" t="n">
        <v>1</v>
      </c>
      <c r="C228" s="8" t="s">
        <v>84</v>
      </c>
      <c r="D228" s="8" t="s">
        <v>1436</v>
      </c>
      <c r="E228" s="14" t="s">
        <v>66</v>
      </c>
      <c r="F228" s="9" t="n">
        <v>4263</v>
      </c>
      <c r="G228" s="9" t="n">
        <v>175</v>
      </c>
      <c r="H228" s="9" t="n">
        <v>186</v>
      </c>
      <c r="I228" s="9" t="n">
        <v>94</v>
      </c>
      <c r="J228" s="9" t="n">
        <v>22</v>
      </c>
      <c r="K228" s="9" t="n">
        <v>3</v>
      </c>
      <c r="L228" s="9" t="n">
        <v>2</v>
      </c>
      <c r="M228" s="10" t="n">
        <f aca="false">IFERROR(G228/F228,"")</f>
        <v>0.0410509031198686</v>
      </c>
      <c r="N228" s="10" t="n">
        <f aca="false">IFERROR(H228/G228,"")</f>
        <v>1.06285714285714</v>
      </c>
      <c r="O228" s="11" t="n">
        <f aca="false">IFERROR(I228/H228,"")</f>
        <v>0.505376344086022</v>
      </c>
      <c r="P228" s="10" t="n">
        <f aca="false">IFERROR(J228/H228,"")</f>
        <v>0.118279569892473</v>
      </c>
      <c r="Q228" s="10" t="n">
        <f aca="false">IFERROR(K228/H228,"")</f>
        <v>0.0161290322580645</v>
      </c>
      <c r="R228" s="10" t="n">
        <f aca="false">IFERROR(L228/H228,"")</f>
        <v>0.010752688172043</v>
      </c>
      <c r="S228" s="11" t="n">
        <f aca="false">IFERROR(M228/MEDIAN(INDEX($M$5:$M$373,MATCH($A228-90,$A$5:$A$373,1)):INDEX($M$5:$M$373,MATCH($A228+90,$A$5:$A$373,1))),"")</f>
        <v>0.824302134646962</v>
      </c>
      <c r="T228" s="11" t="n">
        <f aca="false">IFERROR(N228/MEDIAN(INDEX($N$5:$N$373,MATCH($A228-90,$A$5:$A$373,1)):INDEX($N$5:$N$373,MATCH($A228+90,$A$5:$A$373,1))),"")</f>
        <v>1.07502726281352</v>
      </c>
      <c r="U228" s="11" t="n">
        <f aca="false">IFERROR(Q228/MEDIAN(INDEX($Q$5:$Q$373,MATCH($A228-90,$A$5:$A$373,1)):INDEX($Q$5:$Q$373,MATCH($A228+90,$A$5:$A$373,1))),"")</f>
        <v>0.78494623655914</v>
      </c>
    </row>
    <row r="229" customFormat="false" ht="15" hidden="false" customHeight="false" outlineLevel="0" collapsed="false">
      <c r="A229" s="13" t="n">
        <v>45857.0690819676</v>
      </c>
      <c r="B229" s="8" t="n">
        <v>1</v>
      </c>
      <c r="C229" s="8" t="s">
        <v>68</v>
      </c>
      <c r="D229" s="8" t="s">
        <v>1437</v>
      </c>
      <c r="E229" s="14" t="s">
        <v>66</v>
      </c>
      <c r="F229" s="9" t="n">
        <v>4517</v>
      </c>
      <c r="G229" s="9" t="n">
        <v>225</v>
      </c>
      <c r="H229" s="9" t="n">
        <v>236</v>
      </c>
      <c r="I229" s="9" t="n">
        <v>189</v>
      </c>
      <c r="J229" s="9" t="n">
        <v>34</v>
      </c>
      <c r="K229" s="9" t="n">
        <v>10</v>
      </c>
      <c r="L229" s="9" t="n">
        <v>1</v>
      </c>
      <c r="M229" s="10" t="n">
        <f aca="false">IFERROR(G229/F229,"")</f>
        <v>0.049811822005756</v>
      </c>
      <c r="N229" s="10" t="n">
        <f aca="false">IFERROR(H229/G229,"")</f>
        <v>1.04888888888889</v>
      </c>
      <c r="O229" s="11" t="n">
        <f aca="false">IFERROR(I229/H229,"")</f>
        <v>0.800847457627119</v>
      </c>
      <c r="P229" s="10" t="n">
        <f aca="false">IFERROR(J229/H229,"")</f>
        <v>0.14406779661017</v>
      </c>
      <c r="Q229" s="10" t="n">
        <f aca="false">IFERROR(K229/H229,"")</f>
        <v>0.0423728813559322</v>
      </c>
      <c r="R229" s="10" t="n">
        <f aca="false">IFERROR(L229/H229,"")</f>
        <v>0.00423728813559322</v>
      </c>
      <c r="S229" s="11" t="n">
        <f aca="false">IFERROR(M229/MEDIAN(INDEX($M$5:$M$373,MATCH($A229-90,$A$5:$A$373,1)):INDEX($M$5:$M$373,MATCH($A229+90,$A$5:$A$373,1))),"")</f>
        <v>1.00011068068622</v>
      </c>
      <c r="T229" s="11" t="n">
        <f aca="false">IFERROR(N229/MEDIAN(INDEX($N$5:$N$373,MATCH($A229-90,$A$5:$A$373,1)):INDEX($N$5:$N$373,MATCH($A229+90,$A$5:$A$373,1))),"")</f>
        <v>1.05984051188242</v>
      </c>
      <c r="U229" s="11" t="n">
        <f aca="false">IFERROR(Q229/MEDIAN(INDEX($Q$5:$Q$373,MATCH($A229-90,$A$5:$A$373,1)):INDEX($Q$5:$Q$373,MATCH($A229+90,$A$5:$A$373,1))),"")</f>
        <v>2.08484622339586</v>
      </c>
    </row>
    <row r="230" customFormat="false" ht="15" hidden="false" customHeight="false" outlineLevel="0" collapsed="false">
      <c r="A230" s="13" t="n">
        <v>45858.2812236921</v>
      </c>
      <c r="B230" s="8" t="n">
        <v>6</v>
      </c>
      <c r="C230" s="8" t="s">
        <v>86</v>
      </c>
      <c r="D230" s="8" t="s">
        <v>1438</v>
      </c>
      <c r="E230" s="14" t="s">
        <v>66</v>
      </c>
      <c r="F230" s="9" t="n">
        <v>4968</v>
      </c>
      <c r="G230" s="9" t="n">
        <v>283</v>
      </c>
      <c r="H230" s="9" t="n">
        <v>281</v>
      </c>
      <c r="I230" s="9" t="n">
        <v>184</v>
      </c>
      <c r="J230" s="9" t="n">
        <v>28</v>
      </c>
      <c r="K230" s="9" t="n">
        <v>40</v>
      </c>
      <c r="L230" s="9" t="n">
        <v>1</v>
      </c>
      <c r="M230" s="10" t="n">
        <f aca="false">IFERROR(G230/F230,"")</f>
        <v>0.0569645732689211</v>
      </c>
      <c r="N230" s="10" t="n">
        <f aca="false">IFERROR(H230/G230,"")</f>
        <v>0.992932862190813</v>
      </c>
      <c r="O230" s="11" t="n">
        <f aca="false">IFERROR(I230/H230,"")</f>
        <v>0.654804270462634</v>
      </c>
      <c r="P230" s="10" t="n">
        <f aca="false">IFERROR(J230/H230,"")</f>
        <v>0.099644128113879</v>
      </c>
      <c r="Q230" s="10" t="n">
        <f aca="false">IFERROR(K230/H230,"")</f>
        <v>0.142348754448399</v>
      </c>
      <c r="R230" s="10" t="n">
        <f aca="false">IFERROR(L230/H230,"")</f>
        <v>0.00355871886120996</v>
      </c>
      <c r="S230" s="11" t="n">
        <f aca="false">IFERROR(M230/MEDIAN(INDEX($M$5:$M$373,MATCH($A230-90,$A$5:$A$373,1)):INDEX($M$5:$M$373,MATCH($A230+90,$A$5:$A$373,1))),"")</f>
        <v>1.1437220292885</v>
      </c>
      <c r="T230" s="11" t="n">
        <f aca="false">IFERROR(N230/MEDIAN(INDEX($N$5:$N$373,MATCH($A230-90,$A$5:$A$373,1)):INDEX($N$5:$N$373,MATCH($A230+90,$A$5:$A$373,1))),"")</f>
        <v>1.00330023902147</v>
      </c>
      <c r="U230" s="11" t="n">
        <f aca="false">IFERROR(Q230/MEDIAN(INDEX($Q$5:$Q$373,MATCH($A230-90,$A$5:$A$373,1)):INDEX($Q$5:$Q$373,MATCH($A230+90,$A$5:$A$373,1))),"")</f>
        <v>7.00389620955762</v>
      </c>
    </row>
    <row r="231" customFormat="false" ht="15" hidden="false" customHeight="false" outlineLevel="0" collapsed="false">
      <c r="A231" s="13" t="n">
        <v>45860.2830130903</v>
      </c>
      <c r="B231" s="8" t="n">
        <v>6</v>
      </c>
      <c r="C231" s="8" t="s">
        <v>64</v>
      </c>
      <c r="D231" s="8" t="s">
        <v>1439</v>
      </c>
      <c r="E231" s="14" t="s">
        <v>66</v>
      </c>
      <c r="F231" s="9" t="n">
        <v>5158</v>
      </c>
      <c r="G231" s="9" t="n">
        <v>440</v>
      </c>
      <c r="H231" s="9" t="n">
        <v>424</v>
      </c>
      <c r="I231" s="9" t="n">
        <v>162</v>
      </c>
      <c r="J231" s="9" t="n">
        <v>54</v>
      </c>
      <c r="K231" s="9" t="n">
        <v>19</v>
      </c>
      <c r="L231" s="9" t="n">
        <v>0</v>
      </c>
      <c r="M231" s="10" t="n">
        <f aca="false">IFERROR(G231/F231,"")</f>
        <v>0.0853043815432338</v>
      </c>
      <c r="N231" s="10" t="n">
        <f aca="false">IFERROR(H231/G231,"")</f>
        <v>0.963636363636364</v>
      </c>
      <c r="O231" s="11" t="n">
        <f aca="false">IFERROR(I231/H231,"")</f>
        <v>0.382075471698113</v>
      </c>
      <c r="P231" s="10" t="n">
        <f aca="false">IFERROR(J231/H231,"")</f>
        <v>0.127358490566038</v>
      </c>
      <c r="Q231" s="10" t="n">
        <f aca="false">IFERROR(K231/H231,"")</f>
        <v>0.044811320754717</v>
      </c>
      <c r="R231" s="10" t="n">
        <f aca="false">IFERROR(L231/H231,"")</f>
        <v>0</v>
      </c>
      <c r="S231" s="11" t="n">
        <f aca="false">IFERROR(M231/MEDIAN(INDEX($M$5:$M$373,MATCH($A231-90,$A$5:$A$373,1)):INDEX($M$5:$M$373,MATCH($A231+90,$A$5:$A$373,1))),"")</f>
        <v>1.71291198138814</v>
      </c>
      <c r="T231" s="11" t="n">
        <f aca="false">IFERROR(N231/MEDIAN(INDEX($N$5:$N$373,MATCH($A231-90,$A$5:$A$373,1)):INDEX($N$5:$N$373,MATCH($A231+90,$A$5:$A$373,1))),"")</f>
        <v>0.972727272727273</v>
      </c>
      <c r="U231" s="11" t="n">
        <f aca="false">IFERROR(Q231/MEDIAN(INDEX($Q$5:$Q$373,MATCH($A231-90,$A$5:$A$373,1)):INDEX($Q$5:$Q$373,MATCH($A231+90,$A$5:$A$373,1))),"")</f>
        <v>2.18081761006289</v>
      </c>
    </row>
    <row r="232" customFormat="false" ht="15" hidden="false" customHeight="false" outlineLevel="0" collapsed="false">
      <c r="A232" s="13" t="n">
        <v>45862.2837181019</v>
      </c>
      <c r="B232" s="8" t="n">
        <v>6</v>
      </c>
      <c r="C232" s="8" t="s">
        <v>73</v>
      </c>
      <c r="D232" s="8" t="s">
        <v>1440</v>
      </c>
      <c r="E232" s="14" t="s">
        <v>66</v>
      </c>
      <c r="F232" s="9" t="n">
        <v>5115</v>
      </c>
      <c r="G232" s="9" t="n">
        <v>374</v>
      </c>
      <c r="H232" s="9" t="n">
        <v>379</v>
      </c>
      <c r="I232" s="9" t="n">
        <v>252</v>
      </c>
      <c r="J232" s="9" t="n">
        <v>70</v>
      </c>
      <c r="K232" s="9" t="n">
        <v>9</v>
      </c>
      <c r="L232" s="9" t="n">
        <v>0</v>
      </c>
      <c r="M232" s="10" t="n">
        <f aca="false">IFERROR(G232/F232,"")</f>
        <v>0.0731182795698925</v>
      </c>
      <c r="N232" s="10" t="n">
        <f aca="false">IFERROR(H232/G232,"")</f>
        <v>1.01336898395722</v>
      </c>
      <c r="O232" s="11" t="n">
        <f aca="false">IFERROR(I232/H232,"")</f>
        <v>0.66490765171504</v>
      </c>
      <c r="P232" s="10" t="n">
        <f aca="false">IFERROR(J232/H232,"")</f>
        <v>0.184696569920844</v>
      </c>
      <c r="Q232" s="10" t="n">
        <f aca="false">IFERROR(K232/H232,"")</f>
        <v>0.0237467018469657</v>
      </c>
      <c r="R232" s="10" t="n">
        <f aca="false">IFERROR(L232/H232,"")</f>
        <v>0</v>
      </c>
      <c r="S232" s="11" t="n">
        <f aca="false">IFERROR(M232/MEDIAN(INDEX($M$5:$M$373,MATCH($A232-90,$A$5:$A$373,1)):INDEX($M$5:$M$373,MATCH($A232+90,$A$5:$A$373,1))),"")</f>
        <v>1.48556848690608</v>
      </c>
      <c r="T232" s="11" t="n">
        <f aca="false">IFERROR(N232/MEDIAN(INDEX($N$5:$N$373,MATCH($A232-90,$A$5:$A$373,1)):INDEX($N$5:$N$373,MATCH($A232+90,$A$5:$A$373,1))),"")</f>
        <v>1.02394973772742</v>
      </c>
      <c r="U232" s="11" t="n">
        <f aca="false">IFERROR(Q232/MEDIAN(INDEX($Q$5:$Q$373,MATCH($A232-90,$A$5:$A$373,1)):INDEX($Q$5:$Q$373,MATCH($A232+90,$A$5:$A$373,1))),"")</f>
        <v>1.14598045124331</v>
      </c>
    </row>
    <row r="233" customFormat="false" ht="15" hidden="false" customHeight="false" outlineLevel="0" collapsed="false">
      <c r="A233" s="13" t="n">
        <v>45865.284169375</v>
      </c>
      <c r="B233" s="8" t="n">
        <v>6</v>
      </c>
      <c r="C233" s="8" t="s">
        <v>86</v>
      </c>
      <c r="D233" s="8" t="s">
        <v>1441</v>
      </c>
      <c r="E233" s="14" t="s">
        <v>66</v>
      </c>
      <c r="F233" s="9" t="n">
        <v>4940</v>
      </c>
      <c r="G233" s="9" t="n">
        <v>322</v>
      </c>
      <c r="H233" s="9" t="n">
        <v>300</v>
      </c>
      <c r="I233" s="9" t="n">
        <v>192</v>
      </c>
      <c r="J233" s="9" t="n">
        <v>47</v>
      </c>
      <c r="K233" s="9" t="n">
        <v>6</v>
      </c>
      <c r="L233" s="9" t="n">
        <v>0</v>
      </c>
      <c r="M233" s="10" t="n">
        <f aca="false">IFERROR(G233/F233,"")</f>
        <v>0.0651821862348178</v>
      </c>
      <c r="N233" s="10" t="n">
        <f aca="false">IFERROR(H233/G233,"")</f>
        <v>0.93167701863354</v>
      </c>
      <c r="O233" s="11" t="n">
        <f aca="false">IFERROR(I233/H233,"")</f>
        <v>0.64</v>
      </c>
      <c r="P233" s="10" t="n">
        <f aca="false">IFERROR(J233/H233,"")</f>
        <v>0.156666666666667</v>
      </c>
      <c r="Q233" s="10" t="n">
        <f aca="false">IFERROR(K233/H233,"")</f>
        <v>0.02</v>
      </c>
      <c r="R233" s="10" t="n">
        <f aca="false">IFERROR(L233/H233,"")</f>
        <v>0</v>
      </c>
      <c r="S233" s="11" t="n">
        <f aca="false">IFERROR(M233/MEDIAN(INDEX($M$5:$M$373,MATCH($A233-90,$A$5:$A$373,1)):INDEX($M$5:$M$373,MATCH($A233+90,$A$5:$A$373,1))),"")</f>
        <v>1.32432823020033</v>
      </c>
      <c r="T233" s="11" t="n">
        <f aca="false">IFERROR(N233/MEDIAN(INDEX($N$5:$N$373,MATCH($A233-90,$A$5:$A$373,1)):INDEX($N$5:$N$373,MATCH($A233+90,$A$5:$A$373,1))),"")</f>
        <v>0.941404813033784</v>
      </c>
      <c r="U233" s="11" t="n">
        <f aca="false">IFERROR(Q233/MEDIAN(INDEX($Q$5:$Q$373,MATCH($A233-90,$A$5:$A$373,1)):INDEX($Q$5:$Q$373,MATCH($A233+90,$A$5:$A$373,1))),"")</f>
        <v>0.965170202269364</v>
      </c>
    </row>
    <row r="234" customFormat="false" ht="15" hidden="false" customHeight="false" outlineLevel="0" collapsed="false">
      <c r="A234" s="13" t="n">
        <v>45866.6281469444</v>
      </c>
      <c r="B234" s="8" t="n">
        <v>15</v>
      </c>
      <c r="C234" s="8" t="s">
        <v>80</v>
      </c>
      <c r="D234" s="8" t="s">
        <v>1442</v>
      </c>
      <c r="E234" s="14" t="s">
        <v>66</v>
      </c>
      <c r="F234" s="9" t="n">
        <v>5103</v>
      </c>
      <c r="G234" s="9" t="n">
        <v>447</v>
      </c>
      <c r="H234" s="9" t="n">
        <v>415</v>
      </c>
      <c r="I234" s="9" t="n">
        <v>249</v>
      </c>
      <c r="J234" s="9" t="n">
        <v>63</v>
      </c>
      <c r="K234" s="9" t="n">
        <v>8</v>
      </c>
      <c r="L234" s="9" t="n">
        <v>2</v>
      </c>
      <c r="M234" s="10" t="n">
        <f aca="false">IFERROR(G234/F234,"")</f>
        <v>0.0875955320399765</v>
      </c>
      <c r="N234" s="10" t="n">
        <f aca="false">IFERROR(H234/G234,"")</f>
        <v>0.92841163310962</v>
      </c>
      <c r="O234" s="11" t="n">
        <f aca="false">IFERROR(I234/H234,"")</f>
        <v>0.6</v>
      </c>
      <c r="P234" s="10" t="n">
        <f aca="false">IFERROR(J234/H234,"")</f>
        <v>0.151807228915663</v>
      </c>
      <c r="Q234" s="10" t="n">
        <f aca="false">IFERROR(K234/H234,"")</f>
        <v>0.0192771084337349</v>
      </c>
      <c r="R234" s="10" t="n">
        <f aca="false">IFERROR(L234/H234,"")</f>
        <v>0.00481927710843374</v>
      </c>
      <c r="S234" s="11" t="n">
        <f aca="false">IFERROR(M234/MEDIAN(INDEX($M$5:$M$373,MATCH($A234-90,$A$5:$A$373,1)):INDEX($M$5:$M$373,MATCH($A234+90,$A$5:$A$373,1))),"")</f>
        <v>1.81383819236816</v>
      </c>
      <c r="T234" s="11" t="n">
        <f aca="false">IFERROR(N234/MEDIAN(INDEX($N$5:$N$373,MATCH($A234-90,$A$5:$A$373,1)):INDEX($N$5:$N$373,MATCH($A234+90,$A$5:$A$373,1))),"")</f>
        <v>0.939177504950241</v>
      </c>
      <c r="U234" s="11" t="n">
        <f aca="false">IFERROR(Q234/MEDIAN(INDEX($Q$5:$Q$373,MATCH($A234-90,$A$5:$A$373,1)):INDEX($Q$5:$Q$373,MATCH($A234+90,$A$5:$A$373,1))),"")</f>
        <v>0.921513472642906</v>
      </c>
    </row>
    <row r="235" customFormat="false" ht="15" hidden="false" customHeight="false" outlineLevel="0" collapsed="false">
      <c r="A235" s="13" t="n">
        <v>45867.4529163889</v>
      </c>
      <c r="B235" s="8" t="n">
        <v>10</v>
      </c>
      <c r="C235" s="8" t="s">
        <v>64</v>
      </c>
      <c r="D235" s="8" t="s">
        <v>1443</v>
      </c>
      <c r="E235" s="14" t="s">
        <v>66</v>
      </c>
      <c r="F235" s="9" t="n">
        <v>4719</v>
      </c>
      <c r="G235" s="9" t="n">
        <v>330</v>
      </c>
      <c r="H235" s="9" t="n">
        <v>329</v>
      </c>
      <c r="I235" s="9" t="n">
        <v>156</v>
      </c>
      <c r="J235" s="9" t="n">
        <v>61</v>
      </c>
      <c r="K235" s="9" t="n">
        <v>9</v>
      </c>
      <c r="L235" s="9" t="n">
        <v>1</v>
      </c>
      <c r="M235" s="10" t="n">
        <f aca="false">IFERROR(G235/F235,"")</f>
        <v>0.0699300699300699</v>
      </c>
      <c r="N235" s="10" t="n">
        <f aca="false">IFERROR(H235/G235,"")</f>
        <v>0.996969696969697</v>
      </c>
      <c r="O235" s="11" t="n">
        <f aca="false">IFERROR(I235/H235,"")</f>
        <v>0.474164133738602</v>
      </c>
      <c r="P235" s="10" t="n">
        <f aca="false">IFERROR(J235/H235,"")</f>
        <v>0.185410334346505</v>
      </c>
      <c r="Q235" s="10" t="n">
        <f aca="false">IFERROR(K235/H235,"")</f>
        <v>0.027355623100304</v>
      </c>
      <c r="R235" s="10" t="n">
        <f aca="false">IFERROR(L235/H235,"")</f>
        <v>0.00303951367781155</v>
      </c>
      <c r="S235" s="11" t="n">
        <f aca="false">IFERROR(M235/MEDIAN(INDEX($M$5:$M$373,MATCH($A235-90,$A$5:$A$373,1)):INDEX($M$5:$M$373,MATCH($A235+90,$A$5:$A$373,1))),"")</f>
        <v>1.45844088797109</v>
      </c>
      <c r="T235" s="11" t="n">
        <f aca="false">IFERROR(N235/MEDIAN(INDEX($N$5:$N$373,MATCH($A235-90,$A$5:$A$373,1)):INDEX($N$5:$N$373,MATCH($A235+90,$A$5:$A$373,1))),"")</f>
        <v>1.00838538052279</v>
      </c>
      <c r="U235" s="11" t="n">
        <f aca="false">IFERROR(Q235/MEDIAN(INDEX($Q$5:$Q$373,MATCH($A235-90,$A$5:$A$373,1)):INDEX($Q$5:$Q$373,MATCH($A235+90,$A$5:$A$373,1))),"")</f>
        <v>1.30623100303951</v>
      </c>
    </row>
    <row r="236" customFormat="false" ht="15" hidden="false" customHeight="false" outlineLevel="0" collapsed="false">
      <c r="A236" s="13" t="n">
        <v>45869.6201954745</v>
      </c>
      <c r="B236" s="8" t="n">
        <v>14</v>
      </c>
      <c r="C236" s="8" t="s">
        <v>73</v>
      </c>
      <c r="D236" s="8" t="s">
        <v>1444</v>
      </c>
      <c r="E236" s="14" t="s">
        <v>66</v>
      </c>
      <c r="F236" s="9" t="n">
        <v>4489</v>
      </c>
      <c r="G236" s="9" t="n">
        <v>258</v>
      </c>
      <c r="H236" s="9" t="n">
        <v>294</v>
      </c>
      <c r="I236" s="9" t="n">
        <v>196</v>
      </c>
      <c r="J236" s="9" t="n">
        <v>44</v>
      </c>
      <c r="K236" s="9" t="n">
        <v>8</v>
      </c>
      <c r="L236" s="9" t="n">
        <v>0</v>
      </c>
      <c r="M236" s="10" t="n">
        <f aca="false">IFERROR(G236/F236,"")</f>
        <v>0.0574738249053241</v>
      </c>
      <c r="N236" s="10" t="n">
        <f aca="false">IFERROR(H236/G236,"")</f>
        <v>1.13953488372093</v>
      </c>
      <c r="O236" s="11" t="n">
        <f aca="false">IFERROR(I236/H236,"")</f>
        <v>0.666666666666667</v>
      </c>
      <c r="P236" s="10" t="n">
        <f aca="false">IFERROR(J236/H236,"")</f>
        <v>0.149659863945578</v>
      </c>
      <c r="Q236" s="10" t="n">
        <f aca="false">IFERROR(K236/H236,"")</f>
        <v>0.0272108843537415</v>
      </c>
      <c r="R236" s="10" t="n">
        <f aca="false">IFERROR(L236/H236,"")</f>
        <v>0</v>
      </c>
      <c r="S236" s="11" t="n">
        <f aca="false">IFERROR(M236/MEDIAN(INDEX($M$5:$M$373,MATCH($A236-90,$A$5:$A$373,1)):INDEX($M$5:$M$373,MATCH($A236+90,$A$5:$A$373,1))),"")</f>
        <v>1.18168165861378</v>
      </c>
      <c r="T236" s="11" t="n">
        <f aca="false">IFERROR(N236/MEDIAN(INDEX($N$5:$N$373,MATCH($A236-90,$A$5:$A$373,1)):INDEX($N$5:$N$373,MATCH($A236+90,$A$5:$A$373,1))),"")</f>
        <v>1.15028521281264</v>
      </c>
      <c r="U236" s="11" t="n">
        <f aca="false">IFERROR(Q236/MEDIAN(INDEX($Q$5:$Q$373,MATCH($A236-90,$A$5:$A$373,1)):INDEX($Q$5:$Q$373,MATCH($A236+90,$A$5:$A$373,1))),"")</f>
        <v>1.29834791059281</v>
      </c>
    </row>
    <row r="237" customFormat="false" ht="15" hidden="false" customHeight="false" outlineLevel="0" collapsed="false">
      <c r="A237" s="13" t="n">
        <v>45872.6207667593</v>
      </c>
      <c r="B237" s="8" t="n">
        <v>14</v>
      </c>
      <c r="C237" s="8" t="s">
        <v>86</v>
      </c>
      <c r="D237" s="8" t="s">
        <v>1445</v>
      </c>
      <c r="E237" s="14" t="s">
        <v>66</v>
      </c>
      <c r="F237" s="9" t="n">
        <v>4594</v>
      </c>
      <c r="G237" s="9" t="n">
        <v>245</v>
      </c>
      <c r="H237" s="9" t="n">
        <v>311</v>
      </c>
      <c r="I237" s="9" t="n">
        <v>181</v>
      </c>
      <c r="J237" s="9" t="n">
        <v>45</v>
      </c>
      <c r="K237" s="9" t="n">
        <v>9</v>
      </c>
      <c r="L237" s="9" t="n">
        <v>3</v>
      </c>
      <c r="M237" s="10" t="n">
        <f aca="false">IFERROR(G237/F237,"")</f>
        <v>0.0533304309969525</v>
      </c>
      <c r="N237" s="10" t="n">
        <f aca="false">IFERROR(H237/G237,"")</f>
        <v>1.26938775510204</v>
      </c>
      <c r="O237" s="11" t="n">
        <f aca="false">IFERROR(I237/H237,"")</f>
        <v>0.581993569131833</v>
      </c>
      <c r="P237" s="10" t="n">
        <f aca="false">IFERROR(J237/H237,"")</f>
        <v>0.144694533762058</v>
      </c>
      <c r="Q237" s="10" t="n">
        <f aca="false">IFERROR(K237/H237,"")</f>
        <v>0.0289389067524116</v>
      </c>
      <c r="R237" s="10" t="n">
        <f aca="false">IFERROR(L237/H237,"")</f>
        <v>0.00964630225080386</v>
      </c>
      <c r="S237" s="11" t="n">
        <f aca="false">IFERROR(M237/MEDIAN(INDEX($M$5:$M$373,MATCH($A237-90,$A$5:$A$373,1)):INDEX($M$5:$M$373,MATCH($A237+90,$A$5:$A$373,1))),"")</f>
        <v>1.0835321638888</v>
      </c>
      <c r="T237" s="11" t="n">
        <f aca="false">IFERROR(N237/MEDIAN(INDEX($N$5:$N$373,MATCH($A237-90,$A$5:$A$373,1)):INDEX($N$5:$N$373,MATCH($A237+90,$A$5:$A$373,1))),"")</f>
        <v>1.2788635429887</v>
      </c>
      <c r="U237" s="11" t="n">
        <f aca="false">IFERROR(Q237/MEDIAN(INDEX($Q$5:$Q$373,MATCH($A237-90,$A$5:$A$373,1)):INDEX($Q$5:$Q$373,MATCH($A237+90,$A$5:$A$373,1))),"")</f>
        <v>1.38131583790748</v>
      </c>
    </row>
    <row r="238" customFormat="false" ht="15" hidden="false" customHeight="false" outlineLevel="0" collapsed="false">
      <c r="A238" s="13" t="n">
        <v>45874.620956412</v>
      </c>
      <c r="B238" s="8" t="n">
        <v>14</v>
      </c>
      <c r="C238" s="8" t="s">
        <v>64</v>
      </c>
      <c r="D238" s="8" t="s">
        <v>1446</v>
      </c>
      <c r="E238" s="14" t="s">
        <v>66</v>
      </c>
      <c r="F238" s="9" t="n">
        <v>4612</v>
      </c>
      <c r="G238" s="9" t="n">
        <v>265</v>
      </c>
      <c r="H238" s="9" t="n">
        <v>382</v>
      </c>
      <c r="I238" s="9" t="n">
        <v>205</v>
      </c>
      <c r="J238" s="9" t="n">
        <v>66</v>
      </c>
      <c r="K238" s="9" t="n">
        <v>8</v>
      </c>
      <c r="L238" s="9" t="n">
        <v>0</v>
      </c>
      <c r="M238" s="10" t="n">
        <f aca="false">IFERROR(G238/F238,"")</f>
        <v>0.0574588031222897</v>
      </c>
      <c r="N238" s="10" t="n">
        <f aca="false">IFERROR(H238/G238,"")</f>
        <v>1.44150943396226</v>
      </c>
      <c r="O238" s="11" t="n">
        <f aca="false">IFERROR(I238/H238,"")</f>
        <v>0.536649214659686</v>
      </c>
      <c r="P238" s="10" t="n">
        <f aca="false">IFERROR(J238/H238,"")</f>
        <v>0.172774869109948</v>
      </c>
      <c r="Q238" s="10" t="n">
        <f aca="false">IFERROR(K238/H238,"")</f>
        <v>0.0209424083769634</v>
      </c>
      <c r="R238" s="10" t="n">
        <f aca="false">IFERROR(L238/H238,"")</f>
        <v>0</v>
      </c>
      <c r="S238" s="11" t="n">
        <f aca="false">IFERROR(M238/MEDIAN(INDEX($M$5:$M$373,MATCH($A238-90,$A$5:$A$373,1)):INDEX($M$5:$M$373,MATCH($A238+90,$A$5:$A$373,1))),"")</f>
        <v>1.15377276669558</v>
      </c>
      <c r="T238" s="11" t="n">
        <f aca="false">IFERROR(N238/MEDIAN(INDEX($N$5:$N$373,MATCH($A238-90,$A$5:$A$373,1)):INDEX($N$5:$N$373,MATCH($A238+90,$A$5:$A$373,1))),"")</f>
        <v>1.45158991951445</v>
      </c>
      <c r="U238" s="11" t="n">
        <f aca="false">IFERROR(Q238/MEDIAN(INDEX($Q$5:$Q$373,MATCH($A238-90,$A$5:$A$373,1)):INDEX($Q$5:$Q$373,MATCH($A238+90,$A$5:$A$373,1))),"")</f>
        <v>0.99925205684368</v>
      </c>
    </row>
    <row r="239" customFormat="false" ht="15" hidden="false" customHeight="false" outlineLevel="0" collapsed="false">
      <c r="A239" s="13" t="n">
        <v>45876.622559456</v>
      </c>
      <c r="B239" s="8" t="n">
        <v>14</v>
      </c>
      <c r="C239" s="8" t="s">
        <v>73</v>
      </c>
      <c r="D239" s="8" t="s">
        <v>1447</v>
      </c>
      <c r="E239" s="14" t="s">
        <v>66</v>
      </c>
      <c r="F239" s="9" t="n">
        <v>4753</v>
      </c>
      <c r="G239" s="9" t="n">
        <v>286</v>
      </c>
      <c r="H239" s="9" t="n">
        <v>451</v>
      </c>
      <c r="I239" s="9" t="n">
        <v>270</v>
      </c>
      <c r="J239" s="9" t="n">
        <v>46</v>
      </c>
      <c r="K239" s="9" t="n">
        <v>8</v>
      </c>
      <c r="L239" s="9" t="n">
        <v>0</v>
      </c>
      <c r="M239" s="10" t="n">
        <f aca="false">IFERROR(G239/F239,"")</f>
        <v>0.0601725226172943</v>
      </c>
      <c r="N239" s="10" t="n">
        <f aca="false">IFERROR(H239/G239,"")</f>
        <v>1.57692307692308</v>
      </c>
      <c r="O239" s="11" t="n">
        <f aca="false">IFERROR(I239/H239,"")</f>
        <v>0.598669623059867</v>
      </c>
      <c r="P239" s="10" t="n">
        <f aca="false">IFERROR(J239/H239,"")</f>
        <v>0.1019955654102</v>
      </c>
      <c r="Q239" s="10" t="n">
        <f aca="false">IFERROR(K239/H239,"")</f>
        <v>0.0177383592017738</v>
      </c>
      <c r="R239" s="10" t="n">
        <f aca="false">IFERROR(L239/H239,"")</f>
        <v>0</v>
      </c>
      <c r="S239" s="11" t="n">
        <f aca="false">IFERROR(M239/MEDIAN(INDEX($M$5:$M$373,MATCH($A239-90,$A$5:$A$373,1)):INDEX($M$5:$M$373,MATCH($A239+90,$A$5:$A$373,1))),"")</f>
        <v>1.20813052263849</v>
      </c>
      <c r="T239" s="11" t="n">
        <f aca="false">IFERROR(N239/MEDIAN(INDEX($N$5:$N$373,MATCH($A239-90,$A$5:$A$373,1)):INDEX($N$5:$N$373,MATCH($A239+90,$A$5:$A$373,1))),"")</f>
        <v>1.58804861381066</v>
      </c>
      <c r="U239" s="11" t="n">
        <f aca="false">IFERROR(Q239/MEDIAN(INDEX($Q$5:$Q$373,MATCH($A239-90,$A$5:$A$373,1)):INDEX($Q$5:$Q$373,MATCH($A239+90,$A$5:$A$373,1))),"")</f>
        <v>0.846689776968171</v>
      </c>
    </row>
    <row r="240" customFormat="false" ht="15" hidden="false" customHeight="false" outlineLevel="0" collapsed="false">
      <c r="A240" s="13" t="n">
        <v>45879.7064111343</v>
      </c>
      <c r="B240" s="8" t="n">
        <v>16</v>
      </c>
      <c r="C240" s="8" t="s">
        <v>86</v>
      </c>
      <c r="D240" s="8" t="s">
        <v>1448</v>
      </c>
      <c r="E240" s="14" t="s">
        <v>66</v>
      </c>
      <c r="F240" s="9" t="n">
        <v>4942</v>
      </c>
      <c r="G240" s="9" t="n">
        <v>212</v>
      </c>
      <c r="H240" s="9" t="n">
        <v>257</v>
      </c>
      <c r="I240" s="9" t="n">
        <v>150</v>
      </c>
      <c r="J240" s="9" t="n">
        <v>70</v>
      </c>
      <c r="K240" s="9" t="n">
        <v>11</v>
      </c>
      <c r="L240" s="9" t="n">
        <v>0</v>
      </c>
      <c r="M240" s="10" t="n">
        <f aca="false">IFERROR(G240/F240,"")</f>
        <v>0.0428976123027115</v>
      </c>
      <c r="N240" s="10" t="n">
        <f aca="false">IFERROR(H240/G240,"")</f>
        <v>1.2122641509434</v>
      </c>
      <c r="O240" s="11" t="n">
        <f aca="false">IFERROR(I240/H240,"")</f>
        <v>0.583657587548638</v>
      </c>
      <c r="P240" s="10" t="n">
        <f aca="false">IFERROR(J240/H240,"")</f>
        <v>0.272373540856031</v>
      </c>
      <c r="Q240" s="10" t="n">
        <f aca="false">IFERROR(K240/H240,"")</f>
        <v>0.0428015564202335</v>
      </c>
      <c r="R240" s="10" t="n">
        <f aca="false">IFERROR(L240/H240,"")</f>
        <v>0</v>
      </c>
      <c r="S240" s="11" t="n">
        <f aca="false">IFERROR(M240/MEDIAN(INDEX($M$5:$M$373,MATCH($A240-90,$A$5:$A$373,1)):INDEX($M$5:$M$373,MATCH($A240+90,$A$5:$A$373,1))),"")</f>
        <v>0.855225095177779</v>
      </c>
      <c r="T240" s="11" t="n">
        <f aca="false">IFERROR(N240/MEDIAN(INDEX($N$5:$N$373,MATCH($A240-90,$A$5:$A$373,1)):INDEX($N$5:$N$373,MATCH($A240+90,$A$5:$A$373,1))),"")</f>
        <v>1.22054368523201</v>
      </c>
      <c r="U240" s="11" t="n">
        <f aca="false">IFERROR(Q240/MEDIAN(INDEX($Q$5:$Q$373,MATCH($A240-90,$A$5:$A$373,1)):INDEX($Q$5:$Q$373,MATCH($A240+90,$A$5:$A$373,1))),"")</f>
        <v>2.04300971962018</v>
      </c>
    </row>
    <row r="241" customFormat="false" ht="15" hidden="false" customHeight="false" outlineLevel="0" collapsed="false">
      <c r="A241" s="13" t="n">
        <v>45881.5820652431</v>
      </c>
      <c r="B241" s="8" t="n">
        <v>13</v>
      </c>
      <c r="C241" s="8" t="s">
        <v>64</v>
      </c>
      <c r="D241" s="8" t="s">
        <v>1449</v>
      </c>
      <c r="E241" s="14" t="s">
        <v>66</v>
      </c>
      <c r="F241" s="9" t="n">
        <v>5029</v>
      </c>
      <c r="G241" s="9" t="n">
        <v>254</v>
      </c>
      <c r="H241" s="9" t="n">
        <v>334</v>
      </c>
      <c r="I241" s="9" t="n">
        <v>201</v>
      </c>
      <c r="J241" s="9" t="n">
        <v>82</v>
      </c>
      <c r="K241" s="9" t="n">
        <v>7</v>
      </c>
      <c r="L241" s="9" t="n">
        <v>0</v>
      </c>
      <c r="M241" s="10" t="n">
        <f aca="false">IFERROR(G241/F241,"")</f>
        <v>0.0505070590574667</v>
      </c>
      <c r="N241" s="10" t="n">
        <f aca="false">IFERROR(H241/G241,"")</f>
        <v>1.31496062992126</v>
      </c>
      <c r="O241" s="11" t="n">
        <f aca="false">IFERROR(I241/H241,"")</f>
        <v>0.601796407185629</v>
      </c>
      <c r="P241" s="10" t="n">
        <f aca="false">IFERROR(J241/H241,"")</f>
        <v>0.245508982035928</v>
      </c>
      <c r="Q241" s="10" t="n">
        <f aca="false">IFERROR(K241/H241,"")</f>
        <v>0.0209580838323353</v>
      </c>
      <c r="R241" s="10" t="n">
        <f aca="false">IFERROR(L241/H241,"")</f>
        <v>0</v>
      </c>
      <c r="S241" s="11" t="n">
        <f aca="false">IFERROR(M241/MEDIAN(INDEX($M$5:$M$373,MATCH($A241-90,$A$5:$A$373,1)):INDEX($M$5:$M$373,MATCH($A241+90,$A$5:$A$373,1))),"")</f>
        <v>1.01406949554235</v>
      </c>
      <c r="T241" s="11" t="n">
        <f aca="false">IFERROR(N241/MEDIAN(INDEX($N$5:$N$373,MATCH($A241-90,$A$5:$A$373,1)):INDEX($N$5:$N$373,MATCH($A241+90,$A$5:$A$373,1))),"")</f>
        <v>1.3239415616886</v>
      </c>
      <c r="U241" s="11" t="n">
        <f aca="false">IFERROR(Q241/MEDIAN(INDEX($Q$5:$Q$373,MATCH($A241-90,$A$5:$A$373,1)):INDEX($Q$5:$Q$373,MATCH($A241+90,$A$5:$A$373,1))),"")</f>
        <v>1.00037411148522</v>
      </c>
    </row>
    <row r="242" customFormat="false" ht="15" hidden="false" customHeight="false" outlineLevel="0" collapsed="false">
      <c r="A242" s="13" t="n">
        <v>45883.5824790509</v>
      </c>
      <c r="B242" s="8" t="n">
        <v>13</v>
      </c>
      <c r="C242" s="8" t="s">
        <v>73</v>
      </c>
      <c r="D242" s="8" t="s">
        <v>1450</v>
      </c>
      <c r="E242" s="14" t="s">
        <v>66</v>
      </c>
      <c r="F242" s="9" t="n">
        <v>5046</v>
      </c>
      <c r="G242" s="9" t="n">
        <v>311</v>
      </c>
      <c r="H242" s="9" t="n">
        <v>367</v>
      </c>
      <c r="I242" s="9" t="n">
        <v>193</v>
      </c>
      <c r="J242" s="9" t="n">
        <v>68</v>
      </c>
      <c r="K242" s="9" t="n">
        <v>8</v>
      </c>
      <c r="L242" s="9" t="n">
        <v>1</v>
      </c>
      <c r="M242" s="10" t="n">
        <f aca="false">IFERROR(G242/F242,"")</f>
        <v>0.0616329766151407</v>
      </c>
      <c r="N242" s="10" t="n">
        <f aca="false">IFERROR(H242/G242,"")</f>
        <v>1.18006430868167</v>
      </c>
      <c r="O242" s="11" t="n">
        <f aca="false">IFERROR(I242/H242,"")</f>
        <v>0.525885558583106</v>
      </c>
      <c r="P242" s="10" t="n">
        <f aca="false">IFERROR(J242/H242,"")</f>
        <v>0.185286103542234</v>
      </c>
      <c r="Q242" s="10" t="n">
        <f aca="false">IFERROR(K242/H242,"")</f>
        <v>0.0217983651226158</v>
      </c>
      <c r="R242" s="10" t="n">
        <f aca="false">IFERROR(L242/H242,"")</f>
        <v>0.00272479564032698</v>
      </c>
      <c r="S242" s="11" t="n">
        <f aca="false">IFERROR(M242/MEDIAN(INDEX($M$5:$M$373,MATCH($A242-90,$A$5:$A$373,1)):INDEX($M$5:$M$373,MATCH($A242+90,$A$5:$A$373,1))),"")</f>
        <v>1.22028440707694</v>
      </c>
      <c r="T242" s="11" t="n">
        <f aca="false">IFERROR(N242/MEDIAN(INDEX($N$5:$N$373,MATCH($A242-90,$A$5:$A$373,1)):INDEX($N$5:$N$373,MATCH($A242+90,$A$5:$A$373,1))),"")</f>
        <v>1.18831650664448</v>
      </c>
      <c r="U242" s="11" t="n">
        <f aca="false">IFERROR(Q242/MEDIAN(INDEX($Q$5:$Q$373,MATCH($A242-90,$A$5:$A$373,1)):INDEX($Q$5:$Q$373,MATCH($A242+90,$A$5:$A$373,1))),"")</f>
        <v>1.04009342156481</v>
      </c>
    </row>
    <row r="243" customFormat="false" ht="15" hidden="false" customHeight="false" outlineLevel="0" collapsed="false">
      <c r="A243" s="13" t="n">
        <v>45886.5419283218</v>
      </c>
      <c r="B243" s="8" t="n">
        <v>13</v>
      </c>
      <c r="C243" s="8" t="s">
        <v>86</v>
      </c>
      <c r="D243" s="8" t="s">
        <v>1451</v>
      </c>
      <c r="E243" s="14" t="s">
        <v>66</v>
      </c>
      <c r="F243" s="9" t="n">
        <v>4955</v>
      </c>
      <c r="G243" s="9" t="n">
        <v>347</v>
      </c>
      <c r="H243" s="9" t="n">
        <v>458</v>
      </c>
      <c r="I243" s="9" t="n">
        <v>288</v>
      </c>
      <c r="J243" s="9" t="n">
        <v>61</v>
      </c>
      <c r="K243" s="9" t="n">
        <v>9</v>
      </c>
      <c r="L243" s="9" t="n">
        <v>2</v>
      </c>
      <c r="M243" s="10" t="n">
        <f aca="false">IFERROR(G243/F243,"")</f>
        <v>0.0700302724520686</v>
      </c>
      <c r="N243" s="10" t="n">
        <f aca="false">IFERROR(H243/G243,"")</f>
        <v>1.31988472622478</v>
      </c>
      <c r="O243" s="11" t="n">
        <f aca="false">IFERROR(I243/H243,"")</f>
        <v>0.62882096069869</v>
      </c>
      <c r="P243" s="10" t="n">
        <f aca="false">IFERROR(J243/H243,"")</f>
        <v>0.133187772925764</v>
      </c>
      <c r="Q243" s="10" t="n">
        <f aca="false">IFERROR(K243/H243,"")</f>
        <v>0.0196506550218341</v>
      </c>
      <c r="R243" s="10" t="n">
        <f aca="false">IFERROR(L243/H243,"")</f>
        <v>0.00436681222707424</v>
      </c>
      <c r="S243" s="11" t="n">
        <f aca="false">IFERROR(M243/MEDIAN(INDEX($M$5:$M$373,MATCH($A243-90,$A$5:$A$373,1)):INDEX($M$5:$M$373,MATCH($A243+90,$A$5:$A$373,1))),"")</f>
        <v>1.37866825526121</v>
      </c>
      <c r="T243" s="11" t="n">
        <f aca="false">IFERROR(N243/MEDIAN(INDEX($N$5:$N$373,MATCH($A243-90,$A$5:$A$373,1)):INDEX($N$5:$N$373,MATCH($A243+90,$A$5:$A$373,1))),"")</f>
        <v>1.32868395773295</v>
      </c>
      <c r="U243" s="11" t="n">
        <f aca="false">IFERROR(Q243/MEDIAN(INDEX($Q$5:$Q$373,MATCH($A243-90,$A$5:$A$373,1)):INDEX($Q$5:$Q$373,MATCH($A243+90,$A$5:$A$373,1))),"")</f>
        <v>0.927510917030568</v>
      </c>
    </row>
    <row r="244" customFormat="false" ht="15" hidden="false" customHeight="false" outlineLevel="0" collapsed="false">
      <c r="A244" s="13" t="n">
        <v>45888.5419906713</v>
      </c>
      <c r="B244" s="8" t="n">
        <v>13</v>
      </c>
      <c r="C244" s="8" t="s">
        <v>64</v>
      </c>
      <c r="D244" s="8" t="s">
        <v>1452</v>
      </c>
      <c r="E244" s="14" t="s">
        <v>66</v>
      </c>
      <c r="F244" s="9" t="n">
        <v>4770</v>
      </c>
      <c r="G244" s="9" t="n">
        <v>232</v>
      </c>
      <c r="H244" s="9" t="n">
        <v>382</v>
      </c>
      <c r="I244" s="9" t="n">
        <v>200</v>
      </c>
      <c r="J244" s="9" t="n">
        <v>79</v>
      </c>
      <c r="K244" s="9" t="n">
        <v>3</v>
      </c>
      <c r="L244" s="9" t="n">
        <v>0</v>
      </c>
      <c r="M244" s="10" t="n">
        <f aca="false">IFERROR(G244/F244,"")</f>
        <v>0.0486373165618449</v>
      </c>
      <c r="N244" s="10" t="n">
        <f aca="false">IFERROR(H244/G244,"")</f>
        <v>1.64655172413793</v>
      </c>
      <c r="O244" s="11" t="n">
        <f aca="false">IFERROR(I244/H244,"")</f>
        <v>0.523560209424084</v>
      </c>
      <c r="P244" s="10" t="n">
        <f aca="false">IFERROR(J244/H244,"")</f>
        <v>0.206806282722513</v>
      </c>
      <c r="Q244" s="10" t="n">
        <f aca="false">IFERROR(K244/H244,"")</f>
        <v>0.00785340314136126</v>
      </c>
      <c r="R244" s="10" t="n">
        <f aca="false">IFERROR(L244/H244,"")</f>
        <v>0</v>
      </c>
      <c r="S244" s="11" t="n">
        <f aca="false">IFERROR(M244/MEDIAN(INDEX($M$5:$M$373,MATCH($A244-90,$A$5:$A$373,1)):INDEX($M$5:$M$373,MATCH($A244+90,$A$5:$A$373,1))),"")</f>
        <v>0.920319389588313</v>
      </c>
      <c r="T244" s="11" t="n">
        <f aca="false">IFERROR(N244/MEDIAN(INDEX($N$5:$N$373,MATCH($A244-90,$A$5:$A$373,1)):INDEX($N$5:$N$373,MATCH($A244+90,$A$5:$A$373,1))),"")</f>
        <v>1.65671753683825</v>
      </c>
      <c r="U244" s="11" t="n">
        <f aca="false">IFERROR(Q244/MEDIAN(INDEX($Q$5:$Q$373,MATCH($A244-90,$A$5:$A$373,1)):INDEX($Q$5:$Q$373,MATCH($A244+90,$A$5:$A$373,1))),"")</f>
        <v>0.369893620568913</v>
      </c>
    </row>
    <row r="245" customFormat="false" ht="15" hidden="false" customHeight="false" outlineLevel="0" collapsed="false">
      <c r="A245" s="13" t="n">
        <v>45890.6259057523</v>
      </c>
      <c r="B245" s="8" t="n">
        <v>15</v>
      </c>
      <c r="C245" s="8" t="s">
        <v>73</v>
      </c>
      <c r="D245" s="8" t="s">
        <v>1453</v>
      </c>
      <c r="E245" s="14" t="s">
        <v>66</v>
      </c>
      <c r="F245" s="9" t="n">
        <v>4884</v>
      </c>
      <c r="G245" s="9" t="n">
        <v>224</v>
      </c>
      <c r="H245" s="9" t="n">
        <v>309</v>
      </c>
      <c r="I245" s="9" t="n">
        <v>227</v>
      </c>
      <c r="J245" s="9" t="n">
        <v>65</v>
      </c>
      <c r="K245" s="9" t="n">
        <v>7</v>
      </c>
      <c r="L245" s="9" t="n">
        <v>0</v>
      </c>
      <c r="M245" s="10" t="n">
        <f aca="false">IFERROR(G245/F245,"")</f>
        <v>0.0458640458640459</v>
      </c>
      <c r="N245" s="10" t="n">
        <f aca="false">IFERROR(H245/G245,"")</f>
        <v>1.37946428571429</v>
      </c>
      <c r="O245" s="11" t="n">
        <f aca="false">IFERROR(I245/H245,"")</f>
        <v>0.73462783171521</v>
      </c>
      <c r="P245" s="10" t="n">
        <f aca="false">IFERROR(J245/H245,"")</f>
        <v>0.210355987055016</v>
      </c>
      <c r="Q245" s="10" t="n">
        <f aca="false">IFERROR(K245/H245,"")</f>
        <v>0.0226537216828479</v>
      </c>
      <c r="R245" s="10" t="n">
        <f aca="false">IFERROR(L245/H245,"")</f>
        <v>0</v>
      </c>
      <c r="S245" s="11" t="n">
        <f aca="false">IFERROR(M245/MEDIAN(INDEX($M$5:$M$373,MATCH($A245-90,$A$5:$A$373,1)):INDEX($M$5:$M$373,MATCH($A245+90,$A$5:$A$373,1))),"")</f>
        <v>0.867185870875908</v>
      </c>
      <c r="T245" s="11" t="n">
        <f aca="false">IFERROR(N245/MEDIAN(INDEX($N$5:$N$373,MATCH($A245-90,$A$5:$A$373,1)):INDEX($N$5:$N$373,MATCH($A245+90,$A$5:$A$373,1))),"")</f>
        <v>1.38866071428571</v>
      </c>
      <c r="U245" s="11" t="n">
        <f aca="false">IFERROR(Q245/MEDIAN(INDEX($Q$5:$Q$373,MATCH($A245-90,$A$5:$A$373,1)):INDEX($Q$5:$Q$373,MATCH($A245+90,$A$5:$A$373,1))),"")</f>
        <v>1.06925566343042</v>
      </c>
    </row>
    <row r="246" customFormat="false" ht="15" hidden="false" customHeight="false" outlineLevel="0" collapsed="false">
      <c r="A246" s="13" t="n">
        <v>45893.4181971875</v>
      </c>
      <c r="B246" s="8" t="n">
        <v>10</v>
      </c>
      <c r="C246" s="8" t="s">
        <v>86</v>
      </c>
      <c r="D246" s="8" t="s">
        <v>1454</v>
      </c>
      <c r="E246" s="14" t="s">
        <v>66</v>
      </c>
      <c r="F246" s="9" t="n">
        <v>5378</v>
      </c>
      <c r="G246" s="9" t="n">
        <v>226</v>
      </c>
      <c r="H246" s="9" t="n">
        <v>394</v>
      </c>
      <c r="I246" s="9" t="n">
        <v>200</v>
      </c>
      <c r="J246" s="9" t="n">
        <v>58</v>
      </c>
      <c r="K246" s="9" t="n">
        <v>6</v>
      </c>
      <c r="L246" s="9" t="n">
        <v>0</v>
      </c>
      <c r="M246" s="10" t="n">
        <f aca="false">IFERROR(G246/F246,"")</f>
        <v>0.0420230568984753</v>
      </c>
      <c r="N246" s="10" t="n">
        <f aca="false">IFERROR(H246/G246,"")</f>
        <v>1.74336283185841</v>
      </c>
      <c r="O246" s="11" t="n">
        <f aca="false">IFERROR(I246/H246,"")</f>
        <v>0.50761421319797</v>
      </c>
      <c r="P246" s="10" t="n">
        <f aca="false">IFERROR(J246/H246,"")</f>
        <v>0.147208121827411</v>
      </c>
      <c r="Q246" s="10" t="n">
        <f aca="false">IFERROR(K246/H246,"")</f>
        <v>0.0152284263959391</v>
      </c>
      <c r="R246" s="10" t="n">
        <f aca="false">IFERROR(L246/H246,"")</f>
        <v>0</v>
      </c>
      <c r="S246" s="11" t="n">
        <f aca="false">IFERROR(M246/MEDIAN(INDEX($M$5:$M$373,MATCH($A246-90,$A$5:$A$373,1)):INDEX($M$5:$M$373,MATCH($A246+90,$A$5:$A$373,1))),"")</f>
        <v>0.787112718218959</v>
      </c>
      <c r="T246" s="11" t="n">
        <f aca="false">IFERROR(N246/MEDIAN(INDEX($N$5:$N$373,MATCH($A246-90,$A$5:$A$373,1)):INDEX($N$5:$N$373,MATCH($A246+90,$A$5:$A$373,1))),"")</f>
        <v>1.75326830249397</v>
      </c>
      <c r="U246" s="11" t="n">
        <f aca="false">IFERROR(Q246/MEDIAN(INDEX($Q$5:$Q$373,MATCH($A246-90,$A$5:$A$373,1)):INDEX($Q$5:$Q$373,MATCH($A246+90,$A$5:$A$373,1))),"")</f>
        <v>0.718781725888325</v>
      </c>
    </row>
    <row r="247" customFormat="false" ht="15" hidden="false" customHeight="false" outlineLevel="0" collapsed="false">
      <c r="A247" s="13" t="n">
        <v>45895.5439463426</v>
      </c>
      <c r="B247" s="8" t="n">
        <v>13</v>
      </c>
      <c r="C247" s="8" t="s">
        <v>64</v>
      </c>
      <c r="D247" s="8" t="s">
        <v>1455</v>
      </c>
      <c r="E247" s="14" t="s">
        <v>66</v>
      </c>
      <c r="F247" s="9" t="n">
        <v>5341</v>
      </c>
      <c r="G247" s="9" t="n">
        <v>214</v>
      </c>
      <c r="H247" s="9" t="n">
        <v>265</v>
      </c>
      <c r="I247" s="9" t="n">
        <v>174</v>
      </c>
      <c r="J247" s="9" t="n">
        <v>50</v>
      </c>
      <c r="K247" s="9" t="n">
        <v>3</v>
      </c>
      <c r="L247" s="9" t="n">
        <v>1</v>
      </c>
      <c r="M247" s="10" t="n">
        <f aca="false">IFERROR(G247/F247,"")</f>
        <v>0.0400674031080322</v>
      </c>
      <c r="N247" s="10" t="n">
        <f aca="false">IFERROR(H247/G247,"")</f>
        <v>1.23831775700935</v>
      </c>
      <c r="O247" s="11" t="n">
        <f aca="false">IFERROR(I247/H247,"")</f>
        <v>0.656603773584906</v>
      </c>
      <c r="P247" s="10" t="n">
        <f aca="false">IFERROR(J247/H247,"")</f>
        <v>0.188679245283019</v>
      </c>
      <c r="Q247" s="10" t="n">
        <f aca="false">IFERROR(K247/H247,"")</f>
        <v>0.0113207547169811</v>
      </c>
      <c r="R247" s="10" t="n">
        <f aca="false">IFERROR(L247/H247,"")</f>
        <v>0.00377358490566038</v>
      </c>
      <c r="S247" s="11" t="n">
        <f aca="false">IFERROR(M247/MEDIAN(INDEX($M$5:$M$373,MATCH($A247-90,$A$5:$A$373,1)):INDEX($M$5:$M$373,MATCH($A247+90,$A$5:$A$373,1))),"")</f>
        <v>0.740823468499458</v>
      </c>
      <c r="T247" s="11" t="n">
        <f aca="false">IFERROR(N247/MEDIAN(INDEX($N$5:$N$373,MATCH($A247-90,$A$5:$A$373,1)):INDEX($N$5:$N$373,MATCH($A247+90,$A$5:$A$373,1))),"")</f>
        <v>1.24521907249032</v>
      </c>
      <c r="U247" s="11" t="n">
        <f aca="false">IFERROR(Q247/MEDIAN(INDEX($Q$5:$Q$373,MATCH($A247-90,$A$5:$A$373,1)):INDEX($Q$5:$Q$373,MATCH($A247+90,$A$5:$A$373,1))),"")</f>
        <v>0.528821187467544</v>
      </c>
    </row>
    <row r="248" customFormat="false" ht="15" hidden="false" customHeight="false" outlineLevel="0" collapsed="false">
      <c r="A248" s="13" t="n">
        <v>45900.6698036227</v>
      </c>
      <c r="B248" s="8" t="n">
        <v>16</v>
      </c>
      <c r="C248" s="8" t="s">
        <v>86</v>
      </c>
      <c r="D248" s="8" t="s">
        <v>1456</v>
      </c>
      <c r="E248" s="14" t="s">
        <v>66</v>
      </c>
      <c r="F248" s="9" t="n">
        <v>5817</v>
      </c>
      <c r="G248" s="9" t="n">
        <v>208</v>
      </c>
      <c r="H248" s="9" t="n">
        <v>335</v>
      </c>
      <c r="I248" s="9" t="n">
        <v>192</v>
      </c>
      <c r="J248" s="9" t="n">
        <v>44</v>
      </c>
      <c r="K248" s="9" t="n">
        <v>7</v>
      </c>
      <c r="L248" s="9" t="n">
        <v>0</v>
      </c>
      <c r="M248" s="10" t="n">
        <f aca="false">IFERROR(G248/F248,"")</f>
        <v>0.0357572631940863</v>
      </c>
      <c r="N248" s="10" t="n">
        <f aca="false">IFERROR(H248/G248,"")</f>
        <v>1.61057692307692</v>
      </c>
      <c r="O248" s="11" t="n">
        <f aca="false">IFERROR(I248/H248,"")</f>
        <v>0.573134328358209</v>
      </c>
      <c r="P248" s="10" t="n">
        <f aca="false">IFERROR(J248/H248,"")</f>
        <v>0.13134328358209</v>
      </c>
      <c r="Q248" s="10" t="n">
        <f aca="false">IFERROR(K248/H248,"")</f>
        <v>0.0208955223880597</v>
      </c>
      <c r="R248" s="10" t="n">
        <f aca="false">IFERROR(L248/H248,"")</f>
        <v>0</v>
      </c>
      <c r="S248" s="11" t="n">
        <f aca="false">IFERROR(M248/MEDIAN(INDEX($M$5:$M$373,MATCH($A248-90,$A$5:$A$373,1)):INDEX($M$5:$M$373,MATCH($A248+90,$A$5:$A$373,1))),"")</f>
        <v>0.633115536648452</v>
      </c>
      <c r="T248" s="11" t="n">
        <f aca="false">IFERROR(N248/MEDIAN(INDEX($N$5:$N$373,MATCH($A248-90,$A$5:$A$373,1)):INDEX($N$5:$N$373,MATCH($A248+90,$A$5:$A$373,1))),"")</f>
        <v>1.61423695742018</v>
      </c>
      <c r="U248" s="11" t="n">
        <f aca="false">IFERROR(Q248/MEDIAN(INDEX($Q$5:$Q$373,MATCH($A248-90,$A$5:$A$373,1)):INDEX($Q$5:$Q$373,MATCH($A248+90,$A$5:$A$373,1))),"")</f>
        <v>0.97608288831074</v>
      </c>
    </row>
    <row r="249" customFormat="false" ht="15" hidden="false" customHeight="false" outlineLevel="0" collapsed="false">
      <c r="A249" s="13" t="n">
        <v>45902.5868786921</v>
      </c>
      <c r="B249" s="8" t="n">
        <v>14</v>
      </c>
      <c r="C249" s="8" t="s">
        <v>64</v>
      </c>
      <c r="D249" s="8" t="s">
        <v>1457</v>
      </c>
      <c r="E249" s="14" t="s">
        <v>66</v>
      </c>
      <c r="F249" s="9" t="n">
        <v>5103</v>
      </c>
      <c r="G249" s="9" t="n">
        <v>154</v>
      </c>
      <c r="H249" s="9" t="n">
        <v>258</v>
      </c>
      <c r="I249" s="9" t="n">
        <v>145</v>
      </c>
      <c r="J249" s="9" t="n">
        <v>55</v>
      </c>
      <c r="K249" s="9" t="n">
        <v>10</v>
      </c>
      <c r="L249" s="9" t="n">
        <v>0</v>
      </c>
      <c r="M249" s="10" t="n">
        <f aca="false">IFERROR(G249/F249,"")</f>
        <v>0.0301783264746228</v>
      </c>
      <c r="N249" s="10" t="n">
        <f aca="false">IFERROR(H249/G249,"")</f>
        <v>1.67532467532468</v>
      </c>
      <c r="O249" s="11" t="n">
        <f aca="false">IFERROR(I249/H249,"")</f>
        <v>0.562015503875969</v>
      </c>
      <c r="P249" s="10" t="n">
        <f aca="false">IFERROR(J249/H249,"")</f>
        <v>0.213178294573643</v>
      </c>
      <c r="Q249" s="10" t="n">
        <f aca="false">IFERROR(K249/H249,"")</f>
        <v>0.0387596899224806</v>
      </c>
      <c r="R249" s="10" t="n">
        <f aca="false">IFERROR(L249/H249,"")</f>
        <v>0</v>
      </c>
      <c r="S249" s="11" t="n">
        <f aca="false">IFERROR(M249/MEDIAN(INDEX($M$5:$M$373,MATCH($A249-90,$A$5:$A$373,1)):INDEX($M$5:$M$373,MATCH($A249+90,$A$5:$A$373,1))),"")</f>
        <v>0.53038103330501</v>
      </c>
      <c r="T249" s="11" t="n">
        <f aca="false">IFERROR(N249/MEDIAN(INDEX($N$5:$N$373,MATCH($A249-90,$A$5:$A$373,1)):INDEX($N$5:$N$373,MATCH($A249+90,$A$5:$A$373,1))),"")</f>
        <v>1.67811223718046</v>
      </c>
      <c r="U249" s="11" t="n">
        <f aca="false">IFERROR(Q249/MEDIAN(INDEX($Q$5:$Q$373,MATCH($A249-90,$A$5:$A$373,1)):INDEX($Q$5:$Q$373,MATCH($A249+90,$A$5:$A$373,1))),"")</f>
        <v>1.7781007751938</v>
      </c>
    </row>
    <row r="250" customFormat="false" ht="15" hidden="false" customHeight="false" outlineLevel="0" collapsed="false">
      <c r="A250" s="13" t="n">
        <v>45904.6291239815</v>
      </c>
      <c r="B250" s="8" t="n">
        <v>15</v>
      </c>
      <c r="C250" s="8" t="s">
        <v>73</v>
      </c>
      <c r="D250" s="8" t="s">
        <v>1458</v>
      </c>
      <c r="E250" s="14" t="s">
        <v>66</v>
      </c>
      <c r="F250" s="9" t="n">
        <v>5124</v>
      </c>
      <c r="G250" s="9" t="n">
        <v>271</v>
      </c>
      <c r="H250" s="9" t="n">
        <v>364</v>
      </c>
      <c r="I250" s="9" t="n">
        <v>228</v>
      </c>
      <c r="J250" s="9" t="n">
        <v>66</v>
      </c>
      <c r="K250" s="9" t="n">
        <v>13</v>
      </c>
      <c r="L250" s="9" t="n">
        <v>0</v>
      </c>
      <c r="M250" s="10" t="n">
        <f aca="false">IFERROR(G250/F250,"")</f>
        <v>0.052888368462139</v>
      </c>
      <c r="N250" s="10" t="n">
        <f aca="false">IFERROR(H250/G250,"")</f>
        <v>1.34317343173432</v>
      </c>
      <c r="O250" s="11" t="n">
        <f aca="false">IFERROR(I250/H250,"")</f>
        <v>0.626373626373626</v>
      </c>
      <c r="P250" s="10" t="n">
        <f aca="false">IFERROR(J250/H250,"")</f>
        <v>0.181318681318681</v>
      </c>
      <c r="Q250" s="10" t="n">
        <f aca="false">IFERROR(K250/H250,"")</f>
        <v>0.0357142857142857</v>
      </c>
      <c r="R250" s="10" t="n">
        <f aca="false">IFERROR(L250/H250,"")</f>
        <v>0</v>
      </c>
      <c r="S250" s="11" t="n">
        <f aca="false">IFERROR(M250/MEDIAN(INDEX($M$5:$M$373,MATCH($A250-90,$A$5:$A$373,1)):INDEX($M$5:$M$373,MATCH($A250+90,$A$5:$A$373,1))),"")</f>
        <v>0.928975136763709</v>
      </c>
      <c r="T250" s="11" t="n">
        <f aca="false">IFERROR(N250/MEDIAN(INDEX($N$5:$N$373,MATCH($A250-90,$A$5:$A$373,1)):INDEX($N$5:$N$373,MATCH($A250+90,$A$5:$A$373,1))),"")</f>
        <v>1.3442899516277</v>
      </c>
      <c r="U250" s="11" t="n">
        <f aca="false">IFERROR(Q250/MEDIAN(INDEX($Q$5:$Q$373,MATCH($A250-90,$A$5:$A$373,1)):INDEX($Q$5:$Q$373,MATCH($A250+90,$A$5:$A$373,1))),"")</f>
        <v>1.64821877677362</v>
      </c>
    </row>
    <row r="251" customFormat="false" ht="15" hidden="false" customHeight="false" outlineLevel="0" collapsed="false">
      <c r="A251" s="13" t="n">
        <v>45907.5874373611</v>
      </c>
      <c r="B251" s="8" t="n">
        <v>14</v>
      </c>
      <c r="C251" s="8" t="s">
        <v>86</v>
      </c>
      <c r="D251" s="8" t="s">
        <v>1459</v>
      </c>
      <c r="E251" s="14" t="s">
        <v>66</v>
      </c>
      <c r="F251" s="9" t="n">
        <v>5180</v>
      </c>
      <c r="G251" s="9" t="n">
        <v>162</v>
      </c>
      <c r="H251" s="9" t="n">
        <v>234</v>
      </c>
      <c r="I251" s="9" t="n">
        <v>148</v>
      </c>
      <c r="J251" s="9" t="n">
        <v>53</v>
      </c>
      <c r="K251" s="9" t="n">
        <v>4</v>
      </c>
      <c r="L251" s="9" t="n">
        <v>0</v>
      </c>
      <c r="M251" s="10" t="n">
        <f aca="false">IFERROR(G251/F251,"")</f>
        <v>0.0312741312741313</v>
      </c>
      <c r="N251" s="10" t="n">
        <f aca="false">IFERROR(H251/G251,"")</f>
        <v>1.44444444444444</v>
      </c>
      <c r="O251" s="11" t="n">
        <f aca="false">IFERROR(I251/H251,"")</f>
        <v>0.632478632478633</v>
      </c>
      <c r="P251" s="10" t="n">
        <f aca="false">IFERROR(J251/H251,"")</f>
        <v>0.226495726495727</v>
      </c>
      <c r="Q251" s="10" t="n">
        <f aca="false">IFERROR(K251/H251,"")</f>
        <v>0.0170940170940171</v>
      </c>
      <c r="R251" s="10" t="n">
        <f aca="false">IFERROR(L251/H251,"")</f>
        <v>0</v>
      </c>
      <c r="S251" s="11" t="n">
        <f aca="false">IFERROR(M251/MEDIAN(INDEX($M$5:$M$373,MATCH($A251-90,$A$5:$A$373,1)):INDEX($M$5:$M$373,MATCH($A251+90,$A$5:$A$373,1))),"")</f>
        <v>0.546638847069252</v>
      </c>
      <c r="T251" s="11" t="n">
        <f aca="false">IFERROR(N251/MEDIAN(INDEX($N$5:$N$373,MATCH($A251-90,$A$5:$A$373,1)):INDEX($N$5:$N$373,MATCH($A251+90,$A$5:$A$373,1))),"")</f>
        <v>1.43765350244325</v>
      </c>
      <c r="U251" s="11" t="n">
        <f aca="false">IFERROR(Q251/MEDIAN(INDEX($Q$5:$Q$373,MATCH($A251-90,$A$5:$A$373,1)):INDEX($Q$5:$Q$373,MATCH($A251+90,$A$5:$A$373,1))),"")</f>
        <v>0.788891038455751</v>
      </c>
    </row>
    <row r="252" customFormat="false" ht="15" hidden="false" customHeight="false" outlineLevel="0" collapsed="false">
      <c r="A252" s="13" t="n">
        <v>45909.5881494329</v>
      </c>
      <c r="B252" s="8" t="n">
        <v>14</v>
      </c>
      <c r="C252" s="8" t="s">
        <v>64</v>
      </c>
      <c r="D252" s="8" t="s">
        <v>1460</v>
      </c>
      <c r="E252" s="14" t="s">
        <v>66</v>
      </c>
      <c r="F252" s="9" t="n">
        <v>5316</v>
      </c>
      <c r="G252" s="9" t="n">
        <v>298</v>
      </c>
      <c r="H252" s="9" t="n">
        <v>325</v>
      </c>
      <c r="I252" s="9" t="n">
        <v>181</v>
      </c>
      <c r="J252" s="9" t="n">
        <v>81</v>
      </c>
      <c r="K252" s="9" t="n">
        <v>7</v>
      </c>
      <c r="L252" s="9" t="n">
        <v>2</v>
      </c>
      <c r="M252" s="10" t="n">
        <f aca="false">IFERROR(G252/F252,"")</f>
        <v>0.0560571858540256</v>
      </c>
      <c r="N252" s="10" t="n">
        <f aca="false">IFERROR(H252/G252,"")</f>
        <v>1.09060402684564</v>
      </c>
      <c r="O252" s="11" t="n">
        <f aca="false">IFERROR(I252/H252,"")</f>
        <v>0.556923076923077</v>
      </c>
      <c r="P252" s="10" t="n">
        <f aca="false">IFERROR(J252/H252,"")</f>
        <v>0.249230769230769</v>
      </c>
      <c r="Q252" s="10" t="n">
        <f aca="false">IFERROR(K252/H252,"")</f>
        <v>0.0215384615384615</v>
      </c>
      <c r="R252" s="10" t="n">
        <f aca="false">IFERROR(L252/H252,"")</f>
        <v>0.00615384615384615</v>
      </c>
      <c r="S252" s="11" t="n">
        <f aca="false">IFERROR(M252/MEDIAN(INDEX($M$5:$M$373,MATCH($A252-90,$A$5:$A$373,1)):INDEX($M$5:$M$373,MATCH($A252+90,$A$5:$A$373,1))),"")</f>
        <v>0.975606570410438</v>
      </c>
      <c r="T252" s="11" t="n">
        <f aca="false">IFERROR(N252/MEDIAN(INDEX($N$5:$N$373,MATCH($A252-90,$A$5:$A$373,1)):INDEX($N$5:$N$373,MATCH($A252+90,$A$5:$A$373,1))),"")</f>
        <v>1.0848940581187</v>
      </c>
      <c r="U252" s="11" t="n">
        <f aca="false">IFERROR(Q252/MEDIAN(INDEX($Q$5:$Q$373,MATCH($A252-90,$A$5:$A$373,1)):INDEX($Q$5:$Q$373,MATCH($A252+90,$A$5:$A$373,1))),"")</f>
        <v>0.988076923076923</v>
      </c>
    </row>
    <row r="253" customFormat="false" ht="15" hidden="false" customHeight="false" outlineLevel="0" collapsed="false">
      <c r="A253" s="13" t="n">
        <v>45911.5475745602</v>
      </c>
      <c r="B253" s="8" t="n">
        <v>13</v>
      </c>
      <c r="C253" s="8" t="s">
        <v>73</v>
      </c>
      <c r="D253" s="8" t="s">
        <v>1461</v>
      </c>
      <c r="E253" s="14" t="s">
        <v>66</v>
      </c>
      <c r="F253" s="9" t="n">
        <v>5451</v>
      </c>
      <c r="G253" s="9" t="n">
        <v>195</v>
      </c>
      <c r="H253" s="9" t="n">
        <v>324</v>
      </c>
      <c r="I253" s="9" t="n">
        <v>177</v>
      </c>
      <c r="J253" s="9" t="n">
        <v>56</v>
      </c>
      <c r="K253" s="9" t="n">
        <v>16</v>
      </c>
      <c r="L253" s="9" t="n">
        <v>0</v>
      </c>
      <c r="M253" s="10" t="n">
        <f aca="false">IFERROR(G253/F253,"")</f>
        <v>0.0357732526141992</v>
      </c>
      <c r="N253" s="10" t="n">
        <f aca="false">IFERROR(H253/G253,"")</f>
        <v>1.66153846153846</v>
      </c>
      <c r="O253" s="11" t="n">
        <f aca="false">IFERROR(I253/H253,"")</f>
        <v>0.546296296296296</v>
      </c>
      <c r="P253" s="10" t="n">
        <f aca="false">IFERROR(J253/H253,"")</f>
        <v>0.17283950617284</v>
      </c>
      <c r="Q253" s="10" t="n">
        <f aca="false">IFERROR(K253/H253,"")</f>
        <v>0.0493827160493827</v>
      </c>
      <c r="R253" s="10" t="n">
        <f aca="false">IFERROR(L253/H253,"")</f>
        <v>0</v>
      </c>
      <c r="S253" s="11" t="n">
        <f aca="false">IFERROR(M253/MEDIAN(INDEX($M$5:$M$373,MATCH($A253-90,$A$5:$A$373,1)):INDEX($M$5:$M$373,MATCH($A253+90,$A$5:$A$373,1))),"")</f>
        <v>0.625278745348177</v>
      </c>
      <c r="T253" s="11" t="n">
        <f aca="false">IFERROR(N253/MEDIAN(INDEX($N$5:$N$373,MATCH($A253-90,$A$5:$A$373,1)):INDEX($N$5:$N$373,MATCH($A253+90,$A$5:$A$373,1))),"")</f>
        <v>1.64496599495003</v>
      </c>
      <c r="U253" s="11" t="n">
        <f aca="false">IFERROR(Q253/MEDIAN(INDEX($Q$5:$Q$373,MATCH($A253-90,$A$5:$A$373,1)):INDEX($Q$5:$Q$373,MATCH($A253+90,$A$5:$A$373,1))),"")</f>
        <v>2.2486419075311</v>
      </c>
    </row>
    <row r="254" customFormat="false" ht="15" hidden="false" customHeight="false" outlineLevel="0" collapsed="false">
      <c r="A254" s="13" t="n">
        <v>45914.4230881829</v>
      </c>
      <c r="B254" s="8" t="n">
        <v>10</v>
      </c>
      <c r="C254" s="8" t="s">
        <v>86</v>
      </c>
      <c r="D254" s="8" t="s">
        <v>1462</v>
      </c>
      <c r="E254" s="14" t="s">
        <v>66</v>
      </c>
      <c r="F254" s="9" t="n">
        <v>5948</v>
      </c>
      <c r="G254" s="9" t="n">
        <v>204</v>
      </c>
      <c r="H254" s="9" t="n">
        <v>311</v>
      </c>
      <c r="I254" s="9" t="n">
        <v>157</v>
      </c>
      <c r="J254" s="9" t="n">
        <v>56</v>
      </c>
      <c r="K254" s="9" t="n">
        <v>14</v>
      </c>
      <c r="L254" s="9" t="n">
        <v>0</v>
      </c>
      <c r="M254" s="10" t="n">
        <f aca="false">IFERROR(G254/F254,"")</f>
        <v>0.0342972427706792</v>
      </c>
      <c r="N254" s="10" t="n">
        <f aca="false">IFERROR(H254/G254,"")</f>
        <v>1.52450980392157</v>
      </c>
      <c r="O254" s="11" t="n">
        <f aca="false">IFERROR(I254/H254,"")</f>
        <v>0.504823151125402</v>
      </c>
      <c r="P254" s="10" t="n">
        <f aca="false">IFERROR(J254/H254,"")</f>
        <v>0.180064308681672</v>
      </c>
      <c r="Q254" s="10" t="n">
        <f aca="false">IFERROR(K254/H254,"")</f>
        <v>0.045016077170418</v>
      </c>
      <c r="R254" s="10" t="n">
        <f aca="false">IFERROR(L254/H254,"")</f>
        <v>0</v>
      </c>
      <c r="S254" s="11" t="n">
        <f aca="false">IFERROR(M254/MEDIAN(INDEX($M$5:$M$373,MATCH($A254-90,$A$5:$A$373,1)):INDEX($M$5:$M$373,MATCH($A254+90,$A$5:$A$373,1))),"")</f>
        <v>0.603551774359753</v>
      </c>
      <c r="T254" s="11" t="n">
        <f aca="false">IFERROR(N254/MEDIAN(INDEX($N$5:$N$373,MATCH($A254-90,$A$5:$A$373,1)):INDEX($N$5:$N$373,MATCH($A254+90,$A$5:$A$373,1))),"")</f>
        <v>1.50343781454231</v>
      </c>
      <c r="U254" s="11" t="n">
        <f aca="false">IFERROR(Q254/MEDIAN(INDEX($Q$5:$Q$373,MATCH($A254-90,$A$5:$A$373,1)):INDEX($Q$5:$Q$373,MATCH($A254+90,$A$5:$A$373,1))),"")</f>
        <v>1.96437235884455</v>
      </c>
    </row>
    <row r="255" customFormat="false" ht="15" hidden="false" customHeight="false" outlineLevel="0" collapsed="false">
      <c r="A255" s="13" t="n">
        <v>45918.6319261343</v>
      </c>
      <c r="B255" s="8" t="n">
        <v>15</v>
      </c>
      <c r="C255" s="8" t="s">
        <v>73</v>
      </c>
      <c r="D255" s="8" t="s">
        <v>1463</v>
      </c>
      <c r="E255" s="14" t="s">
        <v>66</v>
      </c>
      <c r="F255" s="9" t="n">
        <v>5907</v>
      </c>
      <c r="G255" s="9" t="n">
        <v>392</v>
      </c>
      <c r="H255" s="9" t="n">
        <v>426</v>
      </c>
      <c r="I255" s="9" t="n">
        <v>156</v>
      </c>
      <c r="J255" s="9" t="n">
        <v>60</v>
      </c>
      <c r="K255" s="9" t="n">
        <v>15</v>
      </c>
      <c r="L255" s="9" t="n">
        <v>0</v>
      </c>
      <c r="M255" s="10" t="n">
        <f aca="false">IFERROR(G255/F255,"")</f>
        <v>0.0663619434569155</v>
      </c>
      <c r="N255" s="10" t="n">
        <f aca="false">IFERROR(H255/G255,"")</f>
        <v>1.08673469387755</v>
      </c>
      <c r="O255" s="11" t="n">
        <f aca="false">IFERROR(I255/H255,"")</f>
        <v>0.366197183098592</v>
      </c>
      <c r="P255" s="10" t="n">
        <f aca="false">IFERROR(J255/H255,"")</f>
        <v>0.140845070422535</v>
      </c>
      <c r="Q255" s="10" t="n">
        <f aca="false">IFERROR(K255/H255,"")</f>
        <v>0.0352112676056338</v>
      </c>
      <c r="R255" s="10" t="n">
        <f aca="false">IFERROR(L255/H255,"")</f>
        <v>0</v>
      </c>
      <c r="S255" s="11" t="n">
        <f aca="false">IFERROR(M255/MEDIAN(INDEX($M$5:$M$373,MATCH($A255-90,$A$5:$A$373,1)):INDEX($M$5:$M$373,MATCH($A255+90,$A$5:$A$373,1))),"")</f>
        <v>1.19745589632102</v>
      </c>
      <c r="T255" s="11" t="n">
        <f aca="false">IFERROR(N255/MEDIAN(INDEX($N$5:$N$373,MATCH($A255-90,$A$5:$A$373,1)):INDEX($N$5:$N$373,MATCH($A255+90,$A$5:$A$373,1))),"")</f>
        <v>1.06389514811117</v>
      </c>
      <c r="U255" s="11" t="n">
        <f aca="false">IFERROR(Q255/MEDIAN(INDEX($Q$5:$Q$373,MATCH($A255-90,$A$5:$A$373,1)):INDEX($Q$5:$Q$373,MATCH($A255+90,$A$5:$A$373,1))),"")</f>
        <v>1.51819955879857</v>
      </c>
    </row>
    <row r="256" customFormat="false" ht="15" hidden="false" customHeight="false" outlineLevel="0" collapsed="false">
      <c r="A256" s="13" t="n">
        <v>45921.5001947222</v>
      </c>
      <c r="B256" s="8" t="n">
        <v>12</v>
      </c>
      <c r="C256" s="8" t="s">
        <v>86</v>
      </c>
      <c r="D256" s="8" t="s">
        <v>1464</v>
      </c>
      <c r="E256" s="14" t="s">
        <v>66</v>
      </c>
      <c r="F256" s="9" t="n">
        <v>5815</v>
      </c>
      <c r="G256" s="9" t="n">
        <v>380</v>
      </c>
      <c r="H256" s="9" t="n">
        <v>472</v>
      </c>
      <c r="I256" s="9" t="n">
        <v>215</v>
      </c>
      <c r="J256" s="9" t="n">
        <v>61</v>
      </c>
      <c r="K256" s="9" t="n">
        <v>10</v>
      </c>
      <c r="L256" s="9" t="n">
        <v>0</v>
      </c>
      <c r="M256" s="10" t="n">
        <f aca="false">IFERROR(G256/F256,"")</f>
        <v>0.0653482373172829</v>
      </c>
      <c r="N256" s="10" t="n">
        <f aca="false">IFERROR(H256/G256,"")</f>
        <v>1.24210526315789</v>
      </c>
      <c r="O256" s="11" t="n">
        <f aca="false">IFERROR(I256/H256,"")</f>
        <v>0.455508474576271</v>
      </c>
      <c r="P256" s="10" t="n">
        <f aca="false">IFERROR(J256/H256,"")</f>
        <v>0.129237288135593</v>
      </c>
      <c r="Q256" s="10" t="n">
        <f aca="false">IFERROR(K256/H256,"")</f>
        <v>0.0211864406779661</v>
      </c>
      <c r="R256" s="10" t="n">
        <f aca="false">IFERROR(L256/H256,"")</f>
        <v>0</v>
      </c>
      <c r="S256" s="11" t="n">
        <f aca="false">IFERROR(M256/MEDIAN(INDEX($M$5:$M$373,MATCH($A256-90,$A$5:$A$373,1)):INDEX($M$5:$M$373,MATCH($A256+90,$A$5:$A$373,1))),"")</f>
        <v>1.20890478691882</v>
      </c>
      <c r="T256" s="11" t="n">
        <f aca="false">IFERROR(N256/MEDIAN(INDEX($N$5:$N$373,MATCH($A256-90,$A$5:$A$373,1)):INDEX($N$5:$N$373,MATCH($A256+90,$A$5:$A$373,1))),"")</f>
        <v>1.21009224091156</v>
      </c>
      <c r="U256" s="11" t="n">
        <f aca="false">IFERROR(Q256/MEDIAN(INDEX($Q$5:$Q$373,MATCH($A256-90,$A$5:$A$373,1)):INDEX($Q$5:$Q$373,MATCH($A256+90,$A$5:$A$373,1))),"")</f>
        <v>0.906640143298199</v>
      </c>
    </row>
    <row r="257" customFormat="false" ht="15" hidden="false" customHeight="false" outlineLevel="0" collapsed="false">
      <c r="A257" s="13" t="n">
        <v>45923.6251309375</v>
      </c>
      <c r="B257" s="8" t="n">
        <v>15</v>
      </c>
      <c r="C257" s="8" t="s">
        <v>64</v>
      </c>
      <c r="D257" s="8" t="s">
        <v>1465</v>
      </c>
      <c r="E257" s="14" t="s">
        <v>66</v>
      </c>
      <c r="F257" s="9" t="n">
        <v>5628</v>
      </c>
      <c r="G257" s="9" t="n">
        <v>134</v>
      </c>
      <c r="H257" s="9" t="n">
        <v>205</v>
      </c>
      <c r="I257" s="9" t="n">
        <v>116</v>
      </c>
      <c r="J257" s="9" t="n">
        <v>18</v>
      </c>
      <c r="K257" s="9" t="n">
        <v>4</v>
      </c>
      <c r="L257" s="9" t="n">
        <v>1</v>
      </c>
      <c r="M257" s="10" t="n">
        <f aca="false">IFERROR(G257/F257,"")</f>
        <v>0.0238095238095238</v>
      </c>
      <c r="N257" s="10" t="n">
        <f aca="false">IFERROR(H257/G257,"")</f>
        <v>1.52985074626866</v>
      </c>
      <c r="O257" s="11" t="n">
        <f aca="false">IFERROR(I257/H257,"")</f>
        <v>0.565853658536585</v>
      </c>
      <c r="P257" s="10" t="n">
        <f aca="false">IFERROR(J257/H257,"")</f>
        <v>0.0878048780487805</v>
      </c>
      <c r="Q257" s="10" t="n">
        <f aca="false">IFERROR(K257/H257,"")</f>
        <v>0.0195121951219512</v>
      </c>
      <c r="R257" s="10" t="n">
        <f aca="false">IFERROR(L257/H257,"")</f>
        <v>0.00487804878048781</v>
      </c>
      <c r="S257" s="11" t="n">
        <f aca="false">IFERROR(M257/MEDIAN(INDEX($M$5:$M$373,MATCH($A257-90,$A$5:$A$373,1)):INDEX($M$5:$M$373,MATCH($A257+90,$A$5:$A$373,1))),"")</f>
        <v>0.450184501845018</v>
      </c>
      <c r="T257" s="11" t="n">
        <f aca="false">IFERROR(N257/MEDIAN(INDEX($N$5:$N$373,MATCH($A257-90,$A$5:$A$373,1)):INDEX($N$5:$N$373,MATCH($A257+90,$A$5:$A$373,1))),"")</f>
        <v>1.45854414368834</v>
      </c>
      <c r="U257" s="11" t="n">
        <f aca="false">IFERROR(Q257/MEDIAN(INDEX($Q$5:$Q$373,MATCH($A257-90,$A$5:$A$373,1)):INDEX($Q$5:$Q$373,MATCH($A257+90,$A$5:$A$373,1))),"")</f>
        <v>0.821680216802168</v>
      </c>
    </row>
    <row r="258" customFormat="false" ht="15" hidden="false" customHeight="false" outlineLevel="0" collapsed="false">
      <c r="A258" s="13" t="n">
        <v>45925.6250228704</v>
      </c>
      <c r="B258" s="8" t="n">
        <v>15</v>
      </c>
      <c r="C258" s="8" t="s">
        <v>73</v>
      </c>
      <c r="D258" s="8" t="s">
        <v>1466</v>
      </c>
      <c r="E258" s="14" t="s">
        <v>66</v>
      </c>
      <c r="F258" s="9" t="n">
        <v>5569</v>
      </c>
      <c r="G258" s="9" t="n">
        <v>121</v>
      </c>
      <c r="H258" s="9" t="n">
        <v>207</v>
      </c>
      <c r="I258" s="9" t="n">
        <v>92</v>
      </c>
      <c r="J258" s="9" t="n">
        <v>36</v>
      </c>
      <c r="K258" s="9" t="n">
        <v>3</v>
      </c>
      <c r="L258" s="9" t="n">
        <v>0</v>
      </c>
      <c r="M258" s="10" t="n">
        <f aca="false">IFERROR(G258/F258,"")</f>
        <v>0.0217274196444604</v>
      </c>
      <c r="N258" s="10" t="n">
        <f aca="false">IFERROR(H258/G258,"")</f>
        <v>1.71074380165289</v>
      </c>
      <c r="O258" s="11" t="n">
        <f aca="false">IFERROR(I258/H258,"")</f>
        <v>0.444444444444444</v>
      </c>
      <c r="P258" s="10" t="n">
        <f aca="false">IFERROR(J258/H258,"")</f>
        <v>0.173913043478261</v>
      </c>
      <c r="Q258" s="10" t="n">
        <f aca="false">IFERROR(K258/H258,"")</f>
        <v>0.0144927536231884</v>
      </c>
      <c r="R258" s="10" t="n">
        <f aca="false">IFERROR(L258/H258,"")</f>
        <v>0</v>
      </c>
      <c r="S258" s="11" t="n">
        <f aca="false">IFERROR(M258/MEDIAN(INDEX($M$5:$M$373,MATCH($A258-90,$A$5:$A$373,1)):INDEX($M$5:$M$373,MATCH($A258+90,$A$5:$A$373,1))),"")</f>
        <v>0.411128059647221</v>
      </c>
      <c r="T258" s="11" t="n">
        <f aca="false">IFERROR(N258/MEDIAN(INDEX($N$5:$N$373,MATCH($A258-90,$A$5:$A$373,1)):INDEX($N$5:$N$373,MATCH($A258+90,$A$5:$A$373,1))),"")</f>
        <v>1.62159069813057</v>
      </c>
      <c r="U258" s="11" t="n">
        <f aca="false">IFERROR(Q258/MEDIAN(INDEX($Q$5:$Q$373,MATCH($A258-90,$A$5:$A$373,1)):INDEX($Q$5:$Q$373,MATCH($A258+90,$A$5:$A$373,1))),"")</f>
        <v>0.585256444707189</v>
      </c>
    </row>
    <row r="259" customFormat="false" ht="15" hidden="false" customHeight="false" outlineLevel="0" collapsed="false">
      <c r="A259" s="13" t="n">
        <v>45928.6669446181</v>
      </c>
      <c r="B259" s="8" t="n">
        <v>16</v>
      </c>
      <c r="C259" s="8" t="s">
        <v>86</v>
      </c>
      <c r="D259" s="8" t="s">
        <v>1467</v>
      </c>
      <c r="E259" s="14" t="s">
        <v>66</v>
      </c>
      <c r="F259" s="9" t="n">
        <v>5589</v>
      </c>
      <c r="G259" s="9" t="n">
        <v>365</v>
      </c>
      <c r="H259" s="9" t="n">
        <v>449</v>
      </c>
      <c r="I259" s="9" t="n">
        <v>217</v>
      </c>
      <c r="J259" s="9" t="n">
        <v>58</v>
      </c>
      <c r="K259" s="9" t="n">
        <v>5</v>
      </c>
      <c r="L259" s="9" t="n">
        <v>0</v>
      </c>
      <c r="M259" s="10" t="n">
        <f aca="false">IFERROR(G259/F259,"")</f>
        <v>0.0653068527464663</v>
      </c>
      <c r="N259" s="10" t="n">
        <f aca="false">IFERROR(H259/G259,"")</f>
        <v>1.23013698630137</v>
      </c>
      <c r="O259" s="11" t="n">
        <f aca="false">IFERROR(I259/H259,"")</f>
        <v>0.483296213808463</v>
      </c>
      <c r="P259" s="10" t="n">
        <f aca="false">IFERROR(J259/H259,"")</f>
        <v>0.129175946547884</v>
      </c>
      <c r="Q259" s="10" t="n">
        <f aca="false">IFERROR(K259/H259,"")</f>
        <v>0.0111358574610245</v>
      </c>
      <c r="R259" s="10" t="n">
        <f aca="false">IFERROR(L259/H259,"")</f>
        <v>0</v>
      </c>
      <c r="S259" s="11" t="n">
        <f aca="false">IFERROR(M259/MEDIAN(INDEX($M$5:$M$373,MATCH($A259-90,$A$5:$A$373,1)):INDEX($M$5:$M$373,MATCH($A259+90,$A$5:$A$373,1))),"")</f>
        <v>1.26777077221519</v>
      </c>
      <c r="T259" s="11" t="n">
        <f aca="false">IFERROR(N259/MEDIAN(INDEX($N$5:$N$373,MATCH($A259-90,$A$5:$A$373,1)):INDEX($N$5:$N$373,MATCH($A259+90,$A$5:$A$373,1))),"")</f>
        <v>1.1585563348855</v>
      </c>
      <c r="U259" s="11" t="n">
        <f aca="false">IFERROR(Q259/MEDIAN(INDEX($Q$5:$Q$373,MATCH($A259-90,$A$5:$A$373,1)):INDEX($Q$5:$Q$373,MATCH($A259+90,$A$5:$A$373,1))),"")</f>
        <v>0.420347297251485</v>
      </c>
    </row>
    <row r="260" customFormat="false" ht="15" hidden="false" customHeight="false" outlineLevel="0" collapsed="false">
      <c r="A260" s="13" t="n">
        <v>45930.6253524653</v>
      </c>
      <c r="B260" s="8" t="n">
        <v>15</v>
      </c>
      <c r="C260" s="8" t="s">
        <v>64</v>
      </c>
      <c r="D260" s="8" t="s">
        <v>1468</v>
      </c>
      <c r="E260" s="14" t="s">
        <v>66</v>
      </c>
      <c r="F260" s="9" t="n">
        <v>5705</v>
      </c>
      <c r="G260" s="9" t="n">
        <v>380</v>
      </c>
      <c r="H260" s="9" t="n">
        <v>454</v>
      </c>
      <c r="I260" s="9" t="n">
        <v>164</v>
      </c>
      <c r="J260" s="9" t="n">
        <v>53</v>
      </c>
      <c r="K260" s="9" t="n">
        <v>2</v>
      </c>
      <c r="L260" s="9" t="n">
        <v>0</v>
      </c>
      <c r="M260" s="10" t="n">
        <f aca="false">IFERROR(G260/F260,"")</f>
        <v>0.0666082383873795</v>
      </c>
      <c r="N260" s="10" t="n">
        <f aca="false">IFERROR(H260/G260,"")</f>
        <v>1.19473684210526</v>
      </c>
      <c r="O260" s="11" t="n">
        <f aca="false">IFERROR(I260/H260,"")</f>
        <v>0.361233480176211</v>
      </c>
      <c r="P260" s="10" t="n">
        <f aca="false">IFERROR(J260/H260,"")</f>
        <v>0.116740088105727</v>
      </c>
      <c r="Q260" s="10" t="n">
        <f aca="false">IFERROR(K260/H260,"")</f>
        <v>0.00440528634361234</v>
      </c>
      <c r="R260" s="10" t="n">
        <f aca="false">IFERROR(L260/H260,"")</f>
        <v>0</v>
      </c>
      <c r="S260" s="11" t="n">
        <f aca="false">IFERROR(M260/MEDIAN(INDEX($M$5:$M$373,MATCH($A260-90,$A$5:$A$373,1)):INDEX($M$5:$M$373,MATCH($A260+90,$A$5:$A$373,1))),"")</f>
        <v>1.2752702307917</v>
      </c>
      <c r="T260" s="11" t="n">
        <f aca="false">IFERROR(N260/MEDIAN(INDEX($N$5:$N$373,MATCH($A260-90,$A$5:$A$373,1)):INDEX($N$5:$N$373,MATCH($A260+90,$A$5:$A$373,1))),"")</f>
        <v>1.12445820433437</v>
      </c>
      <c r="U260" s="11" t="n">
        <f aca="false">IFERROR(Q260/MEDIAN(INDEX($Q$5:$Q$373,MATCH($A260-90,$A$5:$A$373,1)):INDEX($Q$5:$Q$373,MATCH($A260+90,$A$5:$A$373,1))),"")</f>
        <v>0.161037689672051</v>
      </c>
    </row>
    <row r="261" customFormat="false" ht="15" hidden="false" customHeight="false" outlineLevel="0" collapsed="false">
      <c r="A261" s="13" t="n">
        <v>45932.6258681019</v>
      </c>
      <c r="B261" s="8" t="n">
        <v>15</v>
      </c>
      <c r="C261" s="8" t="s">
        <v>73</v>
      </c>
      <c r="D261" s="8" t="s">
        <v>1469</v>
      </c>
      <c r="E261" s="14" t="s">
        <v>66</v>
      </c>
      <c r="F261" s="9" t="n">
        <v>5848</v>
      </c>
      <c r="G261" s="9" t="n">
        <v>128</v>
      </c>
      <c r="H261" s="9" t="n">
        <v>234</v>
      </c>
      <c r="I261" s="9" t="n">
        <v>130</v>
      </c>
      <c r="J261" s="9" t="n">
        <v>33</v>
      </c>
      <c r="K261" s="9" t="n">
        <v>4</v>
      </c>
      <c r="L261" s="9" t="n">
        <v>0</v>
      </c>
      <c r="M261" s="10" t="n">
        <f aca="false">IFERROR(G261/F261,"")</f>
        <v>0.0218878248974008</v>
      </c>
      <c r="N261" s="10" t="n">
        <f aca="false">IFERROR(H261/G261,"")</f>
        <v>1.828125</v>
      </c>
      <c r="O261" s="11" t="n">
        <f aca="false">IFERROR(I261/H261,"")</f>
        <v>0.555555555555556</v>
      </c>
      <c r="P261" s="10" t="n">
        <f aca="false">IFERROR(J261/H261,"")</f>
        <v>0.141025641025641</v>
      </c>
      <c r="Q261" s="10" t="n">
        <f aca="false">IFERROR(K261/H261,"")</f>
        <v>0.0170940170940171</v>
      </c>
      <c r="R261" s="10" t="n">
        <f aca="false">IFERROR(L261/H261,"")</f>
        <v>0</v>
      </c>
      <c r="S261" s="11" t="n">
        <f aca="false">IFERROR(M261/MEDIAN(INDEX($M$5:$M$373,MATCH($A261-90,$A$5:$A$373,1)):INDEX($M$5:$M$373,MATCH($A261+90,$A$5:$A$373,1))),"")</f>
        <v>0.432101940553562</v>
      </c>
      <c r="T261" s="11" t="n">
        <f aca="false">IFERROR(N261/MEDIAN(INDEX($N$5:$N$373,MATCH($A261-90,$A$5:$A$373,1)):INDEX($N$5:$N$373,MATCH($A261+90,$A$5:$A$373,1))),"")</f>
        <v>1.71157489968792</v>
      </c>
      <c r="U261" s="11" t="n">
        <f aca="false">IFERROR(Q261/MEDIAN(INDEX($Q$5:$Q$373,MATCH($A261-90,$A$5:$A$373,1)):INDEX($Q$5:$Q$373,MATCH($A261+90,$A$5:$A$373,1))),"")</f>
        <v>0.609266836731782</v>
      </c>
    </row>
    <row r="262" customFormat="false" ht="15" hidden="false" customHeight="false" outlineLevel="0" collapsed="false">
      <c r="A262" s="13" t="n">
        <v>45935.6251550463</v>
      </c>
      <c r="B262" s="8" t="n">
        <v>15</v>
      </c>
      <c r="C262" s="8" t="s">
        <v>86</v>
      </c>
      <c r="D262" s="8" t="s">
        <v>1470</v>
      </c>
      <c r="E262" s="14" t="s">
        <v>66</v>
      </c>
      <c r="F262" s="9" t="n">
        <v>6335</v>
      </c>
      <c r="G262" s="9" t="n">
        <v>320</v>
      </c>
      <c r="H262" s="9" t="n">
        <v>435</v>
      </c>
      <c r="I262" s="9" t="n">
        <v>187</v>
      </c>
      <c r="J262" s="9" t="n">
        <v>46</v>
      </c>
      <c r="K262" s="9" t="n">
        <v>7</v>
      </c>
      <c r="L262" s="9" t="n">
        <v>0</v>
      </c>
      <c r="M262" s="10" t="n">
        <f aca="false">IFERROR(G262/F262,"")</f>
        <v>0.0505130228887135</v>
      </c>
      <c r="N262" s="10" t="n">
        <f aca="false">IFERROR(H262/G262,"")</f>
        <v>1.359375</v>
      </c>
      <c r="O262" s="11" t="n">
        <f aca="false">IFERROR(I262/H262,"")</f>
        <v>0.429885057471264</v>
      </c>
      <c r="P262" s="10" t="n">
        <f aca="false">IFERROR(J262/H262,"")</f>
        <v>0.105747126436782</v>
      </c>
      <c r="Q262" s="10" t="n">
        <f aca="false">IFERROR(K262/H262,"")</f>
        <v>0.0160919540229885</v>
      </c>
      <c r="R262" s="10" t="n">
        <f aca="false">IFERROR(L262/H262,"")</f>
        <v>0</v>
      </c>
      <c r="S262" s="11" t="n">
        <f aca="false">IFERROR(M262/MEDIAN(INDEX($M$5:$M$373,MATCH($A262-90,$A$5:$A$373,1)):INDEX($M$5:$M$373,MATCH($A262+90,$A$5:$A$373,1))),"")</f>
        <v>1.00286811226189</v>
      </c>
      <c r="T262" s="11" t="n">
        <f aca="false">IFERROR(N262/MEDIAN(INDEX($N$5:$N$373,MATCH($A262-90,$A$5:$A$373,1)):INDEX($N$5:$N$373,MATCH($A262+90,$A$5:$A$373,1))),"")</f>
        <v>1.26135534964219</v>
      </c>
      <c r="U262" s="11" t="n">
        <f aca="false">IFERROR(Q262/MEDIAN(INDEX($Q$5:$Q$373,MATCH($A262-90,$A$5:$A$373,1)):INDEX($Q$5:$Q$373,MATCH($A262+90,$A$5:$A$373,1))),"")</f>
        <v>0.558735530012771</v>
      </c>
    </row>
    <row r="263" customFormat="false" ht="15" hidden="false" customHeight="false" outlineLevel="0" collapsed="false">
      <c r="A263" s="13" t="n">
        <v>45937.6252614352</v>
      </c>
      <c r="B263" s="8" t="n">
        <v>15</v>
      </c>
      <c r="C263" s="8" t="s">
        <v>64</v>
      </c>
      <c r="D263" s="8" t="s">
        <v>1471</v>
      </c>
      <c r="E263" s="14" t="s">
        <v>66</v>
      </c>
      <c r="F263" s="9" t="n">
        <v>6446</v>
      </c>
      <c r="G263" s="9" t="n">
        <v>255</v>
      </c>
      <c r="H263" s="9" t="n">
        <v>225</v>
      </c>
      <c r="I263" s="9" t="n">
        <v>123</v>
      </c>
      <c r="J263" s="9" t="n">
        <v>35</v>
      </c>
      <c r="K263" s="9" t="n">
        <v>10</v>
      </c>
      <c r="L263" s="9" t="n">
        <v>1</v>
      </c>
      <c r="M263" s="10" t="n">
        <f aca="false">IFERROR(G263/F263,"")</f>
        <v>0.0395594166925225</v>
      </c>
      <c r="N263" s="10" t="n">
        <f aca="false">IFERROR(H263/G263,"")</f>
        <v>0.882352941176471</v>
      </c>
      <c r="O263" s="11" t="n">
        <f aca="false">IFERROR(I263/H263,"")</f>
        <v>0.546666666666667</v>
      </c>
      <c r="P263" s="10" t="n">
        <f aca="false">IFERROR(J263/H263,"")</f>
        <v>0.155555555555556</v>
      </c>
      <c r="Q263" s="10" t="n">
        <f aca="false">IFERROR(K263/H263,"")</f>
        <v>0.0444444444444444</v>
      </c>
      <c r="R263" s="10" t="n">
        <f aca="false">IFERROR(L263/H263,"")</f>
        <v>0.00444444444444444</v>
      </c>
      <c r="S263" s="11" t="n">
        <f aca="false">IFERROR(M263/MEDIAN(INDEX($M$5:$M$373,MATCH($A263-90,$A$5:$A$373,1)):INDEX($M$5:$M$373,MATCH($A263+90,$A$5:$A$373,1))),"")</f>
        <v>0.787564570489303</v>
      </c>
      <c r="T263" s="11" t="n">
        <f aca="false">IFERROR(N263/MEDIAN(INDEX($N$5:$N$373,MATCH($A263-90,$A$5:$A$373,1)):INDEX($N$5:$N$373,MATCH($A263+90,$A$5:$A$373,1))),"")</f>
        <v>0.816505706760316</v>
      </c>
      <c r="U263" s="11" t="n">
        <f aca="false">IFERROR(Q263/MEDIAN(INDEX($Q$5:$Q$373,MATCH($A263-90,$A$5:$A$373,1)):INDEX($Q$5:$Q$373,MATCH($A263+90,$A$5:$A$373,1))),"")</f>
        <v>1.55061728395062</v>
      </c>
    </row>
    <row r="264" customFormat="false" ht="15" hidden="false" customHeight="false" outlineLevel="0" collapsed="false">
      <c r="A264" s="13" t="n">
        <v>45939.5834608218</v>
      </c>
      <c r="B264" s="8" t="n">
        <v>14</v>
      </c>
      <c r="C264" s="8" t="s">
        <v>73</v>
      </c>
      <c r="D264" s="8" t="s">
        <v>1472</v>
      </c>
      <c r="E264" s="14" t="s">
        <v>66</v>
      </c>
      <c r="F264" s="9" t="n">
        <v>6772</v>
      </c>
      <c r="G264" s="9" t="n">
        <v>308</v>
      </c>
      <c r="H264" s="9" t="n">
        <v>302</v>
      </c>
      <c r="I264" s="9" t="n">
        <v>163</v>
      </c>
      <c r="J264" s="9" t="n">
        <v>69</v>
      </c>
      <c r="K264" s="9" t="n">
        <v>7</v>
      </c>
      <c r="L264" s="9" t="n">
        <v>0</v>
      </c>
      <c r="M264" s="10" t="n">
        <f aca="false">IFERROR(G264/F264,"")</f>
        <v>0.045481393975192</v>
      </c>
      <c r="N264" s="10" t="n">
        <f aca="false">IFERROR(H264/G264,"")</f>
        <v>0.980519480519481</v>
      </c>
      <c r="O264" s="11" t="n">
        <f aca="false">IFERROR(I264/H264,"")</f>
        <v>0.539735099337748</v>
      </c>
      <c r="P264" s="10" t="n">
        <f aca="false">IFERROR(J264/H264,"")</f>
        <v>0.228476821192053</v>
      </c>
      <c r="Q264" s="10" t="n">
        <f aca="false">IFERROR(K264/H264,"")</f>
        <v>0.0231788079470199</v>
      </c>
      <c r="R264" s="10" t="n">
        <f aca="false">IFERROR(L264/H264,"")</f>
        <v>0</v>
      </c>
      <c r="S264" s="11" t="n">
        <f aca="false">IFERROR(M264/MEDIAN(INDEX($M$5:$M$373,MATCH($A264-90,$A$5:$A$373,1)):INDEX($M$5:$M$373,MATCH($A264+90,$A$5:$A$373,1))),"")</f>
        <v>0.909247056327326</v>
      </c>
      <c r="T264" s="11" t="n">
        <f aca="false">IFERROR(N264/MEDIAN(INDEX($N$5:$N$373,MATCH($A264-90,$A$5:$A$373,1)):INDEX($N$5:$N$373,MATCH($A264+90,$A$5:$A$373,1))),"")</f>
        <v>0.900658653784293</v>
      </c>
      <c r="U264" s="11" t="n">
        <f aca="false">IFERROR(Q264/MEDIAN(INDEX($Q$5:$Q$373,MATCH($A264-90,$A$5:$A$373,1)):INDEX($Q$5:$Q$373,MATCH($A264+90,$A$5:$A$373,1))),"")</f>
        <v>0.826141621330016</v>
      </c>
    </row>
    <row r="265" customFormat="false" ht="15" hidden="false" customHeight="false" outlineLevel="0" collapsed="false">
      <c r="A265" s="13" t="n">
        <v>45942.6252865972</v>
      </c>
      <c r="B265" s="8" t="n">
        <v>15</v>
      </c>
      <c r="C265" s="8" t="s">
        <v>86</v>
      </c>
      <c r="D265" s="8" t="s">
        <v>1473</v>
      </c>
      <c r="E265" s="14" t="s">
        <v>66</v>
      </c>
      <c r="F265" s="9" t="n">
        <v>6886</v>
      </c>
      <c r="G265" s="9" t="n">
        <v>176</v>
      </c>
      <c r="H265" s="9" t="n">
        <v>193</v>
      </c>
      <c r="I265" s="9" t="n">
        <v>123</v>
      </c>
      <c r="J265" s="9" t="n">
        <v>30</v>
      </c>
      <c r="K265" s="9" t="n">
        <v>18</v>
      </c>
      <c r="L265" s="9" t="n">
        <v>0</v>
      </c>
      <c r="M265" s="10" t="n">
        <f aca="false">IFERROR(G265/F265,"")</f>
        <v>0.0255591054313099</v>
      </c>
      <c r="N265" s="10" t="n">
        <f aca="false">IFERROR(H265/G265,"")</f>
        <v>1.09659090909091</v>
      </c>
      <c r="O265" s="11" t="n">
        <f aca="false">IFERROR(I265/H265,"")</f>
        <v>0.637305699481865</v>
      </c>
      <c r="P265" s="10" t="n">
        <f aca="false">IFERROR(J265/H265,"")</f>
        <v>0.155440414507772</v>
      </c>
      <c r="Q265" s="10" t="n">
        <f aca="false">IFERROR(K265/H265,"")</f>
        <v>0.0932642487046632</v>
      </c>
      <c r="R265" s="10" t="n">
        <f aca="false">IFERROR(L265/H265,"")</f>
        <v>0</v>
      </c>
      <c r="S265" s="11" t="n">
        <f aca="false">IFERROR(M265/MEDIAN(INDEX($M$5:$M$373,MATCH($A265-90,$A$5:$A$373,1)):INDEX($M$5:$M$373,MATCH($A265+90,$A$5:$A$373,1))),"")</f>
        <v>0.51809318690018</v>
      </c>
      <c r="T265" s="11" t="n">
        <f aca="false">IFERROR(N265/MEDIAN(INDEX($N$5:$N$373,MATCH($A265-90,$A$5:$A$373,1)):INDEX($N$5:$N$373,MATCH($A265+90,$A$5:$A$373,1))),"")</f>
        <v>0.997872967047351</v>
      </c>
      <c r="U265" s="11" t="n">
        <f aca="false">IFERROR(Q265/MEDIAN(INDEX($Q$5:$Q$373,MATCH($A265-90,$A$5:$A$373,1)):INDEX($Q$5:$Q$373,MATCH($A265+90,$A$5:$A$373,1))),"")</f>
        <v>3.3241346066247</v>
      </c>
    </row>
    <row r="266" customFormat="false" ht="15" hidden="false" customHeight="false" outlineLevel="0" collapsed="false">
      <c r="A266" s="13" t="n">
        <v>45944.6251873958</v>
      </c>
      <c r="B266" s="8" t="n">
        <v>15</v>
      </c>
      <c r="C266" s="8" t="s">
        <v>64</v>
      </c>
      <c r="D266" s="8" t="s">
        <v>1474</v>
      </c>
      <c r="E266" s="14" t="s">
        <v>66</v>
      </c>
      <c r="F266" s="9" t="n">
        <v>6589</v>
      </c>
      <c r="G266" s="9" t="n">
        <v>401</v>
      </c>
      <c r="H266" s="9" t="n">
        <v>463</v>
      </c>
      <c r="I266" s="9" t="n">
        <v>237</v>
      </c>
      <c r="J266" s="9" t="n">
        <v>58</v>
      </c>
      <c r="K266" s="9" t="n">
        <v>9</v>
      </c>
      <c r="L266" s="9" t="n">
        <v>2</v>
      </c>
      <c r="M266" s="10" t="n">
        <f aca="false">IFERROR(G266/F266,"")</f>
        <v>0.0608590074366368</v>
      </c>
      <c r="N266" s="10" t="n">
        <f aca="false">IFERROR(H266/G266,"")</f>
        <v>1.15461346633416</v>
      </c>
      <c r="O266" s="11" t="n">
        <f aca="false">IFERROR(I266/H266,"")</f>
        <v>0.511879049676026</v>
      </c>
      <c r="P266" s="10" t="n">
        <f aca="false">IFERROR(J266/H266,"")</f>
        <v>0.125269978401728</v>
      </c>
      <c r="Q266" s="10" t="n">
        <f aca="false">IFERROR(K266/H266,"")</f>
        <v>0.019438444924406</v>
      </c>
      <c r="R266" s="10" t="n">
        <f aca="false">IFERROR(L266/H266,"")</f>
        <v>0.00431965442764579</v>
      </c>
      <c r="S266" s="11" t="n">
        <f aca="false">IFERROR(M266/MEDIAN(INDEX($M$5:$M$373,MATCH($A266-90,$A$5:$A$373,1)):INDEX($M$5:$M$373,MATCH($A266+90,$A$5:$A$373,1))),"")</f>
        <v>1.24572639326328</v>
      </c>
      <c r="T266" s="11" t="n">
        <f aca="false">IFERROR(N266/MEDIAN(INDEX($N$5:$N$373,MATCH($A266-90,$A$5:$A$373,1)):INDEX($N$5:$N$373,MATCH($A266+90,$A$5:$A$373,1))),"")</f>
        <v>1.02720784246281</v>
      </c>
      <c r="U266" s="11" t="n">
        <f aca="false">IFERROR(Q266/MEDIAN(INDEX($Q$5:$Q$373,MATCH($A266-90,$A$5:$A$373,1)):INDEX($Q$5:$Q$373,MATCH($A266+90,$A$5:$A$373,1))),"")</f>
        <v>0.678185745140389</v>
      </c>
    </row>
    <row r="267" customFormat="false" ht="15" hidden="false" customHeight="false" outlineLevel="0" collapsed="false">
      <c r="A267" s="13" t="n">
        <v>45946.4175467361</v>
      </c>
      <c r="B267" s="8" t="n">
        <v>10</v>
      </c>
      <c r="C267" s="8" t="s">
        <v>73</v>
      </c>
      <c r="D267" s="8" t="s">
        <v>1475</v>
      </c>
      <c r="E267" s="14" t="s">
        <v>66</v>
      </c>
      <c r="F267" s="9" t="n">
        <v>6658</v>
      </c>
      <c r="G267" s="9" t="n">
        <v>409</v>
      </c>
      <c r="H267" s="9" t="n">
        <v>538</v>
      </c>
      <c r="I267" s="9" t="n">
        <v>204</v>
      </c>
      <c r="J267" s="9" t="n">
        <v>79</v>
      </c>
      <c r="K267" s="9" t="n">
        <v>5</v>
      </c>
      <c r="L267" s="9" t="n">
        <v>5</v>
      </c>
      <c r="M267" s="10" t="n">
        <f aca="false">IFERROR(G267/F267,"")</f>
        <v>0.0614298588164614</v>
      </c>
      <c r="N267" s="10" t="n">
        <f aca="false">IFERROR(H267/G267,"")</f>
        <v>1.31540342298289</v>
      </c>
      <c r="O267" s="11" t="n">
        <f aca="false">IFERROR(I267/H267,"")</f>
        <v>0.379182156133829</v>
      </c>
      <c r="P267" s="10" t="n">
        <f aca="false">IFERROR(J267/H267,"")</f>
        <v>0.146840148698885</v>
      </c>
      <c r="Q267" s="10" t="n">
        <f aca="false">IFERROR(K267/H267,"")</f>
        <v>0.00929368029739777</v>
      </c>
      <c r="R267" s="10" t="n">
        <f aca="false">IFERROR(L267/H267,"")</f>
        <v>0.00929368029739777</v>
      </c>
      <c r="S267" s="11" t="n">
        <f aca="false">IFERROR(M267/MEDIAN(INDEX($M$5:$M$373,MATCH($A267-90,$A$5:$A$373,1)):INDEX($M$5:$M$373,MATCH($A267+90,$A$5:$A$373,1))),"")</f>
        <v>1.26020889215099</v>
      </c>
      <c r="T267" s="11" t="n">
        <f aca="false">IFERROR(N267/MEDIAN(INDEX($N$5:$N$373,MATCH($A267-90,$A$5:$A$373,1)):INDEX($N$5:$N$373,MATCH($A267+90,$A$5:$A$373,1))),"")</f>
        <v>1.15774853123815</v>
      </c>
      <c r="U267" s="11" t="n">
        <f aca="false">IFERROR(Q267/MEDIAN(INDEX($Q$5:$Q$373,MATCH($A267-90,$A$5:$A$373,1)):INDEX($Q$5:$Q$373,MATCH($A267+90,$A$5:$A$373,1))),"")</f>
        <v>0.322689797604296</v>
      </c>
    </row>
    <row r="268" customFormat="false" ht="15" hidden="false" customHeight="false" outlineLevel="0" collapsed="false">
      <c r="A268" s="13" t="n">
        <v>45949.6251026505</v>
      </c>
      <c r="B268" s="8" t="n">
        <v>15</v>
      </c>
      <c r="C268" s="8" t="s">
        <v>86</v>
      </c>
      <c r="D268" s="8" t="s">
        <v>1476</v>
      </c>
      <c r="E268" s="14" t="s">
        <v>66</v>
      </c>
      <c r="F268" s="9" t="n">
        <v>7145</v>
      </c>
      <c r="G268" s="9" t="n">
        <v>248</v>
      </c>
      <c r="H268" s="9" t="n">
        <v>268</v>
      </c>
      <c r="I268" s="9" t="n">
        <v>141</v>
      </c>
      <c r="J268" s="9" t="n">
        <v>51</v>
      </c>
      <c r="K268" s="9" t="n">
        <v>11</v>
      </c>
      <c r="L268" s="9" t="n">
        <v>0</v>
      </c>
      <c r="M268" s="10" t="n">
        <f aca="false">IFERROR(G268/F268,"")</f>
        <v>0.0347095871238628</v>
      </c>
      <c r="N268" s="10" t="n">
        <f aca="false">IFERROR(H268/G268,"")</f>
        <v>1.08064516129032</v>
      </c>
      <c r="O268" s="11" t="n">
        <f aca="false">IFERROR(I268/H268,"")</f>
        <v>0.526119402985075</v>
      </c>
      <c r="P268" s="10" t="n">
        <f aca="false">IFERROR(J268/H268,"")</f>
        <v>0.190298507462687</v>
      </c>
      <c r="Q268" s="10" t="n">
        <f aca="false">IFERROR(K268/H268,"")</f>
        <v>0.041044776119403</v>
      </c>
      <c r="R268" s="10" t="n">
        <f aca="false">IFERROR(L268/H268,"")</f>
        <v>0</v>
      </c>
      <c r="S268" s="11" t="n">
        <f aca="false">IFERROR(M268/MEDIAN(INDEX($M$5:$M$373,MATCH($A268-90,$A$5:$A$373,1)):INDEX($M$5:$M$373,MATCH($A268+90,$A$5:$A$373,1))),"")</f>
        <v>0.713641080089766</v>
      </c>
      <c r="T268" s="11" t="n">
        <f aca="false">IFERROR(N268/MEDIAN(INDEX($N$5:$N$373,MATCH($A268-90,$A$5:$A$373,1)):INDEX($N$5:$N$373,MATCH($A268+90,$A$5:$A$373,1))),"")</f>
        <v>0.941978304310591</v>
      </c>
      <c r="U268" s="11" t="n">
        <f aca="false">IFERROR(Q268/MEDIAN(INDEX($Q$5:$Q$373,MATCH($A268-90,$A$5:$A$373,1)):INDEX($Q$5:$Q$373,MATCH($A268+90,$A$5:$A$373,1))),"")</f>
        <v>1.41832504145937</v>
      </c>
    </row>
    <row r="269" customFormat="false" ht="15" hidden="false" customHeight="false" outlineLevel="0" collapsed="false">
      <c r="A269" s="13" t="n">
        <v>45951.6255704051</v>
      </c>
      <c r="B269" s="8" t="n">
        <v>15</v>
      </c>
      <c r="C269" s="8" t="s">
        <v>64</v>
      </c>
      <c r="D269" s="8" t="s">
        <v>1477</v>
      </c>
      <c r="E269" s="14" t="s">
        <v>66</v>
      </c>
      <c r="F269" s="9" t="n">
        <v>7460</v>
      </c>
      <c r="G269" s="9" t="n">
        <v>257</v>
      </c>
      <c r="H269" s="9" t="n">
        <v>193</v>
      </c>
      <c r="I269" s="9" t="n">
        <v>90</v>
      </c>
      <c r="J269" s="9" t="n">
        <v>41</v>
      </c>
      <c r="K269" s="9" t="n">
        <v>9</v>
      </c>
      <c r="L269" s="9" t="n">
        <v>2</v>
      </c>
      <c r="M269" s="10" t="n">
        <f aca="false">IFERROR(G269/F269,"")</f>
        <v>0.0344504021447721</v>
      </c>
      <c r="N269" s="10" t="n">
        <f aca="false">IFERROR(H269/G269,"")</f>
        <v>0.750972762645914</v>
      </c>
      <c r="O269" s="11" t="n">
        <f aca="false">IFERROR(I269/H269,"")</f>
        <v>0.466321243523316</v>
      </c>
      <c r="P269" s="10" t="n">
        <f aca="false">IFERROR(J269/H269,"")</f>
        <v>0.212435233160622</v>
      </c>
      <c r="Q269" s="10" t="n">
        <f aca="false">IFERROR(K269/H269,"")</f>
        <v>0.0466321243523316</v>
      </c>
      <c r="R269" s="10" t="n">
        <f aca="false">IFERROR(L269/H269,"")</f>
        <v>0.0103626943005181</v>
      </c>
      <c r="S269" s="11" t="n">
        <f aca="false">IFERROR(M269/MEDIAN(INDEX($M$5:$M$373,MATCH($A269-90,$A$5:$A$373,1)):INDEX($M$5:$M$373,MATCH($A269+90,$A$5:$A$373,1))),"")</f>
        <v>0.70831214754553</v>
      </c>
      <c r="T269" s="11" t="n">
        <f aca="false">IFERROR(N269/MEDIAN(INDEX($N$5:$N$373,MATCH($A269-90,$A$5:$A$373,1)):INDEX($N$5:$N$373,MATCH($A269+90,$A$5:$A$373,1))),"")</f>
        <v>0.654609001067456</v>
      </c>
      <c r="U269" s="11" t="n">
        <f aca="false">IFERROR(Q269/MEDIAN(INDEX($Q$5:$Q$373,MATCH($A269-90,$A$5:$A$373,1)):INDEX($Q$5:$Q$373,MATCH($A269+90,$A$5:$A$373,1))),"")</f>
        <v>1.61139896373057</v>
      </c>
    </row>
    <row r="270" customFormat="false" ht="15" hidden="false" customHeight="false" outlineLevel="0" collapsed="false">
      <c r="A270" s="13" t="n">
        <v>45953.7083037847</v>
      </c>
      <c r="B270" s="8" t="n">
        <v>16</v>
      </c>
      <c r="C270" s="8" t="s">
        <v>73</v>
      </c>
      <c r="D270" s="8" t="s">
        <v>1478</v>
      </c>
      <c r="E270" s="14" t="s">
        <v>66</v>
      </c>
      <c r="F270" s="9" t="n">
        <v>8094</v>
      </c>
      <c r="G270" s="9" t="n">
        <v>150</v>
      </c>
      <c r="H270" s="9" t="n">
        <v>161</v>
      </c>
      <c r="I270" s="9" t="n">
        <v>81</v>
      </c>
      <c r="J270" s="9" t="n">
        <v>34</v>
      </c>
      <c r="K270" s="9" t="n">
        <v>6</v>
      </c>
      <c r="L270" s="9" t="n">
        <v>1</v>
      </c>
      <c r="M270" s="10" t="n">
        <f aca="false">IFERROR(G270/F270,"")</f>
        <v>0.0185322461082283</v>
      </c>
      <c r="N270" s="10" t="n">
        <f aca="false">IFERROR(H270/G270,"")</f>
        <v>1.07333333333333</v>
      </c>
      <c r="O270" s="11" t="n">
        <f aca="false">IFERROR(I270/H270,"")</f>
        <v>0.503105590062112</v>
      </c>
      <c r="P270" s="10" t="n">
        <f aca="false">IFERROR(J270/H270,"")</f>
        <v>0.211180124223603</v>
      </c>
      <c r="Q270" s="10" t="n">
        <f aca="false">IFERROR(K270/H270,"")</f>
        <v>0.0372670807453416</v>
      </c>
      <c r="R270" s="10" t="n">
        <f aca="false">IFERROR(L270/H270,"")</f>
        <v>0.0062111801242236</v>
      </c>
      <c r="S270" s="11" t="n">
        <f aca="false">IFERROR(M270/MEDIAN(INDEX($M$5:$M$373,MATCH($A270-90,$A$5:$A$373,1)):INDEX($M$5:$M$373,MATCH($A270+90,$A$5:$A$373,1))),"")</f>
        <v>0.383536919457247</v>
      </c>
      <c r="T270" s="11" t="n">
        <f aca="false">IFERROR(N270/MEDIAN(INDEX($N$5:$N$373,MATCH($A270-90,$A$5:$A$373,1)):INDEX($N$5:$N$373,MATCH($A270+90,$A$5:$A$373,1))),"")</f>
        <v>0.935604719764012</v>
      </c>
      <c r="U270" s="11" t="n">
        <f aca="false">IFERROR(Q270/MEDIAN(INDEX($Q$5:$Q$373,MATCH($A270-90,$A$5:$A$373,1)):INDEX($Q$5:$Q$373,MATCH($A270+90,$A$5:$A$373,1))),"")</f>
        <v>1.28778467908903</v>
      </c>
    </row>
    <row r="271" customFormat="false" ht="15" hidden="false" customHeight="false" outlineLevel="0" collapsed="false">
      <c r="A271" s="13" t="n">
        <v>45956.4168717708</v>
      </c>
      <c r="B271" s="8" t="n">
        <v>10</v>
      </c>
      <c r="C271" s="8" t="s">
        <v>86</v>
      </c>
      <c r="D271" s="8" t="s">
        <v>1479</v>
      </c>
      <c r="E271" s="14" t="s">
        <v>66</v>
      </c>
      <c r="F271" s="9" t="n">
        <v>9840</v>
      </c>
      <c r="G271" s="9" t="n">
        <v>244</v>
      </c>
      <c r="H271" s="9" t="n">
        <v>233</v>
      </c>
      <c r="I271" s="9" t="n">
        <v>125</v>
      </c>
      <c r="J271" s="9" t="n">
        <v>48</v>
      </c>
      <c r="K271" s="9" t="n">
        <v>19</v>
      </c>
      <c r="L271" s="9" t="n">
        <v>0</v>
      </c>
      <c r="M271" s="10" t="n">
        <f aca="false">IFERROR(G271/F271,"")</f>
        <v>0.0247967479674797</v>
      </c>
      <c r="N271" s="10" t="n">
        <f aca="false">IFERROR(H271/G271,"")</f>
        <v>0.954918032786885</v>
      </c>
      <c r="O271" s="11" t="n">
        <f aca="false">IFERROR(I271/H271,"")</f>
        <v>0.536480686695279</v>
      </c>
      <c r="P271" s="10" t="n">
        <f aca="false">IFERROR(J271/H271,"")</f>
        <v>0.206008583690987</v>
      </c>
      <c r="Q271" s="10" t="n">
        <f aca="false">IFERROR(K271/H271,"")</f>
        <v>0.0815450643776824</v>
      </c>
      <c r="R271" s="10" t="n">
        <f aca="false">IFERROR(L271/H271,"")</f>
        <v>0</v>
      </c>
      <c r="S271" s="11" t="n">
        <f aca="false">IFERROR(M271/MEDIAN(INDEX($M$5:$M$373,MATCH($A271-90,$A$5:$A$373,1)):INDEX($M$5:$M$373,MATCH($A271+90,$A$5:$A$373,1))),"")</f>
        <v>0.539446234084982</v>
      </c>
      <c r="T271" s="11" t="n">
        <f aca="false">IFERROR(N271/MEDIAN(INDEX($N$5:$N$373,MATCH($A271-90,$A$5:$A$373,1)):INDEX($N$5:$N$373,MATCH($A271+90,$A$5:$A$373,1))),"")</f>
        <v>0.832384302916002</v>
      </c>
      <c r="U271" s="11" t="n">
        <f aca="false">IFERROR(Q271/MEDIAN(INDEX($Q$5:$Q$373,MATCH($A271-90,$A$5:$A$373,1)):INDEX($Q$5:$Q$373,MATCH($A271+90,$A$5:$A$373,1))),"")</f>
        <v>2.76233905579399</v>
      </c>
    </row>
    <row r="272" customFormat="false" ht="15" hidden="false" customHeight="false" outlineLevel="0" collapsed="false">
      <c r="A272" s="13" t="n">
        <v>45963.662651331</v>
      </c>
      <c r="B272" s="8" t="n">
        <v>15</v>
      </c>
      <c r="C272" s="8" t="s">
        <v>86</v>
      </c>
      <c r="D272" s="8" t="s">
        <v>1480</v>
      </c>
      <c r="E272" s="14" t="s">
        <v>66</v>
      </c>
      <c r="F272" s="9" t="n">
        <v>7142</v>
      </c>
      <c r="G272" s="9" t="n">
        <v>160</v>
      </c>
      <c r="H272" s="9" t="n">
        <v>170</v>
      </c>
      <c r="I272" s="9" t="n">
        <v>117</v>
      </c>
      <c r="J272" s="9" t="n">
        <v>54</v>
      </c>
      <c r="K272" s="9" t="n">
        <v>4</v>
      </c>
      <c r="L272" s="9" t="n">
        <v>0</v>
      </c>
      <c r="M272" s="10" t="n">
        <f aca="false">IFERROR(G272/F272,"")</f>
        <v>0.0224026883225987</v>
      </c>
      <c r="N272" s="10" t="n">
        <f aca="false">IFERROR(H272/G272,"")</f>
        <v>1.0625</v>
      </c>
      <c r="O272" s="11" t="n">
        <f aca="false">IFERROR(I272/H272,"")</f>
        <v>0.688235294117647</v>
      </c>
      <c r="P272" s="10" t="n">
        <f aca="false">IFERROR(J272/H272,"")</f>
        <v>0.317647058823529</v>
      </c>
      <c r="Q272" s="10" t="n">
        <f aca="false">IFERROR(K272/H272,"")</f>
        <v>0.0235294117647059</v>
      </c>
      <c r="R272" s="10" t="n">
        <f aca="false">IFERROR(L272/H272,"")</f>
        <v>0</v>
      </c>
      <c r="S272" s="11" t="n">
        <f aca="false">IFERROR(M272/MEDIAN(INDEX($M$5:$M$373,MATCH($A272-90,$A$5:$A$373,1)):INDEX($M$5:$M$373,MATCH($A272+90,$A$5:$A$373,1))),"")</f>
        <v>0.490504799408181</v>
      </c>
      <c r="T272" s="11" t="n">
        <f aca="false">IFERROR(N272/MEDIAN(INDEX($N$5:$N$373,MATCH($A272-90,$A$5:$A$373,1)):INDEX($N$5:$N$373,MATCH($A272+90,$A$5:$A$373,1))),"")</f>
        <v>0.923181888174574</v>
      </c>
      <c r="U272" s="11" t="n">
        <f aca="false">IFERROR(Q272/MEDIAN(INDEX($Q$5:$Q$373,MATCH($A272-90,$A$5:$A$373,1)):INDEX($Q$5:$Q$373,MATCH($A272+90,$A$5:$A$373,1))),"")</f>
        <v>0.675220332035253</v>
      </c>
    </row>
    <row r="273" customFormat="false" ht="15" hidden="false" customHeight="false" outlineLevel="0" collapsed="false">
      <c r="A273" s="13" t="n">
        <v>45965.6647585417</v>
      </c>
      <c r="B273" s="8" t="n">
        <v>15</v>
      </c>
      <c r="C273" s="8" t="s">
        <v>64</v>
      </c>
      <c r="D273" s="8" t="s">
        <v>1481</v>
      </c>
      <c r="E273" s="14" t="s">
        <v>66</v>
      </c>
      <c r="F273" s="9" t="n">
        <v>6987</v>
      </c>
      <c r="G273" s="9" t="n">
        <v>310</v>
      </c>
      <c r="H273" s="9" t="n">
        <v>291</v>
      </c>
      <c r="I273" s="9" t="n">
        <v>188</v>
      </c>
      <c r="J273" s="9" t="n">
        <v>75</v>
      </c>
      <c r="K273" s="9" t="n">
        <v>9</v>
      </c>
      <c r="L273" s="9" t="n">
        <v>0</v>
      </c>
      <c r="M273" s="10" t="n">
        <f aca="false">IFERROR(G273/F273,"")</f>
        <v>0.044368112208387</v>
      </c>
      <c r="N273" s="10" t="n">
        <f aca="false">IFERROR(H273/G273,"")</f>
        <v>0.938709677419355</v>
      </c>
      <c r="O273" s="11" t="n">
        <f aca="false">IFERROR(I273/H273,"")</f>
        <v>0.646048109965636</v>
      </c>
      <c r="P273" s="10" t="n">
        <f aca="false">IFERROR(J273/H273,"")</f>
        <v>0.257731958762887</v>
      </c>
      <c r="Q273" s="10" t="n">
        <f aca="false">IFERROR(K273/H273,"")</f>
        <v>0.0309278350515464</v>
      </c>
      <c r="R273" s="10" t="n">
        <f aca="false">IFERROR(L273/H273,"")</f>
        <v>0</v>
      </c>
      <c r="S273" s="11" t="n">
        <f aca="false">IFERROR(M273/MEDIAN(INDEX($M$5:$M$373,MATCH($A273-90,$A$5:$A$373,1)):INDEX($M$5:$M$373,MATCH($A273+90,$A$5:$A$373,1))),"")</f>
        <v>0.971435734207905</v>
      </c>
      <c r="T273" s="11" t="n">
        <f aca="false">IFERROR(N273/MEDIAN(INDEX($N$5:$N$373,MATCH($A273-90,$A$5:$A$373,1)):INDEX($N$5:$N$373,MATCH($A273+90,$A$5:$A$373,1))),"")</f>
        <v>0.823422094022105</v>
      </c>
      <c r="U273" s="11" t="n">
        <f aca="false">IFERROR(Q273/MEDIAN(INDEX($Q$5:$Q$373,MATCH($A273-90,$A$5:$A$373,1)):INDEX($Q$5:$Q$373,MATCH($A273+90,$A$5:$A$373,1))),"")</f>
        <v>0.872121079184032</v>
      </c>
    </row>
    <row r="274" customFormat="false" ht="15" hidden="false" customHeight="false" outlineLevel="0" collapsed="false">
      <c r="A274" s="13" t="n">
        <v>45967.6652090972</v>
      </c>
      <c r="B274" s="8" t="n">
        <v>15</v>
      </c>
      <c r="C274" s="8" t="s">
        <v>73</v>
      </c>
      <c r="D274" s="8" t="s">
        <v>1482</v>
      </c>
      <c r="E274" s="14" t="s">
        <v>66</v>
      </c>
      <c r="F274" s="9" t="n">
        <v>6284</v>
      </c>
      <c r="G274" s="9" t="n">
        <v>307</v>
      </c>
      <c r="H274" s="9" t="n">
        <v>298</v>
      </c>
      <c r="I274" s="9" t="n">
        <v>147</v>
      </c>
      <c r="J274" s="9" t="n">
        <v>60</v>
      </c>
      <c r="K274" s="9" t="n">
        <v>6</v>
      </c>
      <c r="L274" s="9" t="n">
        <v>2</v>
      </c>
      <c r="M274" s="10" t="n">
        <f aca="false">IFERROR(G274/F274,"")</f>
        <v>0.0488542329726289</v>
      </c>
      <c r="N274" s="10" t="n">
        <f aca="false">IFERROR(H274/G274,"")</f>
        <v>0.970684039087948</v>
      </c>
      <c r="O274" s="11" t="n">
        <f aca="false">IFERROR(I274/H274,"")</f>
        <v>0.493288590604027</v>
      </c>
      <c r="P274" s="10" t="n">
        <f aca="false">IFERROR(J274/H274,"")</f>
        <v>0.201342281879195</v>
      </c>
      <c r="Q274" s="10" t="n">
        <f aca="false">IFERROR(K274/H274,"")</f>
        <v>0.0201342281879195</v>
      </c>
      <c r="R274" s="10" t="n">
        <f aca="false">IFERROR(L274/H274,"")</f>
        <v>0.00671140939597315</v>
      </c>
      <c r="S274" s="11" t="n">
        <f aca="false">IFERROR(M274/MEDIAN(INDEX($M$5:$M$373,MATCH($A274-90,$A$5:$A$373,1)):INDEX($M$5:$M$373,MATCH($A274+90,$A$5:$A$373,1))),"")</f>
        <v>1.07298287220046</v>
      </c>
      <c r="T274" s="11" t="n">
        <f aca="false">IFERROR(N274/MEDIAN(INDEX($N$5:$N$373,MATCH($A274-90,$A$5:$A$373,1)):INDEX($N$5:$N$373,MATCH($A274+90,$A$5:$A$373,1))),"")</f>
        <v>0.851469526016791</v>
      </c>
      <c r="U274" s="11" t="n">
        <f aca="false">IFERROR(Q274/MEDIAN(INDEX($Q$5:$Q$373,MATCH($A274-90,$A$5:$A$373,1)):INDEX($Q$5:$Q$373,MATCH($A274+90,$A$5:$A$373,1))),"")</f>
        <v>0.558679484853981</v>
      </c>
    </row>
    <row r="275" customFormat="false" ht="15" hidden="false" customHeight="false" outlineLevel="0" collapsed="false">
      <c r="A275" s="13" t="n">
        <v>45970.6665454745</v>
      </c>
      <c r="B275" s="8" t="n">
        <v>15</v>
      </c>
      <c r="C275" s="8" t="s">
        <v>86</v>
      </c>
      <c r="D275" s="8" t="s">
        <v>1483</v>
      </c>
      <c r="E275" s="14" t="s">
        <v>66</v>
      </c>
      <c r="F275" s="9" t="n">
        <v>6409</v>
      </c>
      <c r="G275" s="9" t="n">
        <v>239</v>
      </c>
      <c r="H275" s="9" t="n">
        <v>213</v>
      </c>
      <c r="I275" s="9" t="n">
        <v>142</v>
      </c>
      <c r="J275" s="9" t="n">
        <v>29</v>
      </c>
      <c r="K275" s="9" t="n">
        <v>10</v>
      </c>
      <c r="L275" s="9" t="n">
        <v>1</v>
      </c>
      <c r="M275" s="10" t="n">
        <f aca="false">IFERROR(G275/F275,"")</f>
        <v>0.0372913090965829</v>
      </c>
      <c r="N275" s="10" t="n">
        <f aca="false">IFERROR(H275/G275,"")</f>
        <v>0.891213389121339</v>
      </c>
      <c r="O275" s="11" t="n">
        <f aca="false">IFERROR(I275/H275,"")</f>
        <v>0.666666666666667</v>
      </c>
      <c r="P275" s="10" t="n">
        <f aca="false">IFERROR(J275/H275,"")</f>
        <v>0.136150234741784</v>
      </c>
      <c r="Q275" s="10" t="n">
        <f aca="false">IFERROR(K275/H275,"")</f>
        <v>0.0469483568075117</v>
      </c>
      <c r="R275" s="10" t="n">
        <f aca="false">IFERROR(L275/H275,"")</f>
        <v>0.00469483568075117</v>
      </c>
      <c r="S275" s="11" t="n">
        <f aca="false">IFERROR(M275/MEDIAN(INDEX($M$5:$M$373,MATCH($A275-90,$A$5:$A$373,1)):INDEX($M$5:$M$373,MATCH($A275+90,$A$5:$A$373,1))),"")</f>
        <v>0.826913702846597</v>
      </c>
      <c r="T275" s="11" t="n">
        <f aca="false">IFERROR(N275/MEDIAN(INDEX($N$5:$N$373,MATCH($A275-90,$A$5:$A$373,1)):INDEX($N$5:$N$373,MATCH($A275+90,$A$5:$A$373,1))),"")</f>
        <v>0.781759060062397</v>
      </c>
      <c r="U275" s="11" t="n">
        <f aca="false">IFERROR(Q275/MEDIAN(INDEX($Q$5:$Q$373,MATCH($A275-90,$A$5:$A$373,1)):INDEX($Q$5:$Q$373,MATCH($A275+90,$A$5:$A$373,1))),"")</f>
        <v>1.30271116186609</v>
      </c>
    </row>
    <row r="276" customFormat="false" ht="15" hidden="false" customHeight="false" outlineLevel="0" collapsed="false">
      <c r="A276" s="13" t="n">
        <v>45972.6657439699</v>
      </c>
      <c r="B276" s="8" t="n">
        <v>15</v>
      </c>
      <c r="C276" s="8" t="s">
        <v>64</v>
      </c>
      <c r="D276" s="8" t="s">
        <v>1484</v>
      </c>
      <c r="E276" s="14" t="s">
        <v>66</v>
      </c>
      <c r="F276" s="9" t="n">
        <v>6536</v>
      </c>
      <c r="G276" s="9" t="n">
        <v>332</v>
      </c>
      <c r="H276" s="9" t="n">
        <v>255</v>
      </c>
      <c r="I276" s="9" t="n">
        <v>133</v>
      </c>
      <c r="J276" s="9" t="n">
        <v>53</v>
      </c>
      <c r="K276" s="9" t="n">
        <v>7</v>
      </c>
      <c r="L276" s="9" t="n">
        <v>1</v>
      </c>
      <c r="M276" s="10" t="n">
        <f aca="false">IFERROR(G276/F276,"")</f>
        <v>0.0507955936352509</v>
      </c>
      <c r="N276" s="10" t="n">
        <f aca="false">IFERROR(H276/G276,"")</f>
        <v>0.768072289156627</v>
      </c>
      <c r="O276" s="11" t="n">
        <f aca="false">IFERROR(I276/H276,"")</f>
        <v>0.52156862745098</v>
      </c>
      <c r="P276" s="10" t="n">
        <f aca="false">IFERROR(J276/H276,"")</f>
        <v>0.207843137254902</v>
      </c>
      <c r="Q276" s="10" t="n">
        <f aca="false">IFERROR(K276/H276,"")</f>
        <v>0.0274509803921569</v>
      </c>
      <c r="R276" s="10" t="n">
        <f aca="false">IFERROR(L276/H276,"")</f>
        <v>0.00392156862745098</v>
      </c>
      <c r="S276" s="11" t="n">
        <f aca="false">IFERROR(M276/MEDIAN(INDEX($M$5:$M$373,MATCH($A276-90,$A$5:$A$373,1)):INDEX($M$5:$M$373,MATCH($A276+90,$A$5:$A$373,1))),"")</f>
        <v>1.11562087126442</v>
      </c>
      <c r="T276" s="11" t="n">
        <f aca="false">IFERROR(N276/MEDIAN(INDEX($N$5:$N$373,MATCH($A276-90,$A$5:$A$373,1)):INDEX($N$5:$N$373,MATCH($A276+90,$A$5:$A$373,1))),"")</f>
        <v>0.673741528303393</v>
      </c>
      <c r="U276" s="11" t="n">
        <f aca="false">IFERROR(Q276/MEDIAN(INDEX($Q$5:$Q$373,MATCH($A276-90,$A$5:$A$373,1)):INDEX($Q$5:$Q$373,MATCH($A276+90,$A$5:$A$373,1))),"")</f>
        <v>0.774078709497984</v>
      </c>
    </row>
    <row r="277" customFormat="false" ht="15" hidden="false" customHeight="false" outlineLevel="0" collapsed="false">
      <c r="A277" s="13" t="n">
        <v>45974.6662808449</v>
      </c>
      <c r="B277" s="8" t="n">
        <v>15</v>
      </c>
      <c r="C277" s="8" t="s">
        <v>73</v>
      </c>
      <c r="D277" s="8" t="s">
        <v>1485</v>
      </c>
      <c r="E277" s="14" t="s">
        <v>66</v>
      </c>
      <c r="F277" s="9" t="n">
        <v>6097</v>
      </c>
      <c r="G277" s="9" t="n">
        <v>334</v>
      </c>
      <c r="H277" s="9" t="n">
        <v>314</v>
      </c>
      <c r="I277" s="9" t="n">
        <v>146</v>
      </c>
      <c r="J277" s="9" t="n">
        <v>44</v>
      </c>
      <c r="K277" s="9" t="n">
        <v>9</v>
      </c>
      <c r="L277" s="9" t="n">
        <v>1</v>
      </c>
      <c r="M277" s="10" t="n">
        <f aca="false">IFERROR(G277/F277,"")</f>
        <v>0.0547810398556667</v>
      </c>
      <c r="N277" s="10" t="n">
        <f aca="false">IFERROR(H277/G277,"")</f>
        <v>0.940119760479042</v>
      </c>
      <c r="O277" s="11" t="n">
        <f aca="false">IFERROR(I277/H277,"")</f>
        <v>0.464968152866242</v>
      </c>
      <c r="P277" s="10" t="n">
        <f aca="false">IFERROR(J277/H277,"")</f>
        <v>0.140127388535032</v>
      </c>
      <c r="Q277" s="10" t="n">
        <f aca="false">IFERROR(K277/H277,"")</f>
        <v>0.0286624203821656</v>
      </c>
      <c r="R277" s="10" t="n">
        <f aca="false">IFERROR(L277/H277,"")</f>
        <v>0.00318471337579618</v>
      </c>
      <c r="S277" s="11" t="n">
        <f aca="false">IFERROR(M277/MEDIAN(INDEX($M$5:$M$373,MATCH($A277-90,$A$5:$A$373,1)):INDEX($M$5:$M$373,MATCH($A277+90,$A$5:$A$373,1))),"")</f>
        <v>1.20315301070008</v>
      </c>
      <c r="T277" s="11" t="n">
        <f aca="false">IFERROR(N277/MEDIAN(INDEX($N$5:$N$373,MATCH($A277-90,$A$5:$A$373,1)):INDEX($N$5:$N$373,MATCH($A277+90,$A$5:$A$373,1))),"")</f>
        <v>0.824658997799368</v>
      </c>
      <c r="U277" s="11" t="n">
        <f aca="false">IFERROR(Q277/MEDIAN(INDEX($Q$5:$Q$373,MATCH($A277-90,$A$5:$A$373,1)):INDEX($Q$5:$Q$373,MATCH($A277+90,$A$5:$A$373,1))),"")</f>
        <v>0.808239598861634</v>
      </c>
    </row>
    <row r="278" customFormat="false" ht="15" hidden="false" customHeight="false" outlineLevel="0" collapsed="false">
      <c r="A278" s="13" t="n">
        <v>45977.6663750926</v>
      </c>
      <c r="B278" s="8" t="n">
        <v>15</v>
      </c>
      <c r="C278" s="8" t="s">
        <v>86</v>
      </c>
      <c r="D278" s="8" t="s">
        <v>1486</v>
      </c>
      <c r="E278" s="14" t="s">
        <v>66</v>
      </c>
      <c r="F278" s="9" t="n">
        <v>4623</v>
      </c>
      <c r="G278" s="9" t="n">
        <v>323</v>
      </c>
      <c r="H278" s="9" t="n">
        <v>281</v>
      </c>
      <c r="I278" s="9" t="n">
        <v>121</v>
      </c>
      <c r="J278" s="9" t="n">
        <v>34</v>
      </c>
      <c r="K278" s="9" t="n">
        <v>11</v>
      </c>
      <c r="L278" s="9" t="n">
        <v>1</v>
      </c>
      <c r="M278" s="10" t="n">
        <f aca="false">IFERROR(G278/F278,"")</f>
        <v>0.0698680510491023</v>
      </c>
      <c r="N278" s="10" t="n">
        <f aca="false">IFERROR(H278/G278,"")</f>
        <v>0.869969040247678</v>
      </c>
      <c r="O278" s="11" t="n">
        <f aca="false">IFERROR(I278/H278,"")</f>
        <v>0.430604982206406</v>
      </c>
      <c r="P278" s="10" t="n">
        <f aca="false">IFERROR(J278/H278,"")</f>
        <v>0.120996441281139</v>
      </c>
      <c r="Q278" s="10" t="n">
        <f aca="false">IFERROR(K278/H278,"")</f>
        <v>0.0391459074733096</v>
      </c>
      <c r="R278" s="10" t="n">
        <f aca="false">IFERROR(L278/H278,"")</f>
        <v>0.00355871886120996</v>
      </c>
      <c r="S278" s="11" t="n">
        <f aca="false">IFERROR(M278/MEDIAN(INDEX($M$5:$M$373,MATCH($A278-90,$A$5:$A$373,1)):INDEX($M$5:$M$373,MATCH($A278+90,$A$5:$A$373,1))),"")</f>
        <v>1.54928454386125</v>
      </c>
      <c r="T278" s="11" t="n">
        <f aca="false">IFERROR(N278/MEDIAN(INDEX($N$5:$N$373,MATCH($A278-90,$A$5:$A$373,1)):INDEX($N$5:$N$373,MATCH($A278+90,$A$5:$A$373,1))),"")</f>
        <v>0.763123834862869</v>
      </c>
      <c r="U278" s="11" t="n">
        <f aca="false">IFERROR(Q278/MEDIAN(INDEX($Q$5:$Q$373,MATCH($A278-90,$A$5:$A$373,1)):INDEX($Q$5:$Q$373,MATCH($A278+90,$A$5:$A$373,1))),"")</f>
        <v>1.08621076592607</v>
      </c>
    </row>
    <row r="279" customFormat="false" ht="15" hidden="false" customHeight="false" outlineLevel="0" collapsed="false">
      <c r="A279" s="13" t="n">
        <v>45979.6672922454</v>
      </c>
      <c r="B279" s="8" t="n">
        <v>16</v>
      </c>
      <c r="C279" s="8" t="s">
        <v>64</v>
      </c>
      <c r="D279" s="8" t="s">
        <v>1487</v>
      </c>
      <c r="E279" s="14" t="s">
        <v>66</v>
      </c>
      <c r="F279" s="9" t="n">
        <v>4464</v>
      </c>
      <c r="G279" s="9" t="n">
        <v>167</v>
      </c>
      <c r="H279" s="9" t="n">
        <v>217</v>
      </c>
      <c r="I279" s="9" t="n">
        <v>122</v>
      </c>
      <c r="J279" s="9" t="n">
        <v>30</v>
      </c>
      <c r="K279" s="9" t="n">
        <v>4</v>
      </c>
      <c r="L279" s="9" t="n">
        <v>0</v>
      </c>
      <c r="M279" s="10" t="n">
        <f aca="false">IFERROR(G279/F279,"")</f>
        <v>0.037410394265233</v>
      </c>
      <c r="N279" s="10" t="n">
        <f aca="false">IFERROR(H279/G279,"")</f>
        <v>1.29940119760479</v>
      </c>
      <c r="O279" s="11" t="n">
        <f aca="false">IFERROR(I279/H279,"")</f>
        <v>0.56221198156682</v>
      </c>
      <c r="P279" s="10" t="n">
        <f aca="false">IFERROR(J279/H279,"")</f>
        <v>0.138248847926267</v>
      </c>
      <c r="Q279" s="10" t="n">
        <f aca="false">IFERROR(K279/H279,"")</f>
        <v>0.0184331797235023</v>
      </c>
      <c r="R279" s="10" t="n">
        <f aca="false">IFERROR(L279/H279,"")</f>
        <v>0</v>
      </c>
      <c r="S279" s="11" t="n">
        <f aca="false">IFERROR(M279/MEDIAN(INDEX($M$5:$M$373,MATCH($A279-90,$A$5:$A$373,1)):INDEX($M$5:$M$373,MATCH($A279+90,$A$5:$A$373,1))),"")</f>
        <v>0.829554349156639</v>
      </c>
      <c r="T279" s="11" t="n">
        <f aca="false">IFERROR(N279/MEDIAN(INDEX($N$5:$N$373,MATCH($A279-90,$A$5:$A$373,1)):INDEX($N$5:$N$373,MATCH($A279+90,$A$5:$A$373,1))),"")</f>
        <v>1.13981530269085</v>
      </c>
      <c r="U279" s="11" t="n">
        <f aca="false">IFERROR(Q279/MEDIAN(INDEX($Q$5:$Q$373,MATCH($A279-90,$A$5:$A$373,1)):INDEX($Q$5:$Q$373,MATCH($A279+90,$A$5:$A$373,1))),"")</f>
        <v>0.500692657827033</v>
      </c>
    </row>
    <row r="280" customFormat="false" ht="15" hidden="false" customHeight="false" outlineLevel="0" collapsed="false">
      <c r="A280" s="13" t="n">
        <v>45981.6678535069</v>
      </c>
      <c r="B280" s="8" t="n">
        <v>16</v>
      </c>
      <c r="C280" s="8" t="s">
        <v>73</v>
      </c>
      <c r="D280" s="8" t="s">
        <v>1488</v>
      </c>
      <c r="E280" s="14" t="s">
        <v>66</v>
      </c>
      <c r="F280" s="9" t="n">
        <v>4341</v>
      </c>
      <c r="G280" s="9" t="n">
        <v>247</v>
      </c>
      <c r="H280" s="9" t="n">
        <v>211</v>
      </c>
      <c r="I280" s="9" t="n">
        <v>111</v>
      </c>
      <c r="J280" s="9" t="n">
        <v>40</v>
      </c>
      <c r="K280" s="9" t="n">
        <v>11</v>
      </c>
      <c r="L280" s="9" t="n">
        <v>2</v>
      </c>
      <c r="M280" s="10" t="n">
        <f aca="false">IFERROR(G280/F280,"")</f>
        <v>0.0568993319511633</v>
      </c>
      <c r="N280" s="10" t="n">
        <f aca="false">IFERROR(H280/G280,"")</f>
        <v>0.854251012145749</v>
      </c>
      <c r="O280" s="11" t="n">
        <f aca="false">IFERROR(I280/H280,"")</f>
        <v>0.526066350710901</v>
      </c>
      <c r="P280" s="10" t="n">
        <f aca="false">IFERROR(J280/H280,"")</f>
        <v>0.18957345971564</v>
      </c>
      <c r="Q280" s="10" t="n">
        <f aca="false">IFERROR(K280/H280,"")</f>
        <v>0.0521327014218009</v>
      </c>
      <c r="R280" s="10" t="n">
        <f aca="false">IFERROR(L280/H280,"")</f>
        <v>0.00947867298578199</v>
      </c>
      <c r="S280" s="11" t="n">
        <f aca="false">IFERROR(M280/MEDIAN(INDEX($M$5:$M$373,MATCH($A280-90,$A$5:$A$373,1)):INDEX($M$5:$M$373,MATCH($A280+90,$A$5:$A$373,1))),"")</f>
        <v>1.27661299267867</v>
      </c>
      <c r="T280" s="11" t="n">
        <f aca="false">IFERROR(N280/MEDIAN(INDEX($N$5:$N$373,MATCH($A280-90,$A$5:$A$373,1)):INDEX($N$5:$N$373,MATCH($A280+90,$A$5:$A$373,1))),"")</f>
        <v>0.749336215618152</v>
      </c>
      <c r="U280" s="11" t="n">
        <f aca="false">IFERROR(Q280/MEDIAN(INDEX($Q$5:$Q$373,MATCH($A280-90,$A$5:$A$373,1)):INDEX($Q$5:$Q$373,MATCH($A280+90,$A$5:$A$373,1))),"")</f>
        <v>1.37143011504672</v>
      </c>
    </row>
    <row r="281" customFormat="false" ht="15" hidden="false" customHeight="false" outlineLevel="0" collapsed="false">
      <c r="A281" s="13" t="n">
        <v>45984.6677157407</v>
      </c>
      <c r="B281" s="8" t="n">
        <v>16</v>
      </c>
      <c r="C281" s="8" t="s">
        <v>86</v>
      </c>
      <c r="D281" s="8" t="s">
        <v>1489</v>
      </c>
      <c r="E281" s="14" t="s">
        <v>66</v>
      </c>
      <c r="F281" s="9" t="n">
        <v>4275</v>
      </c>
      <c r="G281" s="9" t="n">
        <v>189</v>
      </c>
      <c r="H281" s="9" t="n">
        <v>194</v>
      </c>
      <c r="I281" s="9" t="n">
        <v>105</v>
      </c>
      <c r="J281" s="9" t="n">
        <v>46</v>
      </c>
      <c r="K281" s="9" t="n">
        <v>5</v>
      </c>
      <c r="L281" s="9" t="n">
        <v>1</v>
      </c>
      <c r="M281" s="10" t="n">
        <f aca="false">IFERROR(G281/F281,"")</f>
        <v>0.0442105263157895</v>
      </c>
      <c r="N281" s="10" t="n">
        <f aca="false">IFERROR(H281/G281,"")</f>
        <v>1.02645502645503</v>
      </c>
      <c r="O281" s="11" t="n">
        <f aca="false">IFERROR(I281/H281,"")</f>
        <v>0.541237113402062</v>
      </c>
      <c r="P281" s="10" t="n">
        <f aca="false">IFERROR(J281/H281,"")</f>
        <v>0.237113402061856</v>
      </c>
      <c r="Q281" s="10" t="n">
        <f aca="false">IFERROR(K281/H281,"")</f>
        <v>0.0257731958762887</v>
      </c>
      <c r="R281" s="10" t="n">
        <f aca="false">IFERROR(L281/H281,"")</f>
        <v>0.00515463917525773</v>
      </c>
      <c r="S281" s="11" t="n">
        <f aca="false">IFERROR(M281/MEDIAN(INDEX($M$5:$M$373,MATCH($A281-90,$A$5:$A$373,1)):INDEX($M$5:$M$373,MATCH($A281+90,$A$5:$A$373,1))),"")</f>
        <v>0.988771929824561</v>
      </c>
      <c r="T281" s="11" t="n">
        <f aca="false">IFERROR(N281/MEDIAN(INDEX($N$5:$N$373,MATCH($A281-90,$A$5:$A$373,1)):INDEX($N$5:$N$373,MATCH($A281+90,$A$5:$A$373,1))),"")</f>
        <v>0.906112023353403</v>
      </c>
      <c r="U281" s="11" t="n">
        <f aca="false">IFERROR(Q281/MEDIAN(INDEX($Q$5:$Q$373,MATCH($A281-90,$A$5:$A$373,1)):INDEX($Q$5:$Q$373,MATCH($A281+90,$A$5:$A$373,1))),"")</f>
        <v>0.664948453608247</v>
      </c>
    </row>
    <row r="282" customFormat="false" ht="15" hidden="false" customHeight="false" outlineLevel="0" collapsed="false">
      <c r="A282" s="13" t="n">
        <v>45986.6680901389</v>
      </c>
      <c r="B282" s="8" t="n">
        <v>16</v>
      </c>
      <c r="C282" s="8" t="s">
        <v>64</v>
      </c>
      <c r="D282" s="8" t="s">
        <v>1490</v>
      </c>
      <c r="E282" s="14" t="s">
        <v>66</v>
      </c>
      <c r="F282" s="9" t="n">
        <v>3908</v>
      </c>
      <c r="G282" s="9" t="n">
        <v>151</v>
      </c>
      <c r="H282" s="9" t="n">
        <v>163</v>
      </c>
      <c r="I282" s="9" t="n">
        <v>98</v>
      </c>
      <c r="J282" s="9" t="n">
        <v>43</v>
      </c>
      <c r="K282" s="9" t="n">
        <v>13</v>
      </c>
      <c r="L282" s="9" t="n">
        <v>1</v>
      </c>
      <c r="M282" s="10" t="n">
        <f aca="false">IFERROR(G282/F282,"")</f>
        <v>0.0386386898669396</v>
      </c>
      <c r="N282" s="10" t="n">
        <f aca="false">IFERROR(H282/G282,"")</f>
        <v>1.0794701986755</v>
      </c>
      <c r="O282" s="11" t="n">
        <f aca="false">IFERROR(I282/H282,"")</f>
        <v>0.601226993865031</v>
      </c>
      <c r="P282" s="10" t="n">
        <f aca="false">IFERROR(J282/H282,"")</f>
        <v>0.263803680981595</v>
      </c>
      <c r="Q282" s="10" t="n">
        <f aca="false">IFERROR(K282/H282,"")</f>
        <v>0.0797546012269939</v>
      </c>
      <c r="R282" s="10" t="n">
        <f aca="false">IFERROR(L282/H282,"")</f>
        <v>0.00613496932515337</v>
      </c>
      <c r="S282" s="11" t="n">
        <f aca="false">IFERROR(M282/MEDIAN(INDEX($M$5:$M$373,MATCH($A282-90,$A$5:$A$373,1)):INDEX($M$5:$M$373,MATCH($A282+90,$A$5:$A$373,1))),"")</f>
        <v>0.849549375905568</v>
      </c>
      <c r="T282" s="11" t="n">
        <f aca="false">IFERROR(N282/MEDIAN(INDEX($N$5:$N$373,MATCH($A282-90,$A$5:$A$373,1)):INDEX($N$5:$N$373,MATCH($A282+90,$A$5:$A$373,1))),"")</f>
        <v>0.95291162365837</v>
      </c>
      <c r="U282" s="11" t="n">
        <f aca="false">IFERROR(Q282/MEDIAN(INDEX($Q$5:$Q$373,MATCH($A282-90,$A$5:$A$373,1)):INDEX($Q$5:$Q$373,MATCH($A282+90,$A$5:$A$373,1))),"")</f>
        <v>2.03736754043503</v>
      </c>
    </row>
    <row r="283" customFormat="false" ht="15" hidden="false" customHeight="false" outlineLevel="0" collapsed="false">
      <c r="A283" s="13" t="n">
        <v>45988.6700113079</v>
      </c>
      <c r="B283" s="8" t="n">
        <v>16</v>
      </c>
      <c r="C283" s="8" t="s">
        <v>73</v>
      </c>
      <c r="D283" s="8" t="s">
        <v>1491</v>
      </c>
      <c r="E283" s="14" t="s">
        <v>66</v>
      </c>
      <c r="F283" s="9" t="n">
        <v>3878</v>
      </c>
      <c r="G283" s="9" t="n">
        <v>158</v>
      </c>
      <c r="H283" s="9" t="n">
        <v>174</v>
      </c>
      <c r="I283" s="9" t="n">
        <v>98</v>
      </c>
      <c r="J283" s="9" t="n">
        <v>56</v>
      </c>
      <c r="K283" s="9" t="n">
        <v>6</v>
      </c>
      <c r="L283" s="9" t="n">
        <v>1</v>
      </c>
      <c r="M283" s="10" t="n">
        <f aca="false">IFERROR(G283/F283,"")</f>
        <v>0.0407426508509541</v>
      </c>
      <c r="N283" s="10" t="n">
        <f aca="false">IFERROR(H283/G283,"")</f>
        <v>1.10126582278481</v>
      </c>
      <c r="O283" s="11" t="n">
        <f aca="false">IFERROR(I283/H283,"")</f>
        <v>0.563218390804598</v>
      </c>
      <c r="P283" s="10" t="n">
        <f aca="false">IFERROR(J283/H283,"")</f>
        <v>0.32183908045977</v>
      </c>
      <c r="Q283" s="10" t="n">
        <f aca="false">IFERROR(K283/H283,"")</f>
        <v>0.0344827586206897</v>
      </c>
      <c r="R283" s="10" t="n">
        <f aca="false">IFERROR(L283/H283,"")</f>
        <v>0.00574712643678161</v>
      </c>
      <c r="S283" s="11" t="n">
        <f aca="false">IFERROR(M283/MEDIAN(INDEX($M$5:$M$373,MATCH($A283-90,$A$5:$A$373,1)):INDEX($M$5:$M$373,MATCH($A283+90,$A$5:$A$373,1))),"")</f>
        <v>0.894828633490364</v>
      </c>
      <c r="T283" s="11" t="n">
        <f aca="false">IFERROR(N283/MEDIAN(INDEX($N$5:$N$373,MATCH($A283-90,$A$5:$A$373,1)):INDEX($N$5:$N$373,MATCH($A283+90,$A$5:$A$373,1))),"")</f>
        <v>0.975934590947151</v>
      </c>
      <c r="U283" s="11" t="n">
        <f aca="false">IFERROR(Q283/MEDIAN(INDEX($Q$5:$Q$373,MATCH($A283-90,$A$5:$A$373,1)):INDEX($Q$5:$Q$373,MATCH($A283+90,$A$5:$A$373,1))),"")</f>
        <v>0.885244700595878</v>
      </c>
    </row>
    <row r="284" customFormat="false" ht="15" hidden="false" customHeight="false" outlineLevel="0" collapsed="false">
      <c r="A284" s="13" t="n">
        <v>45991.669786875</v>
      </c>
      <c r="B284" s="8" t="n">
        <v>16</v>
      </c>
      <c r="C284" s="8" t="s">
        <v>86</v>
      </c>
      <c r="D284" s="8" t="s">
        <v>1492</v>
      </c>
      <c r="E284" s="14" t="s">
        <v>66</v>
      </c>
      <c r="F284" s="9" t="n">
        <v>3663</v>
      </c>
      <c r="G284" s="9" t="n">
        <v>135</v>
      </c>
      <c r="H284" s="9" t="n">
        <v>110</v>
      </c>
      <c r="I284" s="9" t="n">
        <v>69</v>
      </c>
      <c r="J284" s="9" t="n">
        <v>70</v>
      </c>
      <c r="K284" s="9" t="n">
        <v>4</v>
      </c>
      <c r="L284" s="9" t="n">
        <v>0</v>
      </c>
      <c r="M284" s="10" t="n">
        <f aca="false">IFERROR(G284/F284,"")</f>
        <v>0.0368550368550369</v>
      </c>
      <c r="N284" s="10" t="n">
        <f aca="false">IFERROR(H284/G284,"")</f>
        <v>0.814814814814815</v>
      </c>
      <c r="O284" s="11" t="n">
        <f aca="false">IFERROR(I284/H284,"")</f>
        <v>0.627272727272727</v>
      </c>
      <c r="P284" s="10" t="n">
        <f aca="false">IFERROR(J284/H284,"")</f>
        <v>0.636363636363636</v>
      </c>
      <c r="Q284" s="10" t="n">
        <f aca="false">IFERROR(K284/H284,"")</f>
        <v>0.0363636363636364</v>
      </c>
      <c r="R284" s="10" t="n">
        <f aca="false">IFERROR(L284/H284,"")</f>
        <v>0</v>
      </c>
      <c r="S284" s="11" t="n">
        <f aca="false">IFERROR(M284/MEDIAN(INDEX($M$5:$M$373,MATCH($A284-90,$A$5:$A$373,1)):INDEX($M$5:$M$373,MATCH($A284+90,$A$5:$A$373,1))),"")</f>
        <v>0.80944517790151</v>
      </c>
      <c r="T284" s="11" t="n">
        <f aca="false">IFERROR(N284/MEDIAN(INDEX($N$5:$N$373,MATCH($A284-90,$A$5:$A$373,1)):INDEX($N$5:$N$373,MATCH($A284+90,$A$5:$A$373,1))),"")</f>
        <v>0.72208357559223</v>
      </c>
      <c r="U284" s="11" t="n">
        <f aca="false">IFERROR(Q284/MEDIAN(INDEX($Q$5:$Q$373,MATCH($A284-90,$A$5:$A$373,1)):INDEX($Q$5:$Q$373,MATCH($A284+90,$A$5:$A$373,1))),"")</f>
        <v>0.933530775173835</v>
      </c>
    </row>
    <row r="285" customFormat="false" ht="15" hidden="false" customHeight="false" outlineLevel="0" collapsed="false">
      <c r="A285" s="13" t="n">
        <v>45993.6704182639</v>
      </c>
      <c r="B285" s="8" t="n">
        <v>16</v>
      </c>
      <c r="C285" s="8" t="s">
        <v>64</v>
      </c>
      <c r="D285" s="8" t="s">
        <v>1493</v>
      </c>
      <c r="E285" s="14" t="s">
        <v>66</v>
      </c>
      <c r="F285" s="9" t="n">
        <v>3436</v>
      </c>
      <c r="G285" s="9" t="n">
        <v>195</v>
      </c>
      <c r="H285" s="9" t="n">
        <v>163</v>
      </c>
      <c r="I285" s="9" t="n">
        <v>94</v>
      </c>
      <c r="J285" s="9" t="n">
        <v>97</v>
      </c>
      <c r="K285" s="9" t="n">
        <v>13</v>
      </c>
      <c r="L285" s="9" t="n">
        <v>0</v>
      </c>
      <c r="M285" s="10" t="n">
        <f aca="false">IFERROR(G285/F285,"")</f>
        <v>0.0567520372526193</v>
      </c>
      <c r="N285" s="10" t="n">
        <f aca="false">IFERROR(H285/G285,"")</f>
        <v>0.835897435897436</v>
      </c>
      <c r="O285" s="11" t="n">
        <f aca="false">IFERROR(I285/H285,"")</f>
        <v>0.576687116564417</v>
      </c>
      <c r="P285" s="10" t="n">
        <f aca="false">IFERROR(J285/H285,"")</f>
        <v>0.595092024539877</v>
      </c>
      <c r="Q285" s="10" t="n">
        <f aca="false">IFERROR(K285/H285,"")</f>
        <v>0.0797546012269939</v>
      </c>
      <c r="R285" s="10" t="n">
        <f aca="false">IFERROR(L285/H285,"")</f>
        <v>0</v>
      </c>
      <c r="S285" s="11" t="n">
        <f aca="false">IFERROR(M285/MEDIAN(INDEX($M$5:$M$373,MATCH($A285-90,$A$5:$A$373,1)):INDEX($M$5:$M$373,MATCH($A285+90,$A$5:$A$373,1))),"")</f>
        <v>1.24644191975462</v>
      </c>
      <c r="T285" s="11" t="n">
        <f aca="false">IFERROR(N285/MEDIAN(INDEX($N$5:$N$373,MATCH($A285-90,$A$5:$A$373,1)):INDEX($N$5:$N$373,MATCH($A285+90,$A$5:$A$373,1))),"")</f>
        <v>0.740766856918742</v>
      </c>
      <c r="U285" s="11" t="n">
        <f aca="false">IFERROR(Q285/MEDIAN(INDEX($Q$5:$Q$373,MATCH($A285-90,$A$5:$A$373,1)):INDEX($Q$5:$Q$373,MATCH($A285+90,$A$5:$A$373,1))),"")</f>
        <v>2.01538155978285</v>
      </c>
    </row>
    <row r="286" customFormat="false" ht="15" hidden="false" customHeight="false" outlineLevel="0" collapsed="false">
      <c r="A286" s="13" t="n">
        <v>45995.670573044</v>
      </c>
      <c r="B286" s="8" t="n">
        <v>16</v>
      </c>
      <c r="C286" s="8" t="s">
        <v>73</v>
      </c>
      <c r="D286" s="8" t="s">
        <v>1494</v>
      </c>
      <c r="E286" s="14" t="s">
        <v>66</v>
      </c>
      <c r="F286" s="9" t="n">
        <v>3228</v>
      </c>
      <c r="G286" s="9" t="n">
        <v>197</v>
      </c>
      <c r="H286" s="9" t="n">
        <v>226</v>
      </c>
      <c r="I286" s="9" t="n">
        <v>110</v>
      </c>
      <c r="J286" s="9" t="n">
        <v>99</v>
      </c>
      <c r="K286" s="9" t="n">
        <v>5</v>
      </c>
      <c r="L286" s="9" t="n">
        <v>0</v>
      </c>
      <c r="M286" s="10" t="n">
        <f aca="false">IFERROR(G286/F286,"")</f>
        <v>0.0610285006195787</v>
      </c>
      <c r="N286" s="10" t="n">
        <f aca="false">IFERROR(H286/G286,"")</f>
        <v>1.14720812182741</v>
      </c>
      <c r="O286" s="11" t="n">
        <f aca="false">IFERROR(I286/H286,"")</f>
        <v>0.486725663716814</v>
      </c>
      <c r="P286" s="10" t="n">
        <f aca="false">IFERROR(J286/H286,"")</f>
        <v>0.438053097345133</v>
      </c>
      <c r="Q286" s="10" t="n">
        <f aca="false">IFERROR(K286/H286,"")</f>
        <v>0.0221238938053097</v>
      </c>
      <c r="R286" s="10" t="n">
        <f aca="false">IFERROR(L286/H286,"")</f>
        <v>0</v>
      </c>
      <c r="S286" s="11" t="n">
        <f aca="false">IFERROR(M286/MEDIAN(INDEX($M$5:$M$373,MATCH($A286-90,$A$5:$A$373,1)):INDEX($M$5:$M$373,MATCH($A286+90,$A$5:$A$373,1))),"")</f>
        <v>1.33325522146663</v>
      </c>
      <c r="T286" s="11" t="n">
        <f aca="false">IFERROR(N286/MEDIAN(INDEX($N$5:$N$373,MATCH($A286-90,$A$5:$A$373,1)):INDEX($N$5:$N$373,MATCH($A286+90,$A$5:$A$373,1))),"")</f>
        <v>1.01664835677522</v>
      </c>
      <c r="U286" s="11" t="n">
        <f aca="false">IFERROR(Q286/MEDIAN(INDEX($Q$5:$Q$373,MATCH($A286-90,$A$5:$A$373,1)):INDEX($Q$5:$Q$373,MATCH($A286+90,$A$5:$A$373,1))),"")</f>
        <v>0.554323725055432</v>
      </c>
    </row>
    <row r="287" customFormat="false" ht="15" hidden="false" customHeight="false" outlineLevel="0" collapsed="false">
      <c r="A287" s="13" t="n">
        <v>45998.6712049421</v>
      </c>
      <c r="B287" s="8" t="n">
        <v>16</v>
      </c>
      <c r="C287" s="8" t="s">
        <v>86</v>
      </c>
      <c r="D287" s="8" t="s">
        <v>1495</v>
      </c>
      <c r="E287" s="14" t="s">
        <v>66</v>
      </c>
      <c r="F287" s="9" t="n">
        <v>2858</v>
      </c>
      <c r="G287" s="9" t="n">
        <v>197</v>
      </c>
      <c r="H287" s="9" t="n">
        <v>188</v>
      </c>
      <c r="I287" s="9" t="n">
        <v>118</v>
      </c>
      <c r="J287" s="9" t="n">
        <v>82</v>
      </c>
      <c r="K287" s="9" t="n">
        <v>10</v>
      </c>
      <c r="L287" s="9" t="n">
        <v>1</v>
      </c>
      <c r="M287" s="10" t="n">
        <f aca="false">IFERROR(G287/F287,"")</f>
        <v>0.0689293212036389</v>
      </c>
      <c r="N287" s="10" t="n">
        <f aca="false">IFERROR(H287/G287,"")</f>
        <v>0.954314720812183</v>
      </c>
      <c r="O287" s="11" t="n">
        <f aca="false">IFERROR(I287/H287,"")</f>
        <v>0.627659574468085</v>
      </c>
      <c r="P287" s="10" t="n">
        <f aca="false">IFERROR(J287/H287,"")</f>
        <v>0.436170212765957</v>
      </c>
      <c r="Q287" s="10" t="n">
        <f aca="false">IFERROR(K287/H287,"")</f>
        <v>0.0531914893617021</v>
      </c>
      <c r="R287" s="10" t="n">
        <f aca="false">IFERROR(L287/H287,"")</f>
        <v>0.00531914893617021</v>
      </c>
      <c r="S287" s="11" t="n">
        <f aca="false">IFERROR(M287/MEDIAN(INDEX($M$5:$M$373,MATCH($A287-90,$A$5:$A$373,1)):INDEX($M$5:$M$373,MATCH($A287+90,$A$5:$A$373,1))),"")</f>
        <v>1.50585999121563</v>
      </c>
      <c r="T287" s="11" t="n">
        <f aca="false">IFERROR(N287/MEDIAN(INDEX($N$5:$N$373,MATCH($A287-90,$A$5:$A$373,1)):INDEX($N$5:$N$373,MATCH($A287+90,$A$5:$A$373,1))),"")</f>
        <v>0.845707482627171</v>
      </c>
      <c r="U287" s="11" t="n">
        <f aca="false">IFERROR(Q287/MEDIAN(INDEX($Q$5:$Q$373,MATCH($A287-90,$A$5:$A$373,1)):INDEX($Q$5:$Q$373,MATCH($A287+90,$A$5:$A$373,1))),"")</f>
        <v>1.33273576449498</v>
      </c>
    </row>
    <row r="288" customFormat="false" ht="15" hidden="false" customHeight="false" outlineLevel="0" collapsed="false">
      <c r="A288" s="13" t="n">
        <v>46000.6723838079</v>
      </c>
      <c r="B288" s="8" t="n">
        <v>16</v>
      </c>
      <c r="C288" s="8" t="s">
        <v>64</v>
      </c>
      <c r="D288" s="8" t="s">
        <v>1496</v>
      </c>
      <c r="E288" s="14" t="s">
        <v>66</v>
      </c>
      <c r="F288" s="9" t="n">
        <v>2757</v>
      </c>
      <c r="G288" s="9" t="n">
        <v>144</v>
      </c>
      <c r="H288" s="9" t="n">
        <v>171</v>
      </c>
      <c r="I288" s="9" t="n">
        <v>77</v>
      </c>
      <c r="J288" s="9" t="n">
        <v>84</v>
      </c>
      <c r="K288" s="9" t="n">
        <v>1</v>
      </c>
      <c r="L288" s="9" t="n">
        <v>0</v>
      </c>
      <c r="M288" s="10" t="n">
        <f aca="false">IFERROR(G288/F288,"")</f>
        <v>0.0522306855277476</v>
      </c>
      <c r="N288" s="10" t="n">
        <f aca="false">IFERROR(H288/G288,"")</f>
        <v>1.1875</v>
      </c>
      <c r="O288" s="11" t="n">
        <f aca="false">IFERROR(I288/H288,"")</f>
        <v>0.450292397660819</v>
      </c>
      <c r="P288" s="10" t="n">
        <f aca="false">IFERROR(J288/H288,"")</f>
        <v>0.491228070175439</v>
      </c>
      <c r="Q288" s="10" t="n">
        <f aca="false">IFERROR(K288/H288,"")</f>
        <v>0.00584795321637427</v>
      </c>
      <c r="R288" s="10" t="n">
        <f aca="false">IFERROR(L288/H288,"")</f>
        <v>0</v>
      </c>
      <c r="S288" s="11" t="n">
        <f aca="false">IFERROR(M288/MEDIAN(INDEX($M$5:$M$373,MATCH($A288-90,$A$5:$A$373,1)):INDEX($M$5:$M$373,MATCH($A288+90,$A$5:$A$373,1))),"")</f>
        <v>1.14105431878021</v>
      </c>
      <c r="T288" s="11" t="n">
        <f aca="false">IFERROR(N288/MEDIAN(INDEX($N$5:$N$373,MATCH($A288-90,$A$5:$A$373,1)):INDEX($N$5:$N$373,MATCH($A288+90,$A$5:$A$373,1))),"")</f>
        <v>1.0523547564739</v>
      </c>
      <c r="U288" s="11" t="n">
        <f aca="false">IFERROR(Q288/MEDIAN(INDEX($Q$5:$Q$373,MATCH($A288-90,$A$5:$A$373,1)):INDEX($Q$5:$Q$373,MATCH($A288+90,$A$5:$A$373,1))),"")</f>
        <v>0.146522996330442</v>
      </c>
    </row>
    <row r="289" customFormat="false" ht="15" hidden="false" customHeight="false" outlineLevel="0" collapsed="false">
      <c r="A289" s="13" t="n">
        <v>46002.6720616204</v>
      </c>
      <c r="B289" s="8" t="n">
        <v>16</v>
      </c>
      <c r="C289" s="8" t="s">
        <v>73</v>
      </c>
      <c r="D289" s="8" t="s">
        <v>1497</v>
      </c>
      <c r="E289" s="14" t="s">
        <v>66</v>
      </c>
      <c r="F289" s="9" t="n">
        <v>2608</v>
      </c>
      <c r="G289" s="9" t="n">
        <v>131</v>
      </c>
      <c r="H289" s="9" t="n">
        <v>139</v>
      </c>
      <c r="I289" s="9" t="n">
        <v>79</v>
      </c>
      <c r="J289" s="9" t="n">
        <v>69</v>
      </c>
      <c r="K289" s="9" t="n">
        <v>6</v>
      </c>
      <c r="L289" s="9" t="n">
        <v>0</v>
      </c>
      <c r="M289" s="10" t="n">
        <f aca="false">IFERROR(G289/F289,"")</f>
        <v>0.0502300613496933</v>
      </c>
      <c r="N289" s="10" t="n">
        <f aca="false">IFERROR(H289/G289,"")</f>
        <v>1.06106870229008</v>
      </c>
      <c r="O289" s="11" t="n">
        <f aca="false">IFERROR(I289/H289,"")</f>
        <v>0.568345323741007</v>
      </c>
      <c r="P289" s="10" t="n">
        <f aca="false">IFERROR(J289/H289,"")</f>
        <v>0.496402877697842</v>
      </c>
      <c r="Q289" s="10" t="n">
        <f aca="false">IFERROR(K289/H289,"")</f>
        <v>0.0431654676258993</v>
      </c>
      <c r="R289" s="10" t="n">
        <f aca="false">IFERROR(L289/H289,"")</f>
        <v>0</v>
      </c>
      <c r="S289" s="11" t="n">
        <f aca="false">IFERROR(M289/MEDIAN(INDEX($M$5:$M$373,MATCH($A289-90,$A$5:$A$373,1)):INDEX($M$5:$M$373,MATCH($A289+90,$A$5:$A$373,1))),"")</f>
        <v>1.09734781109112</v>
      </c>
      <c r="T289" s="11" t="n">
        <f aca="false">IFERROR(N289/MEDIAN(INDEX($N$5:$N$373,MATCH($A289-90,$A$5:$A$373,1)):INDEX($N$5:$N$373,MATCH($A289+90,$A$5:$A$373,1))),"")</f>
        <v>0.940312164884677</v>
      </c>
      <c r="U289" s="11" t="n">
        <f aca="false">IFERROR(Q289/MEDIAN(INDEX($Q$5:$Q$373,MATCH($A289-90,$A$5:$A$373,1)):INDEX($Q$5:$Q$373,MATCH($A289+90,$A$5:$A$373,1))),"")</f>
        <v>1.0815294549283</v>
      </c>
    </row>
    <row r="290" customFormat="false" ht="15" hidden="false" customHeight="false" outlineLevel="0" collapsed="false">
      <c r="A290" s="13" t="n">
        <v>46005.6728286921</v>
      </c>
      <c r="B290" s="8" t="n">
        <v>16</v>
      </c>
      <c r="C290" s="8" t="s">
        <v>86</v>
      </c>
      <c r="D290" s="8" t="s">
        <v>1498</v>
      </c>
      <c r="E290" s="14" t="s">
        <v>66</v>
      </c>
      <c r="F290" s="9" t="n">
        <v>2786</v>
      </c>
      <c r="G290" s="9" t="n">
        <v>85</v>
      </c>
      <c r="H290" s="9" t="n">
        <v>121</v>
      </c>
      <c r="I290" s="9" t="n">
        <v>68</v>
      </c>
      <c r="J290" s="9" t="n">
        <v>35</v>
      </c>
      <c r="K290" s="9" t="n">
        <v>5</v>
      </c>
      <c r="L290" s="9" t="n">
        <v>0</v>
      </c>
      <c r="M290" s="10" t="n">
        <f aca="false">IFERROR(G290/F290,"")</f>
        <v>0.0305096913137114</v>
      </c>
      <c r="N290" s="10" t="n">
        <f aca="false">IFERROR(H290/G290,"")</f>
        <v>1.42352941176471</v>
      </c>
      <c r="O290" s="11" t="n">
        <f aca="false">IFERROR(I290/H290,"")</f>
        <v>0.56198347107438</v>
      </c>
      <c r="P290" s="10" t="n">
        <f aca="false">IFERROR(J290/H290,"")</f>
        <v>0.289256198347107</v>
      </c>
      <c r="Q290" s="10" t="n">
        <f aca="false">IFERROR(K290/H290,"")</f>
        <v>0.0413223140495868</v>
      </c>
      <c r="R290" s="10" t="n">
        <f aca="false">IFERROR(L290/H290,"")</f>
        <v>0</v>
      </c>
      <c r="S290" s="11" t="n">
        <f aca="false">IFERROR(M290/MEDIAN(INDEX($M$5:$M$373,MATCH($A290-90,$A$5:$A$373,1)):INDEX($M$5:$M$373,MATCH($A290+90,$A$5:$A$373,1))),"")</f>
        <v>0.666528012918131</v>
      </c>
      <c r="T290" s="11" t="n">
        <f aca="false">IFERROR(N290/MEDIAN(INDEX($N$5:$N$373,MATCH($A290-90,$A$5:$A$373,1)):INDEX($N$5:$N$373,MATCH($A290+90,$A$5:$A$373,1))),"")</f>
        <v>1.26152248206407</v>
      </c>
      <c r="U290" s="11" t="n">
        <f aca="false">IFERROR(Q290/MEDIAN(INDEX($Q$5:$Q$373,MATCH($A290-90,$A$5:$A$373,1)):INDEX($Q$5:$Q$373,MATCH($A290+90,$A$5:$A$373,1))),"")</f>
        <v>1.04654631147879</v>
      </c>
    </row>
    <row r="291" customFormat="false" ht="15" hidden="false" customHeight="false" outlineLevel="0" collapsed="false">
      <c r="A291" s="13" t="n">
        <v>46007.6743502199</v>
      </c>
      <c r="B291" s="8" t="n">
        <v>16</v>
      </c>
      <c r="C291" s="8" t="s">
        <v>64</v>
      </c>
      <c r="D291" s="8" t="s">
        <v>1499</v>
      </c>
      <c r="E291" s="14" t="s">
        <v>66</v>
      </c>
      <c r="F291" s="9" t="n">
        <v>2818</v>
      </c>
      <c r="G291" s="9" t="n">
        <v>126</v>
      </c>
      <c r="H291" s="9" t="n">
        <v>165</v>
      </c>
      <c r="I291" s="9" t="n">
        <v>101</v>
      </c>
      <c r="J291" s="9" t="n">
        <v>37</v>
      </c>
      <c r="K291" s="9" t="n">
        <v>12</v>
      </c>
      <c r="L291" s="9" t="n">
        <v>0</v>
      </c>
      <c r="M291" s="10" t="n">
        <f aca="false">IFERROR(G291/F291,"")</f>
        <v>0.0447125621007807</v>
      </c>
      <c r="N291" s="10" t="n">
        <f aca="false">IFERROR(H291/G291,"")</f>
        <v>1.30952380952381</v>
      </c>
      <c r="O291" s="11" t="n">
        <f aca="false">IFERROR(I291/H291,"")</f>
        <v>0.612121212121212</v>
      </c>
      <c r="P291" s="10" t="n">
        <f aca="false">IFERROR(J291/H291,"")</f>
        <v>0.224242424242424</v>
      </c>
      <c r="Q291" s="10" t="n">
        <f aca="false">IFERROR(K291/H291,"")</f>
        <v>0.0727272727272727</v>
      </c>
      <c r="R291" s="10" t="n">
        <f aca="false">IFERROR(L291/H291,"")</f>
        <v>0</v>
      </c>
      <c r="S291" s="11" t="n">
        <f aca="false">IFERROR(M291/MEDIAN(INDEX($M$5:$M$373,MATCH($A291-90,$A$5:$A$373,1)):INDEX($M$5:$M$373,MATCH($A291+90,$A$5:$A$373,1))),"")</f>
        <v>0.980945828073616</v>
      </c>
      <c r="T291" s="11" t="n">
        <f aca="false">IFERROR(N291/MEDIAN(INDEX($N$5:$N$373,MATCH($A291-90,$A$5:$A$373,1)):INDEX($N$5:$N$373,MATCH($A291+90,$A$5:$A$373,1))),"")</f>
        <v>1.1559934318555</v>
      </c>
      <c r="U291" s="11" t="n">
        <f aca="false">IFERROR(Q291/MEDIAN(INDEX($Q$5:$Q$373,MATCH($A291-90,$A$5:$A$373,1)):INDEX($Q$5:$Q$373,MATCH($A291+90,$A$5:$A$373,1))),"")</f>
        <v>1.82626262626263</v>
      </c>
    </row>
    <row r="292" customFormat="false" ht="15" hidden="false" customHeight="false" outlineLevel="0" collapsed="false">
      <c r="A292" s="13" t="n">
        <v>46009.6737163542</v>
      </c>
      <c r="B292" s="8" t="n">
        <v>16</v>
      </c>
      <c r="C292" s="8" t="s">
        <v>73</v>
      </c>
      <c r="D292" s="8" t="s">
        <v>1500</v>
      </c>
      <c r="E292" s="14" t="s">
        <v>66</v>
      </c>
      <c r="F292" s="9" t="n">
        <v>2737</v>
      </c>
      <c r="G292" s="9" t="n">
        <v>106</v>
      </c>
      <c r="H292" s="9" t="n">
        <v>124</v>
      </c>
      <c r="I292" s="9" t="n">
        <v>89</v>
      </c>
      <c r="J292" s="9" t="n">
        <v>36</v>
      </c>
      <c r="K292" s="9" t="n">
        <v>9</v>
      </c>
      <c r="L292" s="9" t="n">
        <v>1</v>
      </c>
      <c r="M292" s="10" t="n">
        <f aca="false">IFERROR(G292/F292,"")</f>
        <v>0.0387285348922178</v>
      </c>
      <c r="N292" s="10" t="n">
        <f aca="false">IFERROR(H292/G292,"")</f>
        <v>1.16981132075472</v>
      </c>
      <c r="O292" s="11" t="n">
        <f aca="false">IFERROR(I292/H292,"")</f>
        <v>0.717741935483871</v>
      </c>
      <c r="P292" s="10" t="n">
        <f aca="false">IFERROR(J292/H292,"")</f>
        <v>0.290322580645161</v>
      </c>
      <c r="Q292" s="10" t="n">
        <f aca="false">IFERROR(K292/H292,"")</f>
        <v>0.0725806451612903</v>
      </c>
      <c r="R292" s="10" t="n">
        <f aca="false">IFERROR(L292/H292,"")</f>
        <v>0.00806451612903226</v>
      </c>
      <c r="S292" s="11" t="n">
        <f aca="false">IFERROR(M292/MEDIAN(INDEX($M$5:$M$373,MATCH($A292-90,$A$5:$A$373,1)):INDEX($M$5:$M$373,MATCH($A292+90,$A$5:$A$373,1))),"")</f>
        <v>0.849662666261327</v>
      </c>
      <c r="T292" s="11" t="n">
        <f aca="false">IFERROR(N292/MEDIAN(INDEX($N$5:$N$373,MATCH($A292-90,$A$5:$A$373,1)):INDEX($N$5:$N$373,MATCH($A292+90,$A$5:$A$373,1))),"")</f>
        <v>1.03266102797658</v>
      </c>
      <c r="U292" s="11" t="n">
        <f aca="false">IFERROR(Q292/MEDIAN(INDEX($Q$5:$Q$373,MATCH($A292-90,$A$5:$A$373,1)):INDEX($Q$5:$Q$373,MATCH($A292+90,$A$5:$A$373,1))),"")</f>
        <v>1.82258064516129</v>
      </c>
    </row>
    <row r="293" customFormat="false" ht="15" hidden="false" customHeight="false" outlineLevel="0" collapsed="false">
      <c r="A293" s="13" t="n">
        <v>46012.6743012037</v>
      </c>
      <c r="B293" s="8" t="n">
        <v>16</v>
      </c>
      <c r="C293" s="8" t="s">
        <v>86</v>
      </c>
      <c r="D293" s="8" t="s">
        <v>1501</v>
      </c>
      <c r="E293" s="14" t="s">
        <v>66</v>
      </c>
      <c r="F293" s="9" t="n">
        <v>2690</v>
      </c>
      <c r="G293" s="9" t="n">
        <v>85</v>
      </c>
      <c r="H293" s="9" t="n">
        <v>118</v>
      </c>
      <c r="I293" s="9" t="n">
        <v>90</v>
      </c>
      <c r="J293" s="9" t="n">
        <v>39</v>
      </c>
      <c r="K293" s="9" t="n">
        <v>10</v>
      </c>
      <c r="L293" s="9" t="n">
        <v>1</v>
      </c>
      <c r="M293" s="10" t="n">
        <f aca="false">IFERROR(G293/F293,"")</f>
        <v>0.0315985130111524</v>
      </c>
      <c r="N293" s="10" t="n">
        <f aca="false">IFERROR(H293/G293,"")</f>
        <v>1.38823529411765</v>
      </c>
      <c r="O293" s="11" t="n">
        <f aca="false">IFERROR(I293/H293,"")</f>
        <v>0.76271186440678</v>
      </c>
      <c r="P293" s="10" t="n">
        <f aca="false">IFERROR(J293/H293,"")</f>
        <v>0.330508474576271</v>
      </c>
      <c r="Q293" s="10" t="n">
        <f aca="false">IFERROR(K293/H293,"")</f>
        <v>0.0847457627118644</v>
      </c>
      <c r="R293" s="10" t="n">
        <f aca="false">IFERROR(L293/H293,"")</f>
        <v>0.00847457627118644</v>
      </c>
      <c r="S293" s="11" t="n">
        <f aca="false">IFERROR(M293/MEDIAN(INDEX($M$5:$M$373,MATCH($A293-90,$A$5:$A$373,1)):INDEX($M$5:$M$373,MATCH($A293+90,$A$5:$A$373,1))),"")</f>
        <v>0.693996429479622</v>
      </c>
      <c r="T293" s="11" t="n">
        <f aca="false">IFERROR(N293/MEDIAN(INDEX($N$5:$N$373,MATCH($A293-90,$A$5:$A$373,1)):INDEX($N$5:$N$373,MATCH($A293+90,$A$5:$A$373,1))),"")</f>
        <v>1.21773924395911</v>
      </c>
      <c r="U293" s="11" t="n">
        <f aca="false">IFERROR(Q293/MEDIAN(INDEX($Q$5:$Q$373,MATCH($A293-90,$A$5:$A$373,1)):INDEX($Q$5:$Q$373,MATCH($A293+90,$A$5:$A$373,1))),"")</f>
        <v>2.12334172648352</v>
      </c>
    </row>
    <row r="294" customFormat="false" ht="15" hidden="false" customHeight="false" outlineLevel="0" collapsed="false">
      <c r="A294" s="13" t="n">
        <v>46014.6750370602</v>
      </c>
      <c r="B294" s="8" t="n">
        <v>16</v>
      </c>
      <c r="C294" s="8" t="s">
        <v>64</v>
      </c>
      <c r="D294" s="8" t="s">
        <v>1502</v>
      </c>
      <c r="E294" s="14" t="s">
        <v>66</v>
      </c>
      <c r="F294" s="9" t="n">
        <v>2791</v>
      </c>
      <c r="G294" s="9" t="n">
        <v>124</v>
      </c>
      <c r="H294" s="9" t="n">
        <v>128</v>
      </c>
      <c r="I294" s="9" t="n">
        <v>96</v>
      </c>
      <c r="J294" s="9" t="n">
        <v>30</v>
      </c>
      <c r="K294" s="9" t="n">
        <v>8</v>
      </c>
      <c r="L294" s="9" t="n">
        <v>1</v>
      </c>
      <c r="M294" s="10" t="n">
        <f aca="false">IFERROR(G294/F294,"")</f>
        <v>0.0444285202436403</v>
      </c>
      <c r="N294" s="10" t="n">
        <f aca="false">IFERROR(H294/G294,"")</f>
        <v>1.03225806451613</v>
      </c>
      <c r="O294" s="11" t="n">
        <f aca="false">IFERROR(I294/H294,"")</f>
        <v>0.75</v>
      </c>
      <c r="P294" s="10" t="n">
        <f aca="false">IFERROR(J294/H294,"")</f>
        <v>0.234375</v>
      </c>
      <c r="Q294" s="10" t="n">
        <f aca="false">IFERROR(K294/H294,"")</f>
        <v>0.0625</v>
      </c>
      <c r="R294" s="10" t="n">
        <f aca="false">IFERROR(L294/H294,"")</f>
        <v>0.0078125</v>
      </c>
      <c r="S294" s="11" t="n">
        <f aca="false">IFERROR(M294/MEDIAN(INDEX($M$5:$M$373,MATCH($A294-90,$A$5:$A$373,1)):INDEX($M$5:$M$373,MATCH($A294+90,$A$5:$A$373,1))),"")</f>
        <v>0.975781183287553</v>
      </c>
      <c r="T294" s="11" t="n">
        <f aca="false">IFERROR(N294/MEDIAN(INDEX($N$5:$N$373,MATCH($A294-90,$A$5:$A$373,1)):INDEX($N$5:$N$373,MATCH($A294+90,$A$5:$A$373,1))),"")</f>
        <v>0.905481340505408</v>
      </c>
      <c r="U294" s="11" t="n">
        <f aca="false">IFERROR(Q294/MEDIAN(INDEX($Q$5:$Q$373,MATCH($A294-90,$A$5:$A$373,1)):INDEX($Q$5:$Q$373,MATCH($A294+90,$A$5:$A$373,1))),"")</f>
        <v>1.54235727440147</v>
      </c>
    </row>
    <row r="295" customFormat="false" ht="15" hidden="false" customHeight="false" outlineLevel="0" collapsed="false">
      <c r="A295" s="13" t="n">
        <v>46016.6748506829</v>
      </c>
      <c r="B295" s="8" t="n">
        <v>16</v>
      </c>
      <c r="C295" s="8" t="s">
        <v>73</v>
      </c>
      <c r="D295" s="8" t="s">
        <v>1503</v>
      </c>
      <c r="E295" s="14" t="s">
        <v>66</v>
      </c>
      <c r="F295" s="9" t="n">
        <v>2513</v>
      </c>
      <c r="G295" s="9" t="n">
        <v>73</v>
      </c>
      <c r="H295" s="9" t="n">
        <v>65</v>
      </c>
      <c r="I295" s="9" t="n">
        <v>121</v>
      </c>
      <c r="J295" s="9" t="n">
        <v>24</v>
      </c>
      <c r="K295" s="9" t="n">
        <v>7</v>
      </c>
      <c r="L295" s="9" t="n">
        <v>0</v>
      </c>
      <c r="M295" s="10" t="n">
        <f aca="false">IFERROR(G295/F295,"")</f>
        <v>0.0290489454834859</v>
      </c>
      <c r="N295" s="10" t="n">
        <f aca="false">IFERROR(H295/G295,"")</f>
        <v>0.89041095890411</v>
      </c>
      <c r="O295" s="11" t="n">
        <f aca="false">IFERROR(I295/H295,"")</f>
        <v>1.86153846153846</v>
      </c>
      <c r="P295" s="10" t="n">
        <f aca="false">IFERROR(J295/H295,"")</f>
        <v>0.369230769230769</v>
      </c>
      <c r="Q295" s="10" t="n">
        <f aca="false">IFERROR(K295/H295,"")</f>
        <v>0.107692307692308</v>
      </c>
      <c r="R295" s="10" t="n">
        <f aca="false">IFERROR(L295/H295,"")</f>
        <v>0</v>
      </c>
      <c r="S295" s="11" t="n">
        <f aca="false">IFERROR(M295/MEDIAN(INDEX($M$5:$M$373,MATCH($A295-90,$A$5:$A$373,1)):INDEX($M$5:$M$373,MATCH($A295+90,$A$5:$A$373,1))),"")</f>
        <v>0.638000415987048</v>
      </c>
      <c r="T295" s="11" t="n">
        <f aca="false">IFERROR(N295/MEDIAN(INDEX($N$5:$N$373,MATCH($A295-90,$A$5:$A$373,1)):INDEX($N$5:$N$373,MATCH($A295+90,$A$5:$A$373,1))),"")</f>
        <v>0.781055180273286</v>
      </c>
      <c r="U295" s="11" t="n">
        <f aca="false">IFERROR(Q295/MEDIAN(INDEX($Q$5:$Q$373,MATCH($A295-90,$A$5:$A$373,1)):INDEX($Q$5:$Q$373,MATCH($A295+90,$A$5:$A$373,1))),"")</f>
        <v>2.657600226661</v>
      </c>
    </row>
    <row r="296" customFormat="false" ht="15" hidden="false" customHeight="false" outlineLevel="0" collapsed="false">
      <c r="A296" s="13" t="n">
        <v>46019.676439838</v>
      </c>
      <c r="B296" s="8" t="n">
        <v>16</v>
      </c>
      <c r="C296" s="8" t="s">
        <v>86</v>
      </c>
      <c r="D296" s="8" t="s">
        <v>1504</v>
      </c>
      <c r="E296" s="14" t="s">
        <v>66</v>
      </c>
      <c r="F296" s="9" t="n">
        <v>2956</v>
      </c>
      <c r="G296" s="9" t="n">
        <v>290</v>
      </c>
      <c r="H296" s="9" t="n">
        <v>271</v>
      </c>
      <c r="I296" s="9" t="n">
        <v>380</v>
      </c>
      <c r="J296" s="9" t="n">
        <v>67</v>
      </c>
      <c r="K296" s="9" t="n">
        <v>8</v>
      </c>
      <c r="L296" s="9" t="n">
        <v>0</v>
      </c>
      <c r="M296" s="10" t="n">
        <f aca="false">IFERROR(G296/F296,"")</f>
        <v>0.098105548037889</v>
      </c>
      <c r="N296" s="10" t="n">
        <f aca="false">IFERROR(H296/G296,"")</f>
        <v>0.93448275862069</v>
      </c>
      <c r="O296" s="11" t="n">
        <f aca="false">IFERROR(I296/H296,"")</f>
        <v>1.40221402214022</v>
      </c>
      <c r="P296" s="10" t="n">
        <f aca="false">IFERROR(J296/H296,"")</f>
        <v>0.247232472324723</v>
      </c>
      <c r="Q296" s="10" t="n">
        <f aca="false">IFERROR(K296/H296,"")</f>
        <v>0.029520295202952</v>
      </c>
      <c r="R296" s="10" t="n">
        <f aca="false">IFERROR(L296/H296,"")</f>
        <v>0</v>
      </c>
      <c r="S296" s="11" t="n">
        <f aca="false">IFERROR(M296/MEDIAN(INDEX($M$5:$M$373,MATCH($A296-90,$A$5:$A$373,1)):INDEX($M$5:$M$373,MATCH($A296+90,$A$5:$A$373,1))),"")</f>
        <v>2.15468683689028</v>
      </c>
      <c r="T296" s="11" t="n">
        <f aca="false">IFERROR(N296/MEDIAN(INDEX($N$5:$N$373,MATCH($A296-90,$A$5:$A$373,1)):INDEX($N$5:$N$373,MATCH($A296+90,$A$5:$A$373,1))),"")</f>
        <v>0.8281325270546</v>
      </c>
      <c r="U296" s="11" t="n">
        <f aca="false">IFERROR(Q296/MEDIAN(INDEX($Q$5:$Q$373,MATCH($A296-90,$A$5:$A$373,1)):INDEX($Q$5:$Q$373,MATCH($A296+90,$A$5:$A$373,1))),"")</f>
        <v>0.716798302389613</v>
      </c>
    </row>
    <row r="297" customFormat="false" ht="15" hidden="false" customHeight="false" outlineLevel="0" collapsed="false">
      <c r="A297" s="13" t="n">
        <v>46021.6756311227</v>
      </c>
      <c r="B297" s="8" t="n">
        <v>16</v>
      </c>
      <c r="C297" s="8" t="s">
        <v>64</v>
      </c>
      <c r="D297" s="8" t="s">
        <v>1505</v>
      </c>
      <c r="E297" s="14" t="s">
        <v>66</v>
      </c>
      <c r="F297" s="9" t="n">
        <v>3069</v>
      </c>
      <c r="G297" s="9" t="n">
        <v>90</v>
      </c>
      <c r="H297" s="9" t="n">
        <v>137</v>
      </c>
      <c r="I297" s="9" t="n">
        <v>86</v>
      </c>
      <c r="J297" s="9" t="n">
        <v>30</v>
      </c>
      <c r="K297" s="9" t="n">
        <v>7</v>
      </c>
      <c r="L297" s="9" t="n">
        <v>0</v>
      </c>
      <c r="M297" s="10" t="n">
        <f aca="false">IFERROR(G297/F297,"")</f>
        <v>0.0293255131964809</v>
      </c>
      <c r="N297" s="10" t="n">
        <f aca="false">IFERROR(H297/G297,"")</f>
        <v>1.52222222222222</v>
      </c>
      <c r="O297" s="11" t="n">
        <f aca="false">IFERROR(I297/H297,"")</f>
        <v>0.627737226277372</v>
      </c>
      <c r="P297" s="10" t="n">
        <f aca="false">IFERROR(J297/H297,"")</f>
        <v>0.218978102189781</v>
      </c>
      <c r="Q297" s="10" t="n">
        <f aca="false">IFERROR(K297/H297,"")</f>
        <v>0.0510948905109489</v>
      </c>
      <c r="R297" s="10" t="n">
        <f aca="false">IFERROR(L297/H297,"")</f>
        <v>0</v>
      </c>
      <c r="S297" s="11" t="n">
        <f aca="false">IFERROR(M297/MEDIAN(INDEX($M$5:$M$373,MATCH($A297-90,$A$5:$A$373,1)):INDEX($M$5:$M$373,MATCH($A297+90,$A$5:$A$373,1))),"")</f>
        <v>0.650276680884899</v>
      </c>
      <c r="T297" s="11" t="n">
        <f aca="false">IFERROR(N297/MEDIAN(INDEX($N$5:$N$373,MATCH($A297-90,$A$5:$A$373,1)):INDEX($N$5:$N$373,MATCH($A297+90,$A$5:$A$373,1))),"")</f>
        <v>1.34898340712912</v>
      </c>
      <c r="U297" s="11" t="n">
        <f aca="false">IFERROR(Q297/MEDIAN(INDEX($Q$5:$Q$373,MATCH($A297-90,$A$5:$A$373,1)):INDEX($Q$5:$Q$373,MATCH($A297+90,$A$5:$A$373,1))),"")</f>
        <v>1.22097547567419</v>
      </c>
    </row>
    <row r="298" customFormat="false" ht="15" hidden="false" customHeight="false" outlineLevel="0" collapsed="false">
      <c r="A298" s="13" t="n">
        <v>46023.6761952662</v>
      </c>
      <c r="B298" s="8" t="n">
        <v>16</v>
      </c>
      <c r="C298" s="8" t="s">
        <v>73</v>
      </c>
      <c r="D298" s="8" t="s">
        <v>1506</v>
      </c>
      <c r="E298" s="14" t="s">
        <v>66</v>
      </c>
      <c r="F298" s="9" t="n">
        <v>3595</v>
      </c>
      <c r="G298" s="9" t="n">
        <v>158</v>
      </c>
      <c r="H298" s="9" t="n">
        <v>170</v>
      </c>
      <c r="I298" s="9" t="n">
        <v>128</v>
      </c>
      <c r="J298" s="9" t="n">
        <v>51</v>
      </c>
      <c r="K298" s="9" t="n">
        <v>12</v>
      </c>
      <c r="L298" s="9" t="n">
        <v>0</v>
      </c>
      <c r="M298" s="10" t="n">
        <f aca="false">IFERROR(G298/F298,"")</f>
        <v>0.0439499304589708</v>
      </c>
      <c r="N298" s="10" t="n">
        <f aca="false">IFERROR(H298/G298,"")</f>
        <v>1.07594936708861</v>
      </c>
      <c r="O298" s="11" t="n">
        <f aca="false">IFERROR(I298/H298,"")</f>
        <v>0.752941176470588</v>
      </c>
      <c r="P298" s="10" t="n">
        <f aca="false">IFERROR(J298/H298,"")</f>
        <v>0.3</v>
      </c>
      <c r="Q298" s="10" t="n">
        <f aca="false">IFERROR(K298/H298,"")</f>
        <v>0.0705882352941177</v>
      </c>
      <c r="R298" s="10" t="n">
        <f aca="false">IFERROR(L298/H298,"")</f>
        <v>0</v>
      </c>
      <c r="S298" s="11" t="n">
        <f aca="false">IFERROR(M298/MEDIAN(INDEX($M$5:$M$373,MATCH($A298-90,$A$5:$A$373,1)):INDEX($M$5:$M$373,MATCH($A298+90,$A$5:$A$373,1))),"")</f>
        <v>0.986075764464205</v>
      </c>
      <c r="T298" s="11" t="n">
        <f aca="false">IFERROR(N298/MEDIAN(INDEX($N$5:$N$373,MATCH($A298-90,$A$5:$A$373,1)):INDEX($N$5:$N$373,MATCH($A298+90,$A$5:$A$373,1))),"")</f>
        <v>0.953499312994342</v>
      </c>
      <c r="U298" s="11" t="n">
        <f aca="false">IFERROR(Q298/MEDIAN(INDEX($Q$5:$Q$373,MATCH($A298-90,$A$5:$A$373,1)):INDEX($Q$5:$Q$373,MATCH($A298+90,$A$5:$A$373,1))),"")</f>
        <v>1.6504465221584</v>
      </c>
    </row>
    <row r="299" customFormat="false" ht="15" hidden="false" customHeight="false" outlineLevel="0" collapsed="false">
      <c r="A299" s="13" t="n">
        <v>46026.6763887384</v>
      </c>
      <c r="B299" s="8" t="n">
        <v>16</v>
      </c>
      <c r="C299" s="8" t="s">
        <v>86</v>
      </c>
      <c r="D299" s="8" t="s">
        <v>1507</v>
      </c>
      <c r="E299" s="14" t="s">
        <v>66</v>
      </c>
      <c r="F299" s="9" t="n">
        <v>3819</v>
      </c>
      <c r="G299" s="9" t="n">
        <v>258</v>
      </c>
      <c r="H299" s="9" t="n">
        <v>290</v>
      </c>
      <c r="I299" s="9" t="n">
        <v>137</v>
      </c>
      <c r="J299" s="9" t="n">
        <v>51</v>
      </c>
      <c r="K299" s="9" t="n">
        <v>6</v>
      </c>
      <c r="L299" s="9" t="n">
        <v>0</v>
      </c>
      <c r="M299" s="10" t="n">
        <f aca="false">IFERROR(G299/F299,"")</f>
        <v>0.0675569520816968</v>
      </c>
      <c r="N299" s="10" t="n">
        <f aca="false">IFERROR(H299/G299,"")</f>
        <v>1.12403100775194</v>
      </c>
      <c r="O299" s="11" t="n">
        <f aca="false">IFERROR(I299/H299,"")</f>
        <v>0.472413793103448</v>
      </c>
      <c r="P299" s="10" t="n">
        <f aca="false">IFERROR(J299/H299,"")</f>
        <v>0.175862068965517</v>
      </c>
      <c r="Q299" s="10" t="n">
        <f aca="false">IFERROR(K299/H299,"")</f>
        <v>0.0206896551724138</v>
      </c>
      <c r="R299" s="10" t="n">
        <f aca="false">IFERROR(L299/H299,"")</f>
        <v>0</v>
      </c>
      <c r="S299" s="11" t="n">
        <f aca="false">IFERROR(M299/MEDIAN(INDEX($M$5:$M$373,MATCH($A299-90,$A$5:$A$373,1)):INDEX($M$5:$M$373,MATCH($A299+90,$A$5:$A$373,1))),"")</f>
        <v>1.49803723045016</v>
      </c>
      <c r="T299" s="11" t="n">
        <f aca="false">IFERROR(N299/MEDIAN(INDEX($N$5:$N$373,MATCH($A299-90,$A$5:$A$373,1)):INDEX($N$5:$N$373,MATCH($A299+90,$A$5:$A$373,1))),"")</f>
        <v>0.996108949416342</v>
      </c>
      <c r="U299" s="11" t="n">
        <f aca="false">IFERROR(Q299/MEDIAN(INDEX($Q$5:$Q$373,MATCH($A299-90,$A$5:$A$373,1)):INDEX($Q$5:$Q$373,MATCH($A299+90,$A$5:$A$373,1))),"")</f>
        <v>0.483751566839531</v>
      </c>
    </row>
    <row r="300" customFormat="false" ht="15" hidden="false" customHeight="false" outlineLevel="0" collapsed="false">
      <c r="A300" s="13" t="n">
        <v>46028.6766735301</v>
      </c>
      <c r="B300" s="8" t="n">
        <v>16</v>
      </c>
      <c r="C300" s="8" t="s">
        <v>64</v>
      </c>
      <c r="D300" s="8" t="s">
        <v>1508</v>
      </c>
      <c r="E300" s="14" t="s">
        <v>66</v>
      </c>
      <c r="F300" s="9" t="n">
        <v>3431</v>
      </c>
      <c r="G300" s="9" t="n">
        <v>203</v>
      </c>
      <c r="H300" s="9" t="n">
        <v>240</v>
      </c>
      <c r="I300" s="9" t="n">
        <v>91</v>
      </c>
      <c r="J300" s="9" t="n">
        <v>50</v>
      </c>
      <c r="K300" s="9" t="n">
        <v>4</v>
      </c>
      <c r="L300" s="9" t="n">
        <v>0</v>
      </c>
      <c r="M300" s="10" t="n">
        <f aca="false">IFERROR(G300/F300,"")</f>
        <v>0.0591664237831536</v>
      </c>
      <c r="N300" s="10" t="n">
        <f aca="false">IFERROR(H300/G300,"")</f>
        <v>1.18226600985222</v>
      </c>
      <c r="O300" s="11" t="n">
        <f aca="false">IFERROR(I300/H300,"")</f>
        <v>0.379166666666667</v>
      </c>
      <c r="P300" s="10" t="n">
        <f aca="false">IFERROR(J300/H300,"")</f>
        <v>0.208333333333333</v>
      </c>
      <c r="Q300" s="10" t="n">
        <f aca="false">IFERROR(K300/H300,"")</f>
        <v>0.0166666666666667</v>
      </c>
      <c r="R300" s="10" t="n">
        <f aca="false">IFERROR(L300/H300,"")</f>
        <v>0</v>
      </c>
      <c r="S300" s="11" t="n">
        <f aca="false">IFERROR(M300/MEDIAN(INDEX($M$5:$M$373,MATCH($A300-90,$A$5:$A$373,1)):INDEX($M$5:$M$373,MATCH($A300+90,$A$5:$A$373,1))),"")</f>
        <v>1.31198200760406</v>
      </c>
      <c r="T300" s="11" t="n">
        <f aca="false">IFERROR(N300/MEDIAN(INDEX($N$5:$N$373,MATCH($A300-90,$A$5:$A$373,1)):INDEX($N$5:$N$373,MATCH($A300+90,$A$5:$A$373,1))),"")</f>
        <v>1.04771642853508</v>
      </c>
      <c r="U300" s="11" t="n">
        <f aca="false">IFERROR(Q300/MEDIAN(INDEX($Q$5:$Q$373,MATCH($A300-90,$A$5:$A$373,1)):INDEX($Q$5:$Q$373,MATCH($A300+90,$A$5:$A$373,1))),"")</f>
        <v>0.385912596401028</v>
      </c>
    </row>
    <row r="301" customFormat="false" ht="15" hidden="false" customHeight="false" outlineLevel="0" collapsed="false">
      <c r="A301" s="13" t="n">
        <v>46030.6783079398</v>
      </c>
      <c r="B301" s="8" t="n">
        <v>16</v>
      </c>
      <c r="C301" s="8" t="s">
        <v>73</v>
      </c>
      <c r="D301" s="8" t="s">
        <v>1509</v>
      </c>
      <c r="E301" s="14" t="s">
        <v>66</v>
      </c>
      <c r="F301" s="9" t="n">
        <v>3005</v>
      </c>
      <c r="G301" s="9" t="n">
        <v>219</v>
      </c>
      <c r="H301" s="9" t="n">
        <v>253</v>
      </c>
      <c r="I301" s="9" t="n">
        <v>113</v>
      </c>
      <c r="J301" s="9" t="n">
        <v>50</v>
      </c>
      <c r="K301" s="9" t="n">
        <v>15</v>
      </c>
      <c r="L301" s="9" t="n">
        <v>4</v>
      </c>
      <c r="M301" s="10" t="n">
        <f aca="false">IFERROR(G301/F301,"")</f>
        <v>0.0728785357737105</v>
      </c>
      <c r="N301" s="10" t="n">
        <f aca="false">IFERROR(H301/G301,"")</f>
        <v>1.15525114155251</v>
      </c>
      <c r="O301" s="11" t="n">
        <f aca="false">IFERROR(I301/H301,"")</f>
        <v>0.446640316205534</v>
      </c>
      <c r="P301" s="10" t="n">
        <f aca="false">IFERROR(J301/H301,"")</f>
        <v>0.197628458498024</v>
      </c>
      <c r="Q301" s="10" t="n">
        <f aca="false">IFERROR(K301/H301,"")</f>
        <v>0.0592885375494071</v>
      </c>
      <c r="R301" s="10" t="n">
        <f aca="false">IFERROR(L301/H301,"")</f>
        <v>0.0158102766798419</v>
      </c>
      <c r="S301" s="11" t="n">
        <f aca="false">IFERROR(M301/MEDIAN(INDEX($M$5:$M$373,MATCH($A301-90,$A$5:$A$373,1)):INDEX($M$5:$M$373,MATCH($A301+90,$A$5:$A$373,1))),"")</f>
        <v>1.60238131253106</v>
      </c>
      <c r="T301" s="11" t="n">
        <f aca="false">IFERROR(N301/MEDIAN(INDEX($N$5:$N$373,MATCH($A301-90,$A$5:$A$373,1)):INDEX($N$5:$N$373,MATCH($A301+90,$A$5:$A$373,1))),"")</f>
        <v>1.01980790426704</v>
      </c>
      <c r="U301" s="11" t="n">
        <f aca="false">IFERROR(Q301/MEDIAN(INDEX($Q$5:$Q$373,MATCH($A301-90,$A$5:$A$373,1)):INDEX($Q$5:$Q$373,MATCH($A301+90,$A$5:$A$373,1))),"")</f>
        <v>1.37351778656126</v>
      </c>
    </row>
    <row r="302" customFormat="false" ht="15" hidden="false" customHeight="false" outlineLevel="0" collapsed="false">
      <c r="A302" s="13" t="n">
        <v>46033.6784998264</v>
      </c>
      <c r="B302" s="8" t="n">
        <v>16</v>
      </c>
      <c r="C302" s="8" t="s">
        <v>86</v>
      </c>
      <c r="D302" s="8" t="s">
        <v>1510</v>
      </c>
      <c r="E302" s="14" t="s">
        <v>66</v>
      </c>
      <c r="F302" s="9" t="n">
        <v>2411</v>
      </c>
      <c r="G302" s="9" t="n">
        <v>128</v>
      </c>
      <c r="H302" s="9" t="n">
        <v>145</v>
      </c>
      <c r="I302" s="9" t="n">
        <v>105</v>
      </c>
      <c r="J302" s="9" t="n">
        <v>24</v>
      </c>
      <c r="K302" s="9" t="n">
        <v>22</v>
      </c>
      <c r="L302" s="9" t="n">
        <v>1</v>
      </c>
      <c r="M302" s="10" t="n">
        <f aca="false">IFERROR(G302/F302,"")</f>
        <v>0.0530900041476566</v>
      </c>
      <c r="N302" s="10" t="n">
        <f aca="false">IFERROR(H302/G302,"")</f>
        <v>1.1328125</v>
      </c>
      <c r="O302" s="11" t="n">
        <f aca="false">IFERROR(I302/H302,"")</f>
        <v>0.724137931034483</v>
      </c>
      <c r="P302" s="10" t="n">
        <f aca="false">IFERROR(J302/H302,"")</f>
        <v>0.16551724137931</v>
      </c>
      <c r="Q302" s="10" t="n">
        <f aca="false">IFERROR(K302/H302,"")</f>
        <v>0.151724137931034</v>
      </c>
      <c r="R302" s="10" t="n">
        <f aca="false">IFERROR(L302/H302,"")</f>
        <v>0.00689655172413793</v>
      </c>
      <c r="S302" s="11" t="n">
        <f aca="false">IFERROR(M302/MEDIAN(INDEX($M$5:$M$373,MATCH($A302-90,$A$5:$A$373,1)):INDEX($M$5:$M$373,MATCH($A302+90,$A$5:$A$373,1))),"")</f>
        <v>1.18736215625473</v>
      </c>
      <c r="T302" s="11" t="n">
        <f aca="false">IFERROR(N302/MEDIAN(INDEX($N$5:$N$373,MATCH($A302-90,$A$5:$A$373,1)):INDEX($N$5:$N$373,MATCH($A302+90,$A$5:$A$373,1))),"")</f>
        <v>0.987451603982301</v>
      </c>
      <c r="U302" s="11" t="n">
        <f aca="false">IFERROR(Q302/MEDIAN(INDEX($Q$5:$Q$373,MATCH($A302-90,$A$5:$A$373,1)):INDEX($Q$5:$Q$373,MATCH($A302+90,$A$5:$A$373,1))),"")</f>
        <v>3.51133004926108</v>
      </c>
    </row>
    <row r="303" customFormat="false" ht="15" hidden="false" customHeight="false" outlineLevel="0" collapsed="false">
      <c r="A303" s="13" t="n">
        <v>46035.6804318634</v>
      </c>
      <c r="B303" s="8" t="n">
        <v>16</v>
      </c>
      <c r="C303" s="8" t="s">
        <v>64</v>
      </c>
      <c r="D303" s="8" t="s">
        <v>1511</v>
      </c>
      <c r="E303" s="14" t="s">
        <v>66</v>
      </c>
      <c r="F303" s="9" t="n">
        <v>2375</v>
      </c>
      <c r="G303" s="9" t="n">
        <v>87</v>
      </c>
      <c r="H303" s="9" t="n">
        <v>105</v>
      </c>
      <c r="I303" s="9" t="n">
        <v>65</v>
      </c>
      <c r="J303" s="9" t="n">
        <v>31</v>
      </c>
      <c r="K303" s="9" t="n">
        <v>5</v>
      </c>
      <c r="L303" s="9" t="n">
        <v>0</v>
      </c>
      <c r="M303" s="10" t="n">
        <f aca="false">IFERROR(G303/F303,"")</f>
        <v>0.0366315789473684</v>
      </c>
      <c r="N303" s="10" t="n">
        <f aca="false">IFERROR(H303/G303,"")</f>
        <v>1.20689655172414</v>
      </c>
      <c r="O303" s="11" t="n">
        <f aca="false">IFERROR(I303/H303,"")</f>
        <v>0.619047619047619</v>
      </c>
      <c r="P303" s="10" t="n">
        <f aca="false">IFERROR(J303/H303,"")</f>
        <v>0.295238095238095</v>
      </c>
      <c r="Q303" s="10" t="n">
        <f aca="false">IFERROR(K303/H303,"")</f>
        <v>0.0476190476190476</v>
      </c>
      <c r="R303" s="10" t="n">
        <f aca="false">IFERROR(L303/H303,"")</f>
        <v>0</v>
      </c>
      <c r="S303" s="11" t="n">
        <f aca="false">IFERROR(M303/MEDIAN(INDEX($M$5:$M$373,MATCH($A303-90,$A$5:$A$373,1)):INDEX($M$5:$M$373,MATCH($A303+90,$A$5:$A$373,1))),"")</f>
        <v>0.819268170426065</v>
      </c>
      <c r="T303" s="11" t="n">
        <f aca="false">IFERROR(N303/MEDIAN(INDEX($N$5:$N$373,MATCH($A303-90,$A$5:$A$373,1)):INDEX($N$5:$N$373,MATCH($A303+90,$A$5:$A$373,1))),"")</f>
        <v>1.0452818946898</v>
      </c>
      <c r="U303" s="11" t="n">
        <f aca="false">IFERROR(Q303/MEDIAN(INDEX($Q$5:$Q$373,MATCH($A303-90,$A$5:$A$373,1)):INDEX($Q$5:$Q$373,MATCH($A303+90,$A$5:$A$373,1))),"")</f>
        <v>1.1031746031746</v>
      </c>
    </row>
    <row r="304" customFormat="false" ht="15" hidden="false" customHeight="false" outlineLevel="0" collapsed="false">
      <c r="A304" s="13" t="n">
        <v>46037.4404333102</v>
      </c>
      <c r="B304" s="8" t="n">
        <v>10</v>
      </c>
      <c r="C304" s="8" t="s">
        <v>73</v>
      </c>
      <c r="D304" s="8" t="s">
        <v>1512</v>
      </c>
      <c r="E304" s="14" t="s">
        <v>66</v>
      </c>
      <c r="F304" s="9" t="n">
        <v>2332</v>
      </c>
      <c r="G304" s="9" t="n">
        <v>74</v>
      </c>
      <c r="H304" s="9" t="n">
        <v>98</v>
      </c>
      <c r="I304" s="9" t="n">
        <v>66</v>
      </c>
      <c r="J304" s="9" t="n">
        <v>21</v>
      </c>
      <c r="K304" s="9" t="n">
        <v>3</v>
      </c>
      <c r="L304" s="9" t="n">
        <v>0</v>
      </c>
      <c r="M304" s="10" t="n">
        <f aca="false">IFERROR(G304/F304,"")</f>
        <v>0.0317324185248714</v>
      </c>
      <c r="N304" s="10" t="n">
        <f aca="false">IFERROR(H304/G304,"")</f>
        <v>1.32432432432432</v>
      </c>
      <c r="O304" s="11" t="n">
        <f aca="false">IFERROR(I304/H304,"")</f>
        <v>0.673469387755102</v>
      </c>
      <c r="P304" s="10" t="n">
        <f aca="false">IFERROR(J304/H304,"")</f>
        <v>0.214285714285714</v>
      </c>
      <c r="Q304" s="10" t="n">
        <f aca="false">IFERROR(K304/H304,"")</f>
        <v>0.0306122448979592</v>
      </c>
      <c r="R304" s="10" t="n">
        <f aca="false">IFERROR(L304/H304,"")</f>
        <v>0</v>
      </c>
      <c r="S304" s="11" t="n">
        <f aca="false">IFERROR(M304/MEDIAN(INDEX($M$5:$M$373,MATCH($A304-90,$A$5:$A$373,1)):INDEX($M$5:$M$373,MATCH($A304+90,$A$5:$A$373,1))),"")</f>
        <v>0.709698058754663</v>
      </c>
      <c r="T304" s="11" t="n">
        <f aca="false">IFERROR(N304/MEDIAN(INDEX($N$5:$N$373,MATCH($A304-90,$A$5:$A$373,1)):INDEX($N$5:$N$373,MATCH($A304+90,$A$5:$A$373,1))),"")</f>
        <v>1.14635188548232</v>
      </c>
      <c r="U304" s="11" t="n">
        <f aca="false">IFERROR(Q304/MEDIAN(INDEX($Q$5:$Q$373,MATCH($A304-90,$A$5:$A$373,1)):INDEX($Q$5:$Q$373,MATCH($A304+90,$A$5:$A$373,1))),"")</f>
        <v>0.709183673469388</v>
      </c>
    </row>
    <row r="305" customFormat="false" ht="15" hidden="false" customHeight="false" outlineLevel="0" collapsed="false">
      <c r="A305" s="13" t="n">
        <v>46040.440711412</v>
      </c>
      <c r="B305" s="8" t="n">
        <v>10</v>
      </c>
      <c r="C305" s="8" t="s">
        <v>86</v>
      </c>
      <c r="D305" s="8" t="s">
        <v>1513</v>
      </c>
      <c r="E305" s="14" t="s">
        <v>66</v>
      </c>
      <c r="F305" s="9" t="n">
        <v>2583</v>
      </c>
      <c r="G305" s="9" t="n">
        <v>184</v>
      </c>
      <c r="H305" s="9" t="n">
        <v>206</v>
      </c>
      <c r="I305" s="9" t="n">
        <v>137</v>
      </c>
      <c r="J305" s="9" t="n">
        <v>39</v>
      </c>
      <c r="K305" s="9" t="n">
        <v>14</v>
      </c>
      <c r="L305" s="9" t="n">
        <v>0</v>
      </c>
      <c r="M305" s="10" t="n">
        <f aca="false">IFERROR(G305/F305,"")</f>
        <v>0.0712349980642664</v>
      </c>
      <c r="N305" s="10" t="n">
        <f aca="false">IFERROR(H305/G305,"")</f>
        <v>1.1195652173913</v>
      </c>
      <c r="O305" s="11" t="n">
        <f aca="false">IFERROR(I305/H305,"")</f>
        <v>0.66504854368932</v>
      </c>
      <c r="P305" s="10" t="n">
        <f aca="false">IFERROR(J305/H305,"")</f>
        <v>0.189320388349515</v>
      </c>
      <c r="Q305" s="10" t="n">
        <f aca="false">IFERROR(K305/H305,"")</f>
        <v>0.0679611650485437</v>
      </c>
      <c r="R305" s="10" t="n">
        <f aca="false">IFERROR(L305/H305,"")</f>
        <v>0</v>
      </c>
      <c r="S305" s="11" t="n">
        <f aca="false">IFERROR(M305/MEDIAN(INDEX($M$5:$M$373,MATCH($A305-90,$A$5:$A$373,1)):INDEX($M$5:$M$373,MATCH($A305+90,$A$5:$A$373,1))),"")</f>
        <v>1.59317638527859</v>
      </c>
      <c r="T305" s="11" t="n">
        <f aca="false">IFERROR(N305/MEDIAN(INDEX($N$5:$N$373,MATCH($A305-90,$A$5:$A$373,1)):INDEX($N$5:$N$373,MATCH($A305+90,$A$5:$A$373,1))),"")</f>
        <v>0.975904193920739</v>
      </c>
      <c r="U305" s="11" t="n">
        <f aca="false">IFERROR(Q305/MEDIAN(INDEX($Q$5:$Q$373,MATCH($A305-90,$A$5:$A$373,1)):INDEX($Q$5:$Q$373,MATCH($A305+90,$A$5:$A$373,1))),"")</f>
        <v>1.57443365695793</v>
      </c>
    </row>
    <row r="306" customFormat="false" ht="15" hidden="false" customHeight="false" outlineLevel="0" collapsed="false">
      <c r="A306" s="13" t="n">
        <v>46042.5816122569</v>
      </c>
      <c r="B306" s="8" t="n">
        <v>13</v>
      </c>
      <c r="C306" s="8" t="s">
        <v>64</v>
      </c>
      <c r="D306" s="8" t="s">
        <v>1514</v>
      </c>
      <c r="E306" s="14" t="s">
        <v>66</v>
      </c>
      <c r="F306" s="9" t="n">
        <v>2380</v>
      </c>
      <c r="G306" s="9" t="n">
        <v>115</v>
      </c>
      <c r="H306" s="9" t="n">
        <v>102</v>
      </c>
      <c r="I306" s="9" t="n">
        <v>44</v>
      </c>
      <c r="J306" s="9" t="n">
        <v>20</v>
      </c>
      <c r="K306" s="9" t="n">
        <v>6</v>
      </c>
      <c r="L306" s="9" t="n">
        <v>1</v>
      </c>
      <c r="M306" s="10" t="n">
        <f aca="false">IFERROR(G306/F306,"")</f>
        <v>0.0483193277310924</v>
      </c>
      <c r="N306" s="10" t="n">
        <f aca="false">IFERROR(H306/G306,"")</f>
        <v>0.88695652173913</v>
      </c>
      <c r="O306" s="11" t="n">
        <f aca="false">IFERROR(I306/H306,"")</f>
        <v>0.431372549019608</v>
      </c>
      <c r="P306" s="10" t="n">
        <f aca="false">IFERROR(J306/H306,"")</f>
        <v>0.196078431372549</v>
      </c>
      <c r="Q306" s="10" t="n">
        <f aca="false">IFERROR(K306/H306,"")</f>
        <v>0.0588235294117647</v>
      </c>
      <c r="R306" s="10" t="n">
        <f aca="false">IFERROR(L306/H306,"")</f>
        <v>0.00980392156862745</v>
      </c>
      <c r="S306" s="11" t="n">
        <f aca="false">IFERROR(M306/MEDIAN(INDEX($M$5:$M$373,MATCH($A306-90,$A$5:$A$373,1)):INDEX($M$5:$M$373,MATCH($A306+90,$A$5:$A$373,1))),"")</f>
        <v>1.07027097502696</v>
      </c>
      <c r="T306" s="11" t="n">
        <f aca="false">IFERROR(N306/MEDIAN(INDEX($N$5:$N$373,MATCH($A306-90,$A$5:$A$373,1)):INDEX($N$5:$N$373,MATCH($A306+90,$A$5:$A$373,1))),"")</f>
        <v>0.77044274862619</v>
      </c>
      <c r="U306" s="11" t="n">
        <f aca="false">IFERROR(Q306/MEDIAN(INDEX($Q$5:$Q$373,MATCH($A306-90,$A$5:$A$373,1)):INDEX($Q$5:$Q$373,MATCH($A306+90,$A$5:$A$373,1))),"")</f>
        <v>1.36204445788598</v>
      </c>
    </row>
    <row r="307" customFormat="false" ht="15" hidden="false" customHeight="false" outlineLevel="0" collapsed="false">
      <c r="A307" s="13" t="n">
        <v>46044.581695</v>
      </c>
      <c r="B307" s="8" t="n">
        <v>13</v>
      </c>
      <c r="C307" s="8" t="s">
        <v>73</v>
      </c>
      <c r="D307" s="8" t="s">
        <v>1515</v>
      </c>
      <c r="E307" s="14" t="s">
        <v>66</v>
      </c>
      <c r="F307" s="9" t="n">
        <v>2306</v>
      </c>
      <c r="G307" s="9" t="n">
        <v>106</v>
      </c>
      <c r="H307" s="9" t="n">
        <v>74</v>
      </c>
      <c r="I307" s="9" t="n">
        <v>50</v>
      </c>
      <c r="J307" s="9" t="n">
        <v>22</v>
      </c>
      <c r="K307" s="9" t="n">
        <v>6</v>
      </c>
      <c r="L307" s="9" t="n">
        <v>1</v>
      </c>
      <c r="M307" s="10" t="n">
        <f aca="false">IFERROR(G307/F307,"")</f>
        <v>0.0459670424978317</v>
      </c>
      <c r="N307" s="10" t="n">
        <f aca="false">IFERROR(H307/G307,"")</f>
        <v>0.69811320754717</v>
      </c>
      <c r="O307" s="11" t="n">
        <f aca="false">IFERROR(I307/H307,"")</f>
        <v>0.675675675675676</v>
      </c>
      <c r="P307" s="10" t="n">
        <f aca="false">IFERROR(J307/H307,"")</f>
        <v>0.297297297297297</v>
      </c>
      <c r="Q307" s="10" t="n">
        <f aca="false">IFERROR(K307/H307,"")</f>
        <v>0.0810810810810811</v>
      </c>
      <c r="R307" s="10" t="n">
        <f aca="false">IFERROR(L307/H307,"")</f>
        <v>0.0135135135135135</v>
      </c>
      <c r="S307" s="11" t="n">
        <f aca="false">IFERROR(M307/MEDIAN(INDEX($M$5:$M$373,MATCH($A307-90,$A$5:$A$373,1)):INDEX($M$5:$M$373,MATCH($A307+90,$A$5:$A$373,1))),"")</f>
        <v>1.00421604338009</v>
      </c>
      <c r="T307" s="11" t="n">
        <f aca="false">IFERROR(N307/MEDIAN(INDEX($N$5:$N$373,MATCH($A307-90,$A$5:$A$373,1)):INDEX($N$5:$N$373,MATCH($A307+90,$A$5:$A$373,1))),"")</f>
        <v>0.606406565927569</v>
      </c>
      <c r="U307" s="11" t="n">
        <f aca="false">IFERROR(Q307/MEDIAN(INDEX($Q$5:$Q$373,MATCH($A307-90,$A$5:$A$373,1)):INDEX($Q$5:$Q$373,MATCH($A307+90,$A$5:$A$373,1))),"")</f>
        <v>1.87741263114014</v>
      </c>
    </row>
    <row r="308" customFormat="false" ht="15" hidden="false" customHeight="false" outlineLevel="0" collapsed="false">
      <c r="A308" s="13" t="n">
        <v>46047.582822662</v>
      </c>
      <c r="B308" s="8" t="n">
        <v>13</v>
      </c>
      <c r="C308" s="8" t="s">
        <v>86</v>
      </c>
      <c r="D308" s="8" t="s">
        <v>1516</v>
      </c>
      <c r="E308" s="14" t="s">
        <v>66</v>
      </c>
      <c r="F308" s="9" t="n">
        <v>2544</v>
      </c>
      <c r="G308" s="9" t="n">
        <v>78</v>
      </c>
      <c r="H308" s="9" t="n">
        <v>85</v>
      </c>
      <c r="I308" s="9" t="n">
        <v>77</v>
      </c>
      <c r="J308" s="9" t="n">
        <v>22</v>
      </c>
      <c r="K308" s="9" t="n">
        <v>8</v>
      </c>
      <c r="L308" s="9" t="n">
        <v>0</v>
      </c>
      <c r="M308" s="10" t="n">
        <f aca="false">IFERROR(G308/F308,"")</f>
        <v>0.0306603773584906</v>
      </c>
      <c r="N308" s="10" t="n">
        <f aca="false">IFERROR(H308/G308,"")</f>
        <v>1.08974358974359</v>
      </c>
      <c r="O308" s="11" t="n">
        <f aca="false">IFERROR(I308/H308,"")</f>
        <v>0.905882352941177</v>
      </c>
      <c r="P308" s="10" t="n">
        <f aca="false">IFERROR(J308/H308,"")</f>
        <v>0.258823529411765</v>
      </c>
      <c r="Q308" s="10" t="n">
        <f aca="false">IFERROR(K308/H308,"")</f>
        <v>0.0941176470588235</v>
      </c>
      <c r="R308" s="10" t="n">
        <f aca="false">IFERROR(L308/H308,"")</f>
        <v>0</v>
      </c>
      <c r="S308" s="11" t="n">
        <f aca="false">IFERROR(M308/MEDIAN(INDEX($M$5:$M$373,MATCH($A308-90,$A$5:$A$373,1)):INDEX($M$5:$M$373,MATCH($A308+90,$A$5:$A$373,1))),"")</f>
        <v>0.666095904988592</v>
      </c>
      <c r="T308" s="11" t="n">
        <f aca="false">IFERROR(N308/MEDIAN(INDEX($N$5:$N$373,MATCH($A308-90,$A$5:$A$373,1)):INDEX($N$5:$N$373,MATCH($A308+90,$A$5:$A$373,1))),"")</f>
        <v>0.946590983889016</v>
      </c>
      <c r="U308" s="11" t="n">
        <f aca="false">IFERROR(Q308/MEDIAN(INDEX($Q$5:$Q$373,MATCH($A308-90,$A$5:$A$373,1)):INDEX($Q$5:$Q$373,MATCH($A308+90,$A$5:$A$373,1))),"")</f>
        <v>2.11196009145708</v>
      </c>
    </row>
    <row r="309" customFormat="false" ht="15" hidden="false" customHeight="false" outlineLevel="0" collapsed="false">
      <c r="A309" s="13" t="n">
        <v>46049.5827659144</v>
      </c>
      <c r="B309" s="8" t="n">
        <v>13</v>
      </c>
      <c r="C309" s="8" t="s">
        <v>64</v>
      </c>
      <c r="D309" s="8" t="s">
        <v>1517</v>
      </c>
      <c r="E309" s="14" t="s">
        <v>66</v>
      </c>
      <c r="F309" s="9" t="n">
        <v>2552</v>
      </c>
      <c r="G309" s="9" t="n">
        <v>141</v>
      </c>
      <c r="H309" s="9" t="n">
        <v>94</v>
      </c>
      <c r="I309" s="9" t="n">
        <v>102</v>
      </c>
      <c r="J309" s="9" t="n">
        <v>34</v>
      </c>
      <c r="K309" s="9" t="n">
        <v>25</v>
      </c>
      <c r="L309" s="9" t="n">
        <v>3</v>
      </c>
      <c r="M309" s="10" t="n">
        <f aca="false">IFERROR(G309/F309,"")</f>
        <v>0.0552507836990596</v>
      </c>
      <c r="N309" s="10" t="n">
        <f aca="false">IFERROR(H309/G309,"")</f>
        <v>0.666666666666667</v>
      </c>
      <c r="O309" s="11" t="n">
        <f aca="false">IFERROR(I309/H309,"")</f>
        <v>1.08510638297872</v>
      </c>
      <c r="P309" s="10" t="n">
        <f aca="false">IFERROR(J309/H309,"")</f>
        <v>0.361702127659575</v>
      </c>
      <c r="Q309" s="10" t="n">
        <f aca="false">IFERROR(K309/H309,"")</f>
        <v>0.265957446808511</v>
      </c>
      <c r="R309" s="10" t="n">
        <f aca="false">IFERROR(L309/H309,"")</f>
        <v>0.0319148936170213</v>
      </c>
      <c r="S309" s="11" t="n">
        <f aca="false">IFERROR(M309/MEDIAN(INDEX($M$5:$M$373,MATCH($A309-90,$A$5:$A$373,1)):INDEX($M$5:$M$373,MATCH($A309+90,$A$5:$A$373,1))),"")</f>
        <v>1.20032184663124</v>
      </c>
      <c r="T309" s="11" t="n">
        <f aca="false">IFERROR(N309/MEDIAN(INDEX($N$5:$N$373,MATCH($A309-90,$A$5:$A$373,1)):INDEX($N$5:$N$373,MATCH($A309+90,$A$5:$A$373,1))),"")</f>
        <v>0.579090954849751</v>
      </c>
      <c r="U309" s="11" t="n">
        <f aca="false">IFERROR(Q309/MEDIAN(INDEX($Q$5:$Q$373,MATCH($A309-90,$A$5:$A$373,1)):INDEX($Q$5:$Q$373,MATCH($A309+90,$A$5:$A$373,1))),"")</f>
        <v>5.9679723329073</v>
      </c>
    </row>
    <row r="310" customFormat="false" ht="15" hidden="false" customHeight="false" outlineLevel="0" collapsed="false">
      <c r="A310" s="13" t="n">
        <v>46051.5830029051</v>
      </c>
      <c r="B310" s="8" t="n">
        <v>13</v>
      </c>
      <c r="C310" s="8" t="s">
        <v>73</v>
      </c>
      <c r="D310" s="8" t="s">
        <v>1518</v>
      </c>
      <c r="E310" s="14" t="s">
        <v>66</v>
      </c>
      <c r="F310" s="9" t="n">
        <v>2657</v>
      </c>
      <c r="G310" s="9" t="n">
        <v>130</v>
      </c>
      <c r="H310" s="9" t="n">
        <v>75</v>
      </c>
      <c r="I310" s="9" t="n">
        <v>68</v>
      </c>
      <c r="J310" s="9" t="n">
        <v>31</v>
      </c>
      <c r="K310" s="9" t="n">
        <v>3</v>
      </c>
      <c r="L310" s="9" t="n">
        <v>0</v>
      </c>
      <c r="M310" s="10" t="n">
        <f aca="false">IFERROR(G310/F310,"")</f>
        <v>0.0489273616861122</v>
      </c>
      <c r="N310" s="10" t="n">
        <f aca="false">IFERROR(H310/G310,"")</f>
        <v>0.576923076923077</v>
      </c>
      <c r="O310" s="11" t="n">
        <f aca="false">IFERROR(I310/H310,"")</f>
        <v>0.906666666666667</v>
      </c>
      <c r="P310" s="10" t="n">
        <f aca="false">IFERROR(J310/H310,"")</f>
        <v>0.413333333333333</v>
      </c>
      <c r="Q310" s="10" t="n">
        <f aca="false">IFERROR(K310/H310,"")</f>
        <v>0.04</v>
      </c>
      <c r="R310" s="10" t="n">
        <f aca="false">IFERROR(L310/H310,"")</f>
        <v>0</v>
      </c>
      <c r="S310" s="11" t="n">
        <f aca="false">IFERROR(M310/MEDIAN(INDEX($M$5:$M$373,MATCH($A310-90,$A$5:$A$373,1)):INDEX($M$5:$M$373,MATCH($A310+90,$A$5:$A$373,1))),"")</f>
        <v>1.06149440158073</v>
      </c>
      <c r="T310" s="11" t="n">
        <f aca="false">IFERROR(N310/MEDIAN(INDEX($N$5:$N$373,MATCH($A310-90,$A$5:$A$373,1)):INDEX($N$5:$N$373,MATCH($A310+90,$A$5:$A$373,1))),"")</f>
        <v>0.50289312457454</v>
      </c>
      <c r="U310" s="11" t="n">
        <f aca="false">IFERROR(Q310/MEDIAN(INDEX($Q$5:$Q$373,MATCH($A310-90,$A$5:$A$373,1)):INDEX($Q$5:$Q$373,MATCH($A310+90,$A$5:$A$373,1))),"")</f>
        <v>0.925714285714286</v>
      </c>
    </row>
    <row r="311" customFormat="false" ht="15" hidden="false" customHeight="false" outlineLevel="0" collapsed="false">
      <c r="A311" s="13" t="n">
        <v>46054.58354375</v>
      </c>
      <c r="B311" s="8" t="n">
        <v>14</v>
      </c>
      <c r="C311" s="8" t="s">
        <v>86</v>
      </c>
      <c r="D311" s="8" t="s">
        <v>1519</v>
      </c>
      <c r="E311" s="14" t="s">
        <v>66</v>
      </c>
      <c r="F311" s="9" t="n">
        <v>2814</v>
      </c>
      <c r="G311" s="9" t="n">
        <v>141</v>
      </c>
      <c r="H311" s="9" t="n">
        <v>124</v>
      </c>
      <c r="I311" s="9" t="n">
        <v>91</v>
      </c>
      <c r="J311" s="9" t="n">
        <v>37</v>
      </c>
      <c r="K311" s="9" t="n">
        <v>12</v>
      </c>
      <c r="L311" s="9" t="n">
        <v>4</v>
      </c>
      <c r="M311" s="10" t="n">
        <f aca="false">IFERROR(G311/F311,"")</f>
        <v>0.0501066098081023</v>
      </c>
      <c r="N311" s="10" t="n">
        <f aca="false">IFERROR(H311/G311,"")</f>
        <v>0.879432624113475</v>
      </c>
      <c r="O311" s="11" t="n">
        <f aca="false">IFERROR(I311/H311,"")</f>
        <v>0.733870967741936</v>
      </c>
      <c r="P311" s="10" t="n">
        <f aca="false">IFERROR(J311/H311,"")</f>
        <v>0.298387096774194</v>
      </c>
      <c r="Q311" s="10" t="n">
        <f aca="false">IFERROR(K311/H311,"")</f>
        <v>0.0967741935483871</v>
      </c>
      <c r="R311" s="10" t="n">
        <f aca="false">IFERROR(L311/H311,"")</f>
        <v>0.032258064516129</v>
      </c>
      <c r="S311" s="11" t="n">
        <f aca="false">IFERROR(M311/MEDIAN(INDEX($M$5:$M$373,MATCH($A311-90,$A$5:$A$373,1)):INDEX($M$5:$M$373,MATCH($A311+90,$A$5:$A$373,1))),"")</f>
        <v>1.08707855810235</v>
      </c>
      <c r="T311" s="11" t="n">
        <f aca="false">IFERROR(N311/MEDIAN(INDEX($N$5:$N$373,MATCH($A311-90,$A$5:$A$373,1)):INDEX($N$5:$N$373,MATCH($A311+90,$A$5:$A$373,1))),"")</f>
        <v>0.761248002691111</v>
      </c>
      <c r="U311" s="11" t="n">
        <f aca="false">IFERROR(Q311/MEDIAN(INDEX($Q$5:$Q$373,MATCH($A311-90,$A$5:$A$373,1)):INDEX($Q$5:$Q$373,MATCH($A311+90,$A$5:$A$373,1))),"")</f>
        <v>2.23963133640553</v>
      </c>
    </row>
    <row r="312" customFormat="false" ht="15" hidden="false" customHeight="false" outlineLevel="0" collapsed="false">
      <c r="A312" s="13" t="n">
        <v>46056.5845297338</v>
      </c>
      <c r="B312" s="8" t="n">
        <v>14</v>
      </c>
      <c r="C312" s="8" t="s">
        <v>64</v>
      </c>
      <c r="D312" s="8" t="s">
        <v>1520</v>
      </c>
      <c r="E312" s="14" t="s">
        <v>66</v>
      </c>
      <c r="F312" s="9" t="n">
        <v>2874</v>
      </c>
      <c r="G312" s="9" t="n">
        <v>131</v>
      </c>
      <c r="H312" s="9" t="n">
        <v>200</v>
      </c>
      <c r="I312" s="9" t="n">
        <v>141</v>
      </c>
      <c r="J312" s="9" t="n">
        <v>35</v>
      </c>
      <c r="K312" s="9" t="n">
        <v>16</v>
      </c>
      <c r="L312" s="9" t="n">
        <v>3</v>
      </c>
      <c r="M312" s="10" t="n">
        <f aca="false">IFERROR(G312/F312,"")</f>
        <v>0.0455810716771051</v>
      </c>
      <c r="N312" s="10" t="n">
        <f aca="false">IFERROR(H312/G312,"")</f>
        <v>1.52671755725191</v>
      </c>
      <c r="O312" s="11" t="n">
        <f aca="false">IFERROR(I312/H312,"")</f>
        <v>0.705</v>
      </c>
      <c r="P312" s="10" t="n">
        <f aca="false">IFERROR(J312/H312,"")</f>
        <v>0.175</v>
      </c>
      <c r="Q312" s="10" t="n">
        <f aca="false">IFERROR(K312/H312,"")</f>
        <v>0.08</v>
      </c>
      <c r="R312" s="10" t="n">
        <f aca="false">IFERROR(L312/H312,"")</f>
        <v>0.015</v>
      </c>
      <c r="S312" s="11" t="n">
        <f aca="false">IFERROR(M312/MEDIAN(INDEX($M$5:$M$373,MATCH($A312-90,$A$5:$A$373,1)):INDEX($M$5:$M$373,MATCH($A312+90,$A$5:$A$373,1))),"")</f>
        <v>0.988895594119694</v>
      </c>
      <c r="T312" s="11" t="n">
        <f aca="false">IFERROR(N312/MEDIAN(INDEX($N$5:$N$373,MATCH($A312-90,$A$5:$A$373,1)):INDEX($N$5:$N$373,MATCH($A312+90,$A$5:$A$373,1))),"")</f>
        <v>1.32154602781885</v>
      </c>
      <c r="U312" s="11" t="n">
        <f aca="false">IFERROR(Q312/MEDIAN(INDEX($Q$5:$Q$373,MATCH($A312-90,$A$5:$A$373,1)):INDEX($Q$5:$Q$373,MATCH($A312+90,$A$5:$A$373,1))),"")</f>
        <v>1.74222222222222</v>
      </c>
    </row>
    <row r="313" customFormat="false" ht="15" hidden="false" customHeight="false" outlineLevel="0" collapsed="false">
      <c r="A313" s="13" t="n">
        <v>46058.5846976042</v>
      </c>
      <c r="B313" s="8" t="n">
        <v>14</v>
      </c>
      <c r="C313" s="8" t="s">
        <v>73</v>
      </c>
      <c r="D313" s="8" t="s">
        <v>1521</v>
      </c>
      <c r="E313" s="14" t="s">
        <v>66</v>
      </c>
      <c r="F313" s="9" t="n">
        <v>2669</v>
      </c>
      <c r="G313" s="9" t="n">
        <v>98</v>
      </c>
      <c r="H313" s="9" t="n">
        <v>165</v>
      </c>
      <c r="I313" s="9" t="n">
        <v>96</v>
      </c>
      <c r="J313" s="9" t="n">
        <v>32</v>
      </c>
      <c r="K313" s="9" t="n">
        <v>2</v>
      </c>
      <c r="L313" s="9" t="n">
        <v>0</v>
      </c>
      <c r="M313" s="10" t="n">
        <f aca="false">IFERROR(G313/F313,"")</f>
        <v>0.0367178718621206</v>
      </c>
      <c r="N313" s="10" t="n">
        <f aca="false">IFERROR(H313/G313,"")</f>
        <v>1.68367346938776</v>
      </c>
      <c r="O313" s="11" t="n">
        <f aca="false">IFERROR(I313/H313,"")</f>
        <v>0.581818181818182</v>
      </c>
      <c r="P313" s="10" t="n">
        <f aca="false">IFERROR(J313/H313,"")</f>
        <v>0.193939393939394</v>
      </c>
      <c r="Q313" s="10" t="n">
        <f aca="false">IFERROR(K313/H313,"")</f>
        <v>0.0121212121212121</v>
      </c>
      <c r="R313" s="10" t="n">
        <f aca="false">IFERROR(L313/H313,"")</f>
        <v>0</v>
      </c>
      <c r="S313" s="11" t="n">
        <f aca="false">IFERROR(M313/MEDIAN(INDEX($M$5:$M$373,MATCH($A313-90,$A$5:$A$373,1)):INDEX($M$5:$M$373,MATCH($A313+90,$A$5:$A$373,1))),"")</f>
        <v>0.796605704383664</v>
      </c>
      <c r="T313" s="11" t="n">
        <f aca="false">IFERROR(N313/MEDIAN(INDEX($N$5:$N$373,MATCH($A313-90,$A$5:$A$373,1)):INDEX($N$5:$N$373,MATCH($A313+90,$A$5:$A$373,1))),"")</f>
        <v>1.45740905057675</v>
      </c>
      <c r="U313" s="11" t="n">
        <f aca="false">IFERROR(Q313/MEDIAN(INDEX($Q$5:$Q$373,MATCH($A313-90,$A$5:$A$373,1)):INDEX($Q$5:$Q$373,MATCH($A313+90,$A$5:$A$373,1))),"")</f>
        <v>0.258181818181818</v>
      </c>
    </row>
    <row r="314" customFormat="false" ht="15" hidden="false" customHeight="false" outlineLevel="0" collapsed="false">
      <c r="A314" s="13" t="n">
        <v>46061.5858429398</v>
      </c>
      <c r="B314" s="8" t="n">
        <v>14</v>
      </c>
      <c r="C314" s="8" t="s">
        <v>86</v>
      </c>
      <c r="D314" s="8" t="s">
        <v>1522</v>
      </c>
      <c r="E314" s="14" t="s">
        <v>66</v>
      </c>
      <c r="F314" s="9" t="n">
        <v>2709</v>
      </c>
      <c r="G314" s="9" t="n">
        <v>174</v>
      </c>
      <c r="H314" s="9" t="n">
        <v>236</v>
      </c>
      <c r="I314" s="9" t="n">
        <v>163</v>
      </c>
      <c r="J314" s="9" t="n">
        <v>38</v>
      </c>
      <c r="K314" s="9" t="n">
        <v>8</v>
      </c>
      <c r="L314" s="9" t="n">
        <v>1</v>
      </c>
      <c r="M314" s="10" t="n">
        <f aca="false">IFERROR(G314/F314,"")</f>
        <v>0.0642303433001107</v>
      </c>
      <c r="N314" s="10" t="n">
        <f aca="false">IFERROR(H314/G314,"")</f>
        <v>1.35632183908046</v>
      </c>
      <c r="O314" s="11" t="n">
        <f aca="false">IFERROR(I314/H314,"")</f>
        <v>0.690677966101695</v>
      </c>
      <c r="P314" s="10" t="n">
        <f aca="false">IFERROR(J314/H314,"")</f>
        <v>0.161016949152542</v>
      </c>
      <c r="Q314" s="10" t="n">
        <f aca="false">IFERROR(K314/H314,"")</f>
        <v>0.0338983050847458</v>
      </c>
      <c r="R314" s="10" t="n">
        <f aca="false">IFERROR(L314/H314,"")</f>
        <v>0.00423728813559322</v>
      </c>
      <c r="S314" s="11" t="n">
        <f aca="false">IFERROR(M314/MEDIAN(INDEX($M$5:$M$373,MATCH($A314-90,$A$5:$A$373,1)):INDEX($M$5:$M$373,MATCH($A314+90,$A$5:$A$373,1))),"")</f>
        <v>1.39731294009486</v>
      </c>
      <c r="T314" s="11" t="n">
        <f aca="false">IFERROR(N314/MEDIAN(INDEX($N$5:$N$373,MATCH($A314-90,$A$5:$A$373,1)):INDEX($N$5:$N$373,MATCH($A314+90,$A$5:$A$373,1))),"")</f>
        <v>1.17404933896688</v>
      </c>
      <c r="U314" s="11" t="n">
        <f aca="false">IFERROR(Q314/MEDIAN(INDEX($Q$5:$Q$373,MATCH($A314-90,$A$5:$A$373,1)):INDEX($Q$5:$Q$373,MATCH($A314+90,$A$5:$A$373,1))),"")</f>
        <v>0.711864406779661</v>
      </c>
    </row>
    <row r="315" customFormat="false" ht="15" hidden="false" customHeight="false" outlineLevel="0" collapsed="false">
      <c r="A315" s="13" t="n">
        <v>46063.5850004398</v>
      </c>
      <c r="B315" s="8" t="n">
        <v>14</v>
      </c>
      <c r="C315" s="8" t="s">
        <v>64</v>
      </c>
      <c r="D315" s="8" t="s">
        <v>1523</v>
      </c>
      <c r="E315" s="14" t="s">
        <v>66</v>
      </c>
      <c r="F315" s="9" t="n">
        <v>2646</v>
      </c>
      <c r="G315" s="9" t="n">
        <v>170</v>
      </c>
      <c r="H315" s="9" t="n">
        <v>231</v>
      </c>
      <c r="I315" s="9" t="n">
        <v>146</v>
      </c>
      <c r="J315" s="9" t="n">
        <v>35</v>
      </c>
      <c r="K315" s="9" t="n">
        <v>5</v>
      </c>
      <c r="L315" s="9" t="n">
        <v>2</v>
      </c>
      <c r="M315" s="10" t="n">
        <f aca="false">IFERROR(G315/F315,"")</f>
        <v>0.0642479213907785</v>
      </c>
      <c r="N315" s="10" t="n">
        <f aca="false">IFERROR(H315/G315,"")</f>
        <v>1.35882352941176</v>
      </c>
      <c r="O315" s="11" t="n">
        <f aca="false">IFERROR(I315/H315,"")</f>
        <v>0.632034632034632</v>
      </c>
      <c r="P315" s="10" t="n">
        <f aca="false">IFERROR(J315/H315,"")</f>
        <v>0.151515151515152</v>
      </c>
      <c r="Q315" s="10" t="n">
        <f aca="false">IFERROR(K315/H315,"")</f>
        <v>0.0216450216450216</v>
      </c>
      <c r="R315" s="10" t="n">
        <f aca="false">IFERROR(L315/H315,"")</f>
        <v>0.00865800865800866</v>
      </c>
      <c r="S315" s="11" t="n">
        <f aca="false">IFERROR(M315/MEDIAN(INDEX($M$5:$M$373,MATCH($A315-90,$A$5:$A$373,1)):INDEX($M$5:$M$373,MATCH($A315+90,$A$5:$A$373,1))),"")</f>
        <v>1.39387873204837</v>
      </c>
      <c r="T315" s="11" t="n">
        <f aca="false">IFERROR(N315/MEDIAN(INDEX($N$5:$N$373,MATCH($A315-90,$A$5:$A$373,1)):INDEX($N$5:$N$373,MATCH($A315+90,$A$5:$A$373,1))),"")</f>
        <v>1.17621483375959</v>
      </c>
      <c r="U315" s="11" t="n">
        <f aca="false">IFERROR(Q315/MEDIAN(INDEX($Q$5:$Q$373,MATCH($A315-90,$A$5:$A$373,1)):INDEX($Q$5:$Q$373,MATCH($A315+90,$A$5:$A$373,1))),"")</f>
        <v>0.423623995052567</v>
      </c>
    </row>
    <row r="316" customFormat="false" ht="15" hidden="false" customHeight="false" outlineLevel="0" collapsed="false">
      <c r="A316" s="13" t="n">
        <v>46065.5666370023</v>
      </c>
      <c r="B316" s="8" t="n">
        <v>13</v>
      </c>
      <c r="C316" s="8" t="s">
        <v>73</v>
      </c>
      <c r="D316" s="8" t="s">
        <v>1524</v>
      </c>
      <c r="E316" s="14" t="s">
        <v>66</v>
      </c>
      <c r="F316" s="9" t="n">
        <v>2568</v>
      </c>
      <c r="G316" s="9" t="n">
        <v>97</v>
      </c>
      <c r="H316" s="9" t="n">
        <v>136</v>
      </c>
      <c r="I316" s="9" t="n">
        <v>85</v>
      </c>
      <c r="J316" s="9" t="n">
        <v>14</v>
      </c>
      <c r="K316" s="9" t="n">
        <v>8</v>
      </c>
      <c r="L316" s="9" t="n">
        <v>0</v>
      </c>
      <c r="M316" s="10" t="n">
        <f aca="false">IFERROR(G316/F316,"")</f>
        <v>0.0377725856697819</v>
      </c>
      <c r="N316" s="10" t="n">
        <f aca="false">IFERROR(H316/G316,"")</f>
        <v>1.4020618556701</v>
      </c>
      <c r="O316" s="11" t="n">
        <f aca="false">IFERROR(I316/H316,"")</f>
        <v>0.625</v>
      </c>
      <c r="P316" s="10" t="n">
        <f aca="false">IFERROR(J316/H316,"")</f>
        <v>0.102941176470588</v>
      </c>
      <c r="Q316" s="10" t="n">
        <f aca="false">IFERROR(K316/H316,"")</f>
        <v>0.0588235294117647</v>
      </c>
      <c r="R316" s="10" t="n">
        <f aca="false">IFERROR(L316/H316,"")</f>
        <v>0</v>
      </c>
      <c r="S316" s="11" t="n">
        <f aca="false">IFERROR(M316/MEDIAN(INDEX($M$5:$M$373,MATCH($A316-90,$A$5:$A$373,1)):INDEX($M$5:$M$373,MATCH($A316+90,$A$5:$A$373,1))),"")</f>
        <v>0.821731910891671</v>
      </c>
      <c r="T316" s="11" t="n">
        <f aca="false">IFERROR(N316/MEDIAN(INDEX($N$5:$N$373,MATCH($A316-90,$A$5:$A$373,1)):INDEX($N$5:$N$373,MATCH($A316+90,$A$5:$A$373,1))),"")</f>
        <v>1.21364247585673</v>
      </c>
      <c r="U316" s="11" t="n">
        <f aca="false">IFERROR(Q316/MEDIAN(INDEX($Q$5:$Q$373,MATCH($A316-90,$A$5:$A$373,1)):INDEX($Q$5:$Q$373,MATCH($A316+90,$A$5:$A$373,1))),"")</f>
        <v>1.1283422459893</v>
      </c>
    </row>
    <row r="317" customFormat="false" ht="15" hidden="false" customHeight="false" outlineLevel="0" collapsed="false">
      <c r="A317" s="13" t="n">
        <v>46068.5661823264</v>
      </c>
      <c r="B317" s="8" t="n">
        <v>13</v>
      </c>
      <c r="C317" s="8" t="s">
        <v>86</v>
      </c>
      <c r="D317" s="8" t="s">
        <v>1525</v>
      </c>
      <c r="E317" s="14" t="s">
        <v>66</v>
      </c>
      <c r="F317" s="9" t="n">
        <v>2693</v>
      </c>
      <c r="G317" s="9" t="n">
        <v>169</v>
      </c>
      <c r="H317" s="9" t="n">
        <v>236</v>
      </c>
      <c r="I317" s="9" t="n">
        <v>154</v>
      </c>
      <c r="J317" s="9" t="n">
        <v>36</v>
      </c>
      <c r="K317" s="9" t="n">
        <v>10</v>
      </c>
      <c r="L317" s="9" t="n">
        <v>0</v>
      </c>
      <c r="M317" s="10" t="n">
        <f aca="false">IFERROR(G317/F317,"")</f>
        <v>0.0627552914964723</v>
      </c>
      <c r="N317" s="10" t="n">
        <f aca="false">IFERROR(H317/G317,"")</f>
        <v>1.39644970414201</v>
      </c>
      <c r="O317" s="11" t="n">
        <f aca="false">IFERROR(I317/H317,"")</f>
        <v>0.652542372881356</v>
      </c>
      <c r="P317" s="10" t="n">
        <f aca="false">IFERROR(J317/H317,"")</f>
        <v>0.152542372881356</v>
      </c>
      <c r="Q317" s="10" t="n">
        <f aca="false">IFERROR(K317/H317,"")</f>
        <v>0.0423728813559322</v>
      </c>
      <c r="R317" s="10" t="n">
        <f aca="false">IFERROR(L317/H317,"")</f>
        <v>0</v>
      </c>
      <c r="S317" s="11" t="n">
        <f aca="false">IFERROR(M317/MEDIAN(INDEX($M$5:$M$373,MATCH($A317-90,$A$5:$A$373,1)):INDEX($M$5:$M$373,MATCH($A317+90,$A$5:$A$373,1))),"")</f>
        <v>1.37678402870887</v>
      </c>
      <c r="T317" s="11" t="n">
        <f aca="false">IFERROR(N317/MEDIAN(INDEX($N$5:$N$373,MATCH($A317-90,$A$5:$A$373,1)):INDEX($N$5:$N$373,MATCH($A317+90,$A$5:$A$373,1))),"")</f>
        <v>1.20878452651028</v>
      </c>
      <c r="U317" s="11" t="n">
        <f aca="false">IFERROR(Q317/MEDIAN(INDEX($Q$5:$Q$373,MATCH($A317-90,$A$5:$A$373,1)):INDEX($Q$5:$Q$373,MATCH($A317+90,$A$5:$A$373,1))),"")</f>
        <v>0.796610169491525</v>
      </c>
    </row>
    <row r="318" customFormat="false" ht="15" hidden="false" customHeight="false" outlineLevel="0" collapsed="false">
      <c r="A318" s="13" t="n">
        <v>46070.5671082176</v>
      </c>
      <c r="B318" s="8" t="n">
        <v>13</v>
      </c>
      <c r="C318" s="8" t="s">
        <v>64</v>
      </c>
      <c r="D318" s="8" t="s">
        <v>1526</v>
      </c>
      <c r="E318" s="14" t="s">
        <v>66</v>
      </c>
      <c r="F318" s="9" t="n">
        <v>2536</v>
      </c>
      <c r="G318" s="9" t="n">
        <v>100</v>
      </c>
      <c r="H318" s="9" t="n">
        <v>146</v>
      </c>
      <c r="I318" s="9" t="n">
        <v>114</v>
      </c>
      <c r="J318" s="9" t="n">
        <v>23</v>
      </c>
      <c r="K318" s="9" t="n">
        <v>13</v>
      </c>
      <c r="L318" s="9" t="n">
        <v>2</v>
      </c>
      <c r="M318" s="10" t="n">
        <f aca="false">IFERROR(G318/F318,"")</f>
        <v>0.0394321766561514</v>
      </c>
      <c r="N318" s="10" t="n">
        <f aca="false">IFERROR(H318/G318,"")</f>
        <v>1.46</v>
      </c>
      <c r="O318" s="11" t="n">
        <f aca="false">IFERROR(I318/H318,"")</f>
        <v>0.780821917808219</v>
      </c>
      <c r="P318" s="10" t="n">
        <f aca="false">IFERROR(J318/H318,"")</f>
        <v>0.157534246575342</v>
      </c>
      <c r="Q318" s="10" t="n">
        <f aca="false">IFERROR(K318/H318,"")</f>
        <v>0.089041095890411</v>
      </c>
      <c r="R318" s="10" t="n">
        <f aca="false">IFERROR(L318/H318,"")</f>
        <v>0.0136986301369863</v>
      </c>
      <c r="S318" s="11" t="n">
        <f aca="false">IFERROR(M318/MEDIAN(INDEX($M$5:$M$373,MATCH($A318-90,$A$5:$A$373,1)):INDEX($M$5:$M$373,MATCH($A318+90,$A$5:$A$373,1))),"")</f>
        <v>0.865099814578467</v>
      </c>
      <c r="T318" s="11" t="n">
        <f aca="false">IFERROR(N318/MEDIAN(INDEX($N$5:$N$373,MATCH($A318-90,$A$5:$A$373,1)):INDEX($N$5:$N$373,MATCH($A318+90,$A$5:$A$373,1))),"")</f>
        <v>1.26379446640316</v>
      </c>
      <c r="U318" s="11" t="n">
        <f aca="false">IFERROR(Q318/MEDIAN(INDEX($Q$5:$Q$373,MATCH($A318-90,$A$5:$A$373,1)):INDEX($Q$5:$Q$373,MATCH($A318+90,$A$5:$A$373,1))),"")</f>
        <v>1.51369863013699</v>
      </c>
    </row>
    <row r="319" customFormat="false" ht="15" hidden="false" customHeight="false" outlineLevel="0" collapsed="false">
      <c r="A319" s="13" t="n">
        <v>46072.5671649421</v>
      </c>
      <c r="B319" s="8" t="n">
        <v>13</v>
      </c>
      <c r="C319" s="8" t="s">
        <v>73</v>
      </c>
      <c r="D319" s="8" t="s">
        <v>1527</v>
      </c>
      <c r="E319" s="14" t="s">
        <v>66</v>
      </c>
      <c r="F319" s="9" t="n">
        <v>2513</v>
      </c>
      <c r="G319" s="9" t="n">
        <v>171</v>
      </c>
      <c r="H319" s="9" t="n">
        <v>162</v>
      </c>
      <c r="I319" s="9" t="n">
        <v>99</v>
      </c>
      <c r="J319" s="9" t="n">
        <v>31</v>
      </c>
      <c r="K319" s="9" t="n">
        <v>11</v>
      </c>
      <c r="L319" s="9" t="n">
        <v>4</v>
      </c>
      <c r="M319" s="10" t="n">
        <f aca="false">IFERROR(G319/F319,"")</f>
        <v>0.0680461599681655</v>
      </c>
      <c r="N319" s="10" t="n">
        <f aca="false">IFERROR(H319/G319,"")</f>
        <v>0.947368421052632</v>
      </c>
      <c r="O319" s="11" t="n">
        <f aca="false">IFERROR(I319/H319,"")</f>
        <v>0.611111111111111</v>
      </c>
      <c r="P319" s="10" t="n">
        <f aca="false">IFERROR(J319/H319,"")</f>
        <v>0.191358024691358</v>
      </c>
      <c r="Q319" s="10" t="n">
        <f aca="false">IFERROR(K319/H319,"")</f>
        <v>0.0679012345679012</v>
      </c>
      <c r="R319" s="10" t="n">
        <f aca="false">IFERROR(L319/H319,"")</f>
        <v>0.0246913580246914</v>
      </c>
      <c r="S319" s="11" t="n">
        <f aca="false">IFERROR(M319/MEDIAN(INDEX($M$5:$M$373,MATCH($A319-90,$A$5:$A$373,1)):INDEX($M$5:$M$373,MATCH($A319+90,$A$5:$A$373,1))),"")</f>
        <v>1.48656606597353</v>
      </c>
      <c r="T319" s="11" t="n">
        <f aca="false">IFERROR(N319/MEDIAN(INDEX($N$5:$N$373,MATCH($A319-90,$A$5:$A$373,1)):INDEX($N$5:$N$373,MATCH($A319+90,$A$5:$A$373,1))),"")</f>
        <v>0.822918725312804</v>
      </c>
      <c r="U319" s="11" t="n">
        <f aca="false">IFERROR(Q319/MEDIAN(INDEX($Q$5:$Q$373,MATCH($A319-90,$A$5:$A$373,1)):INDEX($Q$5:$Q$373,MATCH($A319+90,$A$5:$A$373,1))),"")</f>
        <v>1.15432098765432</v>
      </c>
    </row>
    <row r="320" customFormat="false" ht="15" hidden="false" customHeight="false" outlineLevel="0" collapsed="false">
      <c r="A320" s="13" t="n">
        <v>46072.7392261111</v>
      </c>
      <c r="B320" s="8" t="n">
        <v>17</v>
      </c>
      <c r="C320" s="8" t="s">
        <v>73</v>
      </c>
      <c r="D320" s="8" t="s">
        <v>1528</v>
      </c>
      <c r="E320" s="14" t="s">
        <v>66</v>
      </c>
      <c r="F320" s="9" t="n">
        <v>2623</v>
      </c>
      <c r="G320" s="9" t="n">
        <v>159</v>
      </c>
      <c r="H320" s="9" t="n">
        <v>222</v>
      </c>
      <c r="I320" s="9" t="n">
        <v>155</v>
      </c>
      <c r="J320" s="9" t="n">
        <v>18</v>
      </c>
      <c r="K320" s="9" t="n">
        <v>8</v>
      </c>
      <c r="L320" s="9" t="n">
        <v>0</v>
      </c>
      <c r="M320" s="10" t="n">
        <f aca="false">IFERROR(G320/F320,"")</f>
        <v>0.0606176134197484</v>
      </c>
      <c r="N320" s="10" t="n">
        <f aca="false">IFERROR(H320/G320,"")</f>
        <v>1.39622641509434</v>
      </c>
      <c r="O320" s="11" t="n">
        <f aca="false">IFERROR(I320/H320,"")</f>
        <v>0.698198198198198</v>
      </c>
      <c r="P320" s="10" t="n">
        <f aca="false">IFERROR(J320/H320,"")</f>
        <v>0.0810810810810811</v>
      </c>
      <c r="Q320" s="10" t="n">
        <f aca="false">IFERROR(K320/H320,"")</f>
        <v>0.036036036036036</v>
      </c>
      <c r="R320" s="10" t="n">
        <f aca="false">IFERROR(L320/H320,"")</f>
        <v>0</v>
      </c>
      <c r="S320" s="11" t="n">
        <f aca="false">IFERROR(M320/MEDIAN(INDEX($M$5:$M$373,MATCH($A320-90,$A$5:$A$373,1)):INDEX($M$5:$M$373,MATCH($A320+90,$A$5:$A$373,1))),"")</f>
        <v>1.32427880062971</v>
      </c>
      <c r="T320" s="11" t="n">
        <f aca="false">IFERROR(N320/MEDIAN(INDEX($N$5:$N$373,MATCH($A320-90,$A$5:$A$373,1)):INDEX($N$5:$N$373,MATCH($A320+90,$A$5:$A$373,1))),"")</f>
        <v>1.21281313185514</v>
      </c>
      <c r="U320" s="11" t="n">
        <f aca="false">IFERROR(Q320/MEDIAN(INDEX($Q$5:$Q$373,MATCH($A320-90,$A$5:$A$373,1)):INDEX($Q$5:$Q$373,MATCH($A320+90,$A$5:$A$373,1))),"")</f>
        <v>0.612612612612613</v>
      </c>
    </row>
    <row r="321" customFormat="false" ht="15" hidden="false" customHeight="false" outlineLevel="0" collapsed="false">
      <c r="A321" s="13" t="n">
        <v>46075.5679166204</v>
      </c>
      <c r="B321" s="8" t="n">
        <v>13</v>
      </c>
      <c r="C321" s="8" t="s">
        <v>86</v>
      </c>
      <c r="D321" s="8" t="s">
        <v>1529</v>
      </c>
      <c r="E321" s="14" t="s">
        <v>66</v>
      </c>
      <c r="F321" s="9" t="n">
        <v>2783</v>
      </c>
      <c r="G321" s="9" t="n">
        <v>162</v>
      </c>
      <c r="H321" s="9" t="n">
        <v>197</v>
      </c>
      <c r="I321" s="9" t="n">
        <v>130</v>
      </c>
      <c r="J321" s="9" t="n">
        <v>28</v>
      </c>
      <c r="K321" s="9" t="n">
        <v>24</v>
      </c>
      <c r="L321" s="9" t="n">
        <v>7</v>
      </c>
      <c r="M321" s="10" t="n">
        <f aca="false">IFERROR(G321/F321,"")</f>
        <v>0.0582105641394179</v>
      </c>
      <c r="N321" s="10" t="n">
        <f aca="false">IFERROR(H321/G321,"")</f>
        <v>1.21604938271605</v>
      </c>
      <c r="O321" s="11" t="n">
        <f aca="false">IFERROR(I321/H321,"")</f>
        <v>0.65989847715736</v>
      </c>
      <c r="P321" s="10" t="n">
        <f aca="false">IFERROR(J321/H321,"")</f>
        <v>0.142131979695431</v>
      </c>
      <c r="Q321" s="10" t="n">
        <f aca="false">IFERROR(K321/H321,"")</f>
        <v>0.121827411167513</v>
      </c>
      <c r="R321" s="10" t="n">
        <f aca="false">IFERROR(L321/H321,"")</f>
        <v>0.0355329949238579</v>
      </c>
      <c r="S321" s="11" t="n">
        <f aca="false">IFERROR(M321/MEDIAN(INDEX($M$5:$M$373,MATCH($A321-90,$A$5:$A$373,1)):INDEX($M$5:$M$373,MATCH($A321+90,$A$5:$A$373,1))),"")</f>
        <v>1.2716933530315</v>
      </c>
      <c r="T321" s="11" t="n">
        <f aca="false">IFERROR(N321/MEDIAN(INDEX($N$5:$N$373,MATCH($A321-90,$A$5:$A$373,1)):INDEX($N$5:$N$373,MATCH($A321+90,$A$5:$A$373,1))),"")</f>
        <v>1.05630479727223</v>
      </c>
      <c r="U321" s="11" t="n">
        <f aca="false">IFERROR(Q321/MEDIAN(INDEX($Q$5:$Q$373,MATCH($A321-90,$A$5:$A$373,1)):INDEX($Q$5:$Q$373,MATCH($A321+90,$A$5:$A$373,1))),"")</f>
        <v>2.06291218673808</v>
      </c>
    </row>
    <row r="322" customFormat="false" ht="15" hidden="false" customHeight="false" outlineLevel="0" collapsed="false">
      <c r="A322" s="13" t="n">
        <v>46077.5684771644</v>
      </c>
      <c r="B322" s="8" t="n">
        <v>13</v>
      </c>
      <c r="C322" s="8" t="s">
        <v>64</v>
      </c>
      <c r="D322" s="8" t="s">
        <v>1530</v>
      </c>
      <c r="E322" s="14" t="s">
        <v>66</v>
      </c>
      <c r="F322" s="9" t="n">
        <v>2687</v>
      </c>
      <c r="G322" s="9" t="n">
        <v>146</v>
      </c>
      <c r="H322" s="9" t="n">
        <v>150</v>
      </c>
      <c r="I322" s="9" t="n">
        <v>92</v>
      </c>
      <c r="J322" s="9" t="n">
        <v>19</v>
      </c>
      <c r="K322" s="9" t="n">
        <v>4</v>
      </c>
      <c r="L322" s="9" t="n">
        <v>0</v>
      </c>
      <c r="M322" s="10" t="n">
        <f aca="false">IFERROR(G322/F322,"")</f>
        <v>0.0543356903609974</v>
      </c>
      <c r="N322" s="10" t="n">
        <f aca="false">IFERROR(H322/G322,"")</f>
        <v>1.02739726027397</v>
      </c>
      <c r="O322" s="11" t="n">
        <f aca="false">IFERROR(I322/H322,"")</f>
        <v>0.613333333333333</v>
      </c>
      <c r="P322" s="10" t="n">
        <f aca="false">IFERROR(J322/H322,"")</f>
        <v>0.126666666666667</v>
      </c>
      <c r="Q322" s="10" t="n">
        <f aca="false">IFERROR(K322/H322,"")</f>
        <v>0.0266666666666667</v>
      </c>
      <c r="R322" s="10" t="n">
        <f aca="false">IFERROR(L322/H322,"")</f>
        <v>0</v>
      </c>
      <c r="S322" s="11" t="n">
        <f aca="false">IFERROR(M322/MEDIAN(INDEX($M$5:$M$373,MATCH($A322-90,$A$5:$A$373,1)):INDEX($M$5:$M$373,MATCH($A322+90,$A$5:$A$373,1))),"")</f>
        <v>1.18044146753353</v>
      </c>
      <c r="T322" s="11" t="n">
        <f aca="false">IFERROR(N322/MEDIAN(INDEX($N$5:$N$373,MATCH($A322-90,$A$5:$A$373,1)):INDEX($N$5:$N$373,MATCH($A322+90,$A$5:$A$373,1))),"")</f>
        <v>0.892434690693109</v>
      </c>
      <c r="U322" s="11" t="n">
        <f aca="false">IFERROR(Q322/MEDIAN(INDEX($Q$5:$Q$373,MATCH($A322-90,$A$5:$A$373,1)):INDEX($Q$5:$Q$373,MATCH($A322+90,$A$5:$A$373,1))),"")</f>
        <v>0.437917511832319</v>
      </c>
    </row>
    <row r="323" customFormat="false" ht="15" hidden="false" customHeight="false" outlineLevel="0" collapsed="false">
      <c r="A323" s="13" t="n">
        <v>46079.5698856944</v>
      </c>
      <c r="B323" s="8" t="n">
        <v>13</v>
      </c>
      <c r="C323" s="8" t="s">
        <v>73</v>
      </c>
      <c r="D323" s="8" t="s">
        <v>1531</v>
      </c>
      <c r="E323" s="14" t="s">
        <v>66</v>
      </c>
      <c r="F323" s="9" t="n">
        <v>2813</v>
      </c>
      <c r="G323" s="9" t="n">
        <v>79</v>
      </c>
      <c r="H323" s="9" t="n">
        <v>124</v>
      </c>
      <c r="I323" s="9" t="n">
        <v>72</v>
      </c>
      <c r="J323" s="9" t="n">
        <v>20</v>
      </c>
      <c r="K323" s="9" t="n">
        <v>4</v>
      </c>
      <c r="L323" s="9" t="n">
        <v>0</v>
      </c>
      <c r="M323" s="10" t="n">
        <f aca="false">IFERROR(G323/F323,"")</f>
        <v>0.0280838961962318</v>
      </c>
      <c r="N323" s="10" t="n">
        <f aca="false">IFERROR(H323/G323,"")</f>
        <v>1.56962025316456</v>
      </c>
      <c r="O323" s="11" t="n">
        <f aca="false">IFERROR(I323/H323,"")</f>
        <v>0.580645161290323</v>
      </c>
      <c r="P323" s="10" t="n">
        <f aca="false">IFERROR(J323/H323,"")</f>
        <v>0.161290322580645</v>
      </c>
      <c r="Q323" s="10" t="n">
        <f aca="false">IFERROR(K323/H323,"")</f>
        <v>0.032258064516129</v>
      </c>
      <c r="R323" s="10" t="n">
        <f aca="false">IFERROR(L323/H323,"")</f>
        <v>0</v>
      </c>
      <c r="S323" s="11" t="n">
        <f aca="false">IFERROR(M323/MEDIAN(INDEX($M$5:$M$373,MATCH($A323-90,$A$5:$A$373,1)):INDEX($M$5:$M$373,MATCH($A323+90,$A$5:$A$373,1))),"")</f>
        <v>0.594920702165584</v>
      </c>
      <c r="T323" s="11" t="n">
        <f aca="false">IFERROR(N323/MEDIAN(INDEX($N$5:$N$373,MATCH($A323-90,$A$5:$A$373,1)):INDEX($N$5:$N$373,MATCH($A323+90,$A$5:$A$373,1))),"")</f>
        <v>1.36342933673486</v>
      </c>
      <c r="U323" s="11" t="n">
        <f aca="false">IFERROR(Q323/MEDIAN(INDEX($Q$5:$Q$373,MATCH($A323-90,$A$5:$A$373,1)):INDEX($Q$5:$Q$373,MATCH($A323+90,$A$5:$A$373,1))),"")</f>
        <v>0.529738925603612</v>
      </c>
    </row>
    <row r="324" customFormat="false" ht="15" hidden="false" customHeight="false" outlineLevel="0" collapsed="false">
      <c r="A324" s="13" t="n">
        <v>46082.5688033565</v>
      </c>
      <c r="B324" s="8" t="n">
        <v>13</v>
      </c>
      <c r="C324" s="8" t="s">
        <v>86</v>
      </c>
      <c r="D324" s="8" t="s">
        <v>1532</v>
      </c>
      <c r="E324" s="14" t="s">
        <v>66</v>
      </c>
      <c r="F324" s="9" t="n">
        <v>2970</v>
      </c>
      <c r="G324" s="9" t="n">
        <v>110</v>
      </c>
      <c r="H324" s="9" t="n">
        <v>162</v>
      </c>
      <c r="I324" s="9" t="n">
        <v>137</v>
      </c>
      <c r="J324" s="9" t="n">
        <v>28</v>
      </c>
      <c r="K324" s="9" t="n">
        <v>7</v>
      </c>
      <c r="L324" s="9" t="n">
        <v>1</v>
      </c>
      <c r="M324" s="10" t="n">
        <f aca="false">IFERROR(G324/F324,"")</f>
        <v>0.037037037037037</v>
      </c>
      <c r="N324" s="10" t="n">
        <f aca="false">IFERROR(H324/G324,"")</f>
        <v>1.47272727272727</v>
      </c>
      <c r="O324" s="11" t="n">
        <f aca="false">IFERROR(I324/H324,"")</f>
        <v>0.845679012345679</v>
      </c>
      <c r="P324" s="10" t="n">
        <f aca="false">IFERROR(J324/H324,"")</f>
        <v>0.17283950617284</v>
      </c>
      <c r="Q324" s="10" t="n">
        <f aca="false">IFERROR(K324/H324,"")</f>
        <v>0.0432098765432099</v>
      </c>
      <c r="R324" s="10" t="n">
        <f aca="false">IFERROR(L324/H324,"")</f>
        <v>0.00617283950617284</v>
      </c>
      <c r="S324" s="11" t="n">
        <f aca="false">IFERROR(M324/MEDIAN(INDEX($M$5:$M$373,MATCH($A324-90,$A$5:$A$373,1)):INDEX($M$5:$M$373,MATCH($A324+90,$A$5:$A$373,1))),"")</f>
        <v>0.762865239910095</v>
      </c>
      <c r="T324" s="11" t="n">
        <f aca="false">IFERROR(N324/MEDIAN(INDEX($N$5:$N$373,MATCH($A324-90,$A$5:$A$373,1)):INDEX($N$5:$N$373,MATCH($A324+90,$A$5:$A$373,1))),"")</f>
        <v>1.27926456389536</v>
      </c>
      <c r="U324" s="11" t="n">
        <f aca="false">IFERROR(Q324/MEDIAN(INDEX($Q$5:$Q$373,MATCH($A324-90,$A$5:$A$373,1)):INDEX($Q$5:$Q$373,MATCH($A324+90,$A$5:$A$373,1))),"")</f>
        <v>0.662721893491124</v>
      </c>
    </row>
    <row r="325" customFormat="false" ht="15" hidden="false" customHeight="false" outlineLevel="0" collapsed="false">
      <c r="A325" s="13" t="n">
        <v>46084.6599366898</v>
      </c>
      <c r="B325" s="8" t="n">
        <v>15</v>
      </c>
      <c r="C325" s="8" t="s">
        <v>64</v>
      </c>
      <c r="D325" s="8" t="s">
        <v>1533</v>
      </c>
      <c r="E325" s="14" t="s">
        <v>66</v>
      </c>
      <c r="F325" s="9" t="n">
        <v>2849</v>
      </c>
      <c r="G325" s="9" t="n">
        <v>140</v>
      </c>
      <c r="H325" s="9" t="n">
        <v>226</v>
      </c>
      <c r="I325" s="9" t="n">
        <v>114</v>
      </c>
      <c r="J325" s="9" t="n">
        <v>41</v>
      </c>
      <c r="K325" s="9" t="n">
        <v>9</v>
      </c>
      <c r="L325" s="9" t="n">
        <v>0</v>
      </c>
      <c r="M325" s="10" t="n">
        <f aca="false">IFERROR(G325/F325,"")</f>
        <v>0.0491400491400491</v>
      </c>
      <c r="N325" s="10" t="n">
        <f aca="false">IFERROR(H325/G325,"")</f>
        <v>1.61428571428571</v>
      </c>
      <c r="O325" s="11" t="n">
        <f aca="false">IFERROR(I325/H325,"")</f>
        <v>0.504424778761062</v>
      </c>
      <c r="P325" s="10" t="n">
        <f aca="false">IFERROR(J325/H325,"")</f>
        <v>0.18141592920354</v>
      </c>
      <c r="Q325" s="10" t="n">
        <f aca="false">IFERROR(K325/H325,"")</f>
        <v>0.0398230088495575</v>
      </c>
      <c r="R325" s="10" t="n">
        <f aca="false">IFERROR(L325/H325,"")</f>
        <v>0</v>
      </c>
      <c r="S325" s="11" t="n">
        <f aca="false">IFERROR(M325/MEDIAN(INDEX($M$5:$M$373,MATCH($A325-90,$A$5:$A$373,1)):INDEX($M$5:$M$373,MATCH($A325+90,$A$5:$A$373,1))),"")</f>
        <v>1.00585673302697</v>
      </c>
      <c r="T325" s="11" t="n">
        <f aca="false">IFERROR(N325/MEDIAN(INDEX($N$5:$N$373,MATCH($A325-90,$A$5:$A$373,1)):INDEX($N$5:$N$373,MATCH($A325+90,$A$5:$A$373,1))),"")</f>
        <v>1.40222738352904</v>
      </c>
      <c r="U325" s="11" t="n">
        <f aca="false">IFERROR(Q325/MEDIAN(INDEX($Q$5:$Q$373,MATCH($A325-90,$A$5:$A$373,1)):INDEX($Q$5:$Q$373,MATCH($A325+90,$A$5:$A$373,1))),"")</f>
        <v>0.586225607113998</v>
      </c>
    </row>
    <row r="326" customFormat="false" ht="15" hidden="false" customHeight="false" outlineLevel="0" collapsed="false">
      <c r="A326" s="13" t="n">
        <v>46086.6643820949</v>
      </c>
      <c r="B326" s="8" t="n">
        <v>15</v>
      </c>
      <c r="C326" s="8" t="s">
        <v>73</v>
      </c>
      <c r="D326" s="8" t="s">
        <v>1534</v>
      </c>
      <c r="E326" s="14" t="s">
        <v>66</v>
      </c>
      <c r="F326" s="9" t="n">
        <v>2885</v>
      </c>
      <c r="G326" s="9" t="n">
        <v>152</v>
      </c>
      <c r="H326" s="9" t="n">
        <v>202</v>
      </c>
      <c r="I326" s="9" t="n">
        <v>106</v>
      </c>
      <c r="J326" s="9" t="n">
        <v>35</v>
      </c>
      <c r="K326" s="9" t="n">
        <v>7</v>
      </c>
      <c r="L326" s="9" t="n">
        <v>0</v>
      </c>
      <c r="M326" s="10" t="n">
        <f aca="false">IFERROR(G326/F326,"")</f>
        <v>0.052686308492201</v>
      </c>
      <c r="N326" s="10" t="n">
        <f aca="false">IFERROR(H326/G326,"")</f>
        <v>1.32894736842105</v>
      </c>
      <c r="O326" s="11" t="n">
        <f aca="false">IFERROR(I326/H326,"")</f>
        <v>0.524752475247525</v>
      </c>
      <c r="P326" s="10" t="n">
        <f aca="false">IFERROR(J326/H326,"")</f>
        <v>0.173267326732673</v>
      </c>
      <c r="Q326" s="10" t="n">
        <f aca="false">IFERROR(K326/H326,"")</f>
        <v>0.0346534653465347</v>
      </c>
      <c r="R326" s="10" t="n">
        <f aca="false">IFERROR(L326/H326,"")</f>
        <v>0</v>
      </c>
      <c r="S326" s="11" t="n">
        <f aca="false">IFERROR(M326/MEDIAN(INDEX($M$5:$M$373,MATCH($A326-90,$A$5:$A$373,1)):INDEX($M$5:$M$373,MATCH($A326+90,$A$5:$A$373,1))),"")</f>
        <v>1.07844577005165</v>
      </c>
      <c r="T326" s="11" t="n">
        <f aca="false">IFERROR(N326/MEDIAN(INDEX($N$5:$N$373,MATCH($A326-90,$A$5:$A$373,1)):INDEX($N$5:$N$373,MATCH($A326+90,$A$5:$A$373,1))),"")</f>
        <v>1.15437210078602</v>
      </c>
      <c r="U326" s="11" t="n">
        <f aca="false">IFERROR(Q326/MEDIAN(INDEX($Q$5:$Q$373,MATCH($A326-90,$A$5:$A$373,1)):INDEX($Q$5:$Q$373,MATCH($A326+90,$A$5:$A$373,1))),"")</f>
        <v>0.510125913341224</v>
      </c>
    </row>
    <row r="327" customFormat="false" ht="15" hidden="false" customHeight="false" outlineLevel="0" collapsed="false">
      <c r="A327" s="13" t="n">
        <v>46089.7059734144</v>
      </c>
      <c r="B327" s="8" t="n">
        <v>16</v>
      </c>
      <c r="C327" s="8" t="s">
        <v>86</v>
      </c>
      <c r="D327" s="8" t="s">
        <v>1535</v>
      </c>
      <c r="E327" s="14" t="s">
        <v>66</v>
      </c>
      <c r="F327" s="9" t="n">
        <v>3042</v>
      </c>
      <c r="G327" s="9" t="n">
        <v>91</v>
      </c>
      <c r="H327" s="9" t="n">
        <v>144</v>
      </c>
      <c r="I327" s="9" t="n">
        <v>72</v>
      </c>
      <c r="J327" s="9" t="n">
        <v>19</v>
      </c>
      <c r="K327" s="9" t="n">
        <v>4</v>
      </c>
      <c r="L327" s="9" t="n">
        <v>0</v>
      </c>
      <c r="M327" s="10" t="n">
        <f aca="false">IFERROR(G327/F327,"")</f>
        <v>0.0299145299145299</v>
      </c>
      <c r="N327" s="10" t="n">
        <f aca="false">IFERROR(H327/G327,"")</f>
        <v>1.58241758241758</v>
      </c>
      <c r="O327" s="11" t="n">
        <f aca="false">IFERROR(I327/H327,"")</f>
        <v>0.5</v>
      </c>
      <c r="P327" s="10" t="n">
        <f aca="false">IFERROR(J327/H327,"")</f>
        <v>0.131944444444444</v>
      </c>
      <c r="Q327" s="10" t="n">
        <f aca="false">IFERROR(K327/H327,"")</f>
        <v>0.0277777777777778</v>
      </c>
      <c r="R327" s="10" t="n">
        <f aca="false">IFERROR(L327/H327,"")</f>
        <v>0</v>
      </c>
      <c r="S327" s="11" t="n">
        <f aca="false">IFERROR(M327/MEDIAN(INDEX($M$5:$M$373,MATCH($A327-90,$A$5:$A$373,1)):INDEX($M$5:$M$373,MATCH($A327+90,$A$5:$A$373,1))),"")</f>
        <v>0.613247863247863</v>
      </c>
      <c r="T327" s="11" t="n">
        <f aca="false">IFERROR(N327/MEDIAN(INDEX($N$5:$N$373,MATCH($A327-90,$A$5:$A$373,1)):INDEX($N$5:$N$373,MATCH($A327+90,$A$5:$A$373,1))),"")</f>
        <v>1.3697606741085</v>
      </c>
      <c r="U327" s="11" t="n">
        <f aca="false">IFERROR(Q327/MEDIAN(INDEX($Q$5:$Q$373,MATCH($A327-90,$A$5:$A$373,1)):INDEX($Q$5:$Q$373,MATCH($A327+90,$A$5:$A$373,1))),"")</f>
        <v>0.408730158730159</v>
      </c>
    </row>
    <row r="328" customFormat="false" ht="15" hidden="false" customHeight="false" outlineLevel="0" collapsed="false">
      <c r="A328" s="13" t="n">
        <v>46091.865367338</v>
      </c>
      <c r="B328" s="8" t="n">
        <v>20</v>
      </c>
      <c r="C328" s="8" t="s">
        <v>64</v>
      </c>
      <c r="D328" s="8" t="s">
        <v>1536</v>
      </c>
      <c r="E328" s="14" t="s">
        <v>66</v>
      </c>
      <c r="F328" s="9" t="n">
        <v>2807</v>
      </c>
      <c r="G328" s="9" t="n">
        <v>140</v>
      </c>
      <c r="H328" s="9" t="n">
        <v>156</v>
      </c>
      <c r="I328" s="9" t="n">
        <v>98</v>
      </c>
      <c r="J328" s="9" t="n">
        <v>30</v>
      </c>
      <c r="K328" s="9" t="n">
        <v>3</v>
      </c>
      <c r="L328" s="9" t="n">
        <v>0</v>
      </c>
      <c r="M328" s="10" t="n">
        <f aca="false">IFERROR(G328/F328,"")</f>
        <v>0.0498753117206983</v>
      </c>
      <c r="N328" s="10" t="n">
        <f aca="false">IFERROR(H328/G328,"")</f>
        <v>1.11428571428571</v>
      </c>
      <c r="O328" s="11" t="n">
        <f aca="false">IFERROR(I328/H328,"")</f>
        <v>0.628205128205128</v>
      </c>
      <c r="P328" s="10" t="n">
        <f aca="false">IFERROR(J328/H328,"")</f>
        <v>0.192307692307692</v>
      </c>
      <c r="Q328" s="10" t="n">
        <f aca="false">IFERROR(K328/H328,"")</f>
        <v>0.0192307692307692</v>
      </c>
      <c r="R328" s="10" t="n">
        <f aca="false">IFERROR(L328/H328,"")</f>
        <v>0</v>
      </c>
      <c r="S328" s="11" t="n">
        <f aca="false">IFERROR(M328/MEDIAN(INDEX($M$5:$M$373,MATCH($A328-90,$A$5:$A$373,1)):INDEX($M$5:$M$373,MATCH($A328+90,$A$5:$A$373,1))),"")</f>
        <v>1.02244389027431</v>
      </c>
      <c r="T328" s="11" t="n">
        <f aca="false">IFERROR(N328/MEDIAN(INDEX($N$5:$N$373,MATCH($A328-90,$A$5:$A$373,1)):INDEX($N$5:$N$373,MATCH($A328+90,$A$5:$A$373,1))),"")</f>
        <v>0.964539808018069</v>
      </c>
      <c r="U328" s="11" t="n">
        <f aca="false">IFERROR(Q328/MEDIAN(INDEX($Q$5:$Q$373,MATCH($A328-90,$A$5:$A$373,1)):INDEX($Q$5:$Q$373,MATCH($A328+90,$A$5:$A$373,1))),"")</f>
        <v>0.272435897435897</v>
      </c>
    </row>
    <row r="329" customFormat="false" ht="15" hidden="false" customHeight="false" outlineLevel="0" collapsed="false">
      <c r="A329" s="13" t="n">
        <v>46093.7558168519</v>
      </c>
      <c r="B329" s="8" t="n">
        <v>18</v>
      </c>
      <c r="C329" s="8" t="s">
        <v>73</v>
      </c>
      <c r="D329" s="8" t="s">
        <v>1537</v>
      </c>
      <c r="E329" s="14" t="s">
        <v>66</v>
      </c>
      <c r="F329" s="9" t="n">
        <v>2719</v>
      </c>
      <c r="G329" s="9" t="n">
        <v>86</v>
      </c>
      <c r="H329" s="9" t="n">
        <v>142</v>
      </c>
      <c r="I329" s="9" t="n">
        <v>96</v>
      </c>
      <c r="J329" s="9" t="n">
        <v>28</v>
      </c>
      <c r="K329" s="9" t="n">
        <v>5</v>
      </c>
      <c r="L329" s="9" t="n">
        <v>0</v>
      </c>
      <c r="M329" s="10" t="n">
        <f aca="false">IFERROR(G329/F329,"")</f>
        <v>0.0316292754689224</v>
      </c>
      <c r="N329" s="10" t="n">
        <f aca="false">IFERROR(H329/G329,"")</f>
        <v>1.65116279069767</v>
      </c>
      <c r="O329" s="11" t="n">
        <f aca="false">IFERROR(I329/H329,"")</f>
        <v>0.676056338028169</v>
      </c>
      <c r="P329" s="10" t="n">
        <f aca="false">IFERROR(J329/H329,"")</f>
        <v>0.197183098591549</v>
      </c>
      <c r="Q329" s="10" t="n">
        <f aca="false">IFERROR(K329/H329,"")</f>
        <v>0.0352112676056338</v>
      </c>
      <c r="R329" s="10" t="n">
        <f aca="false">IFERROR(L329/H329,"")</f>
        <v>0</v>
      </c>
      <c r="S329" s="11" t="n">
        <f aca="false">IFERROR(M329/MEDIAN(INDEX($M$5:$M$373,MATCH($A329-90,$A$5:$A$373,1)):INDEX($M$5:$M$373,MATCH($A329+90,$A$5:$A$373,1))),"")</f>
        <v>0.648400147112909</v>
      </c>
      <c r="T329" s="11" t="n">
        <f aca="false">IFERROR(N329/MEDIAN(INDEX($N$5:$N$373,MATCH($A329-90,$A$5:$A$373,1)):INDEX($N$5:$N$373,MATCH($A329+90,$A$5:$A$373,1))),"")</f>
        <v>1.45757818765036</v>
      </c>
      <c r="U329" s="11" t="n">
        <f aca="false">IFERROR(Q329/MEDIAN(INDEX($Q$5:$Q$373,MATCH($A329-90,$A$5:$A$373,1)):INDEX($Q$5:$Q$373,MATCH($A329+90,$A$5:$A$373,1))),"")</f>
        <v>0.485133020344288</v>
      </c>
    </row>
    <row r="330" customFormat="false" ht="15" hidden="false" customHeight="false" outlineLevel="0" collapsed="false">
      <c r="A330" s="13" t="n">
        <v>46096.7381159259</v>
      </c>
      <c r="B330" s="8" t="n">
        <v>17</v>
      </c>
      <c r="C330" s="8" t="s">
        <v>86</v>
      </c>
      <c r="D330" s="8" t="s">
        <v>1538</v>
      </c>
      <c r="E330" s="14" t="s">
        <v>66</v>
      </c>
      <c r="F330" s="9" t="n">
        <v>2940</v>
      </c>
      <c r="G330" s="9" t="n">
        <v>65</v>
      </c>
      <c r="H330" s="9" t="n">
        <v>91</v>
      </c>
      <c r="I330" s="9" t="n">
        <v>79</v>
      </c>
      <c r="J330" s="9" t="n">
        <v>22</v>
      </c>
      <c r="K330" s="9" t="n">
        <v>9</v>
      </c>
      <c r="L330" s="9" t="n">
        <v>0</v>
      </c>
      <c r="M330" s="10" t="n">
        <f aca="false">IFERROR(G330/F330,"")</f>
        <v>0.022108843537415</v>
      </c>
      <c r="N330" s="10" t="n">
        <f aca="false">IFERROR(H330/G330,"")</f>
        <v>1.4</v>
      </c>
      <c r="O330" s="11" t="n">
        <f aca="false">IFERROR(I330/H330,"")</f>
        <v>0.868131868131868</v>
      </c>
      <c r="P330" s="10" t="n">
        <f aca="false">IFERROR(J330/H330,"")</f>
        <v>0.241758241758242</v>
      </c>
      <c r="Q330" s="10" t="n">
        <f aca="false">IFERROR(K330/H330,"")</f>
        <v>0.0989010989010989</v>
      </c>
      <c r="R330" s="10" t="n">
        <f aca="false">IFERROR(L330/H330,"")</f>
        <v>0</v>
      </c>
      <c r="S330" s="11" t="n">
        <f aca="false">IFERROR(M330/MEDIAN(INDEX($M$5:$M$373,MATCH($A330-90,$A$5:$A$373,1)):INDEX($M$5:$M$373,MATCH($A330+90,$A$5:$A$373,1))),"")</f>
        <v>0.453231292517007</v>
      </c>
      <c r="T330" s="11" t="n">
        <f aca="false">IFERROR(N330/MEDIAN(INDEX($N$5:$N$373,MATCH($A330-90,$A$5:$A$373,1)):INDEX($N$5:$N$373,MATCH($A330+90,$A$5:$A$373,1))),"")</f>
        <v>1.23586206896552</v>
      </c>
      <c r="U330" s="11" t="n">
        <f aca="false">IFERROR(Q330/MEDIAN(INDEX($Q$5:$Q$373,MATCH($A330-90,$A$5:$A$373,1)):INDEX($Q$5:$Q$373,MATCH($A330+90,$A$5:$A$373,1))),"")</f>
        <v>1.35989010989011</v>
      </c>
    </row>
    <row r="331" customFormat="false" ht="15" hidden="false" customHeight="false" outlineLevel="0" collapsed="false">
      <c r="A331" s="13" t="n">
        <v>46098.7484180671</v>
      </c>
      <c r="B331" s="8" t="n">
        <v>17</v>
      </c>
      <c r="C331" s="8" t="s">
        <v>64</v>
      </c>
      <c r="D331" s="8" t="s">
        <v>1539</v>
      </c>
      <c r="E331" s="14" t="s">
        <v>66</v>
      </c>
      <c r="F331" s="9" t="n">
        <v>2881</v>
      </c>
      <c r="G331" s="9" t="n">
        <v>104</v>
      </c>
      <c r="H331" s="9" t="n">
        <v>140</v>
      </c>
      <c r="I331" s="9" t="n">
        <v>109</v>
      </c>
      <c r="J331" s="9" t="n">
        <v>27</v>
      </c>
      <c r="K331" s="9" t="n">
        <v>12</v>
      </c>
      <c r="L331" s="9" t="n">
        <v>0</v>
      </c>
      <c r="M331" s="10" t="n">
        <f aca="false">IFERROR(G331/F331,"")</f>
        <v>0.0360985768830267</v>
      </c>
      <c r="N331" s="10" t="n">
        <f aca="false">IFERROR(H331/G331,"")</f>
        <v>1.34615384615385</v>
      </c>
      <c r="O331" s="11" t="n">
        <f aca="false">IFERROR(I331/H331,"")</f>
        <v>0.778571428571429</v>
      </c>
      <c r="P331" s="10" t="n">
        <f aca="false">IFERROR(J331/H331,"")</f>
        <v>0.192857142857143</v>
      </c>
      <c r="Q331" s="10" t="n">
        <f aca="false">IFERROR(K331/H331,"")</f>
        <v>0.0857142857142857</v>
      </c>
      <c r="R331" s="10" t="n">
        <f aca="false">IFERROR(L331/H331,"")</f>
        <v>0</v>
      </c>
      <c r="S331" s="11" t="n">
        <f aca="false">IFERROR(M331/MEDIAN(INDEX($M$5:$M$373,MATCH($A331-90,$A$5:$A$373,1)):INDEX($M$5:$M$373,MATCH($A331+90,$A$5:$A$373,1))),"")</f>
        <v>0.738908431023353</v>
      </c>
      <c r="T331" s="11" t="n">
        <f aca="false">IFERROR(N331/MEDIAN(INDEX($N$5:$N$373,MATCH($A331-90,$A$5:$A$373,1)):INDEX($N$5:$N$373,MATCH($A331+90,$A$5:$A$373,1))),"")</f>
        <v>1.19174626109212</v>
      </c>
      <c r="U331" s="11" t="n">
        <f aca="false">IFERROR(Q331/MEDIAN(INDEX($Q$5:$Q$373,MATCH($A331-90,$A$5:$A$373,1)):INDEX($Q$5:$Q$373,MATCH($A331+90,$A$5:$A$373,1))),"")</f>
        <v>1.12244897959184</v>
      </c>
    </row>
    <row r="332" customFormat="false" ht="15" hidden="false" customHeight="false" outlineLevel="0" collapsed="false">
      <c r="A332" s="13" t="n">
        <v>46103.8952038657</v>
      </c>
      <c r="B332" s="8" t="n">
        <v>21</v>
      </c>
      <c r="C332" s="8" t="s">
        <v>86</v>
      </c>
      <c r="D332" s="8" t="s">
        <v>1540</v>
      </c>
      <c r="E332" s="14" t="s">
        <v>66</v>
      </c>
      <c r="F332" s="9" t="n">
        <v>3084</v>
      </c>
      <c r="G332" s="9" t="n">
        <v>166</v>
      </c>
      <c r="H332" s="9" t="n">
        <v>196</v>
      </c>
      <c r="I332" s="9" t="n">
        <v>157</v>
      </c>
      <c r="J332" s="9" t="n">
        <v>30</v>
      </c>
      <c r="K332" s="9" t="n">
        <v>9</v>
      </c>
      <c r="L332" s="9" t="n">
        <v>0</v>
      </c>
      <c r="M332" s="10" t="n">
        <f aca="false">IFERROR(G332/F332,"")</f>
        <v>0.0538261997405966</v>
      </c>
      <c r="N332" s="10" t="n">
        <f aca="false">IFERROR(H332/G332,"")</f>
        <v>1.18072289156627</v>
      </c>
      <c r="O332" s="11" t="n">
        <f aca="false">IFERROR(I332/H332,"")</f>
        <v>0.801020408163265</v>
      </c>
      <c r="P332" s="10" t="n">
        <f aca="false">IFERROR(J332/H332,"")</f>
        <v>0.153061224489796</v>
      </c>
      <c r="Q332" s="10" t="n">
        <f aca="false">IFERROR(K332/H332,"")</f>
        <v>0.0459183673469388</v>
      </c>
      <c r="R332" s="10" t="n">
        <f aca="false">IFERROR(L332/H332,"")</f>
        <v>0</v>
      </c>
      <c r="S332" s="11" t="n">
        <f aca="false">IFERROR(M332/MEDIAN(INDEX($M$5:$M$373,MATCH($A332-90,$A$5:$A$373,1)):INDEX($M$5:$M$373,MATCH($A332+90,$A$5:$A$373,1))),"")</f>
        <v>1.09536316472114</v>
      </c>
      <c r="T332" s="11" t="n">
        <f aca="false">IFERROR(N332/MEDIAN(INDEX($N$5:$N$373,MATCH($A332-90,$A$5:$A$373,1)):INDEX($N$5:$N$373,MATCH($A332+90,$A$5:$A$373,1))),"")</f>
        <v>1.0504362276693</v>
      </c>
      <c r="U332" s="11" t="n">
        <f aca="false">IFERROR(Q332/MEDIAN(INDEX($Q$5:$Q$373,MATCH($A332-90,$A$5:$A$373,1)):INDEX($Q$5:$Q$373,MATCH($A332+90,$A$5:$A$373,1))),"")</f>
        <v>0.566326530612245</v>
      </c>
    </row>
    <row r="333" customFormat="false" ht="15" hidden="false" customHeight="false" outlineLevel="0" collapsed="false">
      <c r="A333" s="13" t="n">
        <v>46105.7136543866</v>
      </c>
      <c r="B333" s="8" t="n">
        <v>17</v>
      </c>
      <c r="C333" s="8" t="s">
        <v>64</v>
      </c>
      <c r="D333" s="8" t="s">
        <v>1541</v>
      </c>
      <c r="E333" s="14" t="s">
        <v>66</v>
      </c>
      <c r="F333" s="9" t="n">
        <v>3049</v>
      </c>
      <c r="G333" s="9" t="n">
        <v>114</v>
      </c>
      <c r="H333" s="9" t="n">
        <v>143</v>
      </c>
      <c r="I333" s="9" t="n">
        <v>72</v>
      </c>
      <c r="J333" s="9" t="n">
        <v>28</v>
      </c>
      <c r="K333" s="9" t="n">
        <v>5</v>
      </c>
      <c r="L333" s="9" t="n">
        <v>0</v>
      </c>
      <c r="M333" s="10" t="n">
        <f aca="false">IFERROR(G333/F333,"")</f>
        <v>0.0373893079698262</v>
      </c>
      <c r="N333" s="10" t="n">
        <f aca="false">IFERROR(H333/G333,"")</f>
        <v>1.25438596491228</v>
      </c>
      <c r="O333" s="11" t="n">
        <f aca="false">IFERROR(I333/H333,"")</f>
        <v>0.503496503496504</v>
      </c>
      <c r="P333" s="10" t="n">
        <f aca="false">IFERROR(J333/H333,"")</f>
        <v>0.195804195804196</v>
      </c>
      <c r="Q333" s="10" t="n">
        <f aca="false">IFERROR(K333/H333,"")</f>
        <v>0.034965034965035</v>
      </c>
      <c r="R333" s="10" t="n">
        <f aca="false">IFERROR(L333/H333,"")</f>
        <v>0</v>
      </c>
      <c r="S333" s="11" t="n">
        <f aca="false">IFERROR(M333/MEDIAN(INDEX($M$5:$M$373,MATCH($A333-90,$A$5:$A$373,1)):INDEX($M$5:$M$373,MATCH($A333+90,$A$5:$A$373,1))),"")</f>
        <v>0.753461322213372</v>
      </c>
      <c r="T333" s="11" t="n">
        <f aca="false">IFERROR(N333/MEDIAN(INDEX($N$5:$N$373,MATCH($A333-90,$A$5:$A$373,1)):INDEX($N$5:$N$373,MATCH($A333+90,$A$5:$A$373,1))),"")</f>
        <v>1.12042241526145</v>
      </c>
      <c r="U333" s="11" t="n">
        <f aca="false">IFERROR(Q333/MEDIAN(INDEX($Q$5:$Q$373,MATCH($A333-90,$A$5:$A$373,1)):INDEX($Q$5:$Q$373,MATCH($A333+90,$A$5:$A$373,1))),"")</f>
        <v>0.431235431235431</v>
      </c>
    </row>
    <row r="334" customFormat="false" ht="15" hidden="false" customHeight="false" outlineLevel="0" collapsed="false">
      <c r="A334" s="13" t="n">
        <v>46107.5462861806</v>
      </c>
      <c r="B334" s="8" t="n">
        <v>13</v>
      </c>
      <c r="C334" s="8" t="s">
        <v>73</v>
      </c>
      <c r="D334" s="8" t="s">
        <v>1542</v>
      </c>
      <c r="E334" s="14" t="s">
        <v>66</v>
      </c>
      <c r="F334" s="9" t="n">
        <v>2925</v>
      </c>
      <c r="G334" s="9" t="n">
        <v>98</v>
      </c>
      <c r="H334" s="9" t="n">
        <v>99</v>
      </c>
      <c r="I334" s="9" t="n">
        <v>85</v>
      </c>
      <c r="J334" s="9" t="n">
        <v>18</v>
      </c>
      <c r="K334" s="9" t="n">
        <v>15</v>
      </c>
      <c r="L334" s="9" t="n">
        <v>1</v>
      </c>
      <c r="M334" s="10" t="n">
        <f aca="false">IFERROR(G334/F334,"")</f>
        <v>0.0335042735042735</v>
      </c>
      <c r="N334" s="10" t="n">
        <f aca="false">IFERROR(H334/G334,"")</f>
        <v>1.01020408163265</v>
      </c>
      <c r="O334" s="11" t="n">
        <f aca="false">IFERROR(I334/H334,"")</f>
        <v>0.858585858585859</v>
      </c>
      <c r="P334" s="10" t="n">
        <f aca="false">IFERROR(J334/H334,"")</f>
        <v>0.181818181818182</v>
      </c>
      <c r="Q334" s="10" t="n">
        <f aca="false">IFERROR(K334/H334,"")</f>
        <v>0.151515151515152</v>
      </c>
      <c r="R334" s="10" t="n">
        <f aca="false">IFERROR(L334/H334,"")</f>
        <v>0.0101010101010101</v>
      </c>
      <c r="S334" s="11" t="n">
        <f aca="false">IFERROR(M334/MEDIAN(INDEX($M$5:$M$373,MATCH($A334-90,$A$5:$A$373,1)):INDEX($M$5:$M$373,MATCH($A334+90,$A$5:$A$373,1))),"")</f>
        <v>0.67517094017094</v>
      </c>
      <c r="T334" s="11" t="n">
        <f aca="false">IFERROR(N334/MEDIAN(INDEX($N$5:$N$373,MATCH($A334-90,$A$5:$A$373,1)):INDEX($N$5:$N$373,MATCH($A334+90,$A$5:$A$373,1))),"")</f>
        <v>0.902318208836933</v>
      </c>
      <c r="U334" s="11" t="n">
        <f aca="false">IFERROR(Q334/MEDIAN(INDEX($Q$5:$Q$373,MATCH($A334-90,$A$5:$A$373,1)):INDEX($Q$5:$Q$373,MATCH($A334+90,$A$5:$A$373,1))),"")</f>
        <v>1.86868686868687</v>
      </c>
    </row>
    <row r="335" customFormat="false" ht="15" hidden="false" customHeight="false" outlineLevel="0" collapsed="false">
      <c r="A335" s="13" t="n">
        <v>46110.5610817477</v>
      </c>
      <c r="B335" s="8" t="n">
        <v>13</v>
      </c>
      <c r="C335" s="8" t="s">
        <v>86</v>
      </c>
      <c r="D335" s="8" t="s">
        <v>1543</v>
      </c>
      <c r="E335" s="14" t="s">
        <v>66</v>
      </c>
      <c r="F335" s="9" t="n">
        <v>3181</v>
      </c>
      <c r="G335" s="9" t="n">
        <v>119</v>
      </c>
      <c r="H335" s="9" t="n">
        <v>168</v>
      </c>
      <c r="I335" s="9" t="n">
        <v>120</v>
      </c>
      <c r="J335" s="9" t="n">
        <v>23</v>
      </c>
      <c r="K335" s="9" t="n">
        <v>33</v>
      </c>
      <c r="L335" s="9" t="n">
        <v>0</v>
      </c>
      <c r="M335" s="10" t="n">
        <f aca="false">IFERROR(G335/F335,"")</f>
        <v>0.0374096196164728</v>
      </c>
      <c r="N335" s="10" t="n">
        <f aca="false">IFERROR(H335/G335,"")</f>
        <v>1.41176470588235</v>
      </c>
      <c r="O335" s="11" t="n">
        <f aca="false">IFERROR(I335/H335,"")</f>
        <v>0.714285714285714</v>
      </c>
      <c r="P335" s="10" t="n">
        <f aca="false">IFERROR(J335/H335,"")</f>
        <v>0.136904761904762</v>
      </c>
      <c r="Q335" s="10" t="n">
        <f aca="false">IFERROR(K335/H335,"")</f>
        <v>0.196428571428571</v>
      </c>
      <c r="R335" s="10" t="n">
        <f aca="false">IFERROR(L335/H335,"")</f>
        <v>0</v>
      </c>
      <c r="S335" s="11" t="n">
        <f aca="false">IFERROR(M335/MEDIAN(INDEX($M$5:$M$373,MATCH($A335-90,$A$5:$A$373,1)):INDEX($M$5:$M$373,MATCH($A335+90,$A$5:$A$373,1))),"")</f>
        <v>0.75006287331028</v>
      </c>
      <c r="T335" s="11" t="n">
        <f aca="false">IFERROR(N335/MEDIAN(INDEX($N$5:$N$373,MATCH($A335-90,$A$5:$A$373,1)):INDEX($N$5:$N$373,MATCH($A335+90,$A$5:$A$373,1))),"")</f>
        <v>1.2609937178755</v>
      </c>
      <c r="U335" s="11" t="n">
        <f aca="false">IFERROR(Q335/MEDIAN(INDEX($Q$5:$Q$373,MATCH($A335-90,$A$5:$A$373,1)):INDEX($Q$5:$Q$373,MATCH($A335+90,$A$5:$A$373,1))),"")</f>
        <v>2.42261904761905</v>
      </c>
    </row>
    <row r="336" customFormat="false" ht="15" hidden="false" customHeight="false" outlineLevel="0" collapsed="false">
      <c r="A336" s="13" t="n">
        <v>46112.4924650232</v>
      </c>
      <c r="B336" s="8" t="n">
        <v>11</v>
      </c>
      <c r="C336" s="8" t="s">
        <v>64</v>
      </c>
      <c r="D336" s="8" t="s">
        <v>1544</v>
      </c>
      <c r="E336" s="14" t="s">
        <v>66</v>
      </c>
      <c r="F336" s="9" t="n">
        <v>2988</v>
      </c>
      <c r="G336" s="9" t="n">
        <v>118</v>
      </c>
      <c r="H336" s="9" t="n">
        <v>139</v>
      </c>
      <c r="I336" s="9" t="n">
        <v>138</v>
      </c>
      <c r="J336" s="9" t="n">
        <v>36</v>
      </c>
      <c r="K336" s="9" t="n">
        <v>21</v>
      </c>
      <c r="L336" s="9" t="n">
        <v>0</v>
      </c>
      <c r="M336" s="10" t="n">
        <f aca="false">IFERROR(G336/F336,"")</f>
        <v>0.0394912985274431</v>
      </c>
      <c r="N336" s="10" t="n">
        <f aca="false">IFERROR(H336/G336,"")</f>
        <v>1.17796610169492</v>
      </c>
      <c r="O336" s="11" t="n">
        <f aca="false">IFERROR(I336/H336,"")</f>
        <v>0.992805755395684</v>
      </c>
      <c r="P336" s="10" t="n">
        <f aca="false">IFERROR(J336/H336,"")</f>
        <v>0.258992805755396</v>
      </c>
      <c r="Q336" s="10" t="n">
        <f aca="false">IFERROR(K336/H336,"")</f>
        <v>0.151079136690648</v>
      </c>
      <c r="R336" s="10" t="n">
        <f aca="false">IFERROR(L336/H336,"")</f>
        <v>0</v>
      </c>
      <c r="S336" s="11" t="n">
        <f aca="false">IFERROR(M336/MEDIAN(INDEX($M$5:$M$373,MATCH($A336-90,$A$5:$A$373,1)):INDEX($M$5:$M$373,MATCH($A336+90,$A$5:$A$373,1))),"")</f>
        <v>0.791800535475234</v>
      </c>
      <c r="T336" s="11" t="n">
        <f aca="false">IFERROR(N336/MEDIAN(INDEX($N$5:$N$373,MATCH($A336-90,$A$5:$A$373,1)):INDEX($N$5:$N$373,MATCH($A336+90,$A$5:$A$373,1))),"")</f>
        <v>1.05216389665954</v>
      </c>
      <c r="U336" s="11" t="n">
        <f aca="false">IFERROR(Q336/MEDIAN(INDEX($Q$5:$Q$373,MATCH($A336-90,$A$5:$A$373,1)):INDEX($Q$5:$Q$373,MATCH($A336+90,$A$5:$A$373,1))),"")</f>
        <v>1.78273381294964</v>
      </c>
    </row>
    <row r="337" customFormat="false" ht="15" hidden="false" customHeight="false" outlineLevel="0" collapsed="false">
      <c r="A337" s="13" t="n">
        <v>46115.7587639931</v>
      </c>
      <c r="B337" s="8" t="n">
        <v>18</v>
      </c>
      <c r="C337" s="8" t="s">
        <v>84</v>
      </c>
      <c r="D337" s="8" t="s">
        <v>1545</v>
      </c>
      <c r="E337" s="14" t="s">
        <v>66</v>
      </c>
      <c r="F337" s="9" t="n">
        <v>2583</v>
      </c>
      <c r="G337" s="9" t="n">
        <v>126</v>
      </c>
      <c r="H337" s="9" t="n">
        <v>165</v>
      </c>
      <c r="I337" s="9" t="n">
        <v>86</v>
      </c>
      <c r="J337" s="9" t="n">
        <v>24</v>
      </c>
      <c r="K337" s="9" t="n">
        <v>5</v>
      </c>
      <c r="L337" s="9" t="n">
        <v>0</v>
      </c>
      <c r="M337" s="10" t="n">
        <f aca="false">IFERROR(G337/F337,"")</f>
        <v>0.0487804878048781</v>
      </c>
      <c r="N337" s="10" t="n">
        <f aca="false">IFERROR(H337/G337,"")</f>
        <v>1.30952380952381</v>
      </c>
      <c r="O337" s="11" t="n">
        <f aca="false">IFERROR(I337/H337,"")</f>
        <v>0.521212121212121</v>
      </c>
      <c r="P337" s="10" t="n">
        <f aca="false">IFERROR(J337/H337,"")</f>
        <v>0.145454545454545</v>
      </c>
      <c r="Q337" s="10" t="n">
        <f aca="false">IFERROR(K337/H337,"")</f>
        <v>0.0303030303030303</v>
      </c>
      <c r="R337" s="10" t="n">
        <f aca="false">IFERROR(L337/H337,"")</f>
        <v>0</v>
      </c>
      <c r="S337" s="11" t="n">
        <f aca="false">IFERROR(M337/MEDIAN(INDEX($M$5:$M$373,MATCH($A337-90,$A$5:$A$373,1)):INDEX($M$5:$M$373,MATCH($A337+90,$A$5:$A$373,1))),"")</f>
        <v>0.975786163318064</v>
      </c>
      <c r="T337" s="11" t="n">
        <f aca="false">IFERROR(N337/MEDIAN(INDEX($N$5:$N$373,MATCH($A337-90,$A$5:$A$373,1)):INDEX($N$5:$N$373,MATCH($A337+90,$A$5:$A$373,1))),"")</f>
        <v>1.17296572345712</v>
      </c>
      <c r="U337" s="11" t="n">
        <f aca="false">IFERROR(Q337/MEDIAN(INDEX($Q$5:$Q$373,MATCH($A337-90,$A$5:$A$373,1)):INDEX($Q$5:$Q$373,MATCH($A337+90,$A$5:$A$373,1))),"")</f>
        <v>0.346805117241847</v>
      </c>
    </row>
    <row r="338" customFormat="false" ht="15" hidden="false" customHeight="false" outlineLevel="0" collapsed="false">
      <c r="A338" s="13" t="n">
        <v>46117.5495586574</v>
      </c>
      <c r="B338" s="8" t="n">
        <v>13</v>
      </c>
      <c r="C338" s="8" t="s">
        <v>86</v>
      </c>
      <c r="D338" s="8" t="s">
        <v>1546</v>
      </c>
      <c r="E338" s="14" t="s">
        <v>66</v>
      </c>
      <c r="F338" s="9" t="n">
        <v>2777</v>
      </c>
      <c r="G338" s="9" t="n">
        <v>128</v>
      </c>
      <c r="H338" s="9" t="n">
        <v>156</v>
      </c>
      <c r="I338" s="9" t="n">
        <v>157</v>
      </c>
      <c r="J338" s="9" t="n">
        <v>18</v>
      </c>
      <c r="K338" s="9" t="n">
        <v>23</v>
      </c>
      <c r="L338" s="9" t="n">
        <v>0</v>
      </c>
      <c r="M338" s="10" t="n">
        <f aca="false">IFERROR(G338/F338,"")</f>
        <v>0.0460929060136838</v>
      </c>
      <c r="N338" s="10" t="n">
        <f aca="false">IFERROR(H338/G338,"")</f>
        <v>1.21875</v>
      </c>
      <c r="O338" s="11" t="n">
        <f aca="false">IFERROR(I338/H338,"")</f>
        <v>1.00641025641026</v>
      </c>
      <c r="P338" s="10" t="n">
        <f aca="false">IFERROR(J338/H338,"")</f>
        <v>0.115384615384615</v>
      </c>
      <c r="Q338" s="10" t="n">
        <f aca="false">IFERROR(K338/H338,"")</f>
        <v>0.147435897435897</v>
      </c>
      <c r="R338" s="10" t="n">
        <f aca="false">IFERROR(L338/H338,"")</f>
        <v>0</v>
      </c>
      <c r="S338" s="11" t="n">
        <f aca="false">IFERROR(M338/MEDIAN(INDEX($M$5:$M$373,MATCH($A338-90,$A$5:$A$373,1)):INDEX($M$5:$M$373,MATCH($A338+90,$A$5:$A$373,1))),"")</f>
        <v>0.919896720017775</v>
      </c>
      <c r="T338" s="11" t="n">
        <f aca="false">IFERROR(N338/MEDIAN(INDEX($N$5:$N$373,MATCH($A338-90,$A$5:$A$373,1)):INDEX($N$5:$N$373,MATCH($A338+90,$A$5:$A$373,1))),"")</f>
        <v>1.08957373271889</v>
      </c>
      <c r="U338" s="11" t="n">
        <f aca="false">IFERROR(Q338/MEDIAN(INDEX($Q$5:$Q$373,MATCH($A338-90,$A$5:$A$373,1)):INDEX($Q$5:$Q$373,MATCH($A338+90,$A$5:$A$373,1))),"")</f>
        <v>1.65581854043393</v>
      </c>
    </row>
    <row r="339" customFormat="false" ht="15" hidden="false" customHeight="false" outlineLevel="0" collapsed="false">
      <c r="A339" s="13" t="n">
        <v>46121.5647914005</v>
      </c>
      <c r="B339" s="8" t="n">
        <v>13</v>
      </c>
      <c r="C339" s="8" t="s">
        <v>73</v>
      </c>
      <c r="D339" s="8" t="s">
        <v>1547</v>
      </c>
      <c r="E339" s="14" t="s">
        <v>66</v>
      </c>
      <c r="F339" s="9" t="n">
        <v>2400</v>
      </c>
      <c r="G339" s="9" t="n">
        <v>89</v>
      </c>
      <c r="H339" s="9" t="n">
        <v>114</v>
      </c>
      <c r="I339" s="9" t="n">
        <v>136</v>
      </c>
      <c r="J339" s="9" t="n">
        <v>24</v>
      </c>
      <c r="K339" s="9" t="n">
        <v>22</v>
      </c>
      <c r="L339" s="9" t="n">
        <v>0</v>
      </c>
      <c r="M339" s="10" t="n">
        <f aca="false">IFERROR(G339/F339,"")</f>
        <v>0.0370833333333333</v>
      </c>
      <c r="N339" s="10" t="n">
        <f aca="false">IFERROR(H339/G339,"")</f>
        <v>1.28089887640449</v>
      </c>
      <c r="O339" s="11" t="n">
        <f aca="false">IFERROR(I339/H339,"")</f>
        <v>1.19298245614035</v>
      </c>
      <c r="P339" s="10" t="n">
        <f aca="false">IFERROR(J339/H339,"")</f>
        <v>0.210526315789474</v>
      </c>
      <c r="Q339" s="10" t="n">
        <f aca="false">IFERROR(K339/H339,"")</f>
        <v>0.192982456140351</v>
      </c>
      <c r="R339" s="10" t="n">
        <f aca="false">IFERROR(L339/H339,"")</f>
        <v>0</v>
      </c>
      <c r="S339" s="11" t="n">
        <f aca="false">IFERROR(M339/MEDIAN(INDEX($M$5:$M$373,MATCH($A339-90,$A$5:$A$373,1)):INDEX($M$5:$M$373,MATCH($A339+90,$A$5:$A$373,1))),"")</f>
        <v>0.743520833333333</v>
      </c>
      <c r="T339" s="11" t="n">
        <f aca="false">IFERROR(N339/MEDIAN(INDEX($N$5:$N$373,MATCH($A339-90,$A$5:$A$373,1)):INDEX($N$5:$N$373,MATCH($A339+90,$A$5:$A$373,1))),"")</f>
        <v>1.17541308658295</v>
      </c>
      <c r="U339" s="11" t="n">
        <f aca="false">IFERROR(Q339/MEDIAN(INDEX($Q$5:$Q$373,MATCH($A339-90,$A$5:$A$373,1)):INDEX($Q$5:$Q$373,MATCH($A339+90,$A$5:$A$373,1))),"")</f>
        <v>1.99415204678363</v>
      </c>
    </row>
    <row r="340" customFormat="false" ht="15" hidden="false" customHeight="false" outlineLevel="0" collapsed="false">
      <c r="A340" s="13" t="n">
        <v>46125.1287793287</v>
      </c>
      <c r="B340" s="8" t="n">
        <v>3</v>
      </c>
      <c r="C340" s="8" t="s">
        <v>80</v>
      </c>
      <c r="D340" s="8" t="s">
        <v>1548</v>
      </c>
      <c r="E340" s="14" t="s">
        <v>66</v>
      </c>
      <c r="F340" s="9" t="n">
        <v>2092</v>
      </c>
      <c r="G340" s="9" t="n">
        <v>91</v>
      </c>
      <c r="H340" s="9" t="n">
        <v>118</v>
      </c>
      <c r="I340" s="9" t="n">
        <v>83</v>
      </c>
      <c r="J340" s="9" t="n">
        <v>20</v>
      </c>
      <c r="K340" s="9" t="n">
        <v>2</v>
      </c>
      <c r="L340" s="9" t="n">
        <v>0</v>
      </c>
      <c r="M340" s="10" t="n">
        <f aca="false">IFERROR(G340/F340,"")</f>
        <v>0.0434990439770555</v>
      </c>
      <c r="N340" s="10" t="n">
        <f aca="false">IFERROR(H340/G340,"")</f>
        <v>1.2967032967033</v>
      </c>
      <c r="O340" s="11" t="n">
        <f aca="false">IFERROR(I340/H340,"")</f>
        <v>0.703389830508475</v>
      </c>
      <c r="P340" s="10" t="n">
        <f aca="false">IFERROR(J340/H340,"")</f>
        <v>0.169491525423729</v>
      </c>
      <c r="Q340" s="10" t="n">
        <f aca="false">IFERROR(K340/H340,"")</f>
        <v>0.0169491525423729</v>
      </c>
      <c r="R340" s="10" t="n">
        <f aca="false">IFERROR(L340/H340,"")</f>
        <v>0</v>
      </c>
      <c r="S340" s="11" t="n">
        <f aca="false">IFERROR(M340/MEDIAN(INDEX($M$5:$M$373,MATCH($A340-90,$A$5:$A$373,1)):INDEX($M$5:$M$373,MATCH($A340+90,$A$5:$A$373,1))),"")</f>
        <v>0.876583413001912</v>
      </c>
      <c r="T340" s="11" t="n">
        <f aca="false">IFERROR(N340/MEDIAN(INDEX($N$5:$N$373,MATCH($A340-90,$A$5:$A$373,1)):INDEX($N$5:$N$373,MATCH($A340+90,$A$5:$A$373,1))),"")</f>
        <v>1.25347985347985</v>
      </c>
      <c r="U340" s="11" t="n">
        <f aca="false">IFERROR(Q340/MEDIAN(INDEX($Q$5:$Q$373,MATCH($A340-90,$A$5:$A$373,1)):INDEX($Q$5:$Q$373,MATCH($A340+90,$A$5:$A$373,1))),"")</f>
        <v>0.171374764595104</v>
      </c>
    </row>
    <row r="341" customFormat="false" ht="15" hidden="false" customHeight="false" outlineLevel="0" collapsed="false">
      <c r="A341" s="13" t="n">
        <v>46126.619751713</v>
      </c>
      <c r="B341" s="8" t="n">
        <v>14</v>
      </c>
      <c r="C341" s="8" t="s">
        <v>64</v>
      </c>
      <c r="D341" s="8" t="s">
        <v>1549</v>
      </c>
      <c r="E341" s="14" t="s">
        <v>66</v>
      </c>
      <c r="F341" s="9" t="n">
        <v>2349</v>
      </c>
      <c r="G341" s="9" t="n">
        <v>119</v>
      </c>
      <c r="H341" s="9" t="n">
        <v>143</v>
      </c>
      <c r="I341" s="9" t="n">
        <v>111</v>
      </c>
      <c r="J341" s="9" t="n">
        <v>26</v>
      </c>
      <c r="K341" s="9" t="n">
        <v>2</v>
      </c>
      <c r="L341" s="9" t="n">
        <v>0</v>
      </c>
      <c r="M341" s="10" t="n">
        <f aca="false">IFERROR(G341/F341,"")</f>
        <v>0.0506598552575564</v>
      </c>
      <c r="N341" s="10" t="n">
        <f aca="false">IFERROR(H341/G341,"")</f>
        <v>1.20168067226891</v>
      </c>
      <c r="O341" s="11" t="n">
        <f aca="false">IFERROR(I341/H341,"")</f>
        <v>0.776223776223776</v>
      </c>
      <c r="P341" s="10" t="n">
        <f aca="false">IFERROR(J341/H341,"")</f>
        <v>0.181818181818182</v>
      </c>
      <c r="Q341" s="10" t="n">
        <f aca="false">IFERROR(K341/H341,"")</f>
        <v>0.013986013986014</v>
      </c>
      <c r="R341" s="10" t="n">
        <f aca="false">IFERROR(L341/H341,"")</f>
        <v>0</v>
      </c>
      <c r="S341" s="11" t="n">
        <f aca="false">IFERROR(M341/MEDIAN(INDEX($M$5:$M$373,MATCH($A341-90,$A$5:$A$373,1)):INDEX($M$5:$M$373,MATCH($A341+90,$A$5:$A$373,1))),"")</f>
        <v>1.02088654746701</v>
      </c>
      <c r="T341" s="11" t="n">
        <f aca="false">IFERROR(N341/MEDIAN(INDEX($N$5:$N$373,MATCH($A341-90,$A$5:$A$373,1)):INDEX($N$5:$N$373,MATCH($A341+90,$A$5:$A$373,1))),"")</f>
        <v>1.16963585434174</v>
      </c>
      <c r="U341" s="11" t="n">
        <f aca="false">IFERROR(Q341/MEDIAN(INDEX($Q$5:$Q$373,MATCH($A341-90,$A$5:$A$373,1)):INDEX($Q$5:$Q$373,MATCH($A341+90,$A$5:$A$373,1))),"")</f>
        <v>0.141414141414141</v>
      </c>
    </row>
    <row r="342" customFormat="false" ht="15" hidden="false" customHeight="false" outlineLevel="0" collapsed="false">
      <c r="A342" s="13" t="n">
        <v>46128.5591866088</v>
      </c>
      <c r="B342" s="8" t="n">
        <v>13</v>
      </c>
      <c r="C342" s="8" t="s">
        <v>73</v>
      </c>
      <c r="D342" s="8" t="s">
        <v>1550</v>
      </c>
      <c r="E342" s="14" t="s">
        <v>66</v>
      </c>
      <c r="F342" s="9" t="n">
        <v>2257</v>
      </c>
      <c r="G342" s="9" t="n">
        <v>112</v>
      </c>
      <c r="H342" s="9" t="n">
        <v>93</v>
      </c>
      <c r="I342" s="9" t="n">
        <v>45</v>
      </c>
      <c r="J342" s="9" t="n">
        <v>21</v>
      </c>
      <c r="K342" s="9" t="n">
        <v>2</v>
      </c>
      <c r="L342" s="9" t="n">
        <v>0</v>
      </c>
      <c r="M342" s="10" t="n">
        <f aca="false">IFERROR(G342/F342,"")</f>
        <v>0.049623393885689</v>
      </c>
      <c r="N342" s="10" t="n">
        <f aca="false">IFERROR(H342/G342,"")</f>
        <v>0.830357142857143</v>
      </c>
      <c r="O342" s="11" t="n">
        <f aca="false">IFERROR(I342/H342,"")</f>
        <v>0.483870967741936</v>
      </c>
      <c r="P342" s="10" t="n">
        <f aca="false">IFERROR(J342/H342,"")</f>
        <v>0.225806451612903</v>
      </c>
      <c r="Q342" s="10" t="n">
        <f aca="false">IFERROR(K342/H342,"")</f>
        <v>0.021505376344086</v>
      </c>
      <c r="R342" s="10" t="n">
        <f aca="false">IFERROR(L342/H342,"")</f>
        <v>0</v>
      </c>
      <c r="S342" s="11" t="n">
        <f aca="false">IFERROR(M342/MEDIAN(INDEX($M$5:$M$373,MATCH($A342-90,$A$5:$A$373,1)):INDEX($M$5:$M$373,MATCH($A342+90,$A$5:$A$373,1))),"")</f>
        <v>0.997468129525163</v>
      </c>
      <c r="T342" s="11" t="n">
        <f aca="false">IFERROR(N342/MEDIAN(INDEX($N$5:$N$373,MATCH($A342-90,$A$5:$A$373,1)):INDEX($N$5:$N$373,MATCH($A342+90,$A$5:$A$373,1))),"")</f>
        <v>0.815033957604445</v>
      </c>
      <c r="U342" s="11" t="n">
        <f aca="false">IFERROR(Q342/MEDIAN(INDEX($Q$5:$Q$373,MATCH($A342-90,$A$5:$A$373,1)):INDEX($Q$5:$Q$373,MATCH($A342+90,$A$5:$A$373,1))),"")</f>
        <v>0.212556884539487</v>
      </c>
    </row>
    <row r="343" customFormat="false" ht="15" hidden="false" customHeight="false" outlineLevel="0" collapsed="false">
      <c r="A343" s="13" t="n">
        <v>46133.5605712732</v>
      </c>
      <c r="B343" s="8" t="n">
        <v>13</v>
      </c>
      <c r="C343" s="8" t="s">
        <v>64</v>
      </c>
      <c r="D343" s="8" t="s">
        <v>1551</v>
      </c>
      <c r="E343" s="14" t="s">
        <v>66</v>
      </c>
      <c r="F343" s="9" t="n">
        <v>2321</v>
      </c>
      <c r="G343" s="9" t="n">
        <v>143</v>
      </c>
      <c r="H343" s="9" t="n">
        <v>132</v>
      </c>
      <c r="I343" s="9" t="n">
        <v>120</v>
      </c>
      <c r="J343" s="9" t="n">
        <v>23</v>
      </c>
      <c r="K343" s="9" t="n">
        <v>31</v>
      </c>
      <c r="L343" s="9" t="n">
        <v>0</v>
      </c>
      <c r="M343" s="10" t="n">
        <f aca="false">IFERROR(G343/F343,"")</f>
        <v>0.0616113744075829</v>
      </c>
      <c r="N343" s="10" t="n">
        <f aca="false">IFERROR(H343/G343,"")</f>
        <v>0.923076923076923</v>
      </c>
      <c r="O343" s="11" t="n">
        <f aca="false">IFERROR(I343/H343,"")</f>
        <v>0.909090909090909</v>
      </c>
      <c r="P343" s="10" t="n">
        <f aca="false">IFERROR(J343/H343,"")</f>
        <v>0.174242424242424</v>
      </c>
      <c r="Q343" s="10" t="n">
        <f aca="false">IFERROR(K343/H343,"")</f>
        <v>0.234848484848485</v>
      </c>
      <c r="R343" s="10" t="n">
        <f aca="false">IFERROR(L343/H343,"")</f>
        <v>0</v>
      </c>
      <c r="S343" s="11" t="n">
        <f aca="false">IFERROR(M343/MEDIAN(INDEX($M$5:$M$373,MATCH($A343-90,$A$5:$A$373,1)):INDEX($M$5:$M$373,MATCH($A343+90,$A$5:$A$373,1))),"")</f>
        <v>1.23843569686856</v>
      </c>
      <c r="T343" s="11" t="n">
        <f aca="false">IFERROR(N343/MEDIAN(INDEX($N$5:$N$373,MATCH($A343-90,$A$5:$A$373,1)):INDEX($N$5:$N$373,MATCH($A343+90,$A$5:$A$373,1))),"")</f>
        <v>0.921597264275282</v>
      </c>
      <c r="U343" s="11" t="n">
        <f aca="false">IFERROR(Q343/MEDIAN(INDEX($Q$5:$Q$373,MATCH($A343-90,$A$5:$A$373,1)):INDEX($Q$5:$Q$373,MATCH($A343+90,$A$5:$A$373,1))),"")</f>
        <v>2.15969149070679</v>
      </c>
    </row>
    <row r="344" customFormat="false" ht="15" hidden="false" customHeight="false" outlineLevel="0" collapsed="false">
      <c r="A344" s="13" t="n">
        <v>46135.5607098843</v>
      </c>
      <c r="B344" s="8" t="n">
        <v>13</v>
      </c>
      <c r="C344" s="8" t="s">
        <v>73</v>
      </c>
      <c r="D344" s="8" t="s">
        <v>1552</v>
      </c>
      <c r="E344" s="14" t="s">
        <v>66</v>
      </c>
      <c r="F344" s="9" t="n">
        <v>2212</v>
      </c>
      <c r="G344" s="9" t="n">
        <v>203</v>
      </c>
      <c r="H344" s="9" t="n">
        <v>181</v>
      </c>
      <c r="I344" s="9" t="n">
        <v>96</v>
      </c>
      <c r="J344" s="9" t="n">
        <v>21</v>
      </c>
      <c r="K344" s="9" t="n">
        <v>23</v>
      </c>
      <c r="L344" s="9" t="n">
        <v>1</v>
      </c>
      <c r="M344" s="10" t="n">
        <f aca="false">IFERROR(G344/F344,"")</f>
        <v>0.0917721518987342</v>
      </c>
      <c r="N344" s="10" t="n">
        <f aca="false">IFERROR(H344/G344,"")</f>
        <v>0.891625615763547</v>
      </c>
      <c r="O344" s="11" t="n">
        <f aca="false">IFERROR(I344/H344,"")</f>
        <v>0.530386740331492</v>
      </c>
      <c r="P344" s="10" t="n">
        <f aca="false">IFERROR(J344/H344,"")</f>
        <v>0.116022099447514</v>
      </c>
      <c r="Q344" s="10" t="n">
        <f aca="false">IFERROR(K344/H344,"")</f>
        <v>0.12707182320442</v>
      </c>
      <c r="R344" s="10" t="n">
        <f aca="false">IFERROR(L344/H344,"")</f>
        <v>0.00552486187845304</v>
      </c>
      <c r="S344" s="11" t="n">
        <f aca="false">IFERROR(M344/MEDIAN(INDEX($M$5:$M$373,MATCH($A344-90,$A$5:$A$373,1)):INDEX($M$5:$M$373,MATCH($A344+90,$A$5:$A$373,1))),"")</f>
        <v>1.84003164556962</v>
      </c>
      <c r="T344" s="11" t="n">
        <f aca="false">IFERROR(N344/MEDIAN(INDEX($N$5:$N$373,MATCH($A344-90,$A$5:$A$373,1)):INDEX($N$5:$N$373,MATCH($A344+90,$A$5:$A$373,1))),"")</f>
        <v>0.8826192964124</v>
      </c>
      <c r="U344" s="11" t="n">
        <f aca="false">IFERROR(Q344/MEDIAN(INDEX($Q$5:$Q$373,MATCH($A344-90,$A$5:$A$373,1)):INDEX($Q$5:$Q$373,MATCH($A344+90,$A$5:$A$373,1))),"")</f>
        <v>1.11432214194645</v>
      </c>
    </row>
    <row r="345" customFormat="false" ht="15" hidden="false" customHeight="false" outlineLevel="0" collapsed="false">
      <c r="A345" s="13" t="n">
        <v>46140.5920629861</v>
      </c>
      <c r="B345" s="8" t="n">
        <v>14</v>
      </c>
      <c r="C345" s="8" t="s">
        <v>64</v>
      </c>
      <c r="D345" s="8" t="s">
        <v>1553</v>
      </c>
      <c r="E345" s="14" t="s">
        <v>66</v>
      </c>
      <c r="F345" s="9" t="n">
        <v>2220</v>
      </c>
      <c r="G345" s="9" t="n">
        <v>190</v>
      </c>
      <c r="H345" s="9" t="n">
        <v>214</v>
      </c>
      <c r="I345" s="9" t="n">
        <v>102</v>
      </c>
      <c r="J345" s="9" t="n">
        <v>45</v>
      </c>
      <c r="K345" s="9" t="n">
        <v>7</v>
      </c>
      <c r="L345" s="9" t="n">
        <v>1</v>
      </c>
      <c r="M345" s="10" t="n">
        <f aca="false">IFERROR(G345/F345,"")</f>
        <v>0.0855855855855856</v>
      </c>
      <c r="N345" s="10" t="n">
        <f aca="false">IFERROR(H345/G345,"")</f>
        <v>1.12631578947368</v>
      </c>
      <c r="O345" s="11" t="n">
        <f aca="false">IFERROR(I345/H345,"")</f>
        <v>0.476635514018692</v>
      </c>
      <c r="P345" s="10" t="n">
        <f aca="false">IFERROR(J345/H345,"")</f>
        <v>0.210280373831776</v>
      </c>
      <c r="Q345" s="10" t="n">
        <f aca="false">IFERROR(K345/H345,"")</f>
        <v>0.0327102803738318</v>
      </c>
      <c r="R345" s="10" t="n">
        <f aca="false">IFERROR(L345/H345,"")</f>
        <v>0.00467289719626168</v>
      </c>
      <c r="S345" s="11" t="n">
        <f aca="false">IFERROR(M345/MEDIAN(INDEX($M$5:$M$373,MATCH($A345-90,$A$5:$A$373,1)):INDEX($M$5:$M$373,MATCH($A345+90,$A$5:$A$373,1))),"")</f>
        <v>1.70806977189956</v>
      </c>
      <c r="T345" s="11" t="n">
        <f aca="false">IFERROR(N345/MEDIAN(INDEX($N$5:$N$373,MATCH($A345-90,$A$5:$A$373,1)):INDEX($N$5:$N$373,MATCH($A345+90,$A$5:$A$373,1))),"")</f>
        <v>1.11493886230728</v>
      </c>
      <c r="U345" s="11" t="n">
        <f aca="false">IFERROR(Q345/MEDIAN(INDEX($Q$5:$Q$373,MATCH($A345-90,$A$5:$A$373,1)):INDEX($Q$5:$Q$373,MATCH($A345+90,$A$5:$A$373,1))),"")</f>
        <v>0.275454992621741</v>
      </c>
    </row>
    <row r="346" customFormat="false" ht="15" hidden="false" customHeight="false" outlineLevel="0" collapsed="false">
      <c r="A346" s="13" t="n">
        <v>46142.4824543171</v>
      </c>
      <c r="B346" s="8" t="n">
        <v>11</v>
      </c>
      <c r="C346" s="8" t="s">
        <v>73</v>
      </c>
      <c r="D346" s="8" t="s">
        <v>1554</v>
      </c>
      <c r="E346" s="14" t="s">
        <v>66</v>
      </c>
      <c r="F346" s="9" t="n">
        <v>2276</v>
      </c>
      <c r="G346" s="9" t="n">
        <v>84</v>
      </c>
      <c r="H346" s="9" t="n">
        <v>103</v>
      </c>
      <c r="I346" s="9" t="n">
        <v>89</v>
      </c>
      <c r="J346" s="9" t="n">
        <v>31</v>
      </c>
      <c r="K346" s="9" t="n">
        <v>32</v>
      </c>
      <c r="L346" s="9" t="n">
        <v>0</v>
      </c>
      <c r="M346" s="10" t="n">
        <f aca="false">IFERROR(G346/F346,"")</f>
        <v>0.0369068541300527</v>
      </c>
      <c r="N346" s="10" t="n">
        <f aca="false">IFERROR(H346/G346,"")</f>
        <v>1.22619047619048</v>
      </c>
      <c r="O346" s="11" t="n">
        <f aca="false">IFERROR(I346/H346,"")</f>
        <v>0.864077669902913</v>
      </c>
      <c r="P346" s="10" t="n">
        <f aca="false">IFERROR(J346/H346,"")</f>
        <v>0.300970873786408</v>
      </c>
      <c r="Q346" s="10" t="n">
        <f aca="false">IFERROR(K346/H346,"")</f>
        <v>0.310679611650485</v>
      </c>
      <c r="R346" s="10" t="n">
        <f aca="false">IFERROR(L346/H346,"")</f>
        <v>0</v>
      </c>
      <c r="S346" s="11" t="n">
        <f aca="false">IFERROR(M346/MEDIAN(INDEX($M$5:$M$373,MATCH($A346-90,$A$5:$A$373,1)):INDEX($M$5:$M$373,MATCH($A346+90,$A$5:$A$373,1))),"")</f>
        <v>0.738270550629924</v>
      </c>
      <c r="T346" s="11" t="n">
        <f aca="false">IFERROR(N346/MEDIAN(INDEX($N$5:$N$373,MATCH($A346-90,$A$5:$A$373,1)):INDEX($N$5:$N$373,MATCH($A346+90,$A$5:$A$373,1))),"")</f>
        <v>1.20356269008255</v>
      </c>
      <c r="U346" s="11" t="n">
        <f aca="false">IFERROR(Q346/MEDIAN(INDEX($Q$5:$Q$373,MATCH($A346-90,$A$5:$A$373,1)):INDEX($Q$5:$Q$373,MATCH($A346+90,$A$5:$A$373,1))),"")</f>
        <v>2.66923980994105</v>
      </c>
    </row>
    <row r="347" customFormat="false" ht="15" hidden="false" customHeight="false" outlineLevel="0" collapsed="false">
      <c r="A347" s="13" t="n">
        <v>46145.5224431019</v>
      </c>
      <c r="B347" s="8" t="n">
        <v>12</v>
      </c>
      <c r="C347" s="8" t="s">
        <v>86</v>
      </c>
      <c r="D347" s="8" t="s">
        <v>1555</v>
      </c>
      <c r="E347" s="14" t="s">
        <v>66</v>
      </c>
      <c r="F347" s="9" t="n">
        <v>2450</v>
      </c>
      <c r="G347" s="9" t="n">
        <v>111</v>
      </c>
      <c r="H347" s="9" t="n">
        <v>103</v>
      </c>
      <c r="I347" s="9" t="n">
        <v>95</v>
      </c>
      <c r="J347" s="9" t="n">
        <v>36</v>
      </c>
      <c r="K347" s="9" t="n">
        <v>20</v>
      </c>
      <c r="L347" s="9" t="n">
        <v>0</v>
      </c>
      <c r="M347" s="10" t="n">
        <f aca="false">IFERROR(G347/F347,"")</f>
        <v>0.0453061224489796</v>
      </c>
      <c r="N347" s="10" t="n">
        <f aca="false">IFERROR(H347/G347,"")</f>
        <v>0.927927927927928</v>
      </c>
      <c r="O347" s="11" t="n">
        <f aca="false">IFERROR(I347/H347,"")</f>
        <v>0.922330097087379</v>
      </c>
      <c r="P347" s="10" t="n">
        <f aca="false">IFERROR(J347/H347,"")</f>
        <v>0.349514563106796</v>
      </c>
      <c r="Q347" s="10" t="n">
        <f aca="false">IFERROR(K347/H347,"")</f>
        <v>0.194174757281553</v>
      </c>
      <c r="R347" s="10" t="n">
        <f aca="false">IFERROR(L347/H347,"")</f>
        <v>0</v>
      </c>
      <c r="S347" s="11" t="n">
        <f aca="false">IFERROR(M347/MEDIAN(INDEX($M$5:$M$373,MATCH($A347-90,$A$5:$A$373,1)):INDEX($M$5:$M$373,MATCH($A347+90,$A$5:$A$373,1))),"")</f>
        <v>0.90419452887538</v>
      </c>
      <c r="T347" s="11" t="n">
        <f aca="false">IFERROR(N347/MEDIAN(INDEX($N$5:$N$373,MATCH($A347-90,$A$5:$A$373,1)):INDEX($N$5:$N$373,MATCH($A347+90,$A$5:$A$373,1))),"")</f>
        <v>0.903183183183183</v>
      </c>
      <c r="U347" s="11" t="n">
        <f aca="false">IFERROR(Q347/MEDIAN(INDEX($Q$5:$Q$373,MATCH($A347-90,$A$5:$A$373,1)):INDEX($Q$5:$Q$373,MATCH($A347+90,$A$5:$A$373,1))),"")</f>
        <v>1.63515585079203</v>
      </c>
    </row>
    <row r="348" customFormat="false" ht="15" hidden="false" customHeight="false" outlineLevel="0" collapsed="false">
      <c r="A348" s="13" t="n">
        <v>46147.4500164005</v>
      </c>
      <c r="B348" s="8" t="n">
        <v>10</v>
      </c>
      <c r="C348" s="8" t="s">
        <v>64</v>
      </c>
      <c r="D348" s="8" t="s">
        <v>1556</v>
      </c>
      <c r="E348" s="14" t="s">
        <v>66</v>
      </c>
      <c r="F348" s="9" t="n">
        <v>2375</v>
      </c>
      <c r="G348" s="9" t="n">
        <v>102</v>
      </c>
      <c r="H348" s="9" t="n">
        <v>93</v>
      </c>
      <c r="I348" s="9" t="n">
        <v>82</v>
      </c>
      <c r="J348" s="9" t="n">
        <v>25</v>
      </c>
      <c r="K348" s="9" t="n">
        <v>22</v>
      </c>
      <c r="L348" s="9" t="n">
        <v>0</v>
      </c>
      <c r="M348" s="10" t="n">
        <f aca="false">IFERROR(G348/F348,"")</f>
        <v>0.0429473684210526</v>
      </c>
      <c r="N348" s="10" t="n">
        <f aca="false">IFERROR(H348/G348,"")</f>
        <v>0.911764705882353</v>
      </c>
      <c r="O348" s="11" t="n">
        <f aca="false">IFERROR(I348/H348,"")</f>
        <v>0.881720430107527</v>
      </c>
      <c r="P348" s="10" t="n">
        <f aca="false">IFERROR(J348/H348,"")</f>
        <v>0.268817204301075</v>
      </c>
      <c r="Q348" s="10" t="n">
        <f aca="false">IFERROR(K348/H348,"")</f>
        <v>0.236559139784946</v>
      </c>
      <c r="R348" s="10" t="n">
        <f aca="false">IFERROR(L348/H348,"")</f>
        <v>0</v>
      </c>
      <c r="S348" s="11" t="n">
        <f aca="false">IFERROR(M348/MEDIAN(INDEX($M$5:$M$373,MATCH($A348-90,$A$5:$A$373,1)):INDEX($M$5:$M$373,MATCH($A348+90,$A$5:$A$373,1))),"")</f>
        <v>0.854375035361347</v>
      </c>
      <c r="T348" s="11" t="n">
        <f aca="false">IFERROR(N348/MEDIAN(INDEX($N$5:$N$373,MATCH($A348-90,$A$5:$A$373,1)):INDEX($N$5:$N$373,MATCH($A348+90,$A$5:$A$373,1))),"")</f>
        <v>0.884401320665723</v>
      </c>
      <c r="U348" s="11" t="n">
        <f aca="false">IFERROR(Q348/MEDIAN(INDEX($Q$5:$Q$373,MATCH($A348-90,$A$5:$A$373,1)):INDEX($Q$5:$Q$373,MATCH($A348+90,$A$5:$A$373,1))),"")</f>
        <v>1.96659477410563</v>
      </c>
    </row>
    <row r="349" customFormat="false" ht="15" hidden="false" customHeight="false" outlineLevel="0" collapsed="false">
      <c r="A349" s="13" t="n">
        <v>46149.4505522801</v>
      </c>
      <c r="B349" s="8" t="n">
        <v>10</v>
      </c>
      <c r="C349" s="8" t="s">
        <v>73</v>
      </c>
      <c r="D349" s="8" t="s">
        <v>1557</v>
      </c>
      <c r="E349" s="14" t="s">
        <v>66</v>
      </c>
      <c r="F349" s="9" t="n">
        <v>2774</v>
      </c>
      <c r="G349" s="9" t="n">
        <v>116</v>
      </c>
      <c r="H349" s="9" t="n">
        <v>120</v>
      </c>
      <c r="I349" s="9" t="n">
        <v>115</v>
      </c>
      <c r="J349" s="9" t="n">
        <v>35</v>
      </c>
      <c r="K349" s="9" t="n">
        <v>23</v>
      </c>
      <c r="L349" s="9" t="n">
        <v>0</v>
      </c>
      <c r="M349" s="10" t="n">
        <f aca="false">IFERROR(G349/F349,"")</f>
        <v>0.0418168709444845</v>
      </c>
      <c r="N349" s="10" t="n">
        <f aca="false">IFERROR(H349/G349,"")</f>
        <v>1.03448275862069</v>
      </c>
      <c r="O349" s="11" t="n">
        <f aca="false">IFERROR(I349/H349,"")</f>
        <v>0.958333333333333</v>
      </c>
      <c r="P349" s="10" t="n">
        <f aca="false">IFERROR(J349/H349,"")</f>
        <v>0.291666666666667</v>
      </c>
      <c r="Q349" s="10" t="n">
        <f aca="false">IFERROR(K349/H349,"")</f>
        <v>0.191666666666667</v>
      </c>
      <c r="R349" s="10" t="n">
        <f aca="false">IFERROR(L349/H349,"")</f>
        <v>0</v>
      </c>
      <c r="S349" s="11" t="n">
        <f aca="false">IFERROR(M349/MEDIAN(INDEX($M$5:$M$373,MATCH($A349-90,$A$5:$A$373,1)):INDEX($M$5:$M$373,MATCH($A349+90,$A$5:$A$373,1))),"")</f>
        <v>0.825443948307513</v>
      </c>
      <c r="T349" s="11" t="n">
        <f aca="false">IFERROR(N349/MEDIAN(INDEX($N$5:$N$373,MATCH($A349-90,$A$5:$A$373,1)):INDEX($N$5:$N$373,MATCH($A349+90,$A$5:$A$373,1))),"")</f>
        <v>1.00689655172414</v>
      </c>
      <c r="U349" s="11" t="n">
        <f aca="false">IFERROR(Q349/MEDIAN(INDEX($Q$5:$Q$373,MATCH($A349-90,$A$5:$A$373,1)):INDEX($Q$5:$Q$373,MATCH($A349+90,$A$5:$A$373,1))),"")</f>
        <v>1.57326388888889</v>
      </c>
    </row>
    <row r="350" customFormat="false" ht="15" hidden="false" customHeight="false" outlineLevel="0" collapsed="false">
      <c r="A350" s="13" t="n">
        <v>46152.5761327778</v>
      </c>
      <c r="B350" s="8" t="n">
        <v>13</v>
      </c>
      <c r="C350" s="8" t="s">
        <v>86</v>
      </c>
      <c r="D350" s="8" t="s">
        <v>1558</v>
      </c>
      <c r="E350" s="14" t="s">
        <v>66</v>
      </c>
      <c r="F350" s="9" t="n">
        <v>2734</v>
      </c>
      <c r="G350" s="9" t="n">
        <v>194</v>
      </c>
      <c r="H350" s="9" t="n">
        <v>217</v>
      </c>
      <c r="I350" s="9" t="n">
        <v>182</v>
      </c>
      <c r="J350" s="9" t="n">
        <v>27</v>
      </c>
      <c r="K350" s="9" t="n">
        <v>39</v>
      </c>
      <c r="L350" s="9" t="n">
        <v>1</v>
      </c>
      <c r="M350" s="10" t="n">
        <f aca="false">IFERROR(G350/F350,"")</f>
        <v>0.0709583028529627</v>
      </c>
      <c r="N350" s="10" t="n">
        <f aca="false">IFERROR(H350/G350,"")</f>
        <v>1.11855670103093</v>
      </c>
      <c r="O350" s="11" t="n">
        <f aca="false">IFERROR(I350/H350,"")</f>
        <v>0.838709677419355</v>
      </c>
      <c r="P350" s="10" t="n">
        <f aca="false">IFERROR(J350/H350,"")</f>
        <v>0.124423963133641</v>
      </c>
      <c r="Q350" s="10" t="n">
        <f aca="false">IFERROR(K350/H350,"")</f>
        <v>0.179723502304147</v>
      </c>
      <c r="R350" s="10" t="n">
        <f aca="false">IFERROR(L350/H350,"")</f>
        <v>0.00460829493087558</v>
      </c>
      <c r="S350" s="11" t="n">
        <f aca="false">IFERROR(M350/MEDIAN(INDEX($M$5:$M$373,MATCH($A350-90,$A$5:$A$373,1)):INDEX($M$5:$M$373,MATCH($A350+90,$A$5:$A$373,1))),"")</f>
        <v>1.3939456692587</v>
      </c>
      <c r="T350" s="11" t="n">
        <f aca="false">IFERROR(N350/MEDIAN(INDEX($N$5:$N$373,MATCH($A350-90,$A$5:$A$373,1)):INDEX($N$5:$N$373,MATCH($A350+90,$A$5:$A$373,1))),"")</f>
        <v>1.09791515938468</v>
      </c>
      <c r="U350" s="11" t="n">
        <f aca="false">IFERROR(Q350/MEDIAN(INDEX($Q$5:$Q$373,MATCH($A350-90,$A$5:$A$373,1)):INDEX($Q$5:$Q$373,MATCH($A350+90,$A$5:$A$373,1))),"")</f>
        <v>1.44414668657104</v>
      </c>
    </row>
    <row r="351" customFormat="false" ht="15" hidden="false" customHeight="false" outlineLevel="0" collapsed="false">
      <c r="A351" s="13" t="n">
        <v>46154.5741856597</v>
      </c>
      <c r="B351" s="8" t="n">
        <v>13</v>
      </c>
      <c r="C351" s="8" t="s">
        <v>64</v>
      </c>
      <c r="D351" s="8" t="s">
        <v>1559</v>
      </c>
      <c r="E351" s="14" t="s">
        <v>66</v>
      </c>
      <c r="F351" s="9" t="n">
        <v>2459</v>
      </c>
      <c r="G351" s="9" t="n">
        <v>76</v>
      </c>
      <c r="H351" s="9" t="n">
        <v>74</v>
      </c>
      <c r="I351" s="9" t="n">
        <v>104</v>
      </c>
      <c r="J351" s="9" t="n">
        <v>15</v>
      </c>
      <c r="K351" s="9" t="n">
        <v>22</v>
      </c>
      <c r="L351" s="9" t="n">
        <v>0</v>
      </c>
      <c r="M351" s="10" t="n">
        <f aca="false">IFERROR(G351/F351,"")</f>
        <v>0.0309068727124848</v>
      </c>
      <c r="N351" s="10" t="n">
        <f aca="false">IFERROR(H351/G351,"")</f>
        <v>0.973684210526316</v>
      </c>
      <c r="O351" s="11" t="n">
        <f aca="false">IFERROR(I351/H351,"")</f>
        <v>1.40540540540541</v>
      </c>
      <c r="P351" s="10" t="n">
        <f aca="false">IFERROR(J351/H351,"")</f>
        <v>0.202702702702703</v>
      </c>
      <c r="Q351" s="10" t="n">
        <f aca="false">IFERROR(K351/H351,"")</f>
        <v>0.297297297297297</v>
      </c>
      <c r="R351" s="10" t="n">
        <f aca="false">IFERROR(L351/H351,"")</f>
        <v>0</v>
      </c>
      <c r="S351" s="11" t="n">
        <f aca="false">IFERROR(M351/MEDIAN(INDEX($M$5:$M$373,MATCH($A351-90,$A$5:$A$373,1)):INDEX($M$5:$M$373,MATCH($A351+90,$A$5:$A$373,1))),"")</f>
        <v>0.610086084047283</v>
      </c>
      <c r="T351" s="11" t="n">
        <f aca="false">IFERROR(N351/MEDIAN(INDEX($N$5:$N$373,MATCH($A351-90,$A$5:$A$373,1)):INDEX($N$5:$N$373,MATCH($A351+90,$A$5:$A$373,1))),"")</f>
        <v>0.963849016480596</v>
      </c>
      <c r="U351" s="11" t="n">
        <f aca="false">IFERROR(Q351/MEDIAN(INDEX($Q$5:$Q$373,MATCH($A351-90,$A$5:$A$373,1)):INDEX($Q$5:$Q$373,MATCH($A351+90,$A$5:$A$373,1))),"")</f>
        <v>2.33960047003525</v>
      </c>
    </row>
    <row r="352" customFormat="false" ht="15" hidden="false" customHeight="false" outlineLevel="0" collapsed="false">
      <c r="A352" s="13" t="n">
        <v>46156.4978312037</v>
      </c>
      <c r="B352" s="8" t="n">
        <v>11</v>
      </c>
      <c r="C352" s="8" t="s">
        <v>73</v>
      </c>
      <c r="D352" s="8" t="s">
        <v>1560</v>
      </c>
      <c r="E352" s="14" t="s">
        <v>66</v>
      </c>
      <c r="F352" s="9" t="n">
        <v>2684</v>
      </c>
      <c r="G352" s="9" t="n">
        <v>122</v>
      </c>
      <c r="H352" s="9" t="n">
        <v>85</v>
      </c>
      <c r="I352" s="9" t="n">
        <v>100</v>
      </c>
      <c r="J352" s="9" t="n">
        <v>27</v>
      </c>
      <c r="K352" s="9" t="n">
        <v>23</v>
      </c>
      <c r="L352" s="9" t="n">
        <v>1</v>
      </c>
      <c r="M352" s="10" t="n">
        <f aca="false">IFERROR(G352/F352,"")</f>
        <v>0.0454545454545455</v>
      </c>
      <c r="N352" s="10" t="n">
        <f aca="false">IFERROR(H352/G352,"")</f>
        <v>0.69672131147541</v>
      </c>
      <c r="O352" s="11" t="n">
        <f aca="false">IFERROR(I352/H352,"")</f>
        <v>1.17647058823529</v>
      </c>
      <c r="P352" s="10" t="n">
        <f aca="false">IFERROR(J352/H352,"")</f>
        <v>0.317647058823529</v>
      </c>
      <c r="Q352" s="10" t="n">
        <f aca="false">IFERROR(K352/H352,"")</f>
        <v>0.270588235294118</v>
      </c>
      <c r="R352" s="10" t="n">
        <f aca="false">IFERROR(L352/H352,"")</f>
        <v>0.0117647058823529</v>
      </c>
      <c r="S352" s="11" t="n">
        <f aca="false">IFERROR(M352/MEDIAN(INDEX($M$5:$M$373,MATCH($A352-90,$A$5:$A$373,1)):INDEX($M$5:$M$373,MATCH($A352+90,$A$5:$A$373,1))),"")</f>
        <v>0.904251652844563</v>
      </c>
      <c r="T352" s="11" t="n">
        <f aca="false">IFERROR(N352/MEDIAN(INDEX($N$5:$N$373,MATCH($A352-90,$A$5:$A$373,1)):INDEX($N$5:$N$373,MATCH($A352+90,$A$5:$A$373,1))),"")</f>
        <v>0.69560449250286</v>
      </c>
      <c r="U352" s="11" t="n">
        <f aca="false">IFERROR(Q352/MEDIAN(INDEX($Q$5:$Q$373,MATCH($A352-90,$A$5:$A$373,1)):INDEX($Q$5:$Q$373,MATCH($A352+90,$A$5:$A$373,1))),"")</f>
        <v>2.00488476092191</v>
      </c>
    </row>
    <row r="353" customFormat="false" ht="15" hidden="false" customHeight="false" outlineLevel="0" collapsed="false">
      <c r="A353" s="13" t="n">
        <v>46159.4990200694</v>
      </c>
      <c r="B353" s="8" t="n">
        <v>11</v>
      </c>
      <c r="C353" s="8" t="s">
        <v>86</v>
      </c>
      <c r="D353" s="8" t="s">
        <v>1561</v>
      </c>
      <c r="E353" s="14" t="s">
        <v>66</v>
      </c>
      <c r="F353" s="9" t="n">
        <v>2516</v>
      </c>
      <c r="G353" s="9" t="n">
        <v>178</v>
      </c>
      <c r="H353" s="9" t="n">
        <v>160</v>
      </c>
      <c r="I353" s="9" t="n">
        <v>136</v>
      </c>
      <c r="J353" s="9" t="n">
        <v>33</v>
      </c>
      <c r="K353" s="9" t="n">
        <v>19</v>
      </c>
      <c r="L353" s="9" t="n">
        <v>1</v>
      </c>
      <c r="M353" s="10" t="n">
        <f aca="false">IFERROR(G353/F353,"")</f>
        <v>0.0707472178060413</v>
      </c>
      <c r="N353" s="10" t="n">
        <f aca="false">IFERROR(H353/G353,"")</f>
        <v>0.898876404494382</v>
      </c>
      <c r="O353" s="11" t="n">
        <f aca="false">IFERROR(I353/H353,"")</f>
        <v>0.85</v>
      </c>
      <c r="P353" s="10" t="n">
        <f aca="false">IFERROR(J353/H353,"")</f>
        <v>0.20625</v>
      </c>
      <c r="Q353" s="10" t="n">
        <f aca="false">IFERROR(K353/H353,"")</f>
        <v>0.11875</v>
      </c>
      <c r="R353" s="10" t="n">
        <f aca="false">IFERROR(L353/H353,"")</f>
        <v>0.00625</v>
      </c>
      <c r="S353" s="11" t="n">
        <f aca="false">IFERROR(M353/MEDIAN(INDEX($M$5:$M$373,MATCH($A353-90,$A$5:$A$373,1)):INDEX($M$5:$M$373,MATCH($A353+90,$A$5:$A$373,1))),"")</f>
        <v>1.39651440862514</v>
      </c>
      <c r="T353" s="11" t="n">
        <f aca="false">IFERROR(N353/MEDIAN(INDEX($N$5:$N$373,MATCH($A353-90,$A$5:$A$373,1)):INDEX($N$5:$N$373,MATCH($A353+90,$A$5:$A$373,1))),"")</f>
        <v>0.90520652001899</v>
      </c>
      <c r="U353" s="11" t="n">
        <f aca="false">IFERROR(Q353/MEDIAN(INDEX($Q$5:$Q$373,MATCH($A353-90,$A$5:$A$373,1)):INDEX($Q$5:$Q$373,MATCH($A353+90,$A$5:$A$373,1))),"")</f>
        <v>0.83125</v>
      </c>
    </row>
    <row r="354" customFormat="false" ht="15" hidden="false" customHeight="false" outlineLevel="0" collapsed="false">
      <c r="A354" s="13" t="n">
        <v>46163.5033610069</v>
      </c>
      <c r="B354" s="8" t="n">
        <v>12</v>
      </c>
      <c r="C354" s="8" t="s">
        <v>73</v>
      </c>
      <c r="D354" s="8" t="s">
        <v>1562</v>
      </c>
      <c r="E354" s="14" t="s">
        <v>66</v>
      </c>
      <c r="F354" s="9" t="n">
        <v>2252</v>
      </c>
      <c r="G354" s="9" t="n">
        <v>143</v>
      </c>
      <c r="H354" s="9" t="n">
        <v>142</v>
      </c>
      <c r="I354" s="9" t="n">
        <v>119</v>
      </c>
      <c r="J354" s="9" t="n">
        <v>35</v>
      </c>
      <c r="K354" s="9" t="n">
        <v>61</v>
      </c>
      <c r="L354" s="9" t="n">
        <v>0</v>
      </c>
      <c r="M354" s="10" t="n">
        <f aca="false">IFERROR(G354/F354,"")</f>
        <v>0.0634991119005329</v>
      </c>
      <c r="N354" s="10" t="n">
        <f aca="false">IFERROR(H354/G354,"")</f>
        <v>0.993006993006993</v>
      </c>
      <c r="O354" s="11" t="n">
        <f aca="false">IFERROR(I354/H354,"")</f>
        <v>0.838028169014085</v>
      </c>
      <c r="P354" s="10" t="n">
        <f aca="false">IFERROR(J354/H354,"")</f>
        <v>0.246478873239437</v>
      </c>
      <c r="Q354" s="10" t="n">
        <f aca="false">IFERROR(K354/H354,"")</f>
        <v>0.429577464788732</v>
      </c>
      <c r="R354" s="10" t="n">
        <f aca="false">IFERROR(L354/H354,"")</f>
        <v>0</v>
      </c>
      <c r="S354" s="11" t="n">
        <f aca="false">IFERROR(M354/MEDIAN(INDEX($M$5:$M$373,MATCH($A354-90,$A$5:$A$373,1)):INDEX($M$5:$M$373,MATCH($A354+90,$A$5:$A$373,1))),"")</f>
        <v>1.26322189158481</v>
      </c>
      <c r="T354" s="11" t="n">
        <f aca="false">IFERROR(N354/MEDIAN(INDEX($N$5:$N$373,MATCH($A354-90,$A$5:$A$373,1)):INDEX($N$5:$N$373,MATCH($A354+90,$A$5:$A$373,1))),"")</f>
        <v>1.00320271288621</v>
      </c>
      <c r="U354" s="11" t="n">
        <f aca="false">IFERROR(Q354/MEDIAN(INDEX($Q$5:$Q$373,MATCH($A354-90,$A$5:$A$373,1)):INDEX($Q$5:$Q$373,MATCH($A354+90,$A$5:$A$373,1))),"")</f>
        <v>2.90172162289124</v>
      </c>
    </row>
    <row r="355" customFormat="false" ht="15" hidden="false" customHeight="false" outlineLevel="0" collapsed="false">
      <c r="A355" s="13" t="n">
        <v>46166.5814911458</v>
      </c>
      <c r="B355" s="8" t="n">
        <v>13</v>
      </c>
      <c r="C355" s="8" t="s">
        <v>86</v>
      </c>
      <c r="D355" s="8" t="s">
        <v>1563</v>
      </c>
      <c r="E355" s="14" t="s">
        <v>66</v>
      </c>
      <c r="F355" s="9" t="n">
        <v>2044</v>
      </c>
      <c r="G355" s="9" t="n">
        <v>120</v>
      </c>
      <c r="H355" s="9" t="n">
        <v>118</v>
      </c>
      <c r="I355" s="9" t="n">
        <v>72</v>
      </c>
      <c r="J355" s="9" t="n">
        <v>30</v>
      </c>
      <c r="K355" s="9" t="n">
        <v>10</v>
      </c>
      <c r="L355" s="9" t="n">
        <v>0</v>
      </c>
      <c r="M355" s="10" t="n">
        <f aca="false">IFERROR(G355/F355,"")</f>
        <v>0.0587084148727984</v>
      </c>
      <c r="N355" s="10" t="n">
        <f aca="false">IFERROR(H355/G355,"")</f>
        <v>0.983333333333333</v>
      </c>
      <c r="O355" s="11" t="n">
        <f aca="false">IFERROR(I355/H355,"")</f>
        <v>0.610169491525424</v>
      </c>
      <c r="P355" s="10" t="n">
        <f aca="false">IFERROR(J355/H355,"")</f>
        <v>0.254237288135593</v>
      </c>
      <c r="Q355" s="10" t="n">
        <f aca="false">IFERROR(K355/H355,"")</f>
        <v>0.0847457627118644</v>
      </c>
      <c r="R355" s="10" t="n">
        <f aca="false">IFERROR(L355/H355,"")</f>
        <v>0</v>
      </c>
      <c r="S355" s="11" t="n">
        <f aca="false">IFERROR(M355/MEDIAN(INDEX($M$5:$M$373,MATCH($A355-90,$A$5:$A$373,1)):INDEX($M$5:$M$373,MATCH($A355+90,$A$5:$A$373,1))),"")</f>
        <v>1.17710371819961</v>
      </c>
      <c r="T355" s="11" t="n">
        <f aca="false">IFERROR(N355/MEDIAN(INDEX($N$5:$N$373,MATCH($A355-90,$A$5:$A$373,1)):INDEX($N$5:$N$373,MATCH($A355+90,$A$5:$A$373,1))),"")</f>
        <v>0.996621621621622</v>
      </c>
      <c r="U355" s="11" t="n">
        <f aca="false">IFERROR(Q355/MEDIAN(INDEX($Q$5:$Q$373,MATCH($A355-90,$A$5:$A$373,1)):INDEX($Q$5:$Q$373,MATCH($A355+90,$A$5:$A$373,1))),"")</f>
        <v>0.570107858243451</v>
      </c>
    </row>
    <row r="356" customFormat="false" ht="15" hidden="false" customHeight="false" outlineLevel="0" collapsed="false">
      <c r="A356" s="13" t="n">
        <v>46168.5725934144</v>
      </c>
      <c r="B356" s="8" t="n">
        <v>13</v>
      </c>
      <c r="C356" s="8" t="s">
        <v>64</v>
      </c>
      <c r="D356" s="8" t="s">
        <v>1564</v>
      </c>
      <c r="E356" s="14" t="s">
        <v>66</v>
      </c>
      <c r="F356" s="9" t="n">
        <v>2102</v>
      </c>
      <c r="G356" s="9" t="n">
        <v>140</v>
      </c>
      <c r="H356" s="9" t="n">
        <v>105</v>
      </c>
      <c r="I356" s="9" t="n">
        <v>125</v>
      </c>
      <c r="J356" s="9" t="n">
        <v>21</v>
      </c>
      <c r="K356" s="9" t="n">
        <v>31</v>
      </c>
      <c r="L356" s="9" t="n">
        <v>0</v>
      </c>
      <c r="M356" s="10" t="n">
        <f aca="false">IFERROR(G356/F356,"")</f>
        <v>0.0666032350142721</v>
      </c>
      <c r="N356" s="10" t="n">
        <f aca="false">IFERROR(H356/G356,"")</f>
        <v>0.75</v>
      </c>
      <c r="O356" s="11" t="n">
        <f aca="false">IFERROR(I356/H356,"")</f>
        <v>1.19047619047619</v>
      </c>
      <c r="P356" s="10" t="n">
        <f aca="false">IFERROR(J356/H356,"")</f>
        <v>0.2</v>
      </c>
      <c r="Q356" s="10" t="n">
        <f aca="false">IFERROR(K356/H356,"")</f>
        <v>0.295238095238095</v>
      </c>
      <c r="R356" s="10" t="n">
        <f aca="false">IFERROR(L356/H356,"")</f>
        <v>0</v>
      </c>
      <c r="S356" s="11" t="n">
        <f aca="false">IFERROR(M356/MEDIAN(INDEX($M$5:$M$373,MATCH($A356-90,$A$5:$A$373,1)):INDEX($M$5:$M$373,MATCH($A356+90,$A$5:$A$373,1))),"")</f>
        <v>1.33877590885959</v>
      </c>
      <c r="T356" s="11" t="n">
        <f aca="false">IFERROR(N356/MEDIAN(INDEX($N$5:$N$373,MATCH($A356-90,$A$5:$A$373,1)):INDEX($N$5:$N$373,MATCH($A356+90,$A$5:$A$373,1))),"")</f>
        <v>0.761421319796954</v>
      </c>
      <c r="U356" s="11" t="n">
        <f aca="false">IFERROR(Q356/MEDIAN(INDEX($Q$5:$Q$373,MATCH($A356-90,$A$5:$A$373,1)):INDEX($Q$5:$Q$373,MATCH($A356+90,$A$5:$A$373,1))),"")</f>
        <v>1.97004154889332</v>
      </c>
    </row>
    <row r="357" customFormat="false" ht="15" hidden="false" customHeight="false" outlineLevel="0" collapsed="false">
      <c r="A357" s="13" t="n">
        <v>46170.5683774884</v>
      </c>
      <c r="B357" s="8" t="n">
        <v>13</v>
      </c>
      <c r="C357" s="8" t="s">
        <v>73</v>
      </c>
      <c r="D357" s="8" t="s">
        <v>1565</v>
      </c>
      <c r="E357" s="14" t="s">
        <v>66</v>
      </c>
      <c r="F357" s="9" t="n">
        <v>2153</v>
      </c>
      <c r="G357" s="9" t="n">
        <v>140</v>
      </c>
      <c r="H357" s="9" t="n">
        <v>118</v>
      </c>
      <c r="I357" s="9" t="n">
        <v>137</v>
      </c>
      <c r="J357" s="9" t="n">
        <v>34</v>
      </c>
      <c r="K357" s="9" t="n">
        <v>36</v>
      </c>
      <c r="L357" s="9" t="n">
        <v>0</v>
      </c>
      <c r="M357" s="10" t="n">
        <f aca="false">IFERROR(G357/F357,"")</f>
        <v>0.0650255457501161</v>
      </c>
      <c r="N357" s="10" t="n">
        <f aca="false">IFERROR(H357/G357,"")</f>
        <v>0.842857142857143</v>
      </c>
      <c r="O357" s="11" t="n">
        <f aca="false">IFERROR(I357/H357,"")</f>
        <v>1.16101694915254</v>
      </c>
      <c r="P357" s="10" t="n">
        <f aca="false">IFERROR(J357/H357,"")</f>
        <v>0.288135593220339</v>
      </c>
      <c r="Q357" s="10" t="n">
        <f aca="false">IFERROR(K357/H357,"")</f>
        <v>0.305084745762712</v>
      </c>
      <c r="R357" s="10" t="n">
        <f aca="false">IFERROR(L357/H357,"")</f>
        <v>0</v>
      </c>
      <c r="S357" s="11" t="n">
        <f aca="false">IFERROR(M357/MEDIAN(INDEX($M$5:$M$373,MATCH($A357-90,$A$5:$A$373,1)):INDEX($M$5:$M$373,MATCH($A357+90,$A$5:$A$373,1))),"")</f>
        <v>1.31038086391082</v>
      </c>
      <c r="T357" s="11" t="n">
        <f aca="false">IFERROR(N357/MEDIAN(INDEX($N$5:$N$373,MATCH($A357-90,$A$5:$A$373,1)):INDEX($N$5:$N$373,MATCH($A357+90,$A$5:$A$373,1))),"")</f>
        <v>0.857142857142857</v>
      </c>
      <c r="U357" s="11" t="n">
        <f aca="false">IFERROR(Q357/MEDIAN(INDEX($Q$5:$Q$373,MATCH($A357-90,$A$5:$A$373,1)):INDEX($Q$5:$Q$373,MATCH($A357+90,$A$5:$A$373,1))),"")</f>
        <v>2.01937046004843</v>
      </c>
    </row>
    <row r="358" customFormat="false" ht="15" hidden="false" customHeight="false" outlineLevel="0" collapsed="false">
      <c r="A358" s="13" t="n">
        <v>46173.5962023727</v>
      </c>
      <c r="B358" s="8" t="n">
        <v>14</v>
      </c>
      <c r="C358" s="8" t="s">
        <v>86</v>
      </c>
      <c r="D358" s="8" t="s">
        <v>1566</v>
      </c>
      <c r="E358" s="14" t="s">
        <v>66</v>
      </c>
      <c r="F358" s="9" t="n">
        <v>2104</v>
      </c>
      <c r="G358" s="9" t="n">
        <v>120</v>
      </c>
      <c r="H358" s="9" t="n">
        <v>108</v>
      </c>
      <c r="I358" s="9" t="n">
        <v>140</v>
      </c>
      <c r="J358" s="9" t="n">
        <v>29</v>
      </c>
      <c r="K358" s="9" t="n">
        <v>31</v>
      </c>
      <c r="L358" s="9" t="n">
        <v>0</v>
      </c>
      <c r="M358" s="10" t="n">
        <f aca="false">IFERROR(G358/F358,"")</f>
        <v>0.0570342205323194</v>
      </c>
      <c r="N358" s="10" t="n">
        <f aca="false">IFERROR(H358/G358,"")</f>
        <v>0.9</v>
      </c>
      <c r="O358" s="11" t="n">
        <f aca="false">IFERROR(I358/H358,"")</f>
        <v>1.2962962962963</v>
      </c>
      <c r="P358" s="10" t="n">
        <f aca="false">IFERROR(J358/H358,"")</f>
        <v>0.268518518518519</v>
      </c>
      <c r="Q358" s="10" t="n">
        <f aca="false">IFERROR(K358/H358,"")</f>
        <v>0.287037037037037</v>
      </c>
      <c r="R358" s="10" t="n">
        <f aca="false">IFERROR(L358/H358,"")</f>
        <v>0</v>
      </c>
      <c r="S358" s="11" t="n">
        <f aca="false">IFERROR(M358/MEDIAN(INDEX($M$5:$M$373,MATCH($A358-90,$A$5:$A$373,1)):INDEX($M$5:$M$373,MATCH($A358+90,$A$5:$A$373,1))),"")</f>
        <v>1.14643140701638</v>
      </c>
      <c r="T358" s="11" t="n">
        <f aca="false">IFERROR(N358/MEDIAN(INDEX($N$5:$N$373,MATCH($A358-90,$A$5:$A$373,1)):INDEX($N$5:$N$373,MATCH($A358+90,$A$5:$A$373,1))),"")</f>
        <v>0.91976692066338</v>
      </c>
      <c r="U358" s="11" t="n">
        <f aca="false">IFERROR(Q358/MEDIAN(INDEX($Q$5:$Q$373,MATCH($A358-90,$A$5:$A$373,1)):INDEX($Q$5:$Q$373,MATCH($A358+90,$A$5:$A$373,1))),"")</f>
        <v>1.89717419148255</v>
      </c>
    </row>
    <row r="359" customFormat="false" ht="15" hidden="false" customHeight="false" outlineLevel="0" collapsed="false">
      <c r="A359" s="13" t="n">
        <v>46175.5430568287</v>
      </c>
      <c r="B359" s="8" t="n">
        <v>13</v>
      </c>
      <c r="C359" s="8" t="s">
        <v>64</v>
      </c>
      <c r="D359" s="8" t="s">
        <v>1567</v>
      </c>
      <c r="E359" s="14" t="s">
        <v>66</v>
      </c>
      <c r="F359" s="9" t="n">
        <v>2114</v>
      </c>
      <c r="G359" s="9" t="n">
        <v>178</v>
      </c>
      <c r="H359" s="9" t="n">
        <v>116</v>
      </c>
      <c r="I359" s="9" t="n">
        <v>111</v>
      </c>
      <c r="J359" s="9" t="n">
        <v>24</v>
      </c>
      <c r="K359" s="9" t="n">
        <v>12</v>
      </c>
      <c r="L359" s="9" t="n">
        <v>0</v>
      </c>
      <c r="M359" s="10" t="n">
        <f aca="false">IFERROR(G359/F359,"")</f>
        <v>0.0842005676442763</v>
      </c>
      <c r="N359" s="10" t="n">
        <f aca="false">IFERROR(H359/G359,"")</f>
        <v>0.651685393258427</v>
      </c>
      <c r="O359" s="11" t="n">
        <f aca="false">IFERROR(I359/H359,"")</f>
        <v>0.956896551724138</v>
      </c>
      <c r="P359" s="10" t="n">
        <f aca="false">IFERROR(J359/H359,"")</f>
        <v>0.206896551724138</v>
      </c>
      <c r="Q359" s="10" t="n">
        <f aca="false">IFERROR(K359/H359,"")</f>
        <v>0.103448275862069</v>
      </c>
      <c r="R359" s="10" t="n">
        <f aca="false">IFERROR(L359/H359,"")</f>
        <v>0</v>
      </c>
      <c r="S359" s="11" t="n">
        <f aca="false">IFERROR(M359/MEDIAN(INDEX($M$5:$M$373,MATCH($A359-90,$A$5:$A$373,1)):INDEX($M$5:$M$373,MATCH($A359+90,$A$5:$A$373,1))),"")</f>
        <v>1.68822138126774</v>
      </c>
      <c r="T359" s="11" t="n">
        <f aca="false">IFERROR(N359/MEDIAN(INDEX($N$5:$N$373,MATCH($A359-90,$A$5:$A$373,1)):INDEX($N$5:$N$373,MATCH($A359+90,$A$5:$A$373,1))),"")</f>
        <v>0.669298511995141</v>
      </c>
      <c r="U359" s="11" t="n">
        <f aca="false">IFERROR(Q359/MEDIAN(INDEX($Q$5:$Q$373,MATCH($A359-90,$A$5:$A$373,1)):INDEX($Q$5:$Q$373,MATCH($A359+90,$A$5:$A$373,1))),"")</f>
        <v>0.682758620689655</v>
      </c>
    </row>
    <row r="360" customFormat="false" ht="15" hidden="false" customHeight="false" outlineLevel="0" collapsed="false">
      <c r="A360" s="13" t="n">
        <v>46180.5758095602</v>
      </c>
      <c r="B360" s="8" t="n">
        <v>13</v>
      </c>
      <c r="C360" s="8" t="s">
        <v>86</v>
      </c>
      <c r="D360" s="8" t="s">
        <v>1568</v>
      </c>
      <c r="E360" s="14" t="s">
        <v>66</v>
      </c>
      <c r="F360" s="9" t="n">
        <v>2395</v>
      </c>
      <c r="G360" s="9" t="n">
        <v>135</v>
      </c>
      <c r="H360" s="9" t="n">
        <v>127</v>
      </c>
      <c r="I360" s="9" t="n">
        <v>129</v>
      </c>
      <c r="J360" s="9" t="n">
        <v>28</v>
      </c>
      <c r="K360" s="9" t="n">
        <v>23</v>
      </c>
      <c r="L360" s="9" t="n">
        <v>0</v>
      </c>
      <c r="M360" s="10" t="n">
        <f aca="false">IFERROR(G360/F360,"")</f>
        <v>0.0563674321503132</v>
      </c>
      <c r="N360" s="10" t="n">
        <f aca="false">IFERROR(H360/G360,"")</f>
        <v>0.940740740740741</v>
      </c>
      <c r="O360" s="11" t="n">
        <f aca="false">IFERROR(I360/H360,"")</f>
        <v>1.01574803149606</v>
      </c>
      <c r="P360" s="10" t="n">
        <f aca="false">IFERROR(J360/H360,"")</f>
        <v>0.220472440944882</v>
      </c>
      <c r="Q360" s="10" t="n">
        <f aca="false">IFERROR(K360/H360,"")</f>
        <v>0.181102362204724</v>
      </c>
      <c r="R360" s="10" t="n">
        <f aca="false">IFERROR(L360/H360,"")</f>
        <v>0</v>
      </c>
      <c r="S360" s="11" t="n">
        <f aca="false">IFERROR(M360/MEDIAN(INDEX($M$5:$M$373,MATCH($A360-90,$A$5:$A$373,1)):INDEX($M$5:$M$373,MATCH($A360+90,$A$5:$A$373,1))),"")</f>
        <v>1.13016701461378</v>
      </c>
      <c r="T360" s="11" t="n">
        <f aca="false">IFERROR(N360/MEDIAN(INDEX($N$5:$N$373,MATCH($A360-90,$A$5:$A$373,1)):INDEX($N$5:$N$373,MATCH($A360+90,$A$5:$A$373,1))),"")</f>
        <v>1</v>
      </c>
      <c r="U360" s="11" t="n">
        <f aca="false">IFERROR(Q360/MEDIAN(INDEX($Q$5:$Q$373,MATCH($A360-90,$A$5:$A$373,1)):INDEX($Q$5:$Q$373,MATCH($A360+90,$A$5:$A$373,1))),"")</f>
        <v>1.167104111986</v>
      </c>
    </row>
    <row r="361" customFormat="false" ht="15" hidden="false" customHeight="false" outlineLevel="0" collapsed="false">
      <c r="A361" s="13" t="n">
        <v>46182.6066933102</v>
      </c>
      <c r="B361" s="8" t="n">
        <v>14</v>
      </c>
      <c r="C361" s="8" t="s">
        <v>64</v>
      </c>
      <c r="D361" s="8" t="s">
        <v>1569</v>
      </c>
      <c r="E361" s="14" t="s">
        <v>66</v>
      </c>
      <c r="F361" s="9" t="n">
        <v>2674</v>
      </c>
      <c r="G361" s="9" t="n">
        <v>143</v>
      </c>
      <c r="H361" s="9" t="n">
        <v>116</v>
      </c>
      <c r="I361" s="9" t="n">
        <v>91</v>
      </c>
      <c r="J361" s="9" t="n">
        <v>35</v>
      </c>
      <c r="K361" s="9" t="n">
        <v>18</v>
      </c>
      <c r="L361" s="9" t="n">
        <v>0</v>
      </c>
      <c r="M361" s="10" t="n">
        <f aca="false">IFERROR(G361/F361,"")</f>
        <v>0.0534779356768886</v>
      </c>
      <c r="N361" s="10" t="n">
        <f aca="false">IFERROR(H361/G361,"")</f>
        <v>0.811188811188811</v>
      </c>
      <c r="O361" s="11" t="n">
        <f aca="false">IFERROR(I361/H361,"")</f>
        <v>0.78448275862069</v>
      </c>
      <c r="P361" s="10" t="n">
        <f aca="false">IFERROR(J361/H361,"")</f>
        <v>0.301724137931035</v>
      </c>
      <c r="Q361" s="10" t="n">
        <f aca="false">IFERROR(K361/H361,"")</f>
        <v>0.155172413793103</v>
      </c>
      <c r="R361" s="10" t="n">
        <f aca="false">IFERROR(L361/H361,"")</f>
        <v>0</v>
      </c>
      <c r="S361" s="11" t="n">
        <f aca="false">IFERROR(M361/MEDIAN(INDEX($M$5:$M$373,MATCH($A361-90,$A$5:$A$373,1)):INDEX($M$5:$M$373,MATCH($A361+90,$A$5:$A$373,1))),"")</f>
        <v>1.06386525798392</v>
      </c>
      <c r="T361" s="11" t="n">
        <f aca="false">IFERROR(N361/MEDIAN(INDEX($N$5:$N$373,MATCH($A361-90,$A$5:$A$373,1)):INDEX($N$5:$N$373,MATCH($A361+90,$A$5:$A$373,1))),"")</f>
        <v>0.863188930429339</v>
      </c>
      <c r="U361" s="11" t="n">
        <f aca="false">IFERROR(Q361/MEDIAN(INDEX($Q$5:$Q$373,MATCH($A361-90,$A$5:$A$373,1)):INDEX($Q$5:$Q$373,MATCH($A361+90,$A$5:$A$373,1))),"")</f>
        <v>0.958083832335329</v>
      </c>
    </row>
    <row r="362" customFormat="false" ht="15" hidden="false" customHeight="false" outlineLevel="0" collapsed="false">
      <c r="A362" s="13" t="n">
        <v>46184.552876412</v>
      </c>
      <c r="B362" s="8" t="n">
        <v>13</v>
      </c>
      <c r="C362" s="8" t="s">
        <v>73</v>
      </c>
      <c r="D362" s="8" t="s">
        <v>1570</v>
      </c>
      <c r="E362" s="14" t="s">
        <v>66</v>
      </c>
      <c r="F362" s="9" t="n">
        <v>2904</v>
      </c>
      <c r="G362" s="9" t="n">
        <v>150</v>
      </c>
      <c r="H362" s="9" t="n">
        <v>121</v>
      </c>
      <c r="I362" s="9" t="n">
        <v>119</v>
      </c>
      <c r="J362" s="9" t="n">
        <v>36</v>
      </c>
      <c r="K362" s="9" t="n">
        <v>26</v>
      </c>
      <c r="L362" s="9" t="n">
        <v>1</v>
      </c>
      <c r="M362" s="10" t="n">
        <f aca="false">IFERROR(G362/F362,"")</f>
        <v>0.0516528925619835</v>
      </c>
      <c r="N362" s="10" t="n">
        <f aca="false">IFERROR(H362/G362,"")</f>
        <v>0.806666666666667</v>
      </c>
      <c r="O362" s="11" t="n">
        <f aca="false">IFERROR(I362/H362,"")</f>
        <v>0.983471074380165</v>
      </c>
      <c r="P362" s="10" t="n">
        <f aca="false">IFERROR(J362/H362,"")</f>
        <v>0.297520661157025</v>
      </c>
      <c r="Q362" s="10" t="n">
        <f aca="false">IFERROR(K362/H362,"")</f>
        <v>0.214876033057851</v>
      </c>
      <c r="R362" s="10" t="n">
        <f aca="false">IFERROR(L362/H362,"")</f>
        <v>0.00826446280991736</v>
      </c>
      <c r="S362" s="11" t="n">
        <f aca="false">IFERROR(M362/MEDIAN(INDEX($M$5:$M$373,MATCH($A362-90,$A$5:$A$373,1)):INDEX($M$5:$M$373,MATCH($A362+90,$A$5:$A$373,1))),"")</f>
        <v>1.01960205569831</v>
      </c>
      <c r="T362" s="11" t="n">
        <f aca="false">IFERROR(N362/MEDIAN(INDEX($N$5:$N$373,MATCH($A362-90,$A$5:$A$373,1)):INDEX($N$5:$N$373,MATCH($A362+90,$A$5:$A$373,1))),"")</f>
        <v>0.859275362318841</v>
      </c>
      <c r="U362" s="11" t="n">
        <f aca="false">IFERROR(Q362/MEDIAN(INDEX($Q$5:$Q$373,MATCH($A362-90,$A$5:$A$373,1)):INDEX($Q$5:$Q$373,MATCH($A362+90,$A$5:$A$373,1))),"")</f>
        <v>1.27333945515764</v>
      </c>
    </row>
    <row r="363" customFormat="false" ht="15" hidden="false" customHeight="false" outlineLevel="0" collapsed="false">
      <c r="A363" s="13" t="n">
        <v>46191.4885458796</v>
      </c>
      <c r="B363" s="8" t="n">
        <v>11</v>
      </c>
      <c r="C363" s="8" t="s">
        <v>73</v>
      </c>
      <c r="D363" s="8" t="s">
        <v>1571</v>
      </c>
      <c r="E363" s="14" t="s">
        <v>66</v>
      </c>
      <c r="F363" s="9" t="n">
        <v>3074</v>
      </c>
      <c r="G363" s="9" t="n">
        <v>214</v>
      </c>
      <c r="H363" s="9" t="n">
        <v>200</v>
      </c>
      <c r="I363" s="9" t="n">
        <v>170</v>
      </c>
      <c r="J363" s="9" t="n">
        <v>32</v>
      </c>
      <c r="K363" s="9" t="n">
        <v>40</v>
      </c>
      <c r="L363" s="9" t="n">
        <v>0</v>
      </c>
      <c r="M363" s="10" t="n">
        <f aca="false">IFERROR(G363/F363,"")</f>
        <v>0.0696161353285621</v>
      </c>
      <c r="N363" s="10" t="n">
        <f aca="false">IFERROR(H363/G363,"")</f>
        <v>0.934579439252336</v>
      </c>
      <c r="O363" s="11" t="n">
        <f aca="false">IFERROR(I363/H363,"")</f>
        <v>0.85</v>
      </c>
      <c r="P363" s="10" t="n">
        <f aca="false">IFERROR(J363/H363,"")</f>
        <v>0.16</v>
      </c>
      <c r="Q363" s="10" t="n">
        <f aca="false">IFERROR(K363/H363,"")</f>
        <v>0.2</v>
      </c>
      <c r="R363" s="10" t="n">
        <f aca="false">IFERROR(L363/H363,"")</f>
        <v>0</v>
      </c>
      <c r="S363" s="11" t="n">
        <f aca="false">IFERROR(M363/MEDIAN(INDEX($M$5:$M$373,MATCH($A363-90,$A$5:$A$373,1)):INDEX($M$5:$M$373,MATCH($A363+90,$A$5:$A$373,1))),"")</f>
        <v>1.36103455586178</v>
      </c>
      <c r="T363" s="11" t="n">
        <f aca="false">IFERROR(N363/MEDIAN(INDEX($N$5:$N$373,MATCH($A363-90,$A$5:$A$373,1)):INDEX($N$5:$N$373,MATCH($A363+90,$A$5:$A$373,1))),"")</f>
        <v>1</v>
      </c>
      <c r="U363" s="11" t="n">
        <f aca="false">IFERROR(Q363/MEDIAN(INDEX($Q$5:$Q$373,MATCH($A363-90,$A$5:$A$373,1)):INDEX($Q$5:$Q$373,MATCH($A363+90,$A$5:$A$373,1))),"")</f>
        <v>1.12173913043478</v>
      </c>
    </row>
    <row r="364" customFormat="false" ht="15" hidden="false" customHeight="false" outlineLevel="0" collapsed="false">
      <c r="A364" s="13" t="n">
        <v>46194.4691498148</v>
      </c>
      <c r="B364" s="8" t="n">
        <v>11</v>
      </c>
      <c r="C364" s="8" t="s">
        <v>86</v>
      </c>
      <c r="D364" s="8" t="s">
        <v>1572</v>
      </c>
      <c r="E364" s="14" t="s">
        <v>66</v>
      </c>
      <c r="F364" s="9" t="n">
        <v>2965</v>
      </c>
      <c r="G364" s="9" t="n">
        <v>190</v>
      </c>
      <c r="H364" s="9" t="n">
        <v>160</v>
      </c>
      <c r="I364" s="9" t="n">
        <v>150</v>
      </c>
      <c r="J364" s="9" t="n">
        <v>36</v>
      </c>
      <c r="K364" s="9" t="n">
        <v>27</v>
      </c>
      <c r="L364" s="9" t="n">
        <v>0</v>
      </c>
      <c r="M364" s="10" t="n">
        <f aca="false">IFERROR(G364/F364,"")</f>
        <v>0.0640809443507589</v>
      </c>
      <c r="N364" s="10" t="n">
        <f aca="false">IFERROR(H364/G364,"")</f>
        <v>0.842105263157895</v>
      </c>
      <c r="O364" s="11" t="n">
        <f aca="false">IFERROR(I364/H364,"")</f>
        <v>0.9375</v>
      </c>
      <c r="P364" s="10" t="n">
        <f aca="false">IFERROR(J364/H364,"")</f>
        <v>0.225</v>
      </c>
      <c r="Q364" s="10" t="n">
        <f aca="false">IFERROR(K364/H364,"")</f>
        <v>0.16875</v>
      </c>
      <c r="R364" s="10" t="n">
        <f aca="false">IFERROR(L364/H364,"")</f>
        <v>0</v>
      </c>
      <c r="S364" s="11" t="n">
        <f aca="false">IFERROR(M364/MEDIAN(INDEX($M$5:$M$373,MATCH($A364-90,$A$5:$A$373,1)):INDEX($M$5:$M$373,MATCH($A364+90,$A$5:$A$373,1))),"")</f>
        <v>1.25056200416023</v>
      </c>
      <c r="T364" s="11" t="n">
        <f aca="false">IFERROR(N364/MEDIAN(INDEX($N$5:$N$373,MATCH($A364-90,$A$5:$A$373,1)):INDEX($N$5:$N$373,MATCH($A364+90,$A$5:$A$373,1))),"")</f>
        <v>0.904270531217062</v>
      </c>
      <c r="U364" s="11" t="n">
        <f aca="false">IFERROR(Q364/MEDIAN(INDEX($Q$5:$Q$373,MATCH($A364-90,$A$5:$A$373,1)):INDEX($Q$5:$Q$373,MATCH($A364+90,$A$5:$A$373,1))),"")</f>
        <v>0.942689832368789</v>
      </c>
    </row>
    <row r="365" customFormat="false" ht="15" hidden="false" customHeight="false" outlineLevel="0" collapsed="false">
      <c r="A365" s="13" t="n">
        <v>46196.5629070833</v>
      </c>
      <c r="B365" s="8" t="n">
        <v>13</v>
      </c>
      <c r="C365" s="8" t="s">
        <v>64</v>
      </c>
      <c r="D365" s="8" t="s">
        <v>1573</v>
      </c>
      <c r="E365" s="14" t="s">
        <v>66</v>
      </c>
      <c r="F365" s="9" t="n">
        <v>2925</v>
      </c>
      <c r="G365" s="9" t="n">
        <v>98</v>
      </c>
      <c r="H365" s="9" t="n">
        <v>92</v>
      </c>
      <c r="I365" s="9" t="n">
        <v>57</v>
      </c>
      <c r="J365" s="9" t="n">
        <v>35</v>
      </c>
      <c r="K365" s="9" t="n">
        <v>6</v>
      </c>
      <c r="L365" s="9" t="n">
        <v>0</v>
      </c>
      <c r="M365" s="10" t="n">
        <f aca="false">IFERROR(G365/F365,"")</f>
        <v>0.0335042735042735</v>
      </c>
      <c r="N365" s="10" t="n">
        <f aca="false">IFERROR(H365/G365,"")</f>
        <v>0.938775510204082</v>
      </c>
      <c r="O365" s="11" t="n">
        <f aca="false">IFERROR(I365/H365,"")</f>
        <v>0.619565217391304</v>
      </c>
      <c r="P365" s="10" t="n">
        <f aca="false">IFERROR(J365/H365,"")</f>
        <v>0.380434782608696</v>
      </c>
      <c r="Q365" s="10" t="n">
        <f aca="false">IFERROR(K365/H365,"")</f>
        <v>0.0652173913043478</v>
      </c>
      <c r="R365" s="10" t="n">
        <f aca="false">IFERROR(L365/H365,"")</f>
        <v>0</v>
      </c>
      <c r="S365" s="11" t="n">
        <f aca="false">IFERROR(M365/MEDIAN(INDEX($M$5:$M$373,MATCH($A365-90,$A$5:$A$373,1)):INDEX($M$5:$M$373,MATCH($A365+90,$A$5:$A$373,1))),"")</f>
        <v>0.655027369634111</v>
      </c>
      <c r="T365" s="11" t="n">
        <f aca="false">IFERROR(N365/MEDIAN(INDEX($N$5:$N$373,MATCH($A365-90,$A$5:$A$373,1)):INDEX($N$5:$N$373,MATCH($A365+90,$A$5:$A$373,1))),"")</f>
        <v>1.01169011293838</v>
      </c>
      <c r="U365" s="11" t="n">
        <f aca="false">IFERROR(Q365/MEDIAN(INDEX($Q$5:$Q$373,MATCH($A365-90,$A$5:$A$373,1)):INDEX($Q$5:$Q$373,MATCH($A365+90,$A$5:$A$373,1))),"")</f>
        <v>0.362876254180602</v>
      </c>
    </row>
    <row r="366" customFormat="false" ht="15" hidden="false" customHeight="false" outlineLevel="0" collapsed="false">
      <c r="A366" s="13" t="n">
        <v>46198.5163409144</v>
      </c>
      <c r="B366" s="8" t="n">
        <v>12</v>
      </c>
      <c r="C366" s="8" t="s">
        <v>73</v>
      </c>
      <c r="D366" s="8" t="s">
        <v>1574</v>
      </c>
      <c r="E366" s="14" t="s">
        <v>66</v>
      </c>
      <c r="F366" s="9" t="n">
        <v>3480</v>
      </c>
      <c r="G366" s="9" t="n">
        <v>178</v>
      </c>
      <c r="H366" s="9" t="n">
        <v>140</v>
      </c>
      <c r="I366" s="9" t="n">
        <v>168</v>
      </c>
      <c r="J366" s="9" t="n">
        <v>41</v>
      </c>
      <c r="K366" s="9" t="n">
        <v>30</v>
      </c>
      <c r="L366" s="9" t="n">
        <v>0</v>
      </c>
      <c r="M366" s="10" t="n">
        <f aca="false">IFERROR(G366/F366,"")</f>
        <v>0.0511494252873563</v>
      </c>
      <c r="N366" s="10" t="n">
        <f aca="false">IFERROR(H366/G366,"")</f>
        <v>0.786516853932584</v>
      </c>
      <c r="O366" s="11" t="n">
        <f aca="false">IFERROR(I366/H366,"")</f>
        <v>1.2</v>
      </c>
      <c r="P366" s="10" t="n">
        <f aca="false">IFERROR(J366/H366,"")</f>
        <v>0.292857142857143</v>
      </c>
      <c r="Q366" s="10" t="n">
        <f aca="false">IFERROR(K366/H366,"")</f>
        <v>0.214285714285714</v>
      </c>
      <c r="R366" s="10" t="n">
        <f aca="false">IFERROR(L366/H366,"")</f>
        <v>0</v>
      </c>
      <c r="S366" s="11" t="n">
        <f aca="false">IFERROR(M366/MEDIAN(INDEX($M$5:$M$373,MATCH($A366-90,$A$5:$A$373,1)):INDEX($M$5:$M$373,MATCH($A366+90,$A$5:$A$373,1))),"")</f>
        <v>0.998198894337028</v>
      </c>
      <c r="T366" s="11" t="n">
        <f aca="false">IFERROR(N366/MEDIAN(INDEX($N$5:$N$373,MATCH($A366-90,$A$5:$A$373,1)):INDEX($N$5:$N$373,MATCH($A366+90,$A$5:$A$373,1))),"")</f>
        <v>0.849826896461789</v>
      </c>
      <c r="U366" s="11" t="n">
        <f aca="false">IFERROR(Q366/MEDIAN(INDEX($Q$5:$Q$373,MATCH($A366-90,$A$5:$A$373,1)):INDEX($Q$5:$Q$373,MATCH($A366+90,$A$5:$A$373,1))),"")</f>
        <v>1.18775140788415</v>
      </c>
    </row>
    <row r="367" customFormat="false" ht="15" hidden="false" customHeight="false" outlineLevel="0" collapsed="false">
      <c r="A367" s="13" t="n">
        <v>46201.4953742708</v>
      </c>
      <c r="B367" s="8" t="n">
        <v>11</v>
      </c>
      <c r="C367" s="8" t="s">
        <v>86</v>
      </c>
      <c r="D367" s="8" t="s">
        <v>1575</v>
      </c>
      <c r="E367" s="14" t="s">
        <v>66</v>
      </c>
      <c r="F367" s="9" t="n">
        <v>3242</v>
      </c>
      <c r="G367" s="9" t="n">
        <v>167</v>
      </c>
      <c r="H367" s="9" t="n">
        <v>114</v>
      </c>
      <c r="I367" s="9" t="n">
        <v>80</v>
      </c>
      <c r="J367" s="9" t="n">
        <v>31</v>
      </c>
      <c r="K367" s="9" t="n">
        <v>13</v>
      </c>
      <c r="L367" s="9" t="n">
        <v>0</v>
      </c>
      <c r="M367" s="10" t="n">
        <f aca="false">IFERROR(G367/F367,"")</f>
        <v>0.0515114127082048</v>
      </c>
      <c r="N367" s="10" t="n">
        <f aca="false">IFERROR(H367/G367,"")</f>
        <v>0.682634730538922</v>
      </c>
      <c r="O367" s="11" t="n">
        <f aca="false">IFERROR(I367/H367,"")</f>
        <v>0.701754385964912</v>
      </c>
      <c r="P367" s="10" t="n">
        <f aca="false">IFERROR(J367/H367,"")</f>
        <v>0.271929824561404</v>
      </c>
      <c r="Q367" s="10" t="n">
        <f aca="false">IFERROR(K367/H367,"")</f>
        <v>0.114035087719298</v>
      </c>
      <c r="R367" s="10" t="n">
        <f aca="false">IFERROR(L367/H367,"")</f>
        <v>0</v>
      </c>
      <c r="S367" s="11" t="n">
        <f aca="false">IFERROR(M367/MEDIAN(INDEX($M$5:$M$373,MATCH($A367-90,$A$5:$A$373,1)):INDEX($M$5:$M$373,MATCH($A367+90,$A$5:$A$373,1))),"")</f>
        <v>1.00345587519075</v>
      </c>
      <c r="T367" s="11" t="n">
        <f aca="false">IFERROR(N367/MEDIAN(INDEX($N$5:$N$373,MATCH($A367-90,$A$5:$A$373,1)):INDEX($N$5:$N$373,MATCH($A367+90,$A$5:$A$373,1))),"")</f>
        <v>0.739520958083832</v>
      </c>
      <c r="U367" s="11" t="n">
        <f aca="false">IFERROR(Q367/MEDIAN(INDEX($Q$5:$Q$373,MATCH($A367-90,$A$5:$A$373,1)):INDEX($Q$5:$Q$373,MATCH($A367+90,$A$5:$A$373,1))),"")</f>
        <v>0.629672006102212</v>
      </c>
    </row>
    <row r="368" customFormat="false" ht="15" hidden="false" customHeight="false" outlineLevel="0" collapsed="false">
      <c r="A368" s="13" t="n">
        <v>46203.5924359607</v>
      </c>
      <c r="B368" s="8" t="n">
        <v>14</v>
      </c>
      <c r="C368" s="8" t="s">
        <v>64</v>
      </c>
      <c r="D368" s="8" t="s">
        <v>1576</v>
      </c>
      <c r="E368" s="14" t="s">
        <v>66</v>
      </c>
      <c r="F368" s="9" t="n">
        <v>4676</v>
      </c>
      <c r="G368" s="9" t="n">
        <v>201</v>
      </c>
      <c r="H368" s="9" t="n">
        <v>129</v>
      </c>
      <c r="I368" s="9" t="n">
        <v>118</v>
      </c>
      <c r="J368" s="9" t="n">
        <v>37</v>
      </c>
      <c r="K368" s="9" t="n">
        <v>23</v>
      </c>
      <c r="L368" s="9" t="n">
        <v>0</v>
      </c>
      <c r="M368" s="10" t="n">
        <f aca="false">IFERROR(G368/F368,"")</f>
        <v>0.0429854576561163</v>
      </c>
      <c r="N368" s="10" t="n">
        <f aca="false">IFERROR(H368/G368,"")</f>
        <v>0.641791044776119</v>
      </c>
      <c r="O368" s="11" t="n">
        <f aca="false">IFERROR(I368/H368,"")</f>
        <v>0.914728682170543</v>
      </c>
      <c r="P368" s="10" t="n">
        <f aca="false">IFERROR(J368/H368,"")</f>
        <v>0.286821705426357</v>
      </c>
      <c r="Q368" s="10" t="n">
        <f aca="false">IFERROR(K368/H368,"")</f>
        <v>0.178294573643411</v>
      </c>
      <c r="R368" s="10" t="n">
        <f aca="false">IFERROR(L368/H368,"")</f>
        <v>0</v>
      </c>
      <c r="S368" s="11" t="n">
        <f aca="false">IFERROR(M368/MEDIAN(INDEX($M$5:$M$373,MATCH($A368-90,$A$5:$A$373,1)):INDEX($M$5:$M$373,MATCH($A368+90,$A$5:$A$373,1))),"")</f>
        <v>0.835923603282713</v>
      </c>
      <c r="T368" s="11" t="n">
        <f aca="false">IFERROR(N368/MEDIAN(INDEX($N$5:$N$373,MATCH($A368-90,$A$5:$A$373,1)):INDEX($N$5:$N$373,MATCH($A368+90,$A$5:$A$373,1))),"")</f>
        <v>0.696036830119436</v>
      </c>
      <c r="U368" s="11" t="n">
        <f aca="false">IFERROR(Q368/MEDIAN(INDEX($Q$5:$Q$373,MATCH($A368-90,$A$5:$A$373,1)):INDEX($Q$5:$Q$373,MATCH($A368+90,$A$5:$A$373,1))),"")</f>
        <v>0.988258277360973</v>
      </c>
    </row>
    <row r="369" customFormat="false" ht="15" hidden="false" customHeight="false" outlineLevel="0" collapsed="false">
      <c r="A369" s="13" t="n">
        <v>46205.4321900463</v>
      </c>
      <c r="B369" s="8" t="n">
        <v>10</v>
      </c>
      <c r="C369" s="8" t="s">
        <v>73</v>
      </c>
      <c r="D369" s="8" t="s">
        <v>1577</v>
      </c>
      <c r="E369" s="14" t="s">
        <v>66</v>
      </c>
      <c r="F369" s="9" t="n">
        <v>5109</v>
      </c>
      <c r="G369" s="9" t="n">
        <v>283</v>
      </c>
      <c r="H369" s="9" t="n">
        <v>252</v>
      </c>
      <c r="I369" s="9" t="n">
        <v>214</v>
      </c>
      <c r="J369" s="9" t="n">
        <v>42</v>
      </c>
      <c r="K369" s="9" t="n">
        <v>55</v>
      </c>
      <c r="L369" s="9" t="n">
        <v>0</v>
      </c>
      <c r="M369" s="10" t="n">
        <f aca="false">IFERROR(G369/F369,"")</f>
        <v>0.0553924447054218</v>
      </c>
      <c r="N369" s="10" t="n">
        <f aca="false">IFERROR(H369/G369,"")</f>
        <v>0.890459363957597</v>
      </c>
      <c r="O369" s="11" t="n">
        <f aca="false">IFERROR(I369/H369,"")</f>
        <v>0.849206349206349</v>
      </c>
      <c r="P369" s="10" t="n">
        <f aca="false">IFERROR(J369/H369,"")</f>
        <v>0.166666666666667</v>
      </c>
      <c r="Q369" s="10" t="n">
        <f aca="false">IFERROR(K369/H369,"")</f>
        <v>0.218253968253968</v>
      </c>
      <c r="R369" s="10" t="n">
        <f aca="false">IFERROR(L369/H369,"")</f>
        <v>0</v>
      </c>
      <c r="S369" s="11" t="n">
        <f aca="false">IFERROR(M369/MEDIAN(INDEX($M$5:$M$373,MATCH($A369-90,$A$5:$A$373,1)):INDEX($M$5:$M$373,MATCH($A369+90,$A$5:$A$373,1))),"")</f>
        <v>1.07719806878004</v>
      </c>
      <c r="T369" s="11" t="n">
        <f aca="false">IFERROR(N369/MEDIAN(INDEX($N$5:$N$373,MATCH($A369-90,$A$5:$A$373,1)):INDEX($N$5:$N$373,MATCH($A369+90,$A$5:$A$373,1))),"")</f>
        <v>0.965723217991335</v>
      </c>
      <c r="U369" s="11" t="n">
        <f aca="false">IFERROR(Q369/MEDIAN(INDEX($Q$5:$Q$373,MATCH($A369-90,$A$5:$A$373,1)):INDEX($Q$5:$Q$373,MATCH($A369+90,$A$5:$A$373,1))),"")</f>
        <v>1.20974680432645</v>
      </c>
    </row>
    <row r="370" customFormat="false" ht="15" hidden="false" customHeight="false" outlineLevel="0" collapsed="false">
      <c r="A370" s="13" t="n">
        <v>46208.6292116782</v>
      </c>
      <c r="B370" s="8" t="n">
        <v>15</v>
      </c>
      <c r="C370" s="8" t="s">
        <v>86</v>
      </c>
      <c r="D370" s="8" t="s">
        <v>1578</v>
      </c>
      <c r="E370" s="14" t="s">
        <v>66</v>
      </c>
      <c r="F370" s="9" t="n">
        <v>3118</v>
      </c>
      <c r="G370" s="9" t="n">
        <v>150</v>
      </c>
      <c r="H370" s="9" t="n">
        <v>148</v>
      </c>
      <c r="I370" s="9" t="n">
        <v>135</v>
      </c>
      <c r="J370" s="9" t="n">
        <v>49</v>
      </c>
      <c r="K370" s="9" t="n">
        <v>22</v>
      </c>
      <c r="L370" s="9" t="n">
        <v>0</v>
      </c>
      <c r="M370" s="10" t="n">
        <f aca="false">IFERROR(G370/F370,"")</f>
        <v>0.0481077613855035</v>
      </c>
      <c r="N370" s="10" t="n">
        <f aca="false">IFERROR(H370/G370,"")</f>
        <v>0.986666666666667</v>
      </c>
      <c r="O370" s="11" t="n">
        <f aca="false">IFERROR(I370/H370,"")</f>
        <v>0.912162162162162</v>
      </c>
      <c r="P370" s="10" t="n">
        <f aca="false">IFERROR(J370/H370,"")</f>
        <v>0.331081081081081</v>
      </c>
      <c r="Q370" s="10" t="n">
        <f aca="false">IFERROR(K370/H370,"")</f>
        <v>0.148648648648649</v>
      </c>
      <c r="R370" s="10" t="n">
        <f aca="false">IFERROR(L370/H370,"")</f>
        <v>0</v>
      </c>
      <c r="S370" s="11" t="n">
        <f aca="false">IFERROR(M370/MEDIAN(INDEX($M$5:$M$373,MATCH($A370-90,$A$5:$A$373,1)):INDEX($M$5:$M$373,MATCH($A370+90,$A$5:$A$373,1))),"")</f>
        <v>0.932643539051784</v>
      </c>
      <c r="T370" s="11" t="n">
        <f aca="false">IFERROR(N370/MEDIAN(INDEX($N$5:$N$373,MATCH($A370-90,$A$5:$A$373,1)):INDEX($N$5:$N$373,MATCH($A370+90,$A$5:$A$373,1))),"")</f>
        <v>1.07666666666667</v>
      </c>
      <c r="U370" s="11" t="n">
        <f aca="false">IFERROR(Q370/MEDIAN(INDEX($Q$5:$Q$373,MATCH($A370-90,$A$5:$A$373,1)):INDEX($Q$5:$Q$373,MATCH($A370+90,$A$5:$A$373,1))),"")</f>
        <v>0.797537548109631</v>
      </c>
    </row>
    <row r="371" customFormat="false" ht="15" hidden="false" customHeight="false" outlineLevel="0" collapsed="false">
      <c r="A371" s="13" t="n">
        <v>46210.6493625463</v>
      </c>
      <c r="B371" s="8" t="n">
        <v>15</v>
      </c>
      <c r="C371" s="8" t="s">
        <v>64</v>
      </c>
      <c r="D371" s="8" t="s">
        <v>1579</v>
      </c>
      <c r="E371" s="14" t="s">
        <v>66</v>
      </c>
      <c r="F371" s="9" t="n">
        <v>2961</v>
      </c>
      <c r="G371" s="9" t="n">
        <v>152</v>
      </c>
      <c r="H371" s="9" t="n">
        <v>140</v>
      </c>
      <c r="I371" s="9" t="n">
        <v>153</v>
      </c>
      <c r="J371" s="9" t="n">
        <v>33</v>
      </c>
      <c r="K371" s="9" t="n">
        <v>20</v>
      </c>
      <c r="L371" s="9" t="n">
        <v>0</v>
      </c>
      <c r="M371" s="10" t="n">
        <f aca="false">IFERROR(G371/F371,"")</f>
        <v>0.0513340087808173</v>
      </c>
      <c r="N371" s="10" t="n">
        <f aca="false">IFERROR(H371/G371,"")</f>
        <v>0.921052631578947</v>
      </c>
      <c r="O371" s="11" t="n">
        <f aca="false">IFERROR(I371/H371,"")</f>
        <v>1.09285714285714</v>
      </c>
      <c r="P371" s="10" t="n">
        <f aca="false">IFERROR(J371/H371,"")</f>
        <v>0.235714285714286</v>
      </c>
      <c r="Q371" s="10" t="n">
        <f aca="false">IFERROR(K371/H371,"")</f>
        <v>0.142857142857143</v>
      </c>
      <c r="R371" s="10" t="n">
        <f aca="false">IFERROR(L371/H371,"")</f>
        <v>0</v>
      </c>
      <c r="S371" s="11" t="n">
        <f aca="false">IFERROR(M371/MEDIAN(INDEX($M$5:$M$373,MATCH($A371-90,$A$5:$A$373,1)):INDEX($M$5:$M$373,MATCH($A371+90,$A$5:$A$373,1))),"")</f>
        <v>0.995189346671274</v>
      </c>
      <c r="T371" s="11" t="n">
        <f aca="false">IFERROR(N371/MEDIAN(INDEX($N$5:$N$373,MATCH($A371-90,$A$5:$A$373,1)):INDEX($N$5:$N$373,MATCH($A371+90,$A$5:$A$373,1))),"")</f>
        <v>1.00506756756757</v>
      </c>
      <c r="U371" s="11" t="n">
        <f aca="false">IFERROR(Q371/MEDIAN(INDEX($Q$5:$Q$373,MATCH($A371-90,$A$5:$A$373,1)):INDEX($Q$5:$Q$373,MATCH($A371+90,$A$5:$A$373,1))),"")</f>
        <v>0.76646465662484</v>
      </c>
    </row>
    <row r="372" customFormat="false" ht="15" hidden="false" customHeight="false" outlineLevel="0" collapsed="false">
      <c r="A372" s="13" t="n">
        <v>46212.5165339236</v>
      </c>
      <c r="B372" s="8" t="n">
        <v>12</v>
      </c>
      <c r="C372" s="8" t="s">
        <v>73</v>
      </c>
      <c r="D372" s="8" t="s">
        <v>1580</v>
      </c>
      <c r="E372" s="14" t="s">
        <v>66</v>
      </c>
      <c r="F372" s="9" t="n">
        <v>2810</v>
      </c>
      <c r="G372" s="9" t="n">
        <v>131</v>
      </c>
      <c r="H372" s="9" t="n">
        <v>103</v>
      </c>
      <c r="I372" s="9" t="n">
        <v>130</v>
      </c>
      <c r="J372" s="9" t="n">
        <v>32</v>
      </c>
      <c r="K372" s="9" t="n">
        <v>23</v>
      </c>
      <c r="L372" s="9" t="n">
        <v>0</v>
      </c>
      <c r="M372" s="10" t="n">
        <f aca="false">IFERROR(G372/F372,"")</f>
        <v>0.0466192170818505</v>
      </c>
      <c r="N372" s="10" t="n">
        <f aca="false">IFERROR(H372/G372,"")</f>
        <v>0.786259541984733</v>
      </c>
      <c r="O372" s="11" t="n">
        <f aca="false">IFERROR(I372/H372,"")</f>
        <v>1.2621359223301</v>
      </c>
      <c r="P372" s="10" t="n">
        <f aca="false">IFERROR(J372/H372,"")</f>
        <v>0.310679611650485</v>
      </c>
      <c r="Q372" s="10" t="n">
        <f aca="false">IFERROR(K372/H372,"")</f>
        <v>0.223300970873786</v>
      </c>
      <c r="R372" s="10" t="n">
        <f aca="false">IFERROR(L372/H372,"")</f>
        <v>0</v>
      </c>
      <c r="S372" s="11" t="n">
        <f aca="false">IFERROR(M372/MEDIAN(INDEX($M$5:$M$373,MATCH($A372-90,$A$5:$A$373,1)):INDEX($M$5:$M$373,MATCH($A372+90,$A$5:$A$373,1))),"")</f>
        <v>0.902548042704626</v>
      </c>
      <c r="T372" s="11" t="n">
        <f aca="false">IFERROR(N372/MEDIAN(INDEX($N$5:$N$373,MATCH($A372-90,$A$5:$A$373,1)):INDEX($N$5:$N$373,MATCH($A372+90,$A$5:$A$373,1))),"")</f>
        <v>0.86234917508003</v>
      </c>
      <c r="U372" s="11" t="n">
        <f aca="false">IFERROR(Q372/MEDIAN(INDEX($Q$5:$Q$373,MATCH($A372-90,$A$5:$A$373,1)):INDEX($Q$5:$Q$373,MATCH($A372+90,$A$5:$A$373,1))),"")</f>
        <v>1.16504854368932</v>
      </c>
    </row>
    <row r="373" customFormat="false" ht="15" hidden="false" customHeight="false" outlineLevel="0" collapsed="false">
      <c r="A373" s="13" t="n">
        <v>46215.5204020023</v>
      </c>
      <c r="B373" s="8" t="n">
        <v>12</v>
      </c>
      <c r="C373" s="8" t="s">
        <v>86</v>
      </c>
      <c r="D373" s="8" t="s">
        <v>1581</v>
      </c>
      <c r="E373" s="14" t="s">
        <v>66</v>
      </c>
      <c r="F373" s="9" t="n">
        <v>2704</v>
      </c>
      <c r="G373" s="9" t="n">
        <v>156</v>
      </c>
      <c r="H373" s="9" t="n">
        <v>114</v>
      </c>
      <c r="I373" s="9" t="n">
        <v>115</v>
      </c>
      <c r="J373" s="9" t="n">
        <v>29</v>
      </c>
      <c r="K373" s="9" t="n">
        <v>38</v>
      </c>
      <c r="L373" s="9" t="n">
        <v>1</v>
      </c>
      <c r="M373" s="10" t="n">
        <f aca="false">IFERROR(G373/F373,"")</f>
        <v>0.0576923076923077</v>
      </c>
      <c r="N373" s="10" t="n">
        <f aca="false">IFERROR(H373/G373,"")</f>
        <v>0.730769230769231</v>
      </c>
      <c r="O373" s="11" t="n">
        <f aca="false">IFERROR(I373/H373,"")</f>
        <v>1.00877192982456</v>
      </c>
      <c r="P373" s="10" t="n">
        <f aca="false">IFERROR(J373/H373,"")</f>
        <v>0.254385964912281</v>
      </c>
      <c r="Q373" s="10" t="n">
        <f aca="false">IFERROR(K373/H373,"")</f>
        <v>0.333333333333333</v>
      </c>
      <c r="R373" s="10" t="n">
        <f aca="false">IFERROR(L373/H373,"")</f>
        <v>0.0087719298245614</v>
      </c>
      <c r="S373" s="11" t="n">
        <f aca="false">IFERROR(M373/MEDIAN(INDEX($M$5:$M$373,MATCH($A373-90,$A$5:$A$373,1)):INDEX($M$5:$M$373,MATCH($A373+90,$A$5:$A$373,1))),"")</f>
        <v>1.09753359045593</v>
      </c>
      <c r="T373" s="11" t="n">
        <f aca="false">IFERROR(N373/MEDIAN(INDEX($N$5:$N$373,MATCH($A373-90,$A$5:$A$373,1)):INDEX($N$5:$N$373,MATCH($A373+90,$A$5:$A$373,1))),"")</f>
        <v>0.806693306693307</v>
      </c>
      <c r="U373" s="11" t="n">
        <f aca="false">IFERROR(Q373/MEDIAN(INDEX($Q$5:$Q$373,MATCH($A373-90,$A$5:$A$373,1)):INDEX($Q$5:$Q$373,MATCH($A373+90,$A$5:$A$373,1))),"")</f>
        <v>1.78841753212463</v>
      </c>
    </row>
  </sheetData>
  <autoFilter ref="A4:U373"/>
  <hyperlinks>
    <hyperlink ref="E5" r:id="rId1" display="ссылка"/>
    <hyperlink ref="E6" r:id="rId2" display="ссылка"/>
    <hyperlink ref="E7" r:id="rId3" display="ссылка"/>
    <hyperlink ref="E8" r:id="rId4" display="ссылка"/>
    <hyperlink ref="E9" r:id="rId5" display="ссылка"/>
    <hyperlink ref="E10" r:id="rId6" display="ссылка"/>
    <hyperlink ref="E11" r:id="rId7" display="ссылка"/>
    <hyperlink ref="E12" r:id="rId8" display="ссылка"/>
    <hyperlink ref="E13" r:id="rId9" display="ссылка"/>
    <hyperlink ref="E14" r:id="rId10" display="ссылка"/>
    <hyperlink ref="E15" r:id="rId11" display="ссылка"/>
    <hyperlink ref="E16" r:id="rId12" display="ссылка"/>
    <hyperlink ref="E17" r:id="rId13" display="ссылка"/>
    <hyperlink ref="E18" r:id="rId14" display="ссылка"/>
    <hyperlink ref="E19" r:id="rId15" display="ссылка"/>
    <hyperlink ref="E20" r:id="rId16" display="ссылка"/>
    <hyperlink ref="E21" r:id="rId17" display="ссылка"/>
    <hyperlink ref="E22" r:id="rId18" display="ссылка"/>
    <hyperlink ref="E23" r:id="rId19" display="ссылка"/>
    <hyperlink ref="E24" r:id="rId20" display="ссылка"/>
    <hyperlink ref="E25" r:id="rId21" display="ссылка"/>
    <hyperlink ref="E26" r:id="rId22" display="ссылка"/>
    <hyperlink ref="E27" r:id="rId23" display="ссылка"/>
    <hyperlink ref="E28" r:id="rId24" display="ссылка"/>
    <hyperlink ref="E29" r:id="rId25" display="ссылка"/>
    <hyperlink ref="E30" r:id="rId26" display="ссылка"/>
    <hyperlink ref="E31" r:id="rId27" display="ссылка"/>
    <hyperlink ref="E32" r:id="rId28" display="ссылка"/>
    <hyperlink ref="E33" r:id="rId29" display="ссылка"/>
    <hyperlink ref="E34" r:id="rId30" display="ссылка"/>
    <hyperlink ref="E35" r:id="rId31" display="ссылка"/>
    <hyperlink ref="E36" r:id="rId32" display="ссылка"/>
    <hyperlink ref="E37" r:id="rId33" display="ссылка"/>
    <hyperlink ref="E38" r:id="rId34" display="ссылка"/>
    <hyperlink ref="E39" r:id="rId35" display="ссылка"/>
    <hyperlink ref="E40" r:id="rId36" display="ссылка"/>
    <hyperlink ref="E41" r:id="rId37" display="ссылка"/>
    <hyperlink ref="E42" r:id="rId38" display="ссылка"/>
    <hyperlink ref="E43" r:id="rId39" display="ссылка"/>
    <hyperlink ref="E44" r:id="rId40" display="ссылка"/>
    <hyperlink ref="E45" r:id="rId41" display="ссылка"/>
    <hyperlink ref="E46" r:id="rId42" display="ссылка"/>
    <hyperlink ref="E47" r:id="rId43" display="ссылка"/>
    <hyperlink ref="E48" r:id="rId44" display="ссылка"/>
    <hyperlink ref="E49" r:id="rId45" display="ссылка"/>
    <hyperlink ref="E50" r:id="rId46" display="ссылка"/>
    <hyperlink ref="E51" r:id="rId47" display="ссылка"/>
    <hyperlink ref="E52" r:id="rId48" display="ссылка"/>
    <hyperlink ref="E53" r:id="rId49" display="ссылка"/>
    <hyperlink ref="E54" r:id="rId50" display="ссылка"/>
    <hyperlink ref="E55" r:id="rId51" display="ссылка"/>
    <hyperlink ref="E56" r:id="rId52" display="ссылка"/>
    <hyperlink ref="E57" r:id="rId53" display="ссылка"/>
    <hyperlink ref="E58" r:id="rId54" display="ссылка"/>
    <hyperlink ref="E59" r:id="rId55" display="ссылка"/>
    <hyperlink ref="E60" r:id="rId56" display="ссылка"/>
    <hyperlink ref="E61" r:id="rId57" display="ссылка"/>
    <hyperlink ref="E62" r:id="rId58" display="ссылка"/>
    <hyperlink ref="E63" r:id="rId59" display="ссылка"/>
    <hyperlink ref="E64" r:id="rId60" display="ссылка"/>
    <hyperlink ref="E65" r:id="rId61" display="ссылка"/>
    <hyperlink ref="E66" r:id="rId62" display="ссылка"/>
    <hyperlink ref="E67" r:id="rId63" display="ссылка"/>
    <hyperlink ref="E68" r:id="rId64" display="ссылка"/>
    <hyperlink ref="E69" r:id="rId65" display="ссылка"/>
    <hyperlink ref="E70" r:id="rId66" display="ссылка"/>
    <hyperlink ref="E71" r:id="rId67" display="ссылка"/>
    <hyperlink ref="E72" r:id="rId68" display="ссылка"/>
    <hyperlink ref="E73" r:id="rId69" display="ссылка"/>
    <hyperlink ref="E74" r:id="rId70" display="ссылка"/>
    <hyperlink ref="E75" r:id="rId71" display="ссылка"/>
    <hyperlink ref="E76" r:id="rId72" display="ссылка"/>
    <hyperlink ref="E77" r:id="rId73" display="ссылка"/>
    <hyperlink ref="E78" r:id="rId74" display="ссылка"/>
    <hyperlink ref="E79" r:id="rId75" display="ссылка"/>
    <hyperlink ref="E80" r:id="rId76" display="ссылка"/>
    <hyperlink ref="E81" r:id="rId77" display="ссылка"/>
    <hyperlink ref="E82" r:id="rId78" display="ссылка"/>
    <hyperlink ref="E83" r:id="rId79" display="ссылка"/>
    <hyperlink ref="E84" r:id="rId80" display="ссылка"/>
    <hyperlink ref="E85" r:id="rId81" display="ссылка"/>
    <hyperlink ref="E86" r:id="rId82" display="ссылка"/>
    <hyperlink ref="E87" r:id="rId83" display="ссылка"/>
    <hyperlink ref="E88" r:id="rId84" display="ссылка"/>
    <hyperlink ref="E89" r:id="rId85" display="ссылка"/>
    <hyperlink ref="E90" r:id="rId86" display="ссылка"/>
    <hyperlink ref="E91" r:id="rId87" display="ссылка"/>
    <hyperlink ref="E92" r:id="rId88" display="ссылка"/>
    <hyperlink ref="E93" r:id="rId89" display="ссылка"/>
    <hyperlink ref="E94" r:id="rId90" display="ссылка"/>
    <hyperlink ref="E95" r:id="rId91" display="ссылка"/>
    <hyperlink ref="E96" r:id="rId92" display="ссылка"/>
    <hyperlink ref="E97" r:id="rId93" display="ссылка"/>
    <hyperlink ref="E98" r:id="rId94" display="ссылка"/>
    <hyperlink ref="E99" r:id="rId95" display="ссылка"/>
    <hyperlink ref="E100" r:id="rId96" display="ссылка"/>
    <hyperlink ref="E101" r:id="rId97" display="ссылка"/>
    <hyperlink ref="E102" r:id="rId98" display="ссылка"/>
    <hyperlink ref="E103" r:id="rId99" display="ссылка"/>
    <hyperlink ref="E104" r:id="rId100" display="ссылка"/>
    <hyperlink ref="E105" r:id="rId101" display="ссылка"/>
    <hyperlink ref="E106" r:id="rId102" display="ссылка"/>
    <hyperlink ref="E107" r:id="rId103" display="ссылка"/>
    <hyperlink ref="E108" r:id="rId104" display="ссылка"/>
    <hyperlink ref="E109" r:id="rId105" display="ссылка"/>
    <hyperlink ref="E110" r:id="rId106" display="ссылка"/>
    <hyperlink ref="E111" r:id="rId107" display="ссылка"/>
    <hyperlink ref="E112" r:id="rId108" display="ссылка"/>
    <hyperlink ref="E113" r:id="rId109" display="ссылка"/>
    <hyperlink ref="E114" r:id="rId110" display="ссылка"/>
    <hyperlink ref="E115" r:id="rId111" display="ссылка"/>
    <hyperlink ref="E116" r:id="rId112" display="ссылка"/>
    <hyperlink ref="E117" r:id="rId113" display="ссылка"/>
    <hyperlink ref="E118" r:id="rId114" display="ссылка"/>
    <hyperlink ref="E119" r:id="rId115" display="ссылка"/>
    <hyperlink ref="E120" r:id="rId116" display="ссылка"/>
    <hyperlink ref="E121" r:id="rId117" display="ссылка"/>
    <hyperlink ref="E122" r:id="rId118" display="ссылка"/>
    <hyperlink ref="E123" r:id="rId119" display="ссылка"/>
    <hyperlink ref="E124" r:id="rId120" display="ссылка"/>
    <hyperlink ref="E125" r:id="rId121" display="ссылка"/>
    <hyperlink ref="E126" r:id="rId122" display="ссылка"/>
    <hyperlink ref="E127" r:id="rId123" display="ссылка"/>
    <hyperlink ref="E128" r:id="rId124" display="ссылка"/>
    <hyperlink ref="E129" r:id="rId125" display="ссылка"/>
    <hyperlink ref="E130" r:id="rId126" display="ссылка"/>
    <hyperlink ref="E131" r:id="rId127" display="ссылка"/>
    <hyperlink ref="E132" r:id="rId128" display="ссылка"/>
    <hyperlink ref="E133" r:id="rId129" display="ссылка"/>
    <hyperlink ref="E134" r:id="rId130" display="ссылка"/>
    <hyperlink ref="E135" r:id="rId131" display="ссылка"/>
    <hyperlink ref="E136" r:id="rId132" display="ссылка"/>
    <hyperlink ref="E137" r:id="rId133" display="ссылка"/>
    <hyperlink ref="E138" r:id="rId134" display="ссылка"/>
    <hyperlink ref="E139" r:id="rId135" display="ссылка"/>
    <hyperlink ref="E140" r:id="rId136" display="ссылка"/>
    <hyperlink ref="E141" r:id="rId137" display="ссылка"/>
    <hyperlink ref="E142" r:id="rId138" display="ссылка"/>
    <hyperlink ref="E143" r:id="rId139" display="ссылка"/>
    <hyperlink ref="E144" r:id="rId140" display="ссылка"/>
    <hyperlink ref="E145" r:id="rId141" display="ссылка"/>
    <hyperlink ref="E146" r:id="rId142" display="ссылка"/>
    <hyperlink ref="E147" r:id="rId143" display="ссылка"/>
    <hyperlink ref="E148" r:id="rId144" display="ссылка"/>
    <hyperlink ref="E149" r:id="rId145" display="ссылка"/>
    <hyperlink ref="E150" r:id="rId146" display="ссылка"/>
    <hyperlink ref="E151" r:id="rId147" display="ссылка"/>
    <hyperlink ref="E152" r:id="rId148" display="ссылка"/>
    <hyperlink ref="E153" r:id="rId149" display="ссылка"/>
    <hyperlink ref="E154" r:id="rId150" display="ссылка"/>
    <hyperlink ref="E155" r:id="rId151" display="ссылка"/>
    <hyperlink ref="E156" r:id="rId152" display="ссылка"/>
    <hyperlink ref="E157" r:id="rId153" display="ссылка"/>
    <hyperlink ref="E158" r:id="rId154" display="ссылка"/>
    <hyperlink ref="E159" r:id="rId155" display="ссылка"/>
    <hyperlink ref="E160" r:id="rId156" display="ссылка"/>
    <hyperlink ref="E161" r:id="rId157" display="ссылка"/>
    <hyperlink ref="E162" r:id="rId158" display="ссылка"/>
    <hyperlink ref="E163" r:id="rId159" display="ссылка"/>
    <hyperlink ref="E164" r:id="rId160" display="ссылка"/>
    <hyperlink ref="E165" r:id="rId161" display="ссылка"/>
    <hyperlink ref="E166" r:id="rId162" display="ссылка"/>
    <hyperlink ref="E167" r:id="rId163" display="ссылка"/>
    <hyperlink ref="E168" r:id="rId164" display="ссылка"/>
    <hyperlink ref="E169" r:id="rId165" display="ссылка"/>
    <hyperlink ref="E170" r:id="rId166" display="ссылка"/>
    <hyperlink ref="E171" r:id="rId167" display="ссылка"/>
    <hyperlink ref="E172" r:id="rId168" display="ссылка"/>
    <hyperlink ref="E173" r:id="rId169" display="ссылка"/>
    <hyperlink ref="E174" r:id="rId170" display="ссылка"/>
    <hyperlink ref="E175" r:id="rId171" display="ссылка"/>
    <hyperlink ref="E176" r:id="rId172" display="ссылка"/>
    <hyperlink ref="E177" r:id="rId173" display="ссылка"/>
    <hyperlink ref="E178" r:id="rId174" display="ссылка"/>
    <hyperlink ref="E179" r:id="rId175" display="ссылка"/>
    <hyperlink ref="E180" r:id="rId176" display="ссылка"/>
    <hyperlink ref="E181" r:id="rId177" display="ссылка"/>
    <hyperlink ref="E182" r:id="rId178" display="ссылка"/>
    <hyperlink ref="E183" r:id="rId179" display="ссылка"/>
    <hyperlink ref="E184" r:id="rId180" display="ссылка"/>
    <hyperlink ref="E185" r:id="rId181" display="ссылка"/>
    <hyperlink ref="E186" r:id="rId182" display="ссылка"/>
    <hyperlink ref="E187" r:id="rId183" display="ссылка"/>
    <hyperlink ref="E188" r:id="rId184" display="ссылка"/>
    <hyperlink ref="E189" r:id="rId185" display="ссылка"/>
    <hyperlink ref="E190" r:id="rId186" display="ссылка"/>
    <hyperlink ref="E191" r:id="rId187" display="ссылка"/>
    <hyperlink ref="E192" r:id="rId188" display="ссылка"/>
    <hyperlink ref="E193" r:id="rId189" display="ссылка"/>
    <hyperlink ref="E194" r:id="rId190" display="ссылка"/>
    <hyperlink ref="E195" r:id="rId191" display="ссылка"/>
    <hyperlink ref="E196" r:id="rId192" display="ссылка"/>
    <hyperlink ref="E197" r:id="rId193" display="ссылка"/>
    <hyperlink ref="E198" r:id="rId194" display="ссылка"/>
    <hyperlink ref="E199" r:id="rId195" display="ссылка"/>
    <hyperlink ref="E200" r:id="rId196" display="ссылка"/>
    <hyperlink ref="E201" r:id="rId197" display="ссылка"/>
    <hyperlink ref="E202" r:id="rId198" display="ссылка"/>
    <hyperlink ref="E203" r:id="rId199" display="ссылка"/>
    <hyperlink ref="E204" r:id="rId200" display="ссылка"/>
    <hyperlink ref="E205" r:id="rId201" display="ссылка"/>
    <hyperlink ref="E206" r:id="rId202" display="ссылка"/>
    <hyperlink ref="E207" r:id="rId203" display="ссылка"/>
    <hyperlink ref="E208" r:id="rId204" display="ссылка"/>
    <hyperlink ref="E209" r:id="rId205" display="ссылка"/>
    <hyperlink ref="E210" r:id="rId206" display="ссылка"/>
    <hyperlink ref="E211" r:id="rId207" display="ссылка"/>
    <hyperlink ref="E212" r:id="rId208" display="ссылка"/>
    <hyperlink ref="E213" r:id="rId209" display="ссылка"/>
    <hyperlink ref="E214" r:id="rId210" display="ссылка"/>
    <hyperlink ref="E215" r:id="rId211" display="ссылка"/>
    <hyperlink ref="E216" r:id="rId212" display="ссылка"/>
    <hyperlink ref="E217" r:id="rId213" display="ссылка"/>
    <hyperlink ref="E218" r:id="rId214" display="ссылка"/>
    <hyperlink ref="E219" r:id="rId215" display="ссылка"/>
    <hyperlink ref="E220" r:id="rId216" display="ссылка"/>
    <hyperlink ref="E221" r:id="rId217" display="ссылка"/>
    <hyperlink ref="E222" r:id="rId218" display="ссылка"/>
    <hyperlink ref="E223" r:id="rId219" display="ссылка"/>
    <hyperlink ref="E224" r:id="rId220" display="ссылка"/>
    <hyperlink ref="E225" r:id="rId221" display="ссылка"/>
    <hyperlink ref="E226" r:id="rId222" display="ссылка"/>
    <hyperlink ref="E227" r:id="rId223" display="ссылка"/>
    <hyperlink ref="E228" r:id="rId224" display="ссылка"/>
    <hyperlink ref="E229" r:id="rId225" display="ссылка"/>
    <hyperlink ref="E230" r:id="rId226" display="ссылка"/>
    <hyperlink ref="E231" r:id="rId227" display="ссылка"/>
    <hyperlink ref="E232" r:id="rId228" display="ссылка"/>
    <hyperlink ref="E233" r:id="rId229" display="ссылка"/>
    <hyperlink ref="E234" r:id="rId230" display="ссылка"/>
    <hyperlink ref="E235" r:id="rId231" display="ссылка"/>
    <hyperlink ref="E236" r:id="rId232" display="ссылка"/>
    <hyperlink ref="E237" r:id="rId233" display="ссылка"/>
    <hyperlink ref="E238" r:id="rId234" display="ссылка"/>
    <hyperlink ref="E239" r:id="rId235" display="ссылка"/>
    <hyperlink ref="E240" r:id="rId236" display="ссылка"/>
    <hyperlink ref="E241" r:id="rId237" display="ссылка"/>
    <hyperlink ref="E242" r:id="rId238" display="ссылка"/>
    <hyperlink ref="E243" r:id="rId239" display="ссылка"/>
    <hyperlink ref="E244" r:id="rId240" display="ссылка"/>
    <hyperlink ref="E245" r:id="rId241" display="ссылка"/>
    <hyperlink ref="E246" r:id="rId242" display="ссылка"/>
    <hyperlink ref="E247" r:id="rId243" display="ссылка"/>
    <hyperlink ref="E248" r:id="rId244" display="ссылка"/>
    <hyperlink ref="E249" r:id="rId245" display="ссылка"/>
    <hyperlink ref="E250" r:id="rId246" display="ссылка"/>
    <hyperlink ref="E251" r:id="rId247" display="ссылка"/>
    <hyperlink ref="E252" r:id="rId248" display="ссылка"/>
    <hyperlink ref="E253" r:id="rId249" display="ссылка"/>
    <hyperlink ref="E254" r:id="rId250" display="ссылка"/>
    <hyperlink ref="E255" r:id="rId251" display="ссылка"/>
    <hyperlink ref="E256" r:id="rId252" display="ссылка"/>
    <hyperlink ref="E257" r:id="rId253" display="ссылка"/>
    <hyperlink ref="E258" r:id="rId254" display="ссылка"/>
    <hyperlink ref="E259" r:id="rId255" display="ссылка"/>
    <hyperlink ref="E260" r:id="rId256" display="ссылка"/>
    <hyperlink ref="E261" r:id="rId257" display="ссылка"/>
    <hyperlink ref="E262" r:id="rId258" display="ссылка"/>
    <hyperlink ref="E263" r:id="rId259" display="ссылка"/>
    <hyperlink ref="E264" r:id="rId260" display="ссылка"/>
    <hyperlink ref="E265" r:id="rId261" display="ссылка"/>
    <hyperlink ref="E266" r:id="rId262" display="ссылка"/>
    <hyperlink ref="E267" r:id="rId263" display="ссылка"/>
    <hyperlink ref="E268" r:id="rId264" display="ссылка"/>
    <hyperlink ref="E269" r:id="rId265" display="ссылка"/>
    <hyperlink ref="E270" r:id="rId266" display="ссылка"/>
    <hyperlink ref="E271" r:id="rId267" display="ссылка"/>
    <hyperlink ref="E272" r:id="rId268" display="ссылка"/>
    <hyperlink ref="E273" r:id="rId269" display="ссылка"/>
    <hyperlink ref="E274" r:id="rId270" display="ссылка"/>
    <hyperlink ref="E275" r:id="rId271" display="ссылка"/>
    <hyperlink ref="E276" r:id="rId272" display="ссылка"/>
    <hyperlink ref="E277" r:id="rId273" display="ссылка"/>
    <hyperlink ref="E278" r:id="rId274" display="ссылка"/>
    <hyperlink ref="E279" r:id="rId275" display="ссылка"/>
    <hyperlink ref="E280" r:id="rId276" display="ссылка"/>
    <hyperlink ref="E281" r:id="rId277" display="ссылка"/>
    <hyperlink ref="E282" r:id="rId278" display="ссылка"/>
    <hyperlink ref="E283" r:id="rId279" display="ссылка"/>
    <hyperlink ref="E284" r:id="rId280" display="ссылка"/>
    <hyperlink ref="E285" r:id="rId281" display="ссылка"/>
    <hyperlink ref="E286" r:id="rId282" display="ссылка"/>
    <hyperlink ref="E287" r:id="rId283" display="ссылка"/>
    <hyperlink ref="E288" r:id="rId284" display="ссылка"/>
    <hyperlink ref="E289" r:id="rId285" display="ссылка"/>
    <hyperlink ref="E290" r:id="rId286" display="ссылка"/>
    <hyperlink ref="E291" r:id="rId287" display="ссылка"/>
    <hyperlink ref="E292" r:id="rId288" display="ссылка"/>
    <hyperlink ref="E293" r:id="rId289" display="ссылка"/>
    <hyperlink ref="E294" r:id="rId290" display="ссылка"/>
    <hyperlink ref="E295" r:id="rId291" display="ссылка"/>
    <hyperlink ref="E296" r:id="rId292" display="ссылка"/>
    <hyperlink ref="E297" r:id="rId293" display="ссылка"/>
    <hyperlink ref="E298" r:id="rId294" display="ссылка"/>
    <hyperlink ref="E299" r:id="rId295" display="ссылка"/>
    <hyperlink ref="E300" r:id="rId296" display="ссылка"/>
    <hyperlink ref="E301" r:id="rId297" display="ссылка"/>
    <hyperlink ref="E302" r:id="rId298" display="ссылка"/>
    <hyperlink ref="E303" r:id="rId299" display="ссылка"/>
    <hyperlink ref="E304" r:id="rId300" display="ссылка"/>
    <hyperlink ref="E305" r:id="rId301" display="ссылка"/>
    <hyperlink ref="E306" r:id="rId302" display="ссылка"/>
    <hyperlink ref="E307" r:id="rId303" display="ссылка"/>
    <hyperlink ref="E308" r:id="rId304" display="ссылка"/>
    <hyperlink ref="E309" r:id="rId305" display="ссылка"/>
    <hyperlink ref="E310" r:id="rId306" display="ссылка"/>
    <hyperlink ref="E311" r:id="rId307" display="ссылка"/>
    <hyperlink ref="E312" r:id="rId308" display="ссылка"/>
    <hyperlink ref="E313" r:id="rId309" display="ссылка"/>
    <hyperlink ref="E314" r:id="rId310" display="ссылка"/>
    <hyperlink ref="E315" r:id="rId311" display="ссылка"/>
    <hyperlink ref="E316" r:id="rId312" display="ссылка"/>
    <hyperlink ref="E317" r:id="rId313" display="ссылка"/>
    <hyperlink ref="E318" r:id="rId314" display="ссылка"/>
    <hyperlink ref="E319" r:id="rId315" display="ссылка"/>
    <hyperlink ref="E320" r:id="rId316" display="ссылка"/>
    <hyperlink ref="E321" r:id="rId317" display="ссылка"/>
    <hyperlink ref="E322" r:id="rId318" display="ссылка"/>
    <hyperlink ref="E323" r:id="rId319" display="ссылка"/>
    <hyperlink ref="E324" r:id="rId320" display="ссылка"/>
    <hyperlink ref="E325" r:id="rId321" display="ссылка"/>
    <hyperlink ref="E326" r:id="rId322" display="ссылка"/>
    <hyperlink ref="E327" r:id="rId323" display="ссылка"/>
    <hyperlink ref="E328" r:id="rId324" display="ссылка"/>
    <hyperlink ref="E329" r:id="rId325" display="ссылка"/>
    <hyperlink ref="E330" r:id="rId326" display="ссылка"/>
    <hyperlink ref="E331" r:id="rId327" display="ссылка"/>
    <hyperlink ref="E332" r:id="rId328" display="ссылка"/>
    <hyperlink ref="E333" r:id="rId329" display="ссылка"/>
    <hyperlink ref="E334" r:id="rId330" display="ссылка"/>
    <hyperlink ref="E335" r:id="rId331" display="ссылка"/>
    <hyperlink ref="E336" r:id="rId332" display="ссылка"/>
    <hyperlink ref="E337" r:id="rId333" display="ссылка"/>
    <hyperlink ref="E338" r:id="rId334" display="ссылка"/>
    <hyperlink ref="E339" r:id="rId335" display="ссылка"/>
    <hyperlink ref="E340" r:id="rId336" display="ссылка"/>
    <hyperlink ref="E341" r:id="rId337" display="ссылка"/>
    <hyperlink ref="E342" r:id="rId338" display="ссылка"/>
    <hyperlink ref="E343" r:id="rId339" display="ссылка"/>
    <hyperlink ref="E344" r:id="rId340" display="ссылка"/>
    <hyperlink ref="E345" r:id="rId341" display="ссылка"/>
    <hyperlink ref="E346" r:id="rId342" display="ссылка"/>
    <hyperlink ref="E347" r:id="rId343" display="ссылка"/>
    <hyperlink ref="E348" r:id="rId344" display="ссылка"/>
    <hyperlink ref="E349" r:id="rId345" display="ссылка"/>
    <hyperlink ref="E350" r:id="rId346" display="ссылка"/>
    <hyperlink ref="E351" r:id="rId347" display="ссылка"/>
    <hyperlink ref="E352" r:id="rId348" display="ссылка"/>
    <hyperlink ref="E353" r:id="rId349" display="ссылка"/>
    <hyperlink ref="E354" r:id="rId350" display="ссылка"/>
    <hyperlink ref="E355" r:id="rId351" display="ссылка"/>
    <hyperlink ref="E356" r:id="rId352" display="ссылка"/>
    <hyperlink ref="E357" r:id="rId353" display="ссылка"/>
    <hyperlink ref="E358" r:id="rId354" display="ссылка"/>
    <hyperlink ref="E359" r:id="rId355" display="ссылка"/>
    <hyperlink ref="E360" r:id="rId356" display="ссылка"/>
    <hyperlink ref="E361" r:id="rId357" display="ссылка"/>
    <hyperlink ref="E362" r:id="rId358" display="ссылка"/>
    <hyperlink ref="E363" r:id="rId359" display="ссылка"/>
    <hyperlink ref="E364" r:id="rId360" display="ссылка"/>
    <hyperlink ref="E365" r:id="rId361" display="ссылка"/>
    <hyperlink ref="E366" r:id="rId362" display="ссылка"/>
    <hyperlink ref="E367" r:id="rId363" display="ссылка"/>
    <hyperlink ref="E368" r:id="rId364" display="ссылка"/>
    <hyperlink ref="E369" r:id="rId365" display="ссылка"/>
    <hyperlink ref="E370" r:id="rId366" display="ссылка"/>
    <hyperlink ref="E371" r:id="rId367" display="ссылка"/>
    <hyperlink ref="E372" r:id="rId368" display="ссылка"/>
    <hyperlink ref="E373" r:id="rId369" display="ссылк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9" min="13" style="0" width="13"/>
    <col collapsed="false" customWidth="true" hidden="false" outlineLevel="0" max="21" min="20" style="0" width="15"/>
  </cols>
  <sheetData>
    <row r="1" customFormat="false" ht="16.15" hidden="false" customHeight="false" outlineLevel="0" collapsed="false">
      <c r="A1" s="1" t="s">
        <v>1582</v>
      </c>
    </row>
    <row r="2" customFormat="false" ht="15" hidden="false" customHeight="false" outlineLevel="0" collapsed="false">
      <c r="A2" s="5" t="s">
        <v>1583</v>
      </c>
    </row>
    <row r="4" customFormat="false" ht="46.25" hidden="false" customHeight="false" outlineLevel="0" collapsed="false">
      <c r="A4" s="12" t="s">
        <v>47</v>
      </c>
      <c r="B4" s="12" t="s">
        <v>48</v>
      </c>
      <c r="C4" s="12" t="s">
        <v>49</v>
      </c>
      <c r="D4" s="12" t="s">
        <v>50</v>
      </c>
      <c r="E4" s="12" t="s">
        <v>51</v>
      </c>
      <c r="F4" s="12" t="s">
        <v>5</v>
      </c>
      <c r="G4" s="12" t="s">
        <v>7</v>
      </c>
      <c r="H4" s="12" t="s">
        <v>9</v>
      </c>
      <c r="I4" s="12" t="s">
        <v>52</v>
      </c>
      <c r="J4" s="12" t="s">
        <v>53</v>
      </c>
      <c r="K4" s="12" t="s">
        <v>54</v>
      </c>
      <c r="L4" s="12" t="s">
        <v>55</v>
      </c>
      <c r="M4" s="12" t="s">
        <v>56</v>
      </c>
      <c r="N4" s="12" t="s">
        <v>32</v>
      </c>
      <c r="O4" s="12" t="s">
        <v>57</v>
      </c>
      <c r="P4" s="12" t="s">
        <v>58</v>
      </c>
      <c r="Q4" s="12" t="s">
        <v>59</v>
      </c>
      <c r="R4" s="12" t="s">
        <v>60</v>
      </c>
      <c r="S4" s="12" t="s">
        <v>61</v>
      </c>
      <c r="T4" s="12" t="s">
        <v>62</v>
      </c>
      <c r="U4" s="12" t="s">
        <v>63</v>
      </c>
    </row>
    <row r="5" customFormat="false" ht="15" hidden="false" customHeight="false" outlineLevel="0" collapsed="false">
      <c r="A5" s="13" t="n">
        <v>45096.5002251389</v>
      </c>
      <c r="B5" s="8" t="n">
        <v>12</v>
      </c>
      <c r="C5" s="8" t="s">
        <v>80</v>
      </c>
      <c r="D5" s="8" t="s">
        <v>1584</v>
      </c>
      <c r="E5" s="14" t="s">
        <v>66</v>
      </c>
      <c r="F5" s="9" t="n">
        <v>753</v>
      </c>
      <c r="G5" s="9" t="n">
        <v>93</v>
      </c>
      <c r="H5" s="9" t="n">
        <v>93</v>
      </c>
      <c r="I5" s="9" t="n">
        <v>0</v>
      </c>
      <c r="J5" s="9" t="n">
        <v>7</v>
      </c>
      <c r="K5" s="9" t="n">
        <v>0</v>
      </c>
      <c r="L5" s="9" t="n">
        <v>0</v>
      </c>
      <c r="M5" s="10" t="n">
        <f aca="false">IFERROR(G5/F5,"")</f>
        <v>0.123505976095618</v>
      </c>
      <c r="N5" s="10" t="n">
        <f aca="false">IFERROR(H5/G5,"")</f>
        <v>1</v>
      </c>
      <c r="O5" s="11" t="n">
        <f aca="false">IFERROR(I5/H5,"")</f>
        <v>0</v>
      </c>
      <c r="P5" s="10" t="n">
        <f aca="false">IFERROR(J5/H5,"")</f>
        <v>0.0752688172043011</v>
      </c>
      <c r="Q5" s="10" t="n">
        <f aca="false">IFERROR(K5/H5,"")</f>
        <v>0</v>
      </c>
      <c r="R5" s="10" t="n">
        <f aca="false">IFERROR(L5/H5,"")</f>
        <v>0</v>
      </c>
      <c r="S5" s="11" t="str">
        <f aca="false">IFERROR(M5/MEDIAN(INDEX($M$5:$M$11,MATCH($A5-90,$A$5:$A$11,1)):INDEX($M$5:$M$11,MATCH($A5+90,$A$5:$A$11,1))),"")</f>
        <v/>
      </c>
      <c r="T5" s="11" t="str">
        <f aca="false">IFERROR(N5/MEDIAN(INDEX($N$5:$N$11,MATCH($A5-90,$A$5:$A$11,1)):INDEX($N$5:$N$11,MATCH($A5+90,$A$5:$A$11,1))),"")</f>
        <v/>
      </c>
      <c r="U5" s="11" t="str">
        <f aca="false">IFERROR(Q5/MEDIAN(INDEX($Q$5:$Q$11,MATCH($A5-90,$A$5:$A$11,1)):INDEX($Q$5:$Q$11,MATCH($A5+90,$A$5:$A$11,1))),"")</f>
        <v/>
      </c>
    </row>
    <row r="6" customFormat="false" ht="15" hidden="false" customHeight="false" outlineLevel="0" collapsed="false">
      <c r="A6" s="13" t="n">
        <v>45096.8496730671</v>
      </c>
      <c r="B6" s="8" t="n">
        <v>20</v>
      </c>
      <c r="C6" s="8" t="s">
        <v>80</v>
      </c>
      <c r="D6" s="8" t="s">
        <v>1584</v>
      </c>
      <c r="E6" s="14" t="s">
        <v>66</v>
      </c>
      <c r="F6" s="9" t="n">
        <v>72141</v>
      </c>
      <c r="G6" s="9" t="n">
        <v>1607</v>
      </c>
      <c r="H6" s="9" t="n">
        <v>2093</v>
      </c>
      <c r="I6" s="9" t="n">
        <v>0</v>
      </c>
      <c r="J6" s="9" t="n">
        <v>131</v>
      </c>
      <c r="K6" s="9" t="n">
        <v>7</v>
      </c>
      <c r="L6" s="9" t="n">
        <v>8</v>
      </c>
      <c r="M6" s="10" t="n">
        <f aca="false">IFERROR(G6/F6,"")</f>
        <v>0.0222758209617277</v>
      </c>
      <c r="N6" s="10" t="n">
        <f aca="false">IFERROR(H6/G6,"")</f>
        <v>1.30242688238955</v>
      </c>
      <c r="O6" s="11" t="n">
        <f aca="false">IFERROR(I6/H6,"")</f>
        <v>0</v>
      </c>
      <c r="P6" s="10" t="n">
        <f aca="false">IFERROR(J6/H6,"")</f>
        <v>0.0625895843287148</v>
      </c>
      <c r="Q6" s="10" t="n">
        <f aca="false">IFERROR(K6/H6,"")</f>
        <v>0.00334448160535117</v>
      </c>
      <c r="R6" s="10" t="n">
        <f aca="false">IFERROR(L6/H6,"")</f>
        <v>0.00382226469182991</v>
      </c>
      <c r="S6" s="11" t="str">
        <f aca="false">IFERROR(M6/MEDIAN(INDEX($M$5:$M$11,MATCH($A6-90,$A$5:$A$11,1)):INDEX($M$5:$M$11,MATCH($A6+90,$A$5:$A$11,1))),"")</f>
        <v/>
      </c>
      <c r="T6" s="11" t="str">
        <f aca="false">IFERROR(N6/MEDIAN(INDEX($N$5:$N$11,MATCH($A6-90,$A$5:$A$11,1)):INDEX($N$5:$N$11,MATCH($A6+90,$A$5:$A$11,1))),"")</f>
        <v/>
      </c>
      <c r="U6" s="11" t="str">
        <f aca="false">IFERROR(Q6/MEDIAN(INDEX($Q$5:$Q$11,MATCH($A6-90,$A$5:$A$11,1)):INDEX($Q$5:$Q$11,MATCH($A6+90,$A$5:$A$11,1))),"")</f>
        <v/>
      </c>
    </row>
    <row r="7" customFormat="false" ht="15" hidden="false" customHeight="false" outlineLevel="0" collapsed="false">
      <c r="A7" s="13" t="n">
        <v>45140.5001786227</v>
      </c>
      <c r="B7" s="8" t="n">
        <v>12</v>
      </c>
      <c r="C7" s="8" t="s">
        <v>71</v>
      </c>
      <c r="D7" s="8" t="s">
        <v>1585</v>
      </c>
      <c r="E7" s="14" t="s">
        <v>66</v>
      </c>
      <c r="F7" s="9" t="n">
        <v>284527</v>
      </c>
      <c r="G7" s="9" t="n">
        <v>3652</v>
      </c>
      <c r="H7" s="9" t="n">
        <v>4240</v>
      </c>
      <c r="I7" s="9" t="n">
        <v>662</v>
      </c>
      <c r="J7" s="9" t="n">
        <v>131</v>
      </c>
      <c r="K7" s="9" t="n">
        <v>10</v>
      </c>
      <c r="L7" s="9" t="n">
        <v>26</v>
      </c>
      <c r="M7" s="10" t="n">
        <f aca="false">IFERROR(G7/F7,"")</f>
        <v>0.0128353372439171</v>
      </c>
      <c r="N7" s="10" t="n">
        <f aca="false">IFERROR(H7/G7,"")</f>
        <v>1.16100766703176</v>
      </c>
      <c r="O7" s="11" t="n">
        <f aca="false">IFERROR(I7/H7,"")</f>
        <v>0.156132075471698</v>
      </c>
      <c r="P7" s="10" t="n">
        <f aca="false">IFERROR(J7/H7,"")</f>
        <v>0.0308962264150943</v>
      </c>
      <c r="Q7" s="10" t="n">
        <f aca="false">IFERROR(K7/H7,"")</f>
        <v>0.00235849056603774</v>
      </c>
      <c r="R7" s="10" t="n">
        <f aca="false">IFERROR(L7/H7,"")</f>
        <v>0.00613207547169811</v>
      </c>
      <c r="S7" s="11" t="str">
        <f aca="false">IFERROR(M7/MEDIAN(INDEX($M$5:$M$11,MATCH($A7-90,$A$5:$A$11,1)):INDEX($M$5:$M$11,MATCH($A7+90,$A$5:$A$11,1))),"")</f>
        <v/>
      </c>
      <c r="T7" s="11" t="str">
        <f aca="false">IFERROR(N7/MEDIAN(INDEX($N$5:$N$11,MATCH($A7-90,$A$5:$A$11,1)):INDEX($N$5:$N$11,MATCH($A7+90,$A$5:$A$11,1))),"")</f>
        <v/>
      </c>
      <c r="U7" s="11" t="str">
        <f aca="false">IFERROR(Q7/MEDIAN(INDEX($Q$5:$Q$11,MATCH($A7-90,$A$5:$A$11,1)):INDEX($Q$5:$Q$11,MATCH($A7+90,$A$5:$A$11,1))),"")</f>
        <v/>
      </c>
    </row>
    <row r="8" customFormat="false" ht="15" hidden="false" customHeight="false" outlineLevel="0" collapsed="false">
      <c r="A8" s="13" t="n">
        <v>45202.8495245602</v>
      </c>
      <c r="B8" s="8" t="n">
        <v>20</v>
      </c>
      <c r="C8" s="8" t="s">
        <v>64</v>
      </c>
      <c r="D8" s="8" t="s">
        <v>1586</v>
      </c>
      <c r="E8" s="14" t="s">
        <v>66</v>
      </c>
      <c r="F8" s="9" t="n">
        <v>998495</v>
      </c>
      <c r="G8" s="9" t="n">
        <v>7070</v>
      </c>
      <c r="H8" s="9" t="n">
        <v>8808</v>
      </c>
      <c r="I8" s="9" t="n">
        <v>3309</v>
      </c>
      <c r="J8" s="9" t="n">
        <v>219</v>
      </c>
      <c r="K8" s="9" t="n">
        <v>9</v>
      </c>
      <c r="L8" s="9" t="n">
        <v>61</v>
      </c>
      <c r="M8" s="10" t="n">
        <f aca="false">IFERROR(G8/F8,"")</f>
        <v>0.00708065638786374</v>
      </c>
      <c r="N8" s="10" t="n">
        <f aca="false">IFERROR(H8/G8,"")</f>
        <v>1.24582743988685</v>
      </c>
      <c r="O8" s="11" t="n">
        <f aca="false">IFERROR(I8/H8,"")</f>
        <v>0.375681198910082</v>
      </c>
      <c r="P8" s="10" t="n">
        <f aca="false">IFERROR(J8/H8,"")</f>
        <v>0.0248637602179837</v>
      </c>
      <c r="Q8" s="10" t="n">
        <f aca="false">IFERROR(K8/H8,"")</f>
        <v>0.00102179836512262</v>
      </c>
      <c r="R8" s="10" t="n">
        <f aca="false">IFERROR(L8/H8,"")</f>
        <v>0.00692552225249773</v>
      </c>
      <c r="S8" s="11" t="n">
        <f aca="false">IFERROR(M8/MEDIAN(INDEX($M$5:$M$11,MATCH($A8-90,$A$5:$A$11,1)):INDEX($M$5:$M$11,MATCH($A8+90,$A$5:$A$11,1))),"")</f>
        <v>0.489350814956629</v>
      </c>
      <c r="T8" s="11" t="n">
        <f aca="false">IFERROR(N8/MEDIAN(INDEX($N$5:$N$11,MATCH($A8-90,$A$5:$A$11,1)):INDEX($N$5:$N$11,MATCH($A8+90,$A$5:$A$11,1))),"")</f>
        <v>0.977788934955229</v>
      </c>
      <c r="U8" s="11" t="n">
        <f aca="false">IFERROR(Q8/MEDIAN(INDEX($Q$5:$Q$11,MATCH($A8-90,$A$5:$A$11,1)):INDEX($Q$5:$Q$11,MATCH($A8+90,$A$5:$A$11,1))),"")</f>
        <v>0.573005993754832</v>
      </c>
    </row>
    <row r="9" customFormat="false" ht="15" hidden="false" customHeight="false" outlineLevel="0" collapsed="false">
      <c r="A9" s="13" t="n">
        <v>45216.9477821412</v>
      </c>
      <c r="B9" s="8" t="n">
        <v>22</v>
      </c>
      <c r="C9" s="8" t="s">
        <v>64</v>
      </c>
      <c r="D9" s="8" t="s">
        <v>1587</v>
      </c>
      <c r="E9" s="14" t="s">
        <v>66</v>
      </c>
      <c r="F9" s="9" t="n">
        <v>1899044</v>
      </c>
      <c r="G9" s="9" t="n">
        <v>15281</v>
      </c>
      <c r="H9" s="9" t="n">
        <v>34975</v>
      </c>
      <c r="I9" s="9" t="n">
        <v>1104</v>
      </c>
      <c r="J9" s="9" t="n">
        <v>202</v>
      </c>
      <c r="K9" s="9" t="n">
        <v>25</v>
      </c>
      <c r="L9" s="9" t="n">
        <v>122</v>
      </c>
      <c r="M9" s="10" t="n">
        <f aca="false">IFERROR(G9/F9,"")</f>
        <v>0.00804668032968167</v>
      </c>
      <c r="N9" s="10" t="n">
        <f aca="false">IFERROR(H9/G9,"")</f>
        <v>2.28879000065441</v>
      </c>
      <c r="O9" s="11" t="n">
        <f aca="false">IFERROR(I9/H9,"")</f>
        <v>0.0315654038598999</v>
      </c>
      <c r="P9" s="10" t="n">
        <f aca="false">IFERROR(J9/H9,"")</f>
        <v>0.00577555396711937</v>
      </c>
      <c r="Q9" s="10" t="n">
        <f aca="false">IFERROR(K9/H9,"")</f>
        <v>0.000714796283059328</v>
      </c>
      <c r="R9" s="10" t="n">
        <f aca="false">IFERROR(L9/H9,"")</f>
        <v>0.00348820586132952</v>
      </c>
      <c r="S9" s="11" t="n">
        <f aca="false">IFERROR(M9/MEDIAN(INDEX($M$5:$M$11,MATCH($A9-90,$A$5:$A$11,1)):INDEX($M$5:$M$11,MATCH($A9+90,$A$5:$A$11,1))),"")</f>
        <v>0.556113637116235</v>
      </c>
      <c r="T9" s="11" t="n">
        <f aca="false">IFERROR(N9/MEDIAN(INDEX($N$5:$N$11,MATCH($A9-90,$A$5:$A$11,1)):INDEX($N$5:$N$11,MATCH($A9+90,$A$5:$A$11,1))),"")</f>
        <v>1.79635916293457</v>
      </c>
      <c r="U9" s="11" t="n">
        <f aca="false">IFERROR(Q9/MEDIAN(INDEX($Q$5:$Q$11,MATCH($A9-90,$A$5:$A$11,1)):INDEX($Q$5:$Q$11,MATCH($A9+90,$A$5:$A$11,1))),"")</f>
        <v>0.400844793343862</v>
      </c>
    </row>
    <row r="10" customFormat="false" ht="15" hidden="false" customHeight="false" outlineLevel="0" collapsed="false">
      <c r="A10" s="13" t="n">
        <v>45235.6252658912</v>
      </c>
      <c r="B10" s="8" t="n">
        <v>15</v>
      </c>
      <c r="C10" s="8" t="s">
        <v>86</v>
      </c>
      <c r="D10" s="8" t="s">
        <v>1588</v>
      </c>
      <c r="E10" s="14" t="s">
        <v>66</v>
      </c>
      <c r="F10" s="9" t="n">
        <v>1239968</v>
      </c>
      <c r="G10" s="9" t="n">
        <v>19968</v>
      </c>
      <c r="H10" s="9" t="n">
        <v>23680</v>
      </c>
      <c r="I10" s="9" t="n">
        <v>7021</v>
      </c>
      <c r="J10" s="9" t="n">
        <v>512</v>
      </c>
      <c r="K10" s="9" t="n">
        <v>45</v>
      </c>
      <c r="L10" s="9" t="n">
        <v>180</v>
      </c>
      <c r="M10" s="10" t="n">
        <f aca="false">IFERROR(G10/F10,"")</f>
        <v>0.0161036413842938</v>
      </c>
      <c r="N10" s="10" t="n">
        <f aca="false">IFERROR(H10/G10,"")</f>
        <v>1.18589743589744</v>
      </c>
      <c r="O10" s="11" t="n">
        <f aca="false">IFERROR(I10/H10,"")</f>
        <v>0.296494932432432</v>
      </c>
      <c r="P10" s="10" t="n">
        <f aca="false">IFERROR(J10/H10,"")</f>
        <v>0.0216216216216216</v>
      </c>
      <c r="Q10" s="10" t="n">
        <f aca="false">IFERROR(K10/H10,"")</f>
        <v>0.00190033783783784</v>
      </c>
      <c r="R10" s="10" t="n">
        <f aca="false">IFERROR(L10/H10,"")</f>
        <v>0.00760135135135135</v>
      </c>
      <c r="S10" s="11" t="n">
        <f aca="false">IFERROR(M10/MEDIAN(INDEX($M$5:$M$11,MATCH($A10-90,$A$5:$A$11,1)):INDEX($M$5:$M$11,MATCH($A10+90,$A$5:$A$11,1))),"")</f>
        <v>1.25463328919742</v>
      </c>
      <c r="T10" s="11" t="n">
        <f aca="false">IFERROR(N10/MEDIAN(INDEX($N$5:$N$11,MATCH($A10-90,$A$5:$A$11,1)):INDEX($N$5:$N$11,MATCH($A10+90,$A$5:$A$11,1))),"")</f>
        <v>0.95189542141177</v>
      </c>
      <c r="U10" s="11" t="n">
        <f aca="false">IFERROR(Q10/MEDIAN(INDEX($Q$5:$Q$11,MATCH($A10-90,$A$5:$A$11,1)):INDEX($Q$5:$Q$11,MATCH($A10+90,$A$5:$A$11,1))),"")</f>
        <v>1.14058277027027</v>
      </c>
    </row>
    <row r="11" customFormat="false" ht="15" hidden="false" customHeight="false" outlineLevel="0" collapsed="false">
      <c r="A11" s="13" t="n">
        <v>45269.7022601389</v>
      </c>
      <c r="B11" s="8" t="n">
        <v>16</v>
      </c>
      <c r="C11" s="8" t="s">
        <v>68</v>
      </c>
      <c r="D11" s="8" t="s">
        <v>1589</v>
      </c>
      <c r="E11" s="14" t="s">
        <v>66</v>
      </c>
      <c r="F11" s="9" t="n">
        <v>91387</v>
      </c>
      <c r="G11" s="9" t="n">
        <v>2255</v>
      </c>
      <c r="H11" s="9" t="n">
        <v>3001</v>
      </c>
      <c r="I11" s="9" t="n">
        <v>299</v>
      </c>
      <c r="J11" s="9" t="n">
        <v>154</v>
      </c>
      <c r="K11" s="9" t="n">
        <v>5</v>
      </c>
      <c r="L11" s="9" t="n">
        <v>30</v>
      </c>
      <c r="M11" s="10" t="n">
        <f aca="false">IFERROR(G11/F11,"")</f>
        <v>0.0246752820423036</v>
      </c>
      <c r="N11" s="10" t="n">
        <f aca="false">IFERROR(H11/G11,"")</f>
        <v>1.33082039911308</v>
      </c>
      <c r="O11" s="11" t="n">
        <f aca="false">IFERROR(I11/H11,"")</f>
        <v>0.0996334555148284</v>
      </c>
      <c r="P11" s="10" t="n">
        <f aca="false">IFERROR(J11/H11,"")</f>
        <v>0.0513162279240253</v>
      </c>
      <c r="Q11" s="10" t="n">
        <f aca="false">IFERROR(K11/H11,"")</f>
        <v>0.00166611129623459</v>
      </c>
      <c r="R11" s="10" t="n">
        <f aca="false">IFERROR(L11/H11,"")</f>
        <v>0.00999666777740753</v>
      </c>
      <c r="S11" s="11" t="n">
        <f aca="false">IFERROR(M11/MEDIAN(INDEX($M$5:$M$11,MATCH($A11-90,$A$5:$A$11,1)):INDEX($M$5:$M$11,MATCH($A11+90,$A$5:$A$11,1))),"")</f>
        <v>1.9224490617882</v>
      </c>
      <c r="T11" s="11" t="n">
        <f aca="false">IFERROR(N11/MEDIAN(INDEX($N$5:$N$11,MATCH($A11-90,$A$5:$A$11,1)):INDEX($N$5:$N$11,MATCH($A11+90,$A$5:$A$11,1))),"")</f>
        <v>1.06822209601833</v>
      </c>
      <c r="U11" s="11" t="n">
        <f aca="false">IFERROR(Q11/MEDIAN(INDEX($Q$5:$Q$11,MATCH($A11-90,$A$5:$A$11,1)):INDEX($Q$5:$Q$11,MATCH($A11+90,$A$5:$A$11,1))),"")</f>
        <v>1</v>
      </c>
    </row>
  </sheetData>
  <autoFilter ref="A4:U11"/>
  <hyperlinks>
    <hyperlink ref="E5" r:id="rId1" display="ссылка"/>
    <hyperlink ref="E6" r:id="rId2" display="ссылка"/>
    <hyperlink ref="E7" r:id="rId3" display="ссылка"/>
    <hyperlink ref="E8" r:id="rId4" display="ссылка"/>
    <hyperlink ref="E9" r:id="rId5" display="ссылка"/>
    <hyperlink ref="E10" r:id="rId6" display="ссылка"/>
    <hyperlink ref="E11" r:id="rId7" display="ссылк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2026-07-25T18:23:14Z</dcterms:created>
  <dc:creator>openpyxl</dc:creator>
  <dc:description/>
  <dc:language>en-US</dc:language>
  <cp:lastModifiedBy/>
  <dcterms:modified xsi:type="dcterms:W3CDTF">2026-07-25T18:23:16Z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