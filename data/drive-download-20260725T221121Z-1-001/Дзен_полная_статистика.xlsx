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к читать" sheetId="1" r:id="rId5"/>
    <sheet state="visible" name="Сводка" sheetId="2" r:id="rId6"/>
    <sheet state="visible" name="Статьи" sheetId="3" r:id="rId7"/>
    <sheet state="visible" name="Ролики" sheetId="4" r:id="rId8"/>
    <sheet state="visible" name="Посты" sheetId="5" r:id="rId9"/>
    <sheet state="visible" name="Видео" sheetId="6" r:id="rId10"/>
  </sheets>
  <definedNames>
    <definedName hidden="1" localSheetId="2" name="_xlnm._FilterDatabase">'Статьи'!$A$4:$U$627</definedName>
    <definedName hidden="1" localSheetId="3" name="_xlnm._FilterDatabase">'Ролики'!$A$4:$U$665</definedName>
    <definedName hidden="1" localSheetId="4" name="_xlnm._FilterDatabase">'Посты'!$A$4:$U$373</definedName>
    <definedName hidden="1" localSheetId="5" name="_xlnm._FilterDatabase">'Видео'!$A$4:$U$11</definedName>
  </definedNames>
  <calcPr/>
</workbook>
</file>

<file path=xl/sharedStrings.xml><?xml version="1.0" encoding="utf-8"?>
<sst xmlns="http://schemas.openxmlformats.org/spreadsheetml/2006/main" count="5001" uniqueCount="1590">
  <si>
    <t>Полная статистика публикаций канала «Валентина Хлистун | Этикет»</t>
  </si>
  <si>
    <t>Сводка: типичные значения (медианы)</t>
  </si>
  <si>
    <t>Статьи</t>
  </si>
  <si>
    <t>Источник данных</t>
  </si>
  <si>
    <t>Медиана, а не среднее: одна вирусная публикация искажает среднее до бессмыслицы.</t>
  </si>
  <si>
    <t>Все статьи канала. Индексы считаются внутри этого листа — статья сравнивается только с другими статьями того же периода.</t>
  </si>
  <si>
    <t>Дзен-студия → Статистика → Публикации → «Отчёт», период «Всё время». Выгружено 25 июля 2026 года.</t>
  </si>
  <si>
    <t>Ролики</t>
  </si>
  <si>
    <t>Ролики. Отдельный лист: их воронка устроена иначе, сравнение со статьями некорректно.</t>
  </si>
  <si>
    <t>Что внутри</t>
  </si>
  <si>
    <t>1660 публикаций: 623 статьи, 661 ролик, 369 постов, 7 видео. Даты публикации — с февраля 2023 по 24 июля 2026.</t>
  </si>
  <si>
    <t>Группа</t>
  </si>
  <si>
    <t>Дата публикации</t>
  </si>
  <si>
    <t>Показы</t>
  </si>
  <si>
    <t>Сколько раз карточка публикации попала людям в ленту. Это решение алгоритма, а не заслуга текста.</t>
  </si>
  <si>
    <t>Открытия</t>
  </si>
  <si>
    <t>Сколько раз публикацию открыли. В публичной карточке канала это же число показано как «просмотры».</t>
  </si>
  <si>
    <t>Дочитывания</t>
  </si>
  <si>
    <t>Сколько человек долистали до конца.</t>
  </si>
  <si>
    <t>CTR = открытия / показы</t>
  </si>
  <si>
    <t>Первая ступень воронки. За неё отвечают обложка, заголовок и тема — то, что видно в ленте.</t>
  </si>
  <si>
    <t>Дочитываемость = дочитывания / открытия</t>
  </si>
  <si>
    <t>Час</t>
  </si>
  <si>
    <t>Вторая ступень. За неё отвечает сам текст: первый экран, длина, ритм, структура.</t>
  </si>
  <si>
    <t>Лайки, комментарии, подписки на дочитывание</t>
  </si>
  <si>
    <t>День недели</t>
  </si>
  <si>
    <t>Третья ступень: реакция тех, кто действительно прочитал.</t>
  </si>
  <si>
    <t>Заголовок</t>
  </si>
  <si>
    <t>Индекс к периоду</t>
  </si>
  <si>
    <t>Показатель статьи, делённый на медиану всех публикаций того же типа за ±90 дней. 1,00 — как обычно в те месяцы; 2,00 — вдвое лучше обычного; 0,50 — вдвое хуже. Нужен потому, что канал рос и Дзен менял алгоритм: сравнивать статью 2023 года со статьёй 2026 года напрямую нельзя.</t>
  </si>
  <si>
    <t>Публикаций</t>
  </si>
  <si>
    <t>Ссылка</t>
  </si>
  <si>
    <t>Как этим НЕ пользоваться</t>
  </si>
  <si>
    <t>Абсолютные просмотры и лайки не показывают качество статьи: чем больше алгоритм дал показов, тем больше будет и то и другое. Сравнивать статьи между собой можно только по долям и индексам.</t>
  </si>
  <si>
    <t>Разные типы — разные вселенные</t>
  </si>
  <si>
    <t>У роликов медианный CTR около 30%, у статей — около 5%. В одну таблицу сравнения их сводить нельзя, поэтому они на разных листах.</t>
  </si>
  <si>
    <t>CTR</t>
  </si>
  <si>
    <t>Свежие публикации</t>
  </si>
  <si>
    <t>Время просмотра, мин</t>
  </si>
  <si>
    <t>Публикации моложе 30 дней ещё не набрали хвост показов. Их показатели занижены и в сравнения не идут.</t>
  </si>
  <si>
    <t>Дочитываемость</t>
  </si>
  <si>
    <t>Лайки</t>
  </si>
  <si>
    <t>Что дальше</t>
  </si>
  <si>
    <t>Тексты статей размечаются по справочнику критериев ОТДЕЛЬНО и ВСЛЕПУЮ — без доступа к этим цифрам. Только потом разметка соединяется со статистикой. Иначе разбор подгонит признаки под уже известный результат.</t>
  </si>
  <si>
    <t>Комментарии</t>
  </si>
  <si>
    <t>Мин. на дочитывание</t>
  </si>
  <si>
    <t>Подписки</t>
  </si>
  <si>
    <t>Лайки/дочит.</t>
  </si>
  <si>
    <t>Комм./дочит.</t>
  </si>
  <si>
    <t>CTR (открытия/показы)</t>
  </si>
  <si>
    <t>Подписки/дочит.</t>
  </si>
  <si>
    <t>Статьи — все</t>
  </si>
  <si>
    <t>Минут на дочитывание</t>
  </si>
  <si>
    <t>Лайки / дочитывания</t>
  </si>
  <si>
    <t>Комментарии / дочитывания</t>
  </si>
  <si>
    <t>Подписки / дочитывания</t>
  </si>
  <si>
    <t>Индекс CTR к периоду</t>
  </si>
  <si>
    <t>Индекс дочитываемости к периоду</t>
  </si>
  <si>
    <t>Индекс комментариев к периоду</t>
  </si>
  <si>
    <t>вт</t>
  </si>
  <si>
    <t>пт</t>
  </si>
  <si>
    <t>Проверьте свои знания в этикете 🙌🏻</t>
  </si>
  <si>
    <t>ссылка</t>
  </si>
  <si>
    <t>Моя удачная борьба со стрессом</t>
  </si>
  <si>
    <t>Ролики — все</t>
  </si>
  <si>
    <t>Посты</t>
  </si>
  <si>
    <t>Короткие посты. Отдельный лист по той же причине.</t>
  </si>
  <si>
    <t>Посты — все</t>
  </si>
  <si>
    <t>Сервировка стола</t>
  </si>
  <si>
    <t>сб</t>
  </si>
  <si>
    <t>Несколько правил столового этикета🍽 #этикет #этикетзастолом #столовыйэтикет #правилаэтикета</t>
  </si>
  <si>
    <t>пн</t>
  </si>
  <si>
    <t>Мастер-класс по имиджу и деловому этикету  Если у вас нет планов на 6 марта и…</t>
  </si>
  <si>
    <t>Этот лайфхак столового этикета всегда в ваших руках</t>
  </si>
  <si>
    <t>НЕ деловая причёска ❌ #правилаэтикета #этикет #деловойстиль #деловойэтикет #деловойобраз #деловойимидж</t>
  </si>
  <si>
    <t>Статьи — 2023</t>
  </si>
  <si>
    <t>Формальный и неформальный деловой дресс-код</t>
  </si>
  <si>
    <t>вс</t>
  </si>
  <si>
    <t>Несколько помад, которые вас никогда не подведут #помада #помададлягуб #губнаяпомада #этикет #деловойстиль #деловойимидж</t>
  </si>
  <si>
    <t>Статьи — 2024</t>
  </si>
  <si>
    <t>ср</t>
  </si>
  <si>
    <t>Этикет: ваш личный компас</t>
  </si>
  <si>
    <t>Много не бывает! Образований..  Я заканчиваю школу и нервно думаю, куда…</t>
  </si>
  <si>
    <t>Какие оттенки помад допустимы в деловом образе? #этикет #деловойстиль #деловойэтикет #деловойобраз #деловойимидж #помада #помададлягуб #губнаяпомада</t>
  </si>
  <si>
    <t>чт</t>
  </si>
  <si>
    <t>Страх или безответственность?</t>
  </si>
  <si>
    <t>Статьи — 2025</t>
  </si>
  <si>
    <t>Накануне Международного женского дня прошла конференция «Женщины ДЕЛА…</t>
  </si>
  <si>
    <t>Управление стрессом на рабочем месте: практические советы</t>
  </si>
  <si>
    <t>Статьи — 2026</t>
  </si>
  <si>
    <t>Проверьте свои знания в этикете 🙌🏻 #деловойстиль #этикет #деловойимидж #правилаэтикета #деловойэтикет #деловойобраз #приветствие</t>
  </si>
  <si>
    <t>Этикет в музее: Путеводитель по уважительному взаимодействию с искусством</t>
  </si>
  <si>
    <t>Новости по социальному проекту  Я очень рада поделиться новостями о социальном…</t>
  </si>
  <si>
    <t>Показатели рассчитаны по формулам от исходных чисел выгрузки — при обновлении данных пересчитаются автоматически.</t>
  </si>
  <si>
    <t>Шпаргалка: Как ответить на вакансию и произвести впечатление</t>
  </si>
  <si>
    <t>Почему этикет не любит слово здравствуйте? #этикет #деловойстиль #деловойимидж #правилаэтикета #деловойобраз #приветствие</t>
  </si>
  <si>
    <t>Пару дней назад посетила очередную школу со своим проектом «Образ Будущего…</t>
  </si>
  <si>
    <t>Эмоциональное равновесие: как справляться с грубостью и сохранять спокойствие</t>
  </si>
  <si>
    <t>НЕ всегда говори да  Многие из нас боятся сказать "нет". Мы переживаем, что…</t>
  </si>
  <si>
    <t>Как правильно здороваться? #этикет #деловойстиль #деловоеобщение #этикетобщения #деловыепереговоры #деловаярепутация</t>
  </si>
  <si>
    <t>Как правильно сидеть даме по этикету: 3 лучших варианта</t>
  </si>
  <si>
    <t>Воскресенье - прекрасный день,  Чтобы посетить петербургскую ярмарку 💫   Я не…</t>
  </si>
  <si>
    <t>Этикет под зонтом</t>
  </si>
  <si>
    <t>Нежелательные звонки #этикет #деловойстиль #деловойимидж #правилаэтикета #деловойэтикет #этикетобщения #деловыепереговоры #звонокпотелефону</t>
  </si>
  <si>
    <t>Мистер и Мисс Этикет  На днях мне прислали ссылку на хранилище с видео от…</t>
  </si>
  <si>
    <t>У меня красивая фигура, но   зачастую я выбираю оверсайзы и мужские пиджаки…</t>
  </si>
  <si>
    <t>Интервью с педагогом из города Ростов-на-Дону о школьном этикете</t>
  </si>
  <si>
    <t>Наша речь - отражение нас самих #этикет #деловойстиль #деловойимидж #правилаэтикета #деловойобраз #деловойэтикет #деловыепереговоры #деловаярепутация #этикетобщения #правильнаяречь #грамотнаяречь</t>
  </si>
  <si>
    <t>Видео</t>
  </si>
  <si>
    <t>Длинные видео. Их всего 7 — сравнивать статистически нечего, лист справочный.</t>
  </si>
  <si>
    <t>Я выгорела  или сгорела от обиды и непонимания, даже не знаю, что было бы…</t>
  </si>
  <si>
    <t>Как подготовиться к интервью</t>
  </si>
  <si>
    <t>Умение слушать 👂🏻 #этикет #этикетобщения #правилаэтикета #деловойэтикет #деловоеобщение #деловыекоммуникации #деловыеотношения #деловыепереговоры</t>
  </si>
  <si>
    <t>Студия грима Valentina Hli</t>
  </si>
  <si>
    <t>Этикет в начальной школе. Практика и теория. Интервью с учителем из школы Нижнего Новгорода.</t>
  </si>
  <si>
    <t>Если деловой образ состоит из двух цветов в одежде, это нормально?  Да, это…</t>
  </si>
  <si>
    <t>Слова "паразиты" #грамотнаяречь #правильнаяречь #красиваяречь #правилаэтикета #этикет #деловыепереговоры #деловыеотношения #деловойэтикет #деловойимидж</t>
  </si>
  <si>
    <t>Вежливое «Нет»: как отказать и не разрушить рабочие отношения</t>
  </si>
  <si>
    <t>Мое отношение к российским дизайнерам  Да, российские дизайнеры в одежде…</t>
  </si>
  <si>
    <t>Матные слова #этикет #деловойстиль #деловойэтикет #бизнесэтикет #правилаэтикета #деловыеотношения #деловоеобщение #деловаяпереписка</t>
  </si>
  <si>
    <t>Чайный этикет</t>
  </si>
  <si>
    <t>Что делает эксперта специалистом международного уровня? Диплом? Или практика…</t>
  </si>
  <si>
    <t>10 жестов и их значения в разных странах</t>
  </si>
  <si>
    <t>Этикет взгляда #этикет #деловойстиль #правилаэтикета #деловойимидж #деловойэтикет #деловойобраз #этикетобщения #деловоеобщение #деловаярепутация #</t>
  </si>
  <si>
    <t>Уникальный мастер-класс по гриму и спецэффектам в кино</t>
  </si>
  <si>
    <t>Одежда для мужчин  Этот вопрос значительно сложнее, не знаю, с чем конкретно…</t>
  </si>
  <si>
    <t>Этикет и деловой имидж: уроки для будущего</t>
  </si>
  <si>
    <t>Китайский этикет: подарки, застолье, стереотипы</t>
  </si>
  <si>
    <t>Почему надо соедить за положением рук и ног? #этикет #деловойстиль #правилаэтикета #деловойэтикет #деловойимидж #деловойобраз #этикетобщения #деловыепереговоры #деловоеобщение #деловаярепутация</t>
  </si>
  <si>
    <t>Этикет с французского означает "этикетка", а этикетка - это своего рода и есть…</t>
  </si>
  <si>
    <t>Красная помада в деловом макияже</t>
  </si>
  <si>
    <t>Этикет в начальной школе. Практика и теория. Интервью с учителем из школы Нижнего Новгорода</t>
  </si>
  <si>
    <t>В первый рабочий день в Алжире я услышала фразу: «У вас часы, а у нас время…</t>
  </si>
  <si>
    <t>Проверьте ваши знания в этикете 🙌🏻 #этикет #деловойстиль #правилаэтикета #деловойимидж #деловойэтикет #деловойобраз #этикетобщения #деловыепереговоры #деловоеобщение #деловаярепутация #</t>
  </si>
  <si>
    <t>Тонкости невербального общения: Положение рук</t>
  </si>
  <si>
    <t>Церковный этикет. Исаакиевский собор.</t>
  </si>
  <si>
    <t>Этикет не ходит в гости просто так #этикет #деловойстиль #правилаэтикета #деловойимидж #деловойэтикет #деловойобраз #этикетобщения #деловыепереговоры #деловоеобщение #деловаярепутация</t>
  </si>
  <si>
    <t>Доброе утро! Добрый день! Здравствуйте!  Правила приветствия обуславливаются…</t>
  </si>
  <si>
    <t>Этикет переписки в групповых рабочих чатах</t>
  </si>
  <si>
    <t>82-я годовщина парада 7 ноября 1941 года: за кулисами со студией грима Valentina Hli</t>
  </si>
  <si>
    <t>#этикет #деловойстиль #правилаэтикета #деловойэтикет #деловойимидж #деловойобраз #этикетобщения #деловыепереговоры #деловоеобщение #деловаярепутация #деловыеотношения #правильнаяречь #грамотнаяречь</t>
  </si>
  <si>
    <t>Новая подиумная коллекция российского бренда USHATÁVA</t>
  </si>
  <si>
    <t>Одним из важных аспектов этикета является правильное общение с собеседником…</t>
  </si>
  <si>
    <t>Вежливость королей👑 #этикет #деловойстиль #правилаэтикета #деловойимидж #деловойэтикет #деловойимидж #деловойобраз #этикетобщения #деловыепереговоры #деловоеобщение #деловаярепутация</t>
  </si>
  <si>
    <t>Бранч-фуршет</t>
  </si>
  <si>
    <t>Однажды в Алжире во время прогулки со знакомой и ее дочерью, к нам подошел…</t>
  </si>
  <si>
    <t>Воссоздание эпохи: моя работа на Красной площади</t>
  </si>
  <si>
    <t>что такое "уйти по-французки"? #этикет #правилаэтикета #деловойимидж #деловойэтикет #этикетобщения #деловаярепутация #деловыеотношения #деловаяпереписка</t>
  </si>
  <si>
    <t>Как понять, что вы плохой слушатель ?!  ➖ Вы не задаете вопросы и не…</t>
  </si>
  <si>
    <t>Этикет в поезде: комфортное пространство для всех пассажиров</t>
  </si>
  <si>
    <t>Нужна ваша поддержка!🙌🏻  Давно поняла, что пора начинать что-то новое в…</t>
  </si>
  <si>
    <t>Проверьте свои знания 🙌🏻 #этикет #деловойимидж #деловойстиль #правилаэтикета #деловойэтикет #деловойобраз #этикетобщения #деловыепереговоры #деловоеобщение #деловаярепутация</t>
  </si>
  <si>
    <t>Новый год: что дарить?</t>
  </si>
  <si>
    <t>Об этом я не жалею!  У меня есть образования, которые едва ли мне пригодились…</t>
  </si>
  <si>
    <t>Лекция "Образ Будущего": Этикет для молодых джентльменов</t>
  </si>
  <si>
    <t>Как реагировать на дурацкие подарки? #этикет #правилаэтикета #деловойимидж #деловойстиль #деловойэтикет #этикетобщения #деловойобраз #деловыепереговоры #деловоеобщение #деловаярепутация</t>
  </si>
  <si>
    <t>В зале полная тишина,  оркестр сосредоточено играет второй акт лебединого…</t>
  </si>
  <si>
    <t>Что этикет думает про жевательную резинку?</t>
  </si>
  <si>
    <t>Этикет в спортзале #этикет #спортзал #правилаэтикета #деловойстиль #фитнесс #спорт #тренажёрныйзал #деловойэтикет #этикетобщения #деловаярепутация #деловыеотношения</t>
  </si>
  <si>
    <t>(не)Прошенный совет  Сегодня я бы хотела затронуть тему советов, но не в…</t>
  </si>
  <si>
    <t>Ответы на вопросы: часть 1</t>
  </si>
  <si>
    <t>Как разрешить конфликт, которого вы не хотите?</t>
  </si>
  <si>
    <t>Удивительно, как отдых «вторгся» в мою рабочую жизнь. Если ещё месяц назад я…</t>
  </si>
  <si>
    <t>Обращение к незнакомым людям #этикет #правилаэтикета #деловойстиль #деловойэтикет #деловойимидж #этикетобщения #деловойобраз #деловыепереговоры #деловаярепутация #деловыепереговоры #приветствие</t>
  </si>
  <si>
    <t>Этикет на распродаже. Как пережить чёрную пятницу?</t>
  </si>
  <si>
    <t>Могу я вам дать совет?  Как часто у вас спрашивали о таком, прежде чем дать…</t>
  </si>
  <si>
    <t>Респираторный этикет #этикет #правилаэтикета #деловойстиль #деловойимидж #деловойэтикет #этикетобщения #деловойобраз #деловаярепутация #коронавирус2020</t>
  </si>
  <si>
    <t>Цифровой этикет: как сохранить репутацию в социальной сети?</t>
  </si>
  <si>
    <t>Я не права?  Чрезмерная ответственность порой мешает мне спокойно жить, не…</t>
  </si>
  <si>
    <t>Этикет в общих чатах #цифровойэтикет #этикет #правилаэтикета #деловойстиль #деловойимидж #деловойэтикет #этикетобщения #деловаярепутация #деловоеобщение #деловыеотношения #деловаяпереписка</t>
  </si>
  <si>
    <t>Что делать, если запах коллеги душит?</t>
  </si>
  <si>
    <t>Мой первый ПМЭФ  Я бы не поверила себе, услышав это еще пару лет назад. Сейчас…</t>
  </si>
  <si>
    <t>#столовыйэтикет #этикет #правилаэтикета #деловойстиль #деловойэтикет #этикетобщения #деловаярепутация #деловыепереговоры #деловоеобщение #деловыеотношения</t>
  </si>
  <si>
    <t>Знакомство со скульптурой и кино ХХ века. Последние дни, чтобы посетить выставку "Сопряжение форм"</t>
  </si>
  <si>
    <t>Не вздумайте делать ЭТО в ресторане! #рестораны #столовыйэтикет #правилаэтикета #этикет #этикетобщения #деловыепереговоры #деловоеобщение</t>
  </si>
  <si>
    <t>Основатель студии грима на киностудии  Я не часто об этом говорю, хотя…</t>
  </si>
  <si>
    <t>Передарить подарок - дурной тон?</t>
  </si>
  <si>
    <t>Как реагировать на комплименты? #комплименты #этикет #правилаэтикета #этикетобщения #деловыепереговоры #деловаярепутация #деловоеобщение #грамотнаяречь</t>
  </si>
  <si>
    <t>Босоножки и этикет  В жаркие летние дни, когда температура на улице…</t>
  </si>
  <si>
    <t>Корпоративные подарки: что уместно дарить на работе?</t>
  </si>
  <si>
    <t>Три веши в этикете, которые нельзя делать мужчине #этикет #правилаэтикета #этикетобщения #деловаярепутация #деловыеотношения</t>
  </si>
  <si>
    <t>Любите лето? А жару?  Я очень теплолюбивая, мне практически всегда холодно…</t>
  </si>
  <si>
    <t>Давайте перейдём на «ты». Речевой этикет в общении с незнакомыми людьми.</t>
  </si>
  <si>
    <t>Проверьте свои знания 🙌🏻 #этикетобщения #правилаэтикета #деловойстиль #деловойэтикет #деловойимидж #деловаярепутация #деловыепереговоры #деловоеобщение #деловыеотношения</t>
  </si>
  <si>
    <t>Солнцезащитные очки – это не только стильный аксессуар, но и необходимый…</t>
  </si>
  <si>
    <t>Ответы на вопросы: часть 2</t>
  </si>
  <si>
    <t>Первое впечатление #этикет #правилаэтикета #этикетобщения #деловойимидж #деловойэтикет #деловаярепутация #деловойобраз #деловыепереговоры #грамотнаяречь #деловаяпереписка #приветствие</t>
  </si>
  <si>
    <t>Как вести себя в театре? Правила культуры поведения</t>
  </si>
  <si>
    <t>Знаете это чувство,  когда ресурсы исчерпаны и нет сил выполнять повседневные…</t>
  </si>
  <si>
    <t>Японский этикет #япония #этикет #правилаэтикета #этикетобщения #деловаярепутация #деловыепереговоры #деловыеотношения #деловойимидж</t>
  </si>
  <si>
    <t>Правила использования тестеров в магазинах косметики</t>
  </si>
  <si>
    <t>Хотите узнать о моем увлечении?  У меня есть хобби, которое одно время даже…</t>
  </si>
  <si>
    <t>#этикет #правилаэтикета #этикетобщения #деловойимидж #деловойэтикет #деловойстиль #деловаярепутация #деловыепереговоры #деловойобраз #деловоеобщение #деловыеотношения #деловаяпереписка</t>
  </si>
  <si>
    <t>Как сохранить лицо во время корпоратива?</t>
  </si>
  <si>
    <t>Недавно мне задали интересный вопрос, который я хочу осветить в блоге: отличия…</t>
  </si>
  <si>
    <t>Цифровой этикет #этикет #правилаэтикета #цифровойэтикет #этикетобщения #деловаярепутация #деловыепереговоры #деловоеобщение #деловойобраз #деловаяпереписка #правильнаяречь</t>
  </si>
  <si>
    <t>Ярмарки в уходящем году: куда стоит сходить в декабре в Санкт-Петербурге?</t>
  </si>
  <si>
    <t>Всем стоять, телефон на стол, руки за голову  или ещё одно правило, которому…</t>
  </si>
  <si>
    <t>Опаздывать - неприлично #этикет #правилаэтикета #этикетобщения #деловойимидж #деловойстиль #деловаярепутация #деловыепереговоры #деловойобраз #деловыеотношения #деловоеобщение</t>
  </si>
  <si>
    <t>Винтажные подарки – штучный товар для ценителей</t>
  </si>
  <si>
    <t>Я уже не раз затрагивала тему комплиментов в блоге, но, пожалуй, об этом можно…</t>
  </si>
  <si>
    <t>Будьте осторожны! Разные фразы = разные значения #этикет #правилаэтикета #этикетобщения #деловойимидж #деловойстиль #деловойэтикет #деловаярепутация #деловыепереговоры #деловойобраз #деловыеотношения</t>
  </si>
  <si>
    <t>Пустая беседа или искусство непринуждённого диалога?</t>
  </si>
  <si>
    <t>Если вы часто пишите электронные письма, то это для Вас. Если нет, то не…</t>
  </si>
  <si>
    <t>Новогодняя экскурсия на Ленфильме и мастер-класс по гриму. Про кинематограф с обратной стороны экрана.</t>
  </si>
  <si>
    <t>Как правильно есть бутерброды #этикет #правилаэтикета #этикетобщения #деловойимидж #деловойэтикет #деловаярепутация #деловойобраз #деловоеобщение #столовыйэтикет #бутерброды</t>
  </si>
  <si>
    <t>«Я уже»  В работе мне особенно нравятся люди, которые придерживаются принцип…</t>
  </si>
  <si>
    <t>Возродить традиции русского застолья легко, когда есть Багетная мастерская</t>
  </si>
  <si>
    <t>Мужчины, не пропускайте женщину вперёд, если.. #этикет #правилаэтикета #этикетобщения #деловойстиль #деловойэтикет #деловыепереговоры #деловойобраз #деловоеобщение #деловаярепутация</t>
  </si>
  <si>
    <t>Пляж  Летом городские парки наполняются желающими пополнить свои запасы…</t>
  </si>
  <si>
    <t>События трёхсотлетней давности на совместном экране. Премьера киноленты о царе Петре I</t>
  </si>
  <si>
    <t>Этикет - это не пережиток прошлого❌ #этикет #правилаэтикета #этикетобщения #деловойстиль #деловойимидж #деловойэтикет #деловаярепутация #деловойобраз #деловойобраз #деловыепереговоры #деловоеобщение</t>
  </si>
  <si>
    <t>Вы любите цветы?  8 и 9 июля пройдёт ежегодный фестиваль цветов (впервые в…</t>
  </si>
  <si>
    <t>Файер шоу на вашем балконе. Как не остаться без окон в январе</t>
  </si>
  <si>
    <t>- «Скажи волшебное слово»  Вам тоже так говорили в детстве? Мне кажется, что…</t>
  </si>
  <si>
    <t>Вежливые замечания?🤔 #этикет #правилаэтикета #этикетобщения #деловойстиль #деловойимидж #деловойэтикет #деловаярепутация #деловойобраз #деловыепереговоры #деловоеобщение #деловыеотношения</t>
  </si>
  <si>
    <t>Как быть зайцем на алкогольном вечере?</t>
  </si>
  <si>
    <t>Неужели в 21 веке они еще нужны?   О да и еще как! 🙌🏻 В деловой среде без…</t>
  </si>
  <si>
    <t>А вы знали, что до 1699 года Новый год в России отмечали в сентябре? Именно в этом году Пётр I объявил о новом летоисчислении.</t>
  </si>
  <si>
    <t>Проверьте ваши знания 🙌🏻 #этикет #правилаэтикета #этикетобщения #деловойстиль #деловойимидж #деловойэтикет #деловаярепутация #деловойобраз #деловыепереговоры #деловыеотношения</t>
  </si>
  <si>
    <t>Переписка  Сначала мы были ограничены скобками, потом в нашей жизни появились…</t>
  </si>
  <si>
    <t>Золушка потеряла туфельку, а я - тиару. Бал на корабле в канун Нового года</t>
  </si>
  <si>
    <t>Самое сложное - это промолчать или сделать вид, что вы не заметили очевидных…</t>
  </si>
  <si>
    <t>Ходить по лезвию: правила поведения на общественных катках</t>
  </si>
  <si>
    <t>Кто первый? #этикет #правилаэтикета #этикетобщения #деловойстиль #деловойимидж #деловойэтикет #деловоеобщение #деловыеотношения #деловаяпереписка #правильнаяречь #деловыепереговоры</t>
  </si>
  <si>
    <t>Как вы относитесь к тому, когда человек смотрит/слушает что-то в телефоне без…</t>
  </si>
  <si>
    <t>Этикет в фотостудии</t>
  </si>
  <si>
    <t>Правильный парфюм #этикет #правилаэтикета #деловойимидж #этикетобщения #деловойстиль #деловаярепутация #деловойобраз #деловыеотношения #деловаяпереписка #деловоеобщение #деловойстиль</t>
  </si>
  <si>
    <t>Для тех, кто любит каблуки…  Вчера я сделала один очень нужный и правильный…</t>
  </si>
  <si>
    <t>«Вот зачем нужен этикет», - подумала я, когда лакей подал зеленый горошек, который с изумлением изучали все гости.</t>
  </si>
  <si>
    <t>Только вчера провели фестиваль, а уже есть публикации в СМИ😍   В скором…</t>
  </si>
  <si>
    <t>Как стать лучшим гостем на чужом дне рождения</t>
  </si>
  <si>
    <t>Желать приятного аппетита - неприлично! #этикет #правилаэтикета #деловойимидж #этикетобщения #деловойэтикет #деловаярепутация #деловыепереговоры #деловоеобщение #деловыеотношения</t>
  </si>
  <si>
    <t>Как сохранить самообладание и провести фестиваль  На самом деле этот вопрос…</t>
  </si>
  <si>
    <t>Закрой глаза и загадай желание!</t>
  </si>
  <si>
    <t>Чаевые 💰 #этикет #правилаэтикета #деловойимидж #этикетобщения #деловойстиль #деловойэтикет #деловаярепутация #деловойобраз #деловоеобщение #деловыеотношения #столовыйэтикет #деловаяпереписка</t>
  </si>
  <si>
    <t>Траурный этикет. О чём сложно говорить, но нужно знать каждому</t>
  </si>
  <si>
    <t>Войсы/Голосовые/аудиосообщения  Эта тема вызывает много споров. Кто-то…</t>
  </si>
  <si>
    <t>#этикет #правилаэтикета #этикетобщения #деловойимидж #деловойстиль #деловойэтикет #деловаярепутация #деловойобраз #деловыепереговоры #деловыеотношения</t>
  </si>
  <si>
    <t>Социально-образовательный проект «Образ будущего»</t>
  </si>
  <si>
    <t>Еще недавно я подавала документы на визу в Алжир, а сейчас не без проблем в…</t>
  </si>
  <si>
    <t>Проверьте ваши знания 🙌🏻 #этикет #правилаэтикета #деловойимидж #этикетобщения #деловойстиль #деловаярепутация #деловойобраз #деловыепереговоры #деловаяпереписка #деловыеотношения</t>
  </si>
  <si>
    <t>Сладкая кукуруза, с днём рождения!</t>
  </si>
  <si>
    <t>Войсы и голосовые в деловой среде.   Соглашусь, что классно наговаривать…</t>
  </si>
  <si>
    <t>Неприлично говорить "будь здоров" #этикет #деловойимидж #правилаэтикета #деловаярепутация #деловойэтикет #деловойобраз #деловыепереговоры #деловыеотношения #деловаяпереписка</t>
  </si>
  <si>
    <t>Этикет как волшебная таблетка от эгоизма</t>
  </si>
  <si>
    <t>В нашей жизни мы порой оказываемся в ситуациях со сложными собеседниками или…</t>
  </si>
  <si>
    <t>В больнице #этикет #правилаэтикета #деловойимидж #этикетобщения #деловойстиль #деловойэтикет #деловаярепутация #деловойобраз #деловыепереговоры #деловыеотношения #деловаяпереписка</t>
  </si>
  <si>
    <t>Тональник должен остаться на лице. Этикет в магазине вещей</t>
  </si>
  <si>
    <t>Вот бы можно было бы просто щелкнуть пальцами и достичь цели, но чаще всего…</t>
  </si>
  <si>
    <t>Будьте аккуратны с нежелательными прикосновениями #этикет #правилаэтикета #этикетобщения #деловойэтикет #деловаярепутация #деловыепереговоры #деловыеотношения #деловойобраз</t>
  </si>
  <si>
    <t>Как путешествовать с животными. Правила проезда в поезде</t>
  </si>
  <si>
    <t>Что вы сейчас читаете ? 📚 Буду рада обсудить с вами или взять на заметку ваши…</t>
  </si>
  <si>
    <t>"Приятного аппетита" #этикет #правилаэтикета #этикетобщения #деловойимидж #деловойстиль #деловойэтикет #деловаярепутация #деловойобраз #деловыепереговоры #деловоеобщение #деловаяпереписка</t>
  </si>
  <si>
    <t>Этикет мороженого. Что общего у фруктов и снега?</t>
  </si>
  <si>
    <t>Когда важно не опаздывать?  ⏰ Когда вы хотите произвести положительное…</t>
  </si>
  <si>
    <t>Где разместить сумку? #этикет #правилаэтикета #этикетобщения #деловойимидж #деловойстиль #деловойэтикет #деловаярепутация #деловойобраз #деловыепереговоры #деловоеобщение #деловыеотношения</t>
  </si>
  <si>
    <t>Современный человек. Какой он? Социальный проект «Образ Будущего»</t>
  </si>
  <si>
    <t>Существует негласное правило – стоимость вашего наряда должна приблизительно…</t>
  </si>
  <si>
    <t>8 книг по этикету, которые сделают вас любимым собеседником или желанным партнёром по бизнесу.</t>
  </si>
  <si>
    <t>#этикет #правилаэтикета #этикетобщения #деловойимидж #деловойстиль #деловойэтикет #деловаярепутация #деловойобраз #деловыепереговоры #деловоеобщение #деловыеотношения #деловаяпереписка</t>
  </si>
  <si>
    <t>Вы тоже слышите улыбку через телефон? 😊  Речь, манера и интонация - три кита…</t>
  </si>
  <si>
    <t>Bonjour! Французская не местная булочка, которая завоевала сердце не только Парижа</t>
  </si>
  <si>
    <t>Пост: Вы можете не знать название для ЭТОГО, но точно хоть раз сталкивались с…</t>
  </si>
  <si>
    <t>Как быть, если по понедельникам рабочий е-мейл трещит по швам от писем?</t>
  </si>
  <si>
    <t>#этикет #правилаэтикета #деловойимидж #этикетобщения #деловойстиль #деловойэтикет #деловаярепутация #деловойобраз #деловыепереговоры #деловыеотношения #деловаяпереписка</t>
  </si>
  <si>
    <t>Как красиво ответить, если вам хамят в лицо?</t>
  </si>
  <si>
    <t>⁃ О чем ваши лекции?  ⁃ Об имидже.  ⁃ А что это? В целом про одежду?  ⁃ Я…</t>
  </si>
  <si>
    <t>Проверьте ваши знания 🙌🏻 #этикет #правилаэтикета #деловойимидж #этикетобщения #деловойстиль #деловойэтикет #деловаярепутация #деловойобраз #деловыепереговоры #деловоеобщение #деловыеотношения</t>
  </si>
  <si>
    <t>Если друг отписался вдруг…</t>
  </si>
  <si>
    <t>Как правильно представить кого-то в деловом мире?  Ситуация очень простая…</t>
  </si>
  <si>
    <t>Гардероб в театре #этикет #правилаэтикета #деловойимидж #этикетобщения #деловойстиль #деловойэтикет #деловаярепутация #деловойобраз #деловыепереговоры #деловыеотношения #деловаяпереписка</t>
  </si>
  <si>
    <t>Супермаркет - место для выяснения отношений или приятных покупок?</t>
  </si>
  <si>
    <t>Товарищ? Гражданин? Или сударь?   Формы обращения к другому человеку в…</t>
  </si>
  <si>
    <t>#этикет #правилаэтикета #этикетобщения #деловойэтикет #деловоеобщение</t>
  </si>
  <si>
    <t>Люблю выезжать на природу, где не слышно гула машин, плохо ловит интернет и…</t>
  </si>
  <si>
    <t>Вы пробовали жить без телефона? Через сколько часов вы сорвётесь?</t>
  </si>
  <si>
    <t>Цифровой этикет #этикет #правилаэтикета #этикетобщения #деловойэтикет #деловаярепутация #деловыепереговоры #деловоеобщение #деловыеотношения #цифровойэтикет</t>
  </si>
  <si>
    <t>Чай. Кофе. Деловой этикет.   Важно помнить, что в деловом общении каждый…</t>
  </si>
  <si>
    <t>Оскорблять нельзя идеализировать. А вы правильно ставите запятую, когда делаете комплимент?</t>
  </si>
  <si>
    <t>В театре #этикет #правилаэтикета #деловойэтикет #театр #этикетвтеатре</t>
  </si>
  <si>
    <t>Этикет - панацея от неуверенности в действиях</t>
  </si>
  <si>
    <t>Знаете, как эффектно обозвать ситуацию, в которой один человек говорит больше…</t>
  </si>
  <si>
    <t>Говорить о человеке в третьем лице в его присутсвии - неприлично #этикет #правилаэтикета #этикетобщения #деловойэтикет #деловыепереговоры #деловаяпереписка #цифровойэтикет</t>
  </si>
  <si>
    <t>Цветы мужчинам: да или нет? Да!</t>
  </si>
  <si>
    <t>Ходить в гости - сейчас уже что-то из детства, да? 🧸  Проще стало встречаться…</t>
  </si>
  <si>
    <t>Проверьте ваши знания 🙌🏻 #этикет #правилаэтикета #этикетобщения #деловойимидж #деловойэтикет #деловойстиль #деловаярепутация #деловоеобщение #деловыеотношения</t>
  </si>
  <si>
    <t>Вандализм на памятниках. Разрушить может каждый, а заслужить - единицы.</t>
  </si>
  <si>
    <t>На наших глазах этикет принимает новые формы, а мы смотрим мимо и не видим…</t>
  </si>
  <si>
    <t>Всегда ли уместно дарить цветы? #этикет #правилаэтикета #цветы #этикетобщения #деловойэтикет #деловойстиль #деловыеотношения #деловоеобщение</t>
  </si>
  <si>
    <t>Неочевидные правила ресторанного этикета</t>
  </si>
  <si>
    <t>Что особенного в хлебе, фруктах, помидорах и огурцах?   Эту еду можно брать со…</t>
  </si>
  <si>
    <t>Антиджентльмен #этикет #правилаэтикета #этикетобщения #деловойэтикет #деловойстиль #деловаярепутация #деловыепереговоры #деловоеобщение #деловыеотношения</t>
  </si>
  <si>
    <t>Английская традиция чайной церемонии. Afternoon tea.</t>
  </si>
  <si>
    <t>Недавно водитель компании, в которой я читала лекции, произвел на меня…</t>
  </si>
  <si>
    <t>Ты или Вы? #этикет #правилаэтикета #этикетобщения #деловойэтикет #деловаярепутация #деловыепереговоры #деловоеобщение #деловыеотношения #деловаяпереписка #цифровойэтикет</t>
  </si>
  <si>
    <t>Несколько дней назад я провела лекцию по этикету в школе в центре Санкт-Петербурга.</t>
  </si>
  <si>
    <t>В последнее время все больше людей стали игнорировать театральный дресс-код и…</t>
  </si>
  <si>
    <t>Осторожно, зубочистки! #этикет #правилаэтикета #деловойэтикет #деловаярепутация #деловоеобщение #деловыеотношения #столовыйэтикет #этикетзастолом</t>
  </si>
  <si>
    <t>Как путешествовать в любой уголок мира, не выезжая из родного города?</t>
  </si>
  <si>
    <t>Через месяц начнётся новый учебный год и я возобновлю свои лекции с проектом…</t>
  </si>
  <si>
    <t>Палочки для еды #этикет #правилаэтикета #восточнаякухня #деловойэтикет #деловоеобщение #деловыеотношения #столовыйэтикет #этикетзастолом</t>
  </si>
  <si>
    <t>Фудмаркет - многонациональный язык, доступный каждому.</t>
  </si>
  <si>
    <t>Кто давно на меня подписан, знают, что одним из моих профессиональных занятий…</t>
  </si>
  <si>
    <t>Что НЕ подарить на 8 марта?</t>
  </si>
  <si>
    <t>"Телефонный" этикет #этикет #правилаэтикета #этикетобщения #деловойэтикет #деловойимидж #деловаярепутация #деловыепереговоры #деловыеотношения #цифровойэтикет</t>
  </si>
  <si>
    <t>Я хотела бы сама посетить такую лекцию, как моя.   Это плохо?  Каждый раз…</t>
  </si>
  <si>
    <t>Приветствие на разных языках России: как сказать "доброе утро"?</t>
  </si>
  <si>
    <t>Проверьте ваши знания 🙌🏻 #этикет #правилаэтикета #этикетобщения #деловойэтикет #деловойимидж #деловаярепутация #деловойстиль #деловыепереговоры #деловоеобщение #деловойобраз #деловыеотношения</t>
  </si>
  <si>
    <t>Этикет в самолете 💺  Во время полета каждый пассажир стремится сделать свое…</t>
  </si>
  <si>
    <t>Электронные открытки — новая волна праздничного спама.</t>
  </si>
  <si>
    <t>Как реагировать на подарок? #этикет #правилаэтикета #этикетобщения #деловойэтикет #деловойимидж #деловаярепутация #деловыепереговоры #деловыеотношения #цифровойэтикет</t>
  </si>
  <si>
    <t>Как все не испортить рукопожатием?  Рукопожатие является одним из самых…</t>
  </si>
  <si>
    <t>Как этикет относится к макияжу?</t>
  </si>
  <si>
    <t>#этикет #правилаэтикета #этикетобщения #деловойэтикет #деловойимидж #деловаярепутация #деловойстиль #деловыепереговоры #деловойобраз #деловыеотношения #деловоеобщение #деловаяпереписка</t>
  </si>
  <si>
    <t>Искусство общения в общих чатах</t>
  </si>
  <si>
    <t>Прогноз погоды обещает аномальную жару в городе, самое время уехать туда, где…</t>
  </si>
  <si>
    <t>В обществе причнто обращаться по имени #этикет #правилаэтикета #этикетобщения #деловойэтикет #деловойимидж #деловаярепутация #деловыепереговоры #деловойобраз #деловоеобщение #деловыеотношения</t>
  </si>
  <si>
    <t>За неделю я приняла участие в пяти разных сюжетах для телеканалов</t>
  </si>
  <si>
    <t>Жалко денег на цветы?  Да, действительно, порой букет цветов отживает свой…</t>
  </si>
  <si>
    <t>Зачем нужен этикет? #этикет #правилаэтикета #этикетобщения #деловойэтикет #деловойимидж #деловаярепутация #деловойстиль #деловыепереговоры #деловоеобщение #деловойобраз #деловыеотношения</t>
  </si>
  <si>
    <t>Где чай появился первым: в Великобритании или России?</t>
  </si>
  <si>
    <t>Чрезмерное употребление духов вредит не только вашему здоровью  Наверняка вы…</t>
  </si>
  <si>
    <t>Можно ли есть руками? #этикет #правилаэтикета #этикетобщения #деловойэтикет #деловойимидж #деловаярепутация #деловойстиль #деловыепереговоры #столовыйэтикет #этикетзастолом</t>
  </si>
  <si>
    <t>Проект «Образ будущего» или возрождение культурного кода России.</t>
  </si>
  <si>
    <t>Дедлайны, фидбеки, бэкграунды  Уместны ли при деловом общении?  Использование…</t>
  </si>
  <si>
    <t>Проверьте ваши знания 🙌🏻 #этикет #правилаэтикета #этикетобщения #деловойэтикет #деловойимидж #деловаярепутация #деловойстиль #деловыепереговоры #деловойобраз #деловоеобщение #деловаяпереписка</t>
  </si>
  <si>
    <t>Мастерство представления: ключи к элегантному знакомству</t>
  </si>
  <si>
    <t>Счастье или везение?  Я не провела ни дня за нелюбимым делом! Кто-то назовет…</t>
  </si>
  <si>
    <t>#этикет #правилаэтикета #этикетобщения #деловойэтикет #деловойимидж #деловаярепутация #деловойстиль #деловыепереговоры #деловойобраз #цифровойэтикет #деловаяпереписка</t>
  </si>
  <si>
    <t>Как вести себя культурно среди книг - правила этикета в библиотеке</t>
  </si>
  <si>
    <t>Чаепитие ☕️ #этикет #правилаэтикета #деловойэтикет #деловойимидж #деловаярепутация #деловыепереговоры #деловойобраз #деловоеобщение #столовыйэтикет #этикетзастолом</t>
  </si>
  <si>
    <t>Этикет телефонного приветствия  Телефонное приветствие - это первое…</t>
  </si>
  <si>
    <t>Лекция в столице Китая «От делового до элегантного: один шаг».</t>
  </si>
  <si>
    <t>Этикет в офисе #этикет #правилаэтикета #этикетобщения #деловойэтикет #деловаярепутация #деловоеобщение #деловыеотношения #цифровойэтикет #офис</t>
  </si>
  <si>
    <t>Отзыв о Выставке «Перевернутое Сафари» в Манеже  Друзья, недавно я посетила…</t>
  </si>
  <si>
    <t>Деловой имидж мужчины и женщины. Из чего он состоит?</t>
  </si>
  <si>
    <t>Извинение является важной частью этикета общения и помогает поддерживать…</t>
  </si>
  <si>
    <t>Незнание не освобождает от неловких ситуаций</t>
  </si>
  <si>
    <t>Комплименты незнакомым людям. #этикет #правилаэтикета #этикетобщения #деловойэтикет #деловаярепутация #деловыепереговоры #деловоеобщение #деловыеотношения</t>
  </si>
  <si>
    <t>Собеседование является важным этапом процесса поиска работы. Во время этого…</t>
  </si>
  <si>
    <t>Этикет в лифте: правила вежливости в вертикальном пространстве</t>
  </si>
  <si>
    <t>Нормы этикета зависят от места, времени и обстоятельств. #этикет #правилаэтикета #деловойэтикет #деловаярепутация #деловоеобщение #столовыйэтикет #этикетзастолом</t>
  </si>
  <si>
    <t>Сегодня произошла история, которая в очередной раз напомнила мне, как важна…</t>
  </si>
  <si>
    <t>Искусство речевых клише: важность вежливых фраз в современном общении</t>
  </si>
  <si>
    <t>Как сделать ваше приглашение на деловое мероприятие максимально эффективным…</t>
  </si>
  <si>
    <t>#этикет #правилаэтикета #этикетобщения #деловойэтикет #деловаярепутация #деловойимидж #деловыепереговоры #деловойстиль #деловыеотношения #деловаяпереписка</t>
  </si>
  <si>
    <t>Этикет подземелья</t>
  </si>
  <si>
    <t>Где беру вдохновение и как сохраняю мотивацию  Для меня вдохновение – это, в…</t>
  </si>
  <si>
    <t>Проверьте ваши знания 🙌🏻 #этикет #правилаэтикета #этикетобщения #деловойэтикет #деловаярепутация #деловойимидж #деловыепереговоры #деловойстиль #деловоеобщение #цифровойэтикет #этикетзастолом</t>
  </si>
  <si>
    <t>Одиночество в ресторане: исторический путь от строгости к свободе</t>
  </si>
  <si>
    <t>У меня нет детей, и я не даю советов о воспитании. Можно мы просто…</t>
  </si>
  <si>
    <t>Головные уборы 🎩 #этикет #правилаэтикета #деловойэтикет #деловойстиль #общественныеместа #шапка #головныеуборы</t>
  </si>
  <si>
    <t>Многогранный этикет Китая</t>
  </si>
  <si>
    <t>Максимальная длина сообщения в общем чате не должна превышать... #этикет #цифровойэтикет #правилаэтикета #деловоеобщение #деловыепереговоры</t>
  </si>
  <si>
    <t>Этикет и личное пространство  Общение – это ключевой аспект нашей жизни…</t>
  </si>
  <si>
    <t>Почему от меня это скрывали все эти годы?</t>
  </si>
  <si>
    <t>#этикет #правилаэтикета #общественныеместа #деловоеобщение #деловойэтикет #деловыеотношения #деловаярепутация</t>
  </si>
  <si>
    <t>Маленькие детали, которые делают вас истинным джентльменом или леди   Мы так…</t>
  </si>
  <si>
    <t>Экологический этикет: Как вести себя уважительно к природе</t>
  </si>
  <si>
    <t>#этикет #правилаэтикета #этикетобщения #деловойэтикет #деловаярепутация #деловыепереговоры #деловоеобщение #деловыеотношения #цифровойэтикет #</t>
  </si>
  <si>
    <t>как я научилась публично выступать и коммуницировать.  Многие из нас, возможно…</t>
  </si>
  <si>
    <t>Small Talk. Искусство непринужденной беседы в Различных Культурах</t>
  </si>
  <si>
    <t>Прилично ли есть десерты руками? #этикет #правилаэтикета #столовыйэтикет #этикетзастолом</t>
  </si>
  <si>
    <t>Обед или ужин в ресторане – это гастрономическое приключение, раскрывающее мир…</t>
  </si>
  <si>
    <t>Этикет употребления супов: как правильно есть суп?</t>
  </si>
  <si>
    <t>В театре #этикет #правилаэтикета #деловоеобщение #этикетвтеатре #театр #деловойэтикет #деловыеотношения #деловаярепутация</t>
  </si>
  <si>
    <t>Порой я задаюсь вопросом: «Почему я не пошла преподавать химию или физику?»</t>
  </si>
  <si>
    <t>Через пару дней улетаю в командировку в Китай. Если вы уже были в поднебесной…</t>
  </si>
  <si>
    <t>Цифровой этикет #этикет #правилаэтикета #этикетобщения #деловаярепутация #деловыепереговоры #деловойобраз #деловойстиль #цифровойэтикет</t>
  </si>
  <si>
    <t>Этикет общения с персоналом</t>
  </si>
  <si>
    <t>Деловые обеды и ужины – это не только возможность насладиться изысканными…</t>
  </si>
  <si>
    <t>Решили снять стресс - не создавайте его другим</t>
  </si>
  <si>
    <t>Посещения кинотеатра или зона свободная от этикета  Если в большинстве…</t>
  </si>
  <si>
    <t>Проверьте ваши знания🙌🏻 #этикет #правилаэтикета #этикетобщения #деловойэтикет #деловаярепутация #деловойимидж #деловыепереговоры #деловойстиль #деловоеобщение #деловыеотношения #цифровойэтикет</t>
  </si>
  <si>
    <t>Предлагаю вам мой личный адрес электронной почты</t>
  </si>
  <si>
    <t>Обратная сторона моей жизни заключается в том, что меня боятся люди  Каждый из…</t>
  </si>
  <si>
    <t>Зависит ли элегантность от денег?</t>
  </si>
  <si>
    <t>#этикет #правилаэтикета #этикетобщения #деловойэтикет #деловаярепутация #деловыепереговоры #деловоеобщение #деловыеотношения #цифровойэтикет</t>
  </si>
  <si>
    <t>Один из вопросов, который я часто слышу, — как вежливо выразить свою точку…</t>
  </si>
  <si>
    <t>Испытанием этикета может стать элементарный подъем по лестнице</t>
  </si>
  <si>
    <t>Как сохранить спокойствие и при этом поддерживать этичный онлайн-диалог…</t>
  </si>
  <si>
    <t>Во время разговора #этикет #правилаэтикета #этикетобщения #деловойэтикет #деловаярепутация #деловойимидж #деловыепереговоры #деловойстиль #деловоеобщение #деловыеотношения</t>
  </si>
  <si>
    <t>Как не стать жертвой хамского обращения в салоне красоты?</t>
  </si>
  <si>
    <t>🇨🇳 За два дня работы в Пекине, собрала 8 интересных фактов о Китае…</t>
  </si>
  <si>
    <t>Путеводитель по элегантному Петербургу</t>
  </si>
  <si>
    <t>Отношение к разговору #правилаэтикета #этикет #деловоеобщение #деловойэтикет #деловаярепутация #разговор #оьщение #деловыепереговоры</t>
  </si>
  <si>
    <t>С днём знаний! 📚   1 сентября – день, который символизирует начало учебного…</t>
  </si>
  <si>
    <t>Завоевание видео-эфира</t>
  </si>
  <si>
    <t>Время не стоит на месте, и то, что мы сегодня называем "этикетом", имело свои…</t>
  </si>
  <si>
    <t>#этикет #деловоеобщение #правилаэтикета #деловойэтикет #общественныеместа</t>
  </si>
  <si>
    <t>Вы не будете против, если мы будем на ты?</t>
  </si>
  <si>
    <t>Ранее на этой неделе мы обсудили, как важно выражать свою точку зрения, не…</t>
  </si>
  <si>
    <t>Кто заставил кролика нести яйца?</t>
  </si>
  <si>
    <t>Приветсвие #правилаэтикета #деловоеобщение #этикет #деловойэтикет #деловаярепутация #деловыепереговоры #деловыеотношения #разговор</t>
  </si>
  <si>
    <t>Деловой этикет: онлайн встречи  В мире, где удаленная работа и виртуальные…</t>
  </si>
  <si>
    <t>Спорим, у вас есть паразиты?</t>
  </si>
  <si>
    <t>Положите трубку, когда... #деловоеобщение #этикет #правилаэтикета #цифровойэтикет #деловыепереговоры #деловаярепутация #деловойэтикет</t>
  </si>
  <si>
    <t>Женщина приглашает мужчину в ресторан: кто платит?  Для многих людей, особенно…</t>
  </si>
  <si>
    <t>Три простых шага для создания первого впечатления</t>
  </si>
  <si>
    <t>Проверьте ваши знания 🙌🏻 #этикет #правилаэтикета #этикетобщения #деловойэтикет #деловаярепутация #деловойимидж #деловыепереговоры #деловойстиль #деловоеобщение #деловойобраз #цифровойэтикет</t>
  </si>
  <si>
    <t>Сегодня хочу поделиться с вами моими впечатлениями от недавнего восьмичасового…</t>
  </si>
  <si>
    <t>В чем различие между коричневым и белым сахаром?</t>
  </si>
  <si>
    <t>Сложный этический вопрос ❓ #правилаэтикета #этикет #самолет #деловоеобщение #общественныеместа #деловойэтикет #деловаярепутация</t>
  </si>
  <si>
    <t>Деловой макияж – это не просто манипуляции с красками и кисточками, это…</t>
  </si>
  <si>
    <t>Цветами можно договориться о встрече или рассказать о чувствах. Вы бы хотели возродить таинственный язык цветов?</t>
  </si>
  <si>
    <t>Лайфхак из столового этикета #правилаэтикета #этикет #деловойэтикет #ресторан #столовыйэтикет #этикетзастолом #деловоеобщение</t>
  </si>
  <si>
    <t>Ожидание спутницы(ка) в ресторане   Вопросы этикета и правил приглашения в…</t>
  </si>
  <si>
    <t>Как этикет может изменить будущее наших детей: Открытие новых горизонтов.</t>
  </si>
  <si>
    <t>Комплименты #деловоеобщение #этикет #правилаэтикета #деловойэтикет #деловаярепутация #деловыепереговоры #этикетобщения #речевойэтикет</t>
  </si>
  <si>
    <t>Дайте мне, пожалуйста, совет: на какие еще темы вы бы хотели читать статьи?</t>
  </si>
  <si>
    <t>Раньше, когда я путешествовала, всегда было время прийти в себя, иногда…</t>
  </si>
  <si>
    <t>Общественный транспорт #правилаэтикета #этикет #метро #общественныйтранспорт #общественныеместа #этикетобщения #деловаярепутация</t>
  </si>
  <si>
    <t>Откусывать хлеб - дурной тон</t>
  </si>
  <si>
    <t>Служебный этикет – это своего рода "кодекс чести" корпоративного мира. Он…</t>
  </si>
  <si>
    <t>Разговоры о рыбалке 🎣</t>
  </si>
  <si>
    <t>Пришли гости и вы не знаете кого с кем сажать?</t>
  </si>
  <si>
    <t>Важные шаги к изменению русской культуры и общественного уклада были сделаны…</t>
  </si>
  <si>
    <t>Куда убрать сумку в ресторане? #правилаэтикета #этикет #деловоеобщение #деловойэтикет #ресторан #этикетзастолом #столовыйэтикет</t>
  </si>
  <si>
    <t>Кто же платит в ресторане?</t>
  </si>
  <si>
    <t>В моих многочисленных путешествиях я всегда обращаю внимание на уникальные…</t>
  </si>
  <si>
    <t>Проверьте ваши знания 🙌🏻 #правилаэтикета #этикет #деловоеобщение #деловойэтикет #деловаярепутация #деловыепереговоры #столовыйэтикет</t>
  </si>
  <si>
    <t>Все ли в мире так, как нам кажется?</t>
  </si>
  <si>
    <t>Этикет руководителя   Современное лидерство - это не просто вынесение решений…</t>
  </si>
  <si>
    <t>Уважаемые пешеходы! #правилаэтикета #этикет #деловоеобщение #деловойэтикет #деловаярепутация #общественныеместа #этикетобщения</t>
  </si>
  <si>
    <t>Почти никто не умеет есть макароны</t>
  </si>
  <si>
    <t>Как закончить беседу  Завершение разговора — это как завершение главы в…</t>
  </si>
  <si>
    <t>Нижнее белье для лета</t>
  </si>
  <si>
    <t>Поддержка в трудные моменты   В моменты горя и утраты слова соболезнования и…</t>
  </si>
  <si>
    <t>Заработала свой первый миллион обучая детей этикету</t>
  </si>
  <si>
    <t>Торжественные мероприятия   Правильно подобранная одежда не только помогает…</t>
  </si>
  <si>
    <t>В лифте #правилаэтикета #этикет #лифт #общественныеместа #этикетобщения</t>
  </si>
  <si>
    <t>Восемь книг по этикету</t>
  </si>
  <si>
    <t>Сервировка стола для официального приема   Правильная сервировка не только…</t>
  </si>
  <si>
    <t>Можно не знать этикет, но.. #правилаэтикета #этикет #деловоеобщение #деловойэтикет #деловаярепутация #деловыепереговоры #этикетобщения</t>
  </si>
  <si>
    <t>Как снизить волнение перед выступлением?</t>
  </si>
  <si>
    <t>Не дарите цветы в горшках #правилаэтикета #этикет #деловоеобщение #деловойэтикет #деловаярепутация #подарки #цветы #деловыеотношения</t>
  </si>
  <si>
    <t>Вы знаете, кому это переслать!</t>
  </si>
  <si>
    <t>Кажется, я нашла способ выиграть несколько часов в сутках!   Последнюю неделю…</t>
  </si>
  <si>
    <t>Пишем незнакомцу #этикет #правилаэтикета #деловоеобщение #деловойэтикет #деловаярепутация #деловыепереговоры #деловаяпереписка</t>
  </si>
  <si>
    <t>Семейный этикет: искусство взаимоотношений</t>
  </si>
  <si>
    <t>Натянутая вежливость в деловых письмах   Деловая переписка важна в…</t>
  </si>
  <si>
    <t>Великолепно, легко и доступно.</t>
  </si>
  <si>
    <t>Заботливый хозяин</t>
  </si>
  <si>
    <t>Сутулость - признак лузерства. Мотивация к тому, чтобы расправить плечи.</t>
  </si>
  <si>
    <t>Проверьте ваши знания #этикет #правилаэтикета #этикетобщения #деловойэтикет #деловаярепутация #деловойимидж #деловыепереговоры #деловоеобщение #деловыеотношения</t>
  </si>
  <si>
    <t>Давайте проведем небольшой интерактив и посчитаем количество ответов "да". В…</t>
  </si>
  <si>
    <t>Путешествие без границ: как избежать культурных неловкостей</t>
  </si>
  <si>
    <t>Комплимент или скандал? #этикет #правилаэтикета #этикетобщения #деловаярепутация #деловойэтикет #комплимент #комплименты #деловоеобщение #деловыеотношения</t>
  </si>
  <si>
    <t>Берегите природу, Мать Вашу</t>
  </si>
  <si>
    <t>Вещь взаймы</t>
  </si>
  <si>
    <t>Я выросла на диснеевских мультфильмах, смотрела американские фильмы, читала…</t>
  </si>
  <si>
    <t>Как предмет бедности стал признаком роскоши в современном мире? Ретроспектива столового этикета</t>
  </si>
  <si>
    <t>Этикет на даче</t>
  </si>
  <si>
    <t>Пожимать ли женщине руку? Частые ошибки в рукопожатиях</t>
  </si>
  <si>
    <t>Эвфемизмы   Сегодня хочу поговорить о речевой культуре и одном из её важных…</t>
  </si>
  <si>
    <t>Не включайте музыку без разрешения</t>
  </si>
  <si>
    <t>Трендовый офисный стиль: почему цветные носки стали must-have аксессуаром в деловой среде</t>
  </si>
  <si>
    <t>Какие туфли выбрать?</t>
  </si>
  <si>
    <t>Проверьте ваши знания 😌</t>
  </si>
  <si>
    <t>Как культурно завершить вечер   Проведение вечеринки или дружеской встречи…</t>
  </si>
  <si>
    <t>Сенсорный сад: уникальная коллаборация компании Levrana с Ботаническим садом Петра Великого</t>
  </si>
  <si>
    <t>В поезде дальнего следования</t>
  </si>
  <si>
    <t>Когда благоухание превращается в зловоние</t>
  </si>
  <si>
    <t>Шведский стол</t>
  </si>
  <si>
    <t>Впервые у меня закончился контент.  Обычно съемками я занимаюсь в Петербурге…</t>
  </si>
  <si>
    <t>Элегантный и практичный столовый прибор, о котором часто забывают: десертная вилка</t>
  </si>
  <si>
    <t>Дворовый этикет</t>
  </si>
  <si>
    <t>Лекция в Российском культурном центре в Пекине</t>
  </si>
  <si>
    <t>Комментарии #этикет #правилаэтикета</t>
  </si>
  <si>
    <t>Несколько комплиментов от прохожих за один вечер. Москва вызывает культурный…</t>
  </si>
  <si>
    <t>Ножницы для винограда на вашем столе</t>
  </si>
  <si>
    <t>Шумная компания</t>
  </si>
  <si>
    <t>Самая главная ошибка после встречи: а вы отправляете фоллоу-ап?</t>
  </si>
  <si>
    <t>Головной убор в ресторане</t>
  </si>
  <si>
    <t>Спасибо за вашу поддержку и комментарии - это очень помогает росту блога. Ваше…</t>
  </si>
  <si>
    <t>А вы леди?</t>
  </si>
  <si>
    <t>Время проверить свои знания 🙌🏻</t>
  </si>
  <si>
    <t>Как определить, что ситуация является этикетной?   Этикетные ситуации обычно…</t>
  </si>
  <si>
    <t>Пляжный отдых</t>
  </si>
  <si>
    <t>Столовый бутерброд и российское производство тканей</t>
  </si>
  <si>
    <t>Место в поезде</t>
  </si>
  <si>
    <t>Почему вы носите часы не на той руке?</t>
  </si>
  <si>
    <t>Тактичность — это важное качество, которое может сделать нашу жизнь более…</t>
  </si>
  <si>
    <t>Жилой двор</t>
  </si>
  <si>
    <t>Этикет в сказке «Золушка»</t>
  </si>
  <si>
    <t>Цените людей</t>
  </si>
  <si>
    <t>Как имидж и этикет открывают двери к успеху: выступление на XII Всероссийском съезде советов молодых ученых и студенческих научных обществ</t>
  </si>
  <si>
    <t>Путешествия и проживание за границей – это удивительные и насыщенные опытом…</t>
  </si>
  <si>
    <t>Здороваться или прощаться?</t>
  </si>
  <si>
    <t>Не Диор!</t>
  </si>
  <si>
    <t>Тест 🙌🏻</t>
  </si>
  <si>
    <t>Вы неправильно носите солнцезащитные очки</t>
  </si>
  <si>
    <t>Уверенность часто приходит к нам с нашими победами. Этот внутренний огонек…</t>
  </si>
  <si>
    <t>Перешептывания</t>
  </si>
  <si>
    <t>Хлопайте в конце полета: этикет в самолете</t>
  </si>
  <si>
    <t>День рождения в коллективе   Празднование особых дат и дней рождения в…</t>
  </si>
  <si>
    <t>До сих пор носите наушники неправильно?</t>
  </si>
  <si>
    <t>Комплименты - не экзамен!</t>
  </si>
  <si>
    <t>Когда решаете переночевать у друзей или знакомых   Дом каждого человека - это…</t>
  </si>
  <si>
    <t>Этикет в сказке «Спящая красавица»</t>
  </si>
  <si>
    <t>Рукопожатия</t>
  </si>
  <si>
    <t>Петиметры и кокетки  Влияние французской культуры на российские нравы и этикет…</t>
  </si>
  <si>
    <t>Овсянку нужно есть с салфеткой на голове</t>
  </si>
  <si>
    <t>Раньше - лучше?</t>
  </si>
  <si>
    <t>Речевые конструкторы - это как амортизаторы для наших разговоров, они помогают…</t>
  </si>
  <si>
    <t>Топ 5 правил каршеринга</t>
  </si>
  <si>
    <t>Проверьте ваши знания 🙌🏻</t>
  </si>
  <si>
    <t>Как правильно носить «королеву в мире украшений»: этикет брошей</t>
  </si>
  <si>
    <t>Что вы выберете: арбуз или дыню? 🍉🍈  Пока думаете, что для вас вкуснее…</t>
  </si>
  <si>
    <t>Звонить или не звонить - вот в чём вопрос</t>
  </si>
  <si>
    <t>Фильм «Служебный роман» с точки зрения этикета</t>
  </si>
  <si>
    <t>Осень уже в самом разгаре, но это не повод грустить! 🍂   Желаю всем хороших…</t>
  </si>
  <si>
    <t>Ремонт в квартире</t>
  </si>
  <si>
    <t>Загадочный кодлер: элегантный способ приготовления яиц</t>
  </si>
  <si>
    <t>Психологи утверждают, что 55% наших эмоций и намерений выражаются через…</t>
  </si>
  <si>
    <t>Гостевой визит</t>
  </si>
  <si>
    <t>Что мы не сможем найти в вашей дамской сумке?</t>
  </si>
  <si>
    <t>Доброжелательная мимика, да что это вообще значит?  Часто слышу советы и…</t>
  </si>
  <si>
    <t>Новоселье</t>
  </si>
  <si>
    <t>Этикет подарков в международной деловой среде</t>
  </si>
  <si>
    <t>Общение без слов  Недавно я увидела ролик, в котором девушка попросила своего…</t>
  </si>
  <si>
    <t>Проверьте ваши знания в этикете 🙌🏻</t>
  </si>
  <si>
    <t>Олимпиада и спортивный этикет</t>
  </si>
  <si>
    <t>Дорогие подписчики!   Ответьте, пожалуйста, на несколько вопросов, это поможет…</t>
  </si>
  <si>
    <t>Отказ от подарка</t>
  </si>
  <si>
    <t>Вилка для улиток: как изящный инструмент завоевал сердца гурманов</t>
  </si>
  <si>
    <t>Добрый день! Приглашаю вас принять участие в моем исследовании. Ваше мнение…</t>
  </si>
  <si>
    <t>Какой подлокотник ваш?</t>
  </si>
  <si>
    <t>Маникюр по этикету</t>
  </si>
  <si>
    <t>Наблюдала недавно этикетную ситуацию в метро 🚈  Девушка сидела, увлечённая…</t>
  </si>
  <si>
    <t>Мужской маникюр: что ваши руки говорят о вас</t>
  </si>
  <si>
    <t>Антиджентельмен</t>
  </si>
  <si>
    <t>Если Вы оказались на званом ужине и не знаете, где чья тарелка и бокал…</t>
  </si>
  <si>
    <t>Пресс-тур с Levrana: Как натуральная косметика вдохновляет на заботу о культуре и природе</t>
  </si>
  <si>
    <t>Не отвечают на звонок?</t>
  </si>
  <si>
    <t>О чем нельзя говорить за столом?  Есть темы, которые в любой культуре…</t>
  </si>
  <si>
    <t>Вилка для лимона: этикет и традиции</t>
  </si>
  <si>
    <t>Без спасибо</t>
  </si>
  <si>
    <t>Этикет 1 сентября: искусство достойного старта учебного года</t>
  </si>
  <si>
    <t>Как правильно передавать предметы за столом?  Передавая соль, хлеб или соус…</t>
  </si>
  <si>
    <t>Проверьте ваши знания</t>
  </si>
  <si>
    <t>Как мир встречает 1 сентября: интересные традиции и этикет</t>
  </si>
  <si>
    <t>Стоит ли делать комплименты коллегам?  Да, но с осторожностью. Деловые…</t>
  </si>
  <si>
    <t>Антиледи</t>
  </si>
  <si>
    <t>Как носить шляпы: тонкости этикета ношения шляп</t>
  </si>
  <si>
    <t>Можно ли опаздывать на деловую встречу?  Нет. В деловом мире пунктуальность…</t>
  </si>
  <si>
    <t>Вечеринка на даче</t>
  </si>
  <si>
    <t>Иностранные языки в деловом этикете и протоколе</t>
  </si>
  <si>
    <t>Как выйти из беседы, если разговор затянулся?  Можно сказать: «Было очень…</t>
  </si>
  <si>
    <t>Комплименты на даче</t>
  </si>
  <si>
    <t>Осенние традиции: от капустников до «КРОШЕВО»</t>
  </si>
  <si>
    <t>Разговор в лифте: этикет или молчание?  В деловой среде в лифте не принято…</t>
  </si>
  <si>
    <t>– Ешь быстрее!</t>
  </si>
  <si>
    <t>Как вызвать раздражение</t>
  </si>
  <si>
    <t>Как корректно указать на ошибку?  Никогда не делайте это при посторонних…</t>
  </si>
  <si>
    <t>Фразы для провокации конфликта</t>
  </si>
  <si>
    <t>Если кто-то забыл Ваше имя  Не стоит обижаться или смущать человека…</t>
  </si>
  <si>
    <t>Как вежливо отказать по телефону?</t>
  </si>
  <si>
    <t>Исправляем ошибки</t>
  </si>
  <si>
    <t>Можно ли звонить без предупреждения?  В деловом этикете предпочтительно…</t>
  </si>
  <si>
    <t>Косметику нельзя дарить по этикету: как выбрать уместный подарок для близких</t>
  </si>
  <si>
    <t>Как подать руку при знакомстве?  Рукопожатие должно быть уверенным, но не…</t>
  </si>
  <si>
    <t>Оденусь как король</t>
  </si>
  <si>
    <t>Можно ли дарить парфюм коллегам или партнёрам?  Нет. Парфюм — слишком личный…</t>
  </si>
  <si>
    <t>Как правильно пользоваться салфеткой в ресторане</t>
  </si>
  <si>
    <t>На самокате</t>
  </si>
  <si>
    <t>Почему в деловой среде не носят яркие украшения?  Деловой стиль подразумевает…</t>
  </si>
  <si>
    <t>Этикет на высшем уровне. Секреты протокола на высокой неделе ООН</t>
  </si>
  <si>
    <t>Как реагировать на грубость</t>
  </si>
  <si>
    <t>Психология общения. Почему в деловом общении важно задавать уточняющие вопросы…</t>
  </si>
  <si>
    <t>Кто платит?</t>
  </si>
  <si>
    <t>Фестиваль «Крошево»</t>
  </si>
  <si>
    <t>Как правильно вести себя в гостях?  — Приходить с небольшим подарком для…</t>
  </si>
  <si>
    <t>Прежде чем погладить чужую собаку...</t>
  </si>
  <si>
    <t>В кафе работают не только официанты</t>
  </si>
  <si>
    <t>Можно ли перебивать вежливо?  Исключительно при уважительной необходимости…</t>
  </si>
  <si>
    <t>Рассада</t>
  </si>
  <si>
    <t>Лекция «Роль имиджа и этикета в международных отношениях» в РГГУ</t>
  </si>
  <si>
    <t>Можно ли разговаривать с набитым ртом?  Нет, даже если это всего лишь пара…</t>
  </si>
  <si>
    <t>На пешеходном переходе</t>
  </si>
  <si>
    <t>Как вести себя на встрече с незнакомыми людьми?</t>
  </si>
  <si>
    <t>Как правильно принимать комплимент?  Улыбнитесь и кратко поблагодарите…</t>
  </si>
  <si>
    <t>Спортзал</t>
  </si>
  <si>
    <t>Лекция «Роль имиджа и этикета в международных отношениях» в МГЛУ</t>
  </si>
  <si>
    <t>Куда деть телефон на деловом ужине?  На столе ему не место. Убираем в карман…</t>
  </si>
  <si>
    <t>Развилка</t>
  </si>
  <si>
    <t>Как правильно держать бокал</t>
  </si>
  <si>
    <t>Можно ли поправлять волосы за столом?  Нет. Волосы, как и макияж, корректируют…</t>
  </si>
  <si>
    <t>Рабочие звонки</t>
  </si>
  <si>
    <t>Ярмарка «Светский винтаж»: лекция «Симбиоз делового и светского этикета»</t>
  </si>
  <si>
    <t>Можно ли подписывать e-mail только инициалами?  Нет. Завершение письма должно…</t>
  </si>
  <si>
    <t>Как обратиться к человеку, чтобы начать его раздражать</t>
  </si>
  <si>
    <t>Кто здоровается первым?</t>
  </si>
  <si>
    <t>Можно ли звать официанта, щёлкая пальцами?  Нет! Это невежливо. Правильный…</t>
  </si>
  <si>
    <t>Оставить чаевые – ваша обязанность</t>
  </si>
  <si>
    <t>Почему нельзя первым касаться руки высокопоставленного лица?  В…</t>
  </si>
  <si>
    <t>Ошибки, которые чуть не стоили мне карьеры</t>
  </si>
  <si>
    <t>Я работала с президентом</t>
  </si>
  <si>
    <t>Почему не принято есть прямо с ножа?  Помимо очевидных причин (это небезопасно…</t>
  </si>
  <si>
    <t>Как правильно звонить в домофон?</t>
  </si>
  <si>
    <t>Можно ли просить персонал изменить блюдо?  Допустимо корректно попросить об…</t>
  </si>
  <si>
    <t>Если вы отмечаете Хэллоуин, значит вы вор</t>
  </si>
  <si>
    <t>Как вежливо дать понять, что вас неинтересен разговор?  Можно сказать: «мне…</t>
  </si>
  <si>
    <t>Шумные соседи</t>
  </si>
  <si>
    <t>Качества, которые раздражают</t>
  </si>
  <si>
    <t>Можно ли передавать соль из рук в руки?  В классическом европейском этикете…</t>
  </si>
  <si>
    <t>С какой стороны номить сумку? #этикет #правилаэтикета #деловойэтикет #деловойимидж</t>
  </si>
  <si>
    <t>Тайный язык королевского этикета</t>
  </si>
  <si>
    <t>Как невербально показать уважение к собеседнику?  📌 Поддерживайте зрительный…</t>
  </si>
  <si>
    <t>Что делать, когда вас игнорируют по телефону</t>
  </si>
  <si>
    <t>Улыбайтесь, господа! #улыбка #вежливость</t>
  </si>
  <si>
    <t>Почему нельзя здороваться через порог?  Эта традиция пришла из прошлого, когда…</t>
  </si>
  <si>
    <t>Вы неправильно пьете чай</t>
  </si>
  <si>
    <t>Пристальное внимание</t>
  </si>
  <si>
    <t>Шеф, этикет!</t>
  </si>
  <si>
    <t>Как правильно выразить несогласие в деловом диалоге?  Вместо прямого «я не…</t>
  </si>
  <si>
    <t>Сколько ошибок насчитали?</t>
  </si>
  <si>
    <t>Как реагировать на крики начальства</t>
  </si>
  <si>
    <t>Что делать, если кто-то сидит на вашем месте в театре или ресторане?  Не…</t>
  </si>
  <si>
    <t>Еще одна история Золушки. Королевский этикет</t>
  </si>
  <si>
    <t>Не проходите мимо!</t>
  </si>
  <si>
    <t>Что нельзя дарить на официальных мероприятиях?  Нельзя дарить предметы…</t>
  </si>
  <si>
    <t>Зачем нужен столовый этикет?</t>
  </si>
  <si>
    <t>Как НЕ стоит делать комплименты #этикет #комплименты</t>
  </si>
  <si>
    <t>Стоит ли отправлять голосовые сообщения?  Голосовые –удобны для отправителя…</t>
  </si>
  <si>
    <t>Как реагировать на оскорбления</t>
  </si>
  <si>
    <t>Лёгкая улыбка располагает к себе людей 😉</t>
  </si>
  <si>
    <t>Как правильно передавать предметы?  Лучше всего – ладонью вверх или двумя…</t>
  </si>
  <si>
    <t>Я поняла в чем ваша проблема</t>
  </si>
  <si>
    <t>Правила некультурного человека</t>
  </si>
  <si>
    <t>Как правильно уведомить о получении электронного письма?  В ответном письме…</t>
  </si>
  <si>
    <t>Пленница этикета: Королева Ирана, кинозвезда, селебрити</t>
  </si>
  <si>
    <t>Можно ли проявлять чувства на публике, как вы считаете?</t>
  </si>
  <si>
    <t>Стоит ли задавать вопросы о личной жизни при деловых переговорах?  Нет, если…</t>
  </si>
  <si>
    <t>Гарри Поттер в Китае</t>
  </si>
  <si>
    <t>Куда идти?🧐</t>
  </si>
  <si>
    <t>Почему важно иногда говорить «я подумаю»?  Это демонстрирует серьёзное…</t>
  </si>
  <si>
    <t>Порт-куто – что это?</t>
  </si>
  <si>
    <t>Переходите дорогу?</t>
  </si>
  <si>
    <t>Можно ли поправлять макияж за столом?  Нет, это делают только в уборной…</t>
  </si>
  <si>
    <t>Самая бедная королевская семья в мире</t>
  </si>
  <si>
    <t>Вам кажется, что вы прикованы к своему телефону?</t>
  </si>
  <si>
    <t>Хрустальный этикет</t>
  </si>
  <si>
    <t>Заходя в помещение, снимайте солнцезащитные очки</t>
  </si>
  <si>
    <t>Не все знают для чего нужна салфетка</t>
  </si>
  <si>
    <t>Нужно ли писать «здравствуйте» в каждом письме?  Если это деловая переписка…</t>
  </si>
  <si>
    <t>Топ-10 подарков по этикету</t>
  </si>
  <si>
    <t>Ток-шоу "Домохозяйка на кухне"</t>
  </si>
  <si>
    <t>Елочная игрушка: подарок или конфликт?</t>
  </si>
  <si>
    <t>Резкие остановки</t>
  </si>
  <si>
    <t>Как правильно отказать на приглашение?  Отказ должен быть личным, благодарным…</t>
  </si>
  <si>
    <t>Как обидеть подарком</t>
  </si>
  <si>
    <t>Как вежливо намекнуть, что человек говорит слишком громко?  Можно сказать…</t>
  </si>
  <si>
    <t>Вы неправильно едите оливье</t>
  </si>
  <si>
    <t>В ресторане</t>
  </si>
  <si>
    <t>Можно ли удалять сообщения после отправки?  Только в случае явной ошибки…</t>
  </si>
  <si>
    <t>Как не опозориться на корпоративе</t>
  </si>
  <si>
    <t>Как вежливо отказать без «нет»?  – «Спасибо за предложение, но у меня другие…</t>
  </si>
  <si>
    <t>Голосовые сообщения</t>
  </si>
  <si>
    <t>Как королевская семья придумывает традиции</t>
  </si>
  <si>
    <t>Можно ли направлять голосовое сообщение без предварительного согласования…</t>
  </si>
  <si>
    <t>Новогодний стол как в ресторане</t>
  </si>
  <si>
    <t>Голосовые сообщения без предупреждения</t>
  </si>
  <si>
    <t>Нужно ли вставать, если к столу подошли новые гости?  Да! Если вы сидите за…</t>
  </si>
  <si>
    <t>В чем разница: шампанское и игристое?</t>
  </si>
  <si>
    <t>Как правильно заказывать кофе?  Если в кофейне вас спрашивают: «какой Вам кофе…</t>
  </si>
  <si>
    <t>Как реагировать на токсичные комментарии</t>
  </si>
  <si>
    <t>Кто проходит первым?</t>
  </si>
  <si>
    <t>Надо ли обязательно поздравлять малознакомого человека с днём рождения?  Нет…</t>
  </si>
  <si>
    <t>Как реагировать, если подарок не понравился</t>
  </si>
  <si>
    <t>Приветствие на улице</t>
  </si>
  <si>
    <t>Почему не принято говорить «приятного аппетита»?  В классическом европейском…</t>
  </si>
  <si>
    <t>Не ешьте прошлогодние салаты</t>
  </si>
  <si>
    <t>Как не опозориться с новогодним тостом</t>
  </si>
  <si>
    <t>Почему важно иногда «давать паузу» в ответах?  Мгновенный ответ может звучать…</t>
  </si>
  <si>
    <t>Чужие переписки</t>
  </si>
  <si>
    <t>Этикет на каникулах</t>
  </si>
  <si>
    <t>Почему вежливый человек не всегда говорит «спасибо»?  Мы привыкли думать, что…</t>
  </si>
  <si>
    <t>Без подарка</t>
  </si>
  <si>
    <t>Как есть бутерброд с икрой</t>
  </si>
  <si>
    <t>Что делать, если Вам неловко не помнить кого-то на приёме?  Улыбнитесь и…</t>
  </si>
  <si>
    <t>Вещи на столе</t>
  </si>
  <si>
    <t>Как попросить вернуть обратно контейнер от салата</t>
  </si>
  <si>
    <t>Должен ли мужчина пропускать женщину вперёд?  Да, но не везде! Например, в…</t>
  </si>
  <si>
    <t>В поисках лучшего ракурса для фотографии 📸</t>
  </si>
  <si>
    <t>Как целоваться в публичном месте</t>
  </si>
  <si>
    <t>Плевки</t>
  </si>
  <si>
    <t>Как есть суп</t>
  </si>
  <si>
    <t>Почему в США официант забирает тарелку, пока вы ещё едите?  В Америке…</t>
  </si>
  <si>
    <t>Как не испортить воздух</t>
  </si>
  <si>
    <t>В общественном транспорте</t>
  </si>
  <si>
    <t>Нужно ли уведомлять о прослушивании голосовых сообщений?  Да, особенно в…</t>
  </si>
  <si>
    <t>Я никогда не извиняюсь</t>
  </si>
  <si>
    <t>Почему в Италии никогда не пьют капучино после обеда?  Капучино считается…</t>
  </si>
  <si>
    <t>Третий НЕ лишний</t>
  </si>
  <si>
    <t>Вилка для огурцов</t>
  </si>
  <si>
    <t>Как дела? Или повод показать архивы своей фотоплёнки</t>
  </si>
  <si>
    <t>Как правильно сидеть на официальной встрече?  Женщинам рекомендуется слегка…</t>
  </si>
  <si>
    <t>Как есть пышки по этикету</t>
  </si>
  <si>
    <t>Буря эмоций</t>
  </si>
  <si>
    <t>Почему на свадьбах в Китае дарят деньги в красных конвертах?  Красный цвет в…</t>
  </si>
  <si>
    <t>Темы для светских бесед</t>
  </si>
  <si>
    <t>Что делать, если Вы не помните имя собеседника?  Тактично спросите снова через…</t>
  </si>
  <si>
    <t>Кофе с собой – моветон?</t>
  </si>
  <si>
    <t>Неудачное собеседование</t>
  </si>
  <si>
    <t>Почему нельзя скрещивать нож и вилку на тарелке?  В Европе скрещённые приборы…</t>
  </si>
  <si>
    <t>Этикет китайского Нового года</t>
  </si>
  <si>
    <t>Как позвать официанта?</t>
  </si>
  <si>
    <t>Тайный язык перчаток 👑  В XIX веке перчатки были не просто модным аксессуаром…</t>
  </si>
  <si>
    <t>Как элегантно выйти из спора</t>
  </si>
  <si>
    <t>Песни в ресторане</t>
  </si>
  <si>
    <t>Можно ли добавлять соль и перец без пробы блюда?  Нет. Согласно классическому…</t>
  </si>
  <si>
    <t>Сколько я зарабатываю</t>
  </si>
  <si>
    <t>Узкие улицы</t>
  </si>
  <si>
    <t>Почему на филиппинских свадьбах вешают деньги на наряды молодожёнов?  На…</t>
  </si>
  <si>
    <t>Как общаться с неприятными людьми</t>
  </si>
  <si>
    <t>Решили позвонить кому-то?</t>
  </si>
  <si>
    <t>Почему важно повторять имя собеседника?  Повторение имени (особенно в начале и…</t>
  </si>
  <si>
    <t>Вилка для сардин</t>
  </si>
  <si>
    <t>Фото на улице</t>
  </si>
  <si>
    <t>Этикет в ресторане</t>
  </si>
  <si>
    <t>Почему в Турции чай пьют из маленьких стаканов?  Турецкий чай подают в изящных…</t>
  </si>
  <si>
    <t>Пикник</t>
  </si>
  <si>
    <t>Комплементы или комплименты?</t>
  </si>
  <si>
    <t>Как правильно прерывать разговор, если Вы спешите?  Идеальная формула: «Прошу…</t>
  </si>
  <si>
    <t>Как элегантно расстаться</t>
  </si>
  <si>
    <t>Что делать, если опаздываешь?</t>
  </si>
  <si>
    <t>Почему в Италии не разрезают спагетти?  Разрезать спагетти – это почти…</t>
  </si>
  <si>
    <t>Прощание по этикету</t>
  </si>
  <si>
    <t>Бонбоньерка</t>
  </si>
  <si>
    <t>Зачем в Англии присылают «письмо благодарности»?  В Великобритании принято…</t>
  </si>
  <si>
    <t>Как пережить День всех влюбленных</t>
  </si>
  <si>
    <t>Вандализм</t>
  </si>
  <si>
    <t>В какое время не рекомендуется писать сообщения?  Не рекомендуется писать: До…</t>
  </si>
  <si>
    <t>Телефон интереснее, чем люди</t>
  </si>
  <si>
    <t>Звонки за столом</t>
  </si>
  <si>
    <t>Почему не принято сидеть «нога на ногу» в мусульманских странах?  В…</t>
  </si>
  <si>
    <t>Что подарить на 23 февраля?</t>
  </si>
  <si>
    <t>Светские беседы: ⛔️ политика, религия, семейные или финансовые проблемы и т.п. ✅ книги, премьеры в театре и кино, путешествия и т.п.</t>
  </si>
  <si>
    <t>Как правильно стоять на официальном мероприятии?  Руки вдоль тела или сложены…</t>
  </si>
  <si>
    <t>Цветы мужчинам?</t>
  </si>
  <si>
    <t>Обед в офисе</t>
  </si>
  <si>
    <t>Почему нельзя дарить часы в Китае?  В китайской культуре часы – один из самых…</t>
  </si>
  <si>
    <t>Как реагировать на обидные комплименты</t>
  </si>
  <si>
    <t>Очереди</t>
  </si>
  <si>
    <t>Как правильно завершить рабочий звонок?  Не бросайте трубку первыми. Прощание…</t>
  </si>
  <si>
    <t>Что такое манш-а-жиго</t>
  </si>
  <si>
    <t>Примерочная</t>
  </si>
  <si>
    <t>Правда ли, что нельзя говорить тост до первого блюда? 🥂  Это верно, но не…</t>
  </si>
  <si>
    <t>Локти на столе</t>
  </si>
  <si>
    <t>Придерживайте двери!</t>
  </si>
  <si>
    <t>Почему нельзя скрещивать приборы на тарелке? 🍽️  Скрещенные нож и вилка на…</t>
  </si>
  <si>
    <t>Как правильно есть палочками</t>
  </si>
  <si>
    <t>Универсальный подарок</t>
  </si>
  <si>
    <t>Кто первым берёт меню?  В ресторане меню первым предлагает женщинам официант…</t>
  </si>
  <si>
    <t>Стучать в дверь нельзя</t>
  </si>
  <si>
    <t>Горячий напиток</t>
  </si>
  <si>
    <t>Оттопыренный мизинец: признак аристократизма или дурного тона?</t>
  </si>
  <si>
    <t>Почему в некоторых культурах не говорят «спасибо» за подарок?  В некоторых…</t>
  </si>
  <si>
    <t>Музыка</t>
  </si>
  <si>
    <t>Лопатка для паштета</t>
  </si>
  <si>
    <t>Зачем уточнять, всё ли Вас правильно поняли?  После объяснения важно…</t>
  </si>
  <si>
    <t>Лучше раньше?</t>
  </si>
  <si>
    <t>Что подарить на 8 марта?</t>
  </si>
  <si>
    <t>Почему в мире делового этикета столь важен момент «первого впечатления…</t>
  </si>
  <si>
    <t>Гости пришли без подарка?</t>
  </si>
  <si>
    <t>Чаевые – всем!</t>
  </si>
  <si>
    <t>Как тактично попросить человека говорить тише?  Лучший способ – показать…</t>
  </si>
  <si>
    <t>На эскалаторе</t>
  </si>
  <si>
    <t>Цветы в горшках дарить нельзя</t>
  </si>
  <si>
    <t>Соблюдайте тишину!</t>
  </si>
  <si>
    <t>Почему в некоторых культурах запрещено дарить ножи?🔪  В некоторых странах…</t>
  </si>
  <si>
    <t>Фотографироваться в неподходящих местах</t>
  </si>
  <si>
    <t>Этикет взгляда</t>
  </si>
  <si>
    <t>Почему в Японии важно, чтобы при встрече ваши глаза были на одном уровне с…</t>
  </si>
  <si>
    <t>Как начать раздражать человека по переписке</t>
  </si>
  <si>
    <t>Встретились с друзьями на улице?</t>
  </si>
  <si>
    <t>Можно ли использовать смайлики в деловой переписке?  В формальной переписке…</t>
  </si>
  <si>
    <t>Загадочная кофейная банка</t>
  </si>
  <si>
    <t>В толпе</t>
  </si>
  <si>
    <t>Как не украсть чужую историю</t>
  </si>
  <si>
    <t>Почему иногда подают два бокала для воды?  На особо торжественных ужинах один…</t>
  </si>
  <si>
    <t>Как вести себя в метро, чтобы вас не ненавидели</t>
  </si>
  <si>
    <t>Почему надо следить за запахом одежды?</t>
  </si>
  <si>
    <t>Надо ли благодарить за полученный отказ?  Да, особенно если речь идёт о…</t>
  </si>
  <si>
    <t>Вы точно говорите по-русски?</t>
  </si>
  <si>
    <t>Не спешите говорить "будь здоров"!</t>
  </si>
  <si>
    <t>Можно ли доесть хлеб, поданный к супу?  Да, но в рамках приличия: хлеб едят…</t>
  </si>
  <si>
    <t>Как общаться с официантом</t>
  </si>
  <si>
    <t>Молчание в чате – это тоже реплика  Не отвечать значит ответить молчанием…</t>
  </si>
  <si>
    <t>Почётное место в машине</t>
  </si>
  <si>
    <t>Быть или не быть онлайн</t>
  </si>
  <si>
    <t>Почему не стоит звонить «на пару слов» без предупреждения?  Потому что…</t>
  </si>
  <si>
    <t>В метро</t>
  </si>
  <si>
    <t>Как поддерживать правильный small talk в машине</t>
  </si>
  <si>
    <t>Можно ли приходить в футболке на деловую встречу летом?  Если это не IT или…</t>
  </si>
  <si>
    <t>Авторские права</t>
  </si>
  <si>
    <t>Как научиться есть при помощи ножа</t>
  </si>
  <si>
    <t>Если вы мужчина, – да, хотя бы приподняться. Если женщина, необязательно. Но…</t>
  </si>
  <si>
    <t>Не срывайте цветы!</t>
  </si>
  <si>
    <t>Как отвечать, когда вас критикуют</t>
  </si>
  <si>
    <t>Как вежливо прервать собеседника?  Формулы: – «Извини, важный момент — могу…</t>
  </si>
  <si>
    <t>Осторожно, огонь!</t>
  </si>
  <si>
    <t>Тихая роскошь поведения</t>
  </si>
  <si>
    <t>Можно ли носить белое на свадьбу, если ты не невеста?  По классическому…</t>
  </si>
  <si>
    <t>Не все городские газоны готовы к вашим объятиям</t>
  </si>
  <si>
    <t>Что о вас говорит ваш кофе</t>
  </si>
  <si>
    <t>Можно ли делать замечание коллеге при всех?  Нет, если вы не хотите подорвать…</t>
  </si>
  <si>
    <t>Вести параллельно два диалога - не лучший вариант</t>
  </si>
  <si>
    <t>Как элегантно пресекать манипуляции</t>
  </si>
  <si>
    <t>«Извините за опоздание» уже не работает?  Да. Сейчас важнее предупредить до…</t>
  </si>
  <si>
    <t>Как есть яйца</t>
  </si>
  <si>
    <t>Словесный шум</t>
  </si>
  <si>
    <t>Конфуз в ресторане</t>
  </si>
  <si>
    <t>Почему не стоит класть телефон экраном вверх на стол?  Потому что это сигнал…</t>
  </si>
  <si>
    <t>Как есть блины по этикету</t>
  </si>
  <si>
    <t>Что не так с фразой «Девушке просекко»?  Она устарела. Этикет сегодня не про…</t>
  </si>
  <si>
    <t>Как правильно ответить на неудобный вопрос</t>
  </si>
  <si>
    <t>Как отказать по этикету?</t>
  </si>
  <si>
    <t>«Познакомьтесь: это наш Саша» – ошибка?  Да. Представлять стоит по имени и…</t>
  </si>
  <si>
    <t>Воистину воскрес или воистину воскресе: разбор правильного употребления</t>
  </si>
  <si>
    <t>Разговоры по телефону в общественных местах</t>
  </si>
  <si>
    <t>Почему дресс-код – это вовсе не про одежду?  Потому что дресс-код – это язык…</t>
  </si>
  <si>
    <t>Как уходить по-английски и прощаться по этикету</t>
  </si>
  <si>
    <t>Семейные наименования</t>
  </si>
  <si>
    <t>Можно ли фотографировать еду в ресторане?  Да, если это быстро и незаметно…</t>
  </si>
  <si>
    <t>Как не говорить о работе</t>
  </si>
  <si>
    <t>Китайское метро</t>
  </si>
  <si>
    <t>Наушники в ушах, когда говоришь с кассиром – это ок?  Нет. Даже если музыка на…</t>
  </si>
  <si>
    <t>Что ответить, когда не знаешь, что сказать</t>
  </si>
  <si>
    <t>Этикет в спортзале</t>
  </si>
  <si>
    <t>Фраза «Прикрепляю на всякий случай» – ошибка?  Да. Она говорит: «Я сама не…</t>
  </si>
  <si>
    <t>Почему дорогие вещи не делают вас элегантнее</t>
  </si>
  <si>
    <t>Наслаждайтесь капучино, а не издевайтесь над ним☕️</t>
  </si>
  <si>
    <t>Можно ли надушиться на собеседование?  Можно, но так, чтобы аромат не остался…</t>
  </si>
  <si>
    <t>Как есть салаты по этикету</t>
  </si>
  <si>
    <t>Как правильно показывать пальцем?</t>
  </si>
  <si>
    <t>Где поправить одежду, если что-то сбилось?  Не в лифте. Не на улице. Не в зале…</t>
  </si>
  <si>
    <t>Как складывать зонт</t>
  </si>
  <si>
    <t>Как сидеть красиво</t>
  </si>
  <si>
    <t>Цифровой этикет</t>
  </si>
  <si>
    <t>Можно ли приходить на встречу с напитком в руке?  Нет, если встреча не в кафе…</t>
  </si>
  <si>
    <t>Кто перезванивает?</t>
  </si>
  <si>
    <t>Этикет в самолете. Теперь наушники обязательны</t>
  </si>
  <si>
    <t>«Ты же видишь, я занят!» — это про агрессию или про границы?  Это агрессия…</t>
  </si>
  <si>
    <t>Долгая поездка</t>
  </si>
  <si>
    <t>Этикет против жвачки</t>
  </si>
  <si>
    <t>Можно ли попросить воду в чужом доме, если не предложили?  Можно. Но вежливо…</t>
  </si>
  <si>
    <t>Как вежливо манипулировать этикетом</t>
  </si>
  <si>
    <t>Не занимйте место сумками</t>
  </si>
  <si>
    <t>Считается ли невежливым не лайкнуть сторис, где вас упомянули?  В мире…</t>
  </si>
  <si>
    <t>Как узнать имя человека, если забыл</t>
  </si>
  <si>
    <t>Рестораы в Китае</t>
  </si>
  <si>
    <t>Можно ли поздравлять человека, если он не отмечает день рождения?  Да. но в…</t>
  </si>
  <si>
    <t>Вас слышат или слушают?</t>
  </si>
  <si>
    <t>Не кричите на людей</t>
  </si>
  <si>
    <t>«Как дела?» – это не вопрос В светской беседе фраза «Как дела?» – это просто…</t>
  </si>
  <si>
    <t>Лучший способ испортить отношения: непрошенные советы</t>
  </si>
  <si>
    <t>«Онлайн-знакомство»  Представляете двух людей в чате? Представьте их друг…</t>
  </si>
  <si>
    <t>Этикет памяти в Петербурге 9 Мая</t>
  </si>
  <si>
    <t>Знакомства на улице</t>
  </si>
  <si>
    <t>E-mail: магия строки «Тема»  Письмо без темы = письмо в спам. Всего 3-5 слов…</t>
  </si>
  <si>
    <t>Этикет на 9 мая</t>
  </si>
  <si>
    <t>Испепеляющая взглядом</t>
  </si>
  <si>
    <t>Можно не отвечать сразу? Вежливое игнорирование людей</t>
  </si>
  <si>
    <t>Избегайте комплиментов, которые звучат как ваша оценка: «Ты сегодня хорошо…</t>
  </si>
  <si>
    <t>Как отвечать, когда вас пытаются пристыдить</t>
  </si>
  <si>
    <t>Еда в поезде</t>
  </si>
  <si>
    <t>Телефон на столе – новая норма?  📱 Класть телефон на стол лицевой стороной…</t>
  </si>
  <si>
    <t>Этикет сторис с людьми  📸 Прежде чем отметить друга в сторис, где он выглядит…</t>
  </si>
  <si>
    <t>Оптимальное время ответа на электронное письмо</t>
  </si>
  <si>
    <t>Можно ли спорить и не выглядеть агрессивно?</t>
  </si>
  <si>
    <t>Спам-вопрос «Ты где?»  Сообщение «Привет» или «Ты где?» без контекста – это…</t>
  </si>
  <si>
    <t>Закон или этикет</t>
  </si>
  <si>
    <t>В семье не без урода</t>
  </si>
  <si>
    <t>Вы заходите в лифт с собакой. Заходит сосед без животного. Верный жест…</t>
  </si>
  <si>
    <t>Дресс-код в городе</t>
  </si>
  <si>
    <t>Как избежать навязывания чужого мнения</t>
  </si>
  <si>
    <t>Общественный транспорт, очередь в клинике – это «зоны молчания». Громкие…</t>
  </si>
  <si>
    <t>В диалоге</t>
  </si>
  <si>
    <t>Как быстро запомнить имя человека</t>
  </si>
  <si>
    <t>Чаевые курьеру – не строгая обязанность, но жест доброй воли. Особенно если…</t>
  </si>
  <si>
    <t>Рюкзаки</t>
  </si>
  <si>
    <t>Что сказать, если вас неправильно поняли</t>
  </si>
  <si>
    <t>Можно ли отказаться от алкоголя, не объясняя причин?  Да, и это ваше…</t>
  </si>
  <si>
    <t>Нет наушников - нет музыки</t>
  </si>
  <si>
    <t>Как испортить впечатление о себе</t>
  </si>
  <si>
    <t>Голосовые сообщения – это форма вторжения. Их можно отправлять только с…</t>
  </si>
  <si>
    <t>Слово «ресторан» – это суп</t>
  </si>
  <si>
    <t>Сетевой этикет, также известный как «Netiquette» (от английских слов «network» и «etiquette»)</t>
  </si>
  <si>
    <t>Можно ли есть бургер ножом и вилкой?  Да, если это ресторан. Нет, если это…</t>
  </si>
  <si>
    <t>Как читать человека за секунды</t>
  </si>
  <si>
    <t>Можно ли сказать «я не пью чай» в гостях?  Можно, но предложите альтернативу…</t>
  </si>
  <si>
    <t>Деловой макияж</t>
  </si>
  <si>
    <t>Сколько ты зарабатываешь?</t>
  </si>
  <si>
    <t>Можно ли опаздывать в спортзал, если у вас персональная тренировка?  Нет. Вы…</t>
  </si>
  <si>
    <t>Эффект прожектора в этикете</t>
  </si>
  <si>
    <t>Наводить красоту</t>
  </si>
  <si>
    <t>Нужно ли жать руку, если ладонь мокрая от дождя или стресса?  Да. Но…</t>
  </si>
  <si>
    <t>Как родился этикет</t>
  </si>
  <si>
    <t>«Спасибо» – универсальная валюта  Она работает во всех странах, на всех языках…</t>
  </si>
  <si>
    <t>Красная помада</t>
  </si>
  <si>
    <t>Лето раздевает, а мы теряем лицо?</t>
  </si>
  <si>
    <t>Ошибка многих женщин  – носить вечерние ткани (атлас, пайетки) днём. Этикет…</t>
  </si>
  <si>
    <t>Как есть мороженое по этикету</t>
  </si>
  <si>
    <t>Совет дня</t>
  </si>
  <si>
    <t>Салфетка на колени сразу после того, как сели  Не ждите, пока принесут блюдо…</t>
  </si>
  <si>
    <t>Мисофония в этикете</t>
  </si>
  <si>
    <t>Повторный звонок</t>
  </si>
  <si>
    <t>Ты душишь разговором</t>
  </si>
  <si>
    <t>Столовые приборы – от внешних к внутренним  Каждый курс – свой набор. Во время…</t>
  </si>
  <si>
    <t>Знакомство в сети</t>
  </si>
  <si>
    <t>В чем разница между этикетом и протоколом?</t>
  </si>
  <si>
    <t>Сообщение без приветствия – грубость  Даже в мессенджере: «Здравствуйте, Иван…</t>
  </si>
  <si>
    <t>Как «пустое» светское общение повышает статус на ПМЭФ: нейронаука small talk</t>
  </si>
  <si>
    <t>Удаление сообщений без объяснения – не норма  Если написали что-то не то…</t>
  </si>
  <si>
    <t>Круассан 🥐</t>
  </si>
  <si>
    <t>Секреты нетворкинга на ПМЭФ</t>
  </si>
  <si>
    <t>Деловая переписка без «Добрый день!» в каждом письме  Если общение уже идёт…</t>
  </si>
  <si>
    <t>Не проходите мимо 🗺️</t>
  </si>
  <si>
    <t>Как есть фрукты и ягоды по этикету</t>
  </si>
  <si>
    <t>Переносить встречу можно один раз  Второй перенос без серьёзной причины…</t>
  </si>
  <si>
    <t>Забыли имя собеседника?</t>
  </si>
  <si>
    <t>Деловой этикет на ПМЭФ</t>
  </si>
  <si>
    <t>Групповые чаты – новая зона этикета  Не пишите в общий чат после 22:00. И не…</t>
  </si>
  <si>
    <t>Три основных правила этикета</t>
  </si>
  <si>
    <t>Еда на ходу</t>
  </si>
  <si>
    <t>Этикет в аэропорту  При контроле ноутбук и жидкости достаются заранее, без…</t>
  </si>
  <si>
    <t>Культурная программа ПМЭФ: как совместить приятное с полезным</t>
  </si>
  <si>
    <t>Дарить цветы мужчине можно  В 2025 году это норма: композиции в нейтральных…</t>
  </si>
  <si>
    <t>Окурки</t>
  </si>
  <si>
    <t>Протокольные нюансы культурной программы больших форумов на примере ПМЭФ</t>
  </si>
  <si>
    <t>Парфюм – невидимая одежда  Он не должен идти впереди вас. Аромат уместен…</t>
  </si>
  <si>
    <t>Как есть рис по этикету</t>
  </si>
  <si>
    <t>Дресс-код на онлайн-интервью  Нижняя часть костюма тоже важна. Вы не знаете…</t>
  </si>
  <si>
    <t>Как реагировать на массовые открытки</t>
  </si>
  <si>
    <t>Никогда 🛑</t>
  </si>
  <si>
    <t>Молчание – часть этикета  Иногда вежливее промолчать, чем поддерживать…</t>
  </si>
  <si>
    <t>Как съесть яйцо красиво</t>
  </si>
  <si>
    <t>В лифте</t>
  </si>
  <si>
    <t>Электронные поздравления ≠ бездушно  Если оно персонализировано. Плохой тон…</t>
  </si>
  <si>
    <t>Техника «серого камня» в современном этикете</t>
  </si>
  <si>
    <t>Вежливый человек</t>
  </si>
  <si>
    <t>Новогодний корпоратив –рабочее мероприятие, не вечеринка  Даже если шампанское…</t>
  </si>
  <si>
    <t>Ритуалы как инструмент доверия в деловом этикете</t>
  </si>
  <si>
    <t>Подарок руководителю Только от коллектива и в пределах символического бюджета…</t>
  </si>
  <si>
    <t>Кормление птиц</t>
  </si>
  <si>
    <t>Можно ли фотографировать еду в ресторане</t>
  </si>
  <si>
    <t>Если вы ниже по рангу, должны ли вы мириться с хамством?</t>
  </si>
  <si>
    <t>«Дресс-код – свободный» не значит «всё можно»  Для корпоративов это smart…</t>
  </si>
  <si>
    <t>Что не стоить дарить в Китае? Полное интервью доступно на моей странице✨</t>
  </si>
  <si>
    <t>Как реагировать на письма счастья</t>
  </si>
  <si>
    <t>Фраза «до Нового года» – не дедлайн  Если нужно успеть, называйте конкретную…</t>
  </si>
  <si>
    <t>Опоздания в Китае</t>
  </si>
  <si>
    <t>Как пить кофе по этикету</t>
  </si>
  <si>
    <t>Подарочная упаковка = часть подарка  Не кладите подарок в фирменный пакет…</t>
  </si>
  <si>
    <t>Китайский столовый этикет</t>
  </si>
  <si>
    <t>Цифровой этикет реакций на сообщения</t>
  </si>
  <si>
    <t>Украшения в офисе  Допустимы только в нейтральной зоне (ресепшн, переговорная…</t>
  </si>
  <si>
    <t>(Не) доброе утро</t>
  </si>
  <si>
    <t>Солнечные очки в помещении</t>
  </si>
  <si>
    <t>Поздравительное письмо клиентам  Без цитат и стихов. 1 абзац – тёплое…</t>
  </si>
  <si>
    <t>Искусственный интеллект и этикет</t>
  </si>
  <si>
    <t>Украшения на себе  В декабре допустимо чуть больше блеска, чем обычно. Но если…</t>
  </si>
  <si>
    <t>Не забывайте здороваться и прощаться</t>
  </si>
  <si>
    <t>Фразы, которые убивают диалог</t>
  </si>
  <si>
    <t>Новогодняя открытка в 2025  Возвращается в моду. Но только минимализм, плотная…</t>
  </si>
  <si>
    <t>Временные рамки звонков в Китае</t>
  </si>
  <si>
    <t>История этикета в России</t>
  </si>
  <si>
    <t>Лучшее пожелание  Не «счастья и здоровья». А фраза, отражающая внимание…</t>
  </si>
  <si>
    <t>Что такое хорошие манеры?</t>
  </si>
  <si>
    <t>Конец года – не повод спешить  Ближе к праздникам у людей падает концентрация…</t>
  </si>
  <si>
    <t>Интимные предметы</t>
  </si>
  <si>
    <t>Этикет на пляже</t>
  </si>
  <si>
    <t>В холодный сезон – важный знак  Снять перчатку для рукопожатия всё ещё…</t>
  </si>
  <si>
    <t>Фразы, которые мгновенно разрушают доверие</t>
  </si>
  <si>
    <t>Комплименты в Китае</t>
  </si>
  <si>
    <t>Гардероб — тоже часть образа  Зимой верхняя одежда – часть имиджа, а не просто…</t>
  </si>
  <si>
    <t>Как учить детей этикету</t>
  </si>
  <si>
    <t>В деловых помещениях – без шапки и шарфа  Даже если холодно. Оставаться в…</t>
  </si>
  <si>
    <t>Зонт ☔️</t>
  </si>
  <si>
    <t>Этикет летнего пикника</t>
  </si>
  <si>
    <t>Жест, который точно нельзя делать в Китае</t>
  </si>
  <si>
    <t>Small talk после праздников  Без темы «Как отдохнули?», она утомляет. Лучше…</t>
  </si>
  <si>
    <t>Этикет торжественных мероприятий</t>
  </si>
  <si>
    <t>Допускает ли этикет опоздания</t>
  </si>
  <si>
    <t>После праздников  Не начинайте письма 12 января с «С возвращением в реальность…</t>
  </si>
  <si>
    <t>Как правильно не согласиться с чужой точкой зрения</t>
  </si>
  <si>
    <t>Ответы в мессенджерах после каникул  Если долго не отвечали, начните с…</t>
  </si>
  <si>
    <t>Этикет в жару</t>
  </si>
  <si>
    <t>Три НЕ в достопримечательностях</t>
  </si>
  <si>
    <t>Новогодние каникулы закончились, а привычки остались  Опоздания, «созвонимся…</t>
  </si>
  <si>
    <t>Как не отравиться в ресторане</t>
  </si>
  <si>
    <t>Ребёнок в стоматологии @Special One</t>
  </si>
  <si>
    <t>Почему вежливые люди не начинают разговор с себя  Хороший тон – сначала дать…</t>
  </si>
  <si>
    <t>Фразы, которые лучше не говорить</t>
  </si>
  <si>
    <t>Китайский этикет подарков: что делают в момент вручения .</t>
  </si>
  <si>
    <t>Границы в общении  Вопрос может быть задан вежливо – и всё равно быть…</t>
  </si>
  <si>
    <t>Как самооценка влияет на этикет</t>
  </si>
  <si>
    <t>Как носить сумку 👜</t>
  </si>
  <si>
    <t>Как сообщить плохие новости</t>
  </si>
  <si>
    <t>Почему не стоит шутить первым  Юмор – это территория риска. Сначала нужно…</t>
  </si>
  <si>
    <t>Китайские палочки</t>
  </si>
  <si>
    <t>Этикет на шопинге</t>
  </si>
  <si>
    <t>Зимние приглашения  Приглашая, важно учитывать не только формат, но и погоду…</t>
  </si>
  <si>
    <t>Звонки</t>
  </si>
  <si>
    <t>Незаметные враги репутации</t>
  </si>
  <si>
    <t>Этикет несогласия  Можно не соглашаться и при этом не разрушать отношения. Тон…</t>
  </si>
  <si>
    <t>Как долго можно смотреть в глаза? Зрительный контакт и этикет</t>
  </si>
  <si>
    <t>Лекция в рамках проекта "Образ Будущего"</t>
  </si>
  <si>
    <t>Этикет ожиданий  Не все обязаны отвечать сразу. Терпение – социальная роскошь</t>
  </si>
  <si>
    <t>У вас есть то, чем вы не пользуетесь</t>
  </si>
  <si>
    <t>Не употребляйте алкоголь перед посещением врача @Special One</t>
  </si>
  <si>
    <t>Хорошие манеры незаметны  Если этикет бросается в глаза, он уже нарушен…</t>
  </si>
  <si>
    <t>Скоро. Церковный этикет: сюжет об Исаакиевском соборе</t>
  </si>
  <si>
    <t>Где заканчивается откровенность и начинается лицемерие</t>
  </si>
  <si>
    <t>Почему в конце зимы люди становятся резче  К февралю накапливается усталость…</t>
  </si>
  <si>
    <t>Как пережить женскую истерику</t>
  </si>
  <si>
    <t>Обращение</t>
  </si>
  <si>
    <t>Почему нельзя сравнивать подарки  Подарок – это не эквивалент, а намерение…</t>
  </si>
  <si>
    <t>Этикет на даче у друзей</t>
  </si>
  <si>
    <t>В поисках сокровищ 🧳</t>
  </si>
  <si>
    <t>Этикет усталости  Быть уставшим – нормально. Делать свою усталость центром…</t>
  </si>
  <si>
    <t>Как уволить человека</t>
  </si>
  <si>
    <t>Опоздание к врачу @Special One</t>
  </si>
  <si>
    <t>Когда лучше не продолжать разговор  Если вы чувствуете, что диалог становится…</t>
  </si>
  <si>
    <t>Манипуляция первым впечатлением</t>
  </si>
  <si>
    <t>Общие чаты</t>
  </si>
  <si>
    <t>Этикет ожиданий в «день чувств»  14 февраля – день, когда ожидания чаще…</t>
  </si>
  <si>
    <t>Дресс-коды, которые к вам не относятся</t>
  </si>
  <si>
    <t>В соборе</t>
  </si>
  <si>
    <t>Почему излишняя откровенность – не честность  Честность не требует полного…</t>
  </si>
  <si>
    <t>Часы как признак невежества</t>
  </si>
  <si>
    <t>Личные границы врача @Special One</t>
  </si>
  <si>
    <t>Тон важнее слов  Одинаковая фраза может звучать уважительно или унизительно…</t>
  </si>
  <si>
    <t>Как одеться на 1 сентября</t>
  </si>
  <si>
    <t>Церковный этикет. Полное видео на канале</t>
  </si>
  <si>
    <t>Ты так похудела - комплимент или упрек?</t>
  </si>
  <si>
    <t>Этикет отказа  Отказывать нужно чётко и спокойно, без длинных оправданий…</t>
  </si>
  <si>
    <t>Разница между «есть» и «кушать»</t>
  </si>
  <si>
    <t>Как принимать цветы 🌺</t>
  </si>
  <si>
    <t>ИИ-картинки уже перестали быть развлечением. Теперь это вопрос…</t>
  </si>
  <si>
    <t>Столовый этикет в самолете</t>
  </si>
  <si>
    <t>Как завязать шарф</t>
  </si>
  <si>
    <t>Почему не стоит исправлять других публично  Даже если вы правы, публичные…</t>
  </si>
  <si>
    <t>Мое 1 сентября</t>
  </si>
  <si>
    <t>Форс-мажоры @Special One</t>
  </si>
  <si>
    <t>Этикет ожидания ответа  Чем дольше вы ждёте, тем важнее не демонстрировать…</t>
  </si>
  <si>
    <t>Этикетный оборотень или иллюзия вежливости</t>
  </si>
  <si>
    <t>Как создать неудобства</t>
  </si>
  <si>
    <t>Этикет инициативы  Проявлять инициативу – уместно. Давить – нет. Вежливая…</t>
  </si>
  <si>
    <t>Когда нужно вернуть долг по этикету</t>
  </si>
  <si>
    <t>Если нет гардероба</t>
  </si>
  <si>
    <t>Цветы и внимание: тонкая грань  Внимание – не обязанность, а жест. Цветы…</t>
  </si>
  <si>
    <t>Зачем в лифте зеркало</t>
  </si>
  <si>
    <t>Как правильно держать чашку ☕️</t>
  </si>
  <si>
    <t>Почему самые воспитанные люди самые опасные</t>
  </si>
  <si>
    <t>В преддверии 8 марта вспомним простое правило: подарок не обесценивают.  Фраза…</t>
  </si>
  <si>
    <t>Букет цветов</t>
  </si>
  <si>
    <t>Куда положить зонт в ресторане</t>
  </si>
  <si>
    <t>Знаете, почему символом 8 марта стала мимоза? В послевоенные годы это были…</t>
  </si>
  <si>
    <t>Дама здоровается первая! Как здороваться согласно светскому этикету</t>
  </si>
  <si>
    <t>Жевать жвачку - это неуважение?</t>
  </si>
  <si>
    <t>В деловой среде букет – это знак внимания, а не личное послание.   Слишком…</t>
  </si>
  <si>
    <t>Как попросить повышение зарплаты</t>
  </si>
  <si>
    <t>Сообщения после 22:00  Поздние сообщения без срочности – это вторжение в…</t>
  </si>
  <si>
    <t>Черная пятница 🔥</t>
  </si>
  <si>
    <t>Как украшения нарушают этикет</t>
  </si>
  <si>
    <t>Почему снимают головной убор   Снимать головной убор при входе – жест…</t>
  </si>
  <si>
    <t>Элегантность употребления алкоголя</t>
  </si>
  <si>
    <t>Телефону не место за столом</t>
  </si>
  <si>
    <t>Зачем столько вилок  Множество приборов на столе появилось во Франции XVII…</t>
  </si>
  <si>
    <t>Как «привет» может стоить карьеры</t>
  </si>
  <si>
    <t>Кружочки в Telegram</t>
  </si>
  <si>
    <t>Почему чокаются  Одна из версий уходит в глубокое Средневековье: при сильном…</t>
  </si>
  <si>
    <t>Топ-10 ошибок застольного этикета</t>
  </si>
  <si>
    <t>Фраза «чувствуйте себя как дома» в аристократической среде XIX века была…</t>
  </si>
  <si>
    <t>Смешная ошибка столового этикета</t>
  </si>
  <si>
    <t>Руки в карманах</t>
  </si>
  <si>
    <t>Мода на опоздания  В XVIII веке во Франции существовала «мода на опоздание…</t>
  </si>
  <si>
    <t>У тебя пахнет изо рта</t>
  </si>
  <si>
    <t>Почему не дуют на чай  В английской традиции XIX века считалось недопустимым…</t>
  </si>
  <si>
    <t>Шопинг 🛍️</t>
  </si>
  <si>
    <t>Этикет духов осенью</t>
  </si>
  <si>
    <t>Ответ на приглашение  Когда появились письменные приглашения, ответ считался…</t>
  </si>
  <si>
    <t>Как не оставлять следы от помады</t>
  </si>
  <si>
    <t>Головной убор в помещении 🎩</t>
  </si>
  <si>
    <t>Как воспитать мужчину, который дарит цветы</t>
  </si>
  <si>
    <t>Зеркала в залах  В бальных залах XVIII века зеркала размещали не только ради…</t>
  </si>
  <si>
    <t>Цветы в гостях</t>
  </si>
  <si>
    <t>Почему пишут «с уважением» ￼ Фраза «с уважением» пришла из эпохи, когда письма…</t>
  </si>
  <si>
    <t>Корпоративы</t>
  </si>
  <si>
    <t>Этикет автомобилиста</t>
  </si>
  <si>
    <t>Лёд в напитках  Лёд стал массовым только в XIX веке, когда его начали…</t>
  </si>
  <si>
    <t>Как выйти замуж за заботливого мужчину</t>
  </si>
  <si>
    <t>Подпись от руки  Рукописная подпись долгое время была не просто формальностью…</t>
  </si>
  <si>
    <t>Бьюти-этикет 💄</t>
  </si>
  <si>
    <t>Этикет курильщика</t>
  </si>
  <si>
    <t>Не тянуться через стол  Когда столы стали длиннее и богаче сервированы…</t>
  </si>
  <si>
    <t>Этикет на День учителя</t>
  </si>
  <si>
    <t>Как правильно уйти по-английски?</t>
  </si>
  <si>
    <t>Темп шага  В XIX веке прогулка была частью светской жизни, и слишком быстрый…</t>
  </si>
  <si>
    <t>Кто ходит в гости, тот нарушает этикет</t>
  </si>
  <si>
    <t>Пакетик с сахаром</t>
  </si>
  <si>
    <t>Не поправлять других  Исправлять чьи-то манеры на людях считалось ещё большим…</t>
  </si>
  <si>
    <t>Нужно ли использовать все приборы на домашнем застолье</t>
  </si>
  <si>
    <t>Личный выбор каждого</t>
  </si>
  <si>
    <t>Аватар против карьеры</t>
  </si>
  <si>
    <t>Не нюхать еду  Явно наклоняться и нюхать блюдо считалось признаком недоверия к…</t>
  </si>
  <si>
    <t>Распаковка подарка</t>
  </si>
  <si>
    <t>Семейный этикет</t>
  </si>
  <si>
    <t>Не спрашивать цену  В аристократической культуре обсуждение стоимости…</t>
  </si>
  <si>
    <t>Дети на корпоративах</t>
  </si>
  <si>
    <t>Как нарушить этикет не нарушая</t>
  </si>
  <si>
    <t>Солнцезащитные очки  Разговаривать в тёмных очках – всё равно что говорить с…</t>
  </si>
  <si>
    <t>Тестер</t>
  </si>
  <si>
    <t>Можно ли пить вино со льдом?</t>
  </si>
  <si>
    <t>Фото в цветах  Весна провоцирует на фото – сады, парки, цветущие деревья. Но…</t>
  </si>
  <si>
    <t>Фейерверки</t>
  </si>
  <si>
    <t>Как оскорбить человека не сказав ни слова</t>
  </si>
  <si>
    <t>Велосипеды и люди  Весной появляются велосипеды и самокаты и вместе с ними…</t>
  </si>
  <si>
    <t>В кофейне</t>
  </si>
  <si>
    <t>Как выйти из-за стола, если вы захотели покурить</t>
  </si>
  <si>
    <t>Пикник – это не просто отдых, а временное «пространство», которое вы создаёте…</t>
  </si>
  <si>
    <t>Она нарушила королевский протокол</t>
  </si>
  <si>
    <t>Общение на вечеринке</t>
  </si>
  <si>
    <t>Кормить животных  Весной хочется заботы – кормить птиц, животных.   Но хлеб…</t>
  </si>
  <si>
    <t>Этикет против каблуков</t>
  </si>
  <si>
    <t>Как отказаться от 🍷</t>
  </si>
  <si>
    <t>Фраза «надо встретиться» без продолжения – социальный шум.  Раньше за такими…</t>
  </si>
  <si>
    <t>Застольный этикет</t>
  </si>
  <si>
    <t>Остановиться посреди потока  Резко остановиться на тротуаре – всё равно что…</t>
  </si>
  <si>
    <t>Столовый этикет: салаты</t>
  </si>
  <si>
    <t>Можно ли поднимать тост, если в бокале пусто?</t>
  </si>
  <si>
    <t>Громкость в наушниках  Если музыку из ваших наушников слышат окружающие – это…</t>
  </si>
  <si>
    <t>Этикет в пробке</t>
  </si>
  <si>
    <t>Приглашение на ужин</t>
  </si>
  <si>
    <t>«Без фильтров»  Позиция «я просто говорю как есть» часто маскирует грубость…</t>
  </si>
  <si>
    <t>Правда ли, что вилка всегда в левой руке? Разбираем мифы о столовом этикете</t>
  </si>
  <si>
    <t>Уходить без оглядки, хлопнув дверью, невежливо.</t>
  </si>
  <si>
    <t>Солнцезащитные очки  Очки защищают от солнца, но не заменяют взгляд.  Во время…</t>
  </si>
  <si>
    <t>Этикет детей за праздничным столом: как воспитать маленького гостя</t>
  </si>
  <si>
    <t>Парфюм в жару  Летом аромат ощущается сильнее, чем кажется его владельцу…</t>
  </si>
  <si>
    <t>Рождественский ужин</t>
  </si>
  <si>
    <t>Этикет в театре</t>
  </si>
  <si>
    <t>Этикет для соседей</t>
  </si>
  <si>
    <t>Открытые окна в транспорте  Свежий воздух нравится не всем одинаково.  Прежде…</t>
  </si>
  <si>
    <t>Как познакомить гостей</t>
  </si>
  <si>
    <t>Что подарить хозяевам застолья: универсальные и провальные варианты</t>
  </si>
  <si>
    <t>Разговор в очереди  Очередь – место ожидания, а не сцена для личных историй…</t>
  </si>
  <si>
    <t>В разговоре</t>
  </si>
  <si>
    <t>Этикет против каникул</t>
  </si>
  <si>
    <t>Видео без наушников  Если ролик слышат окружающие, они уже стали невольными…</t>
  </si>
  <si>
    <t>Дресс-код на Дне Рождения</t>
  </si>
  <si>
    <t>Гость опоздал: стоит ли начинать без него</t>
  </si>
  <si>
    <t>Сумка на соседнем сиденье  В транспорте место предназначено для людей, а не…</t>
  </si>
  <si>
    <t>Этикет: ограничение или свобода?</t>
  </si>
  <si>
    <t>Обсуждение чужих покупок  Комментарии вроде «зачем тебе это?» редко звучат как…</t>
  </si>
  <si>
    <t>Вопросы о возрасте</t>
  </si>
  <si>
    <t>Когда муж перестает быть супругом</t>
  </si>
  <si>
    <t>Кондиционер  Температура в помещении –это всегда компромисс, а не личная…</t>
  </si>
  <si>
    <t>Эмодзи клоуна – оскорбление или нет</t>
  </si>
  <si>
    <t>Неэлегантная привычка</t>
  </si>
  <si>
    <t>Разговор о планах на лето  Не у всех есть отпуск, поездки и «что-то интересное…</t>
  </si>
  <si>
    <t>Тарелки, приборы и бокалы: минимум, который должен знать каждый</t>
  </si>
  <si>
    <t>Реакция на подарок</t>
  </si>
  <si>
    <t>Как элегантно читать книги</t>
  </si>
  <si>
    <t>Мороженое на улице  Если мороженое начинает таять быстрее, чем вы успеваете…</t>
  </si>
  <si>
    <t>Доставка подарков</t>
  </si>
  <si>
    <t>Этикет музыки: как подобрать фон к застолью</t>
  </si>
  <si>
    <t>Летняя веранда  Если на террасе курят за соседним столом, не стоит громко…</t>
  </si>
  <si>
    <t>Женская сумка</t>
  </si>
  <si>
    <t>Праздник иммигранта без регистрации</t>
  </si>
  <si>
    <t>Узкий тротуар  Если вы идёте компанией, не занимайте весь тротуар.  Хороший…</t>
  </si>
  <si>
    <t>Опоздание на день рождения</t>
  </si>
  <si>
    <t>Остановка  Не стойте прямо у двери автобуса, если не выходите на следующей…</t>
  </si>
  <si>
    <t>Этикет Дня народного единства</t>
  </si>
  <si>
    <t>Голосовые сообщения  Если сообщение можно написать одной фразой, лучше…</t>
  </si>
  <si>
    <t>Этикет здоровья</t>
  </si>
  <si>
    <t>Как держать бокал для коньяка</t>
  </si>
  <si>
    <t>Такси  Не хлопайте дверью автомобиля.  Закрытая спокойно дверь говорит о…</t>
  </si>
  <si>
    <t>Этикет по разводу</t>
  </si>
  <si>
    <t>Шпильки дома и пижамы на праздник: дресс-код новогоднего застолья</t>
  </si>
  <si>
    <t>Последний кусок  Последний кусок на общем блюде лучше предложить другим…</t>
  </si>
  <si>
    <t>Ссора на публике</t>
  </si>
  <si>
    <t>В кинотеатре</t>
  </si>
  <si>
    <t>Этикет против колготок</t>
  </si>
  <si>
    <t>Пляж  Музыка на пляже должна заканчиваться там, где заканчивается ваше…</t>
  </si>
  <si>
    <t>А вы знаете, почему сумку рекомендуется носить именно так?</t>
  </si>
  <si>
    <t>Этикет пешехода</t>
  </si>
  <si>
    <t>Дарить ли алкоголь хозяевам и как правильно это сделать</t>
  </si>
  <si>
    <t>Представление  Если вы привели человека в компанию, представьте его остальным…</t>
  </si>
  <si>
    <t>Кто первым заходит в лифт?</t>
  </si>
  <si>
    <t>Мамам не до этикета: о невидимом труде, который мы перестали замечать</t>
  </si>
  <si>
    <t>Как правильно наливать шампанское</t>
  </si>
  <si>
    <t>Переписка  Не требуйте мгновенного ответа, если вопрос не срочный.  Доступен в…</t>
  </si>
  <si>
    <t>Выход из лифта</t>
  </si>
  <si>
    <t>Этикет в музее</t>
  </si>
  <si>
    <t>Кто украл у России Киндер-сюрприз?</t>
  </si>
  <si>
    <t>Тост  Во время тоста лучше отложить вилку и телефон.  Несколько минут внимания…</t>
  </si>
  <si>
    <t>Общение в компании</t>
  </si>
  <si>
    <t>10 блюд, которые я бы никогда не заказала на первом свидании</t>
  </si>
  <si>
    <t>Выходя из-за стола</t>
  </si>
  <si>
    <t>Как выбрать бокалы к праздничному столу: от шампанского до вина</t>
  </si>
  <si>
    <t>Правила заведений</t>
  </si>
  <si>
    <t>Можно ли сидеть за столом скрестив ноги</t>
  </si>
  <si>
    <t>Сервировка новогоднего стола: классика vs современность</t>
  </si>
  <si>
    <t>ПДД в супермаркетах</t>
  </si>
  <si>
    <t>Этикет в кинотеатре</t>
  </si>
  <si>
    <t>Как есть круассан?</t>
  </si>
  <si>
    <t>Каким парфюмом пользовались Романовы?</t>
  </si>
  <si>
    <t>Подносы</t>
  </si>
  <si>
    <t>Как цвет посуды влияет на насыщаемость</t>
  </si>
  <si>
    <t>Как держать чашку?☕️</t>
  </si>
  <si>
    <t>Цветы на Новый год: букет или еловый венок?</t>
  </si>
  <si>
    <t>Подкормка без обесценивания</t>
  </si>
  <si>
    <t>Цветы мужчинам: да или нет?</t>
  </si>
  <si>
    <t>Сколько вина наливать в бокал</t>
  </si>
  <si>
    <t>Возвращать на места</t>
  </si>
  <si>
    <t>Этикет для геймеров</t>
  </si>
  <si>
    <t>Тележка в магазине</t>
  </si>
  <si>
    <t>Этикет знаков зодиака</t>
  </si>
  <si>
    <t>Верхняя одежда в ресторане</t>
  </si>
  <si>
    <t>Этикет присутствия</t>
  </si>
  <si>
    <t>Как держать чашку из керамики?</t>
  </si>
  <si>
    <t>Как по этикету пить разные типы вин</t>
  </si>
  <si>
    <t>Кашель</t>
  </si>
  <si>
    <t>Кто такие тарелочницы</t>
  </si>
  <si>
    <t>Содержимое сумки</t>
  </si>
  <si>
    <t>Новый год: тосты, подарки, сервировка</t>
  </si>
  <si>
    <t>Как пройти к своему месту в кинотеатре?</t>
  </si>
  <si>
    <t>Как выглядел и сколько стоил самый дорогой обед 19 века</t>
  </si>
  <si>
    <t>Уважение к книгам</t>
  </si>
  <si>
    <t>Этикет на ярмарке</t>
  </si>
  <si>
    <t>Этикет подарков детям</t>
  </si>
  <si>
    <t>Дамская комната</t>
  </si>
  <si>
    <t>Можно ли самому наливать себе напиток</t>
  </si>
  <si>
    <t>Как есть пирожные</t>
  </si>
  <si>
    <t>Антиэтикет: что точно не стоит делать в новогодний сезон</t>
  </si>
  <si>
    <t>Съемка в кинозале</t>
  </si>
  <si>
    <t>Как дарить алкоголь</t>
  </si>
  <si>
    <t>Кража тележки</t>
  </si>
  <si>
    <t>Этикет 2026: 10 новых трендов в этикете, о которых молчат книги</t>
  </si>
  <si>
    <t>Тусклый экран</t>
  </si>
  <si>
    <t>Подарки – это коррупция</t>
  </si>
  <si>
    <t>Важный звонок</t>
  </si>
  <si>
    <t>Испорченный праздник из-за необдуманной фразы</t>
  </si>
  <si>
    <t>Антисептик</t>
  </si>
  <si>
    <t>Зеркало в ресторане</t>
  </si>
  <si>
    <t>Отказ от алкоголя – символ неуважения</t>
  </si>
  <si>
    <t>Столкнувшись в дверях</t>
  </si>
  <si>
    <t>Три ошибки на новогоднем вечере</t>
  </si>
  <si>
    <t>Электронные письма в выходные</t>
  </si>
  <si>
    <t>Кто должен поднимать первый тост</t>
  </si>
  <si>
    <t>Мусор</t>
  </si>
  <si>
    <t>Как не выглядеть смешно на корпоративе</t>
  </si>
  <si>
    <t>Не берите в примерочную больше вещей</t>
  </si>
  <si>
    <t>Когда пора уходить с новогоднего застолья</t>
  </si>
  <si>
    <t>24 часа</t>
  </si>
  <si>
    <t>Самый раздражающий гость, это вы?</t>
  </si>
  <si>
    <t>Число пропущенных</t>
  </si>
  <si>
    <t>Винтаж как часть сервировки</t>
  </si>
  <si>
    <t>В примерочной</t>
  </si>
  <si>
    <t>Как создать ощущение праздника, даже если Новый год без размаха</t>
  </si>
  <si>
    <t>Как есть закуски за праздничным столом</t>
  </si>
  <si>
    <t>ПДД в супермаркете</t>
  </si>
  <si>
    <t>Можно ли чокаться стаканами с водой</t>
  </si>
  <si>
    <t>Как сказать плохой тост</t>
  </si>
  <si>
    <t>Опоздания</t>
  </si>
  <si>
    <t>Настоящие или искусственные свечи на столе?</t>
  </si>
  <si>
    <t>Выйти из-за стола</t>
  </si>
  <si>
    <t>Как отмечали Новый год в Царской России?</t>
  </si>
  <si>
    <t>Не первая помощь</t>
  </si>
  <si>
    <t>Телефоны за новогодним столом: допустимо или моветон</t>
  </si>
  <si>
    <t>Три гудка</t>
  </si>
  <si>
    <t>Как получить 50 тысяч подписчиков за год</t>
  </si>
  <si>
    <t>Рождество: отличие в тоне и традициях</t>
  </si>
  <si>
    <t>С заботой о вещах</t>
  </si>
  <si>
    <t>Не хватает только спасибо</t>
  </si>
  <si>
    <t>Этикет в автобусе</t>
  </si>
  <si>
    <t>Балы в Российской империи</t>
  </si>
  <si>
    <t>Этикет в разговоре</t>
  </si>
  <si>
    <t>Где сидят хозяева, где гости: схема рассадки</t>
  </si>
  <si>
    <t>Телефонный скандал</t>
  </si>
  <si>
    <t>Фамилии, которые стали словами</t>
  </si>
  <si>
    <t>Неудачное блюдо</t>
  </si>
  <si>
    <t>Можно ли приходить в гости с животными</t>
  </si>
  <si>
    <t>Что делать с водой в такси</t>
  </si>
  <si>
    <t>Этикет на сайте знакомств</t>
  </si>
  <si>
    <t>Это испортит впечатление о вас</t>
  </si>
  <si>
    <t>Правила этикета на прогулке с собакой</t>
  </si>
  <si>
    <t>Солнечные очки в ресторане</t>
  </si>
  <si>
    <t>Оценки за поведение введут во все школы с 1 сентября</t>
  </si>
  <si>
    <t>Как правильно есть суп?</t>
  </si>
  <si>
    <t>Как отличить фарфор от фаянса</t>
  </si>
  <si>
    <t>Внезапная встреча</t>
  </si>
  <si>
    <t>Обострение хронической тупости после праздников</t>
  </si>
  <si>
    <t>Если случился конфликт</t>
  </si>
  <si>
    <t>Этикет чаепития</t>
  </si>
  <si>
    <t>Невежливый пассажир</t>
  </si>
  <si>
    <t>Как обсуждать здоровье по этикету</t>
  </si>
  <si>
    <t>Как подарить цветы?</t>
  </si>
  <si>
    <t>Как не стать плохим гостем</t>
  </si>
  <si>
    <t>Сидим красиво</t>
  </si>
  <si>
    <t>Как пережить хамство на работе после выходных</t>
  </si>
  <si>
    <t>С какой едой сочетать красное вино</t>
  </si>
  <si>
    <t>Шляпа в ресторане</t>
  </si>
  <si>
    <t>Как элегантно попросить повышение</t>
  </si>
  <si>
    <t>Женщина пропускает мужчину</t>
  </si>
  <si>
    <t>Можно ли мыть посуду при гостях</t>
  </si>
  <si>
    <t>Звук в транспорте</t>
  </si>
  <si>
    <t>Джентльмен не пропустит леди...</t>
  </si>
  <si>
    <t>Рассматривать ли людей?</t>
  </si>
  <si>
    <t>Привычка перебивать собеседника</t>
  </si>
  <si>
    <t>Я не пью</t>
  </si>
  <si>
    <t>Не стоит извиняться за всё подряд</t>
  </si>
  <si>
    <t>Сухие цветы: можно ли дарить по этикету</t>
  </si>
  <si>
    <t>Наушники. Образ от российского бренда www.rafinadshop.com</t>
  </si>
  <si>
    <t>100 правил этикета</t>
  </si>
  <si>
    <t>Комплименты</t>
  </si>
  <si>
    <t>Мясо не всегда режется ножом</t>
  </si>
  <si>
    <t>Наглость или забота гостей?</t>
  </si>
  <si>
    <t>Эскалатор</t>
  </si>
  <si>
    <t>Масленица</t>
  </si>
  <si>
    <t>Как вы думаете, почему не стоит этого говорить? Образ от российского бренда www.rafinadshop.com</t>
  </si>
  <si>
    <t>Китайский Новый Год</t>
  </si>
  <si>
    <t>Общее правило для напитков</t>
  </si>
  <si>
    <t>Как есть помидоры черри</t>
  </si>
  <si>
    <t>Будьте здоровы</t>
  </si>
  <si>
    <t>3 секретных сигнала хороших манер</t>
  </si>
  <si>
    <t>Макияж в метро</t>
  </si>
  <si>
    <t>Анти-джентельмен, это Вы?</t>
  </si>
  <si>
    <t>Передавайте кружки правильно</t>
  </si>
  <si>
    <t>Голосовые сообщения: минусы и плюсы</t>
  </si>
  <si>
    <t>Этикет Дня Святого Валентина</t>
  </si>
  <si>
    <t>Я худею Магазин - Rafinad rafinadshop.com</t>
  </si>
  <si>
    <t>Туалет или уборная?</t>
  </si>
  <si>
    <t>Перейдем на ты?</t>
  </si>
  <si>
    <t>Как подавать и есть тирамису</t>
  </si>
  <si>
    <t>А как вы думаете, надо ли открывать подарок в момент вручения? Жду ваших комментариев.</t>
  </si>
  <si>
    <t>ЗимФестАмур</t>
  </si>
  <si>
    <t>Рекомендации светского этикета о подарках в момент вручения. Магазин - Rafinad rafinadshop.com</t>
  </si>
  <si>
    <t>Этикет конфет</t>
  </si>
  <si>
    <t>Этикет для персонала</t>
  </si>
  <si>
    <t>ролик</t>
  </si>
  <si>
    <t>Этикет на 23 февраля</t>
  </si>
  <si>
    <t>Этикет для школьников</t>
  </si>
  <si>
    <t>Виртуальные встречи без ошибок: Zoom этикет</t>
  </si>
  <si>
    <t>Как стильно накрыть стол за 15 минут</t>
  </si>
  <si>
    <t>Как есть рассыпающийся десерт согласно этикету?</t>
  </si>
  <si>
    <t>Нужен ли дресс-код в спортзалах?</t>
  </si>
  <si>
    <t>Нужны ли подставки под напитки?</t>
  </si>
  <si>
    <t>Что сказать на подаренный букет цветов?  valentinahli – первый образовательный блог об этикете.  #светскийэтикетсвалентинойхлистун</t>
  </si>
  <si>
    <t>Какие правила этикета постоянно нарушают?</t>
  </si>
  <si>
    <t>Почему нож справа, а вилка слева?</t>
  </si>
  <si>
    <t>Поцелуй при встрече по этикету – какой же он?</t>
  </si>
  <si>
    <t>Когда-нибудь она станет президентом</t>
  </si>
  <si>
    <t>Наставничество (тьюторство) – профессия будущего</t>
  </si>
  <si>
    <t>Как элегантно расположить сумку в кафе?  Образ от российского бренда https://rafinadshop.com/</t>
  </si>
  <si>
    <t>Как сделать ужин как в ресторане</t>
  </si>
  <si>
    <t>Этикет в метро</t>
  </si>
  <si>
    <t>По какой стороне эскалатора в метро принято идти, а на какой стоять?</t>
  </si>
  <si>
    <t>Тонкости китайского столового этикета</t>
  </si>
  <si>
    <t>Как реагировать на астрологические предсказания согласно этикету, даже если вы в них не особо верите?</t>
  </si>
  <si>
    <t>Старший брат для всех детей</t>
  </si>
  <si>
    <t>Можно ли есть в метро согласно этикету?</t>
  </si>
  <si>
    <t>Идеи подарков на 8 марта</t>
  </si>
  <si>
    <t>Где расположить сумку в ресторане? Сумка от российского бренда https://sinika.ru/</t>
  </si>
  <si>
    <t>Что делать с лимоном из чая?</t>
  </si>
  <si>
    <t>Нога на ногу в метро – это по этикету?</t>
  </si>
  <si>
    <t>Тонкости лимонного этикета</t>
  </si>
  <si>
    <t>Можно ли носить очки на голове по этикету?</t>
  </si>
  <si>
    <t>Этикет без пафоса</t>
  </si>
  <si>
    <t>Пожимать ли руку даме?</t>
  </si>
  <si>
    <t>Как есть мелкую «хитрую» еду</t>
  </si>
  <si>
    <t>До сих пор ставите большие сумки на стол? Не стоит этого делать!</t>
  </si>
  <si>
    <t>Топ-5 ошибок мужского образа</t>
  </si>
  <si>
    <t>Могу я Вам помочь?</t>
  </si>
  <si>
    <t>Этикет в эпоху ИИ: как вежливо общаться с человеком, если половину писем пишет нейросеть</t>
  </si>
  <si>
    <t>Один жест сервиса, который меня покорил</t>
  </si>
  <si>
    <t>Стоит ли говорить «спасибо» каждый раз, когда вам подают новое блюдо?</t>
  </si>
  <si>
    <t>Как одеться на похороны</t>
  </si>
  <si>
    <t>Как начать разговор с незнакомым человеком?</t>
  </si>
  <si>
    <t>Как изящно есть морепродукты</t>
  </si>
  <si>
    <t>Банкетка для сумки в ресторане и ресторанный сервис. Сумка от российского бренда https://sinika.ru/</t>
  </si>
  <si>
    <t>Этикет веера</t>
  </si>
  <si>
    <t>Как держать бокал согласно этикету?</t>
  </si>
  <si>
    <t>Организация «сырной тарелки»</t>
  </si>
  <si>
    <t>Как избежать неловкости из-за неправильно понятой новости</t>
  </si>
  <si>
    <t>Как обращаться к консультанту в магазине? Образ от российского бренда «Рафинад» https://rafinadshop.com/</t>
  </si>
  <si>
    <t>Кто платит за такси?</t>
  </si>
  <si>
    <t>Этикет в примерочной. Образ от российского бренда «Рафинад» https://rafinadshop.com/</t>
  </si>
  <si>
    <t>Несколько «не» за обедом</t>
  </si>
  <si>
    <t>На какие темы лучше не вести small talk? Образ от российского бренда https://rafinadshop.com/</t>
  </si>
  <si>
    <t>Как есть мясные блюда</t>
  </si>
  <si>
    <t>Что делать, если приборы убраны в тканевую салфетку?</t>
  </si>
  <si>
    <t>Информационный этикет: как за 5 минут понять главные новости дня</t>
  </si>
  <si>
    <t>Как позвать человека по этикету?</t>
  </si>
  <si>
    <t>Тонкости обращения со специями</t>
  </si>
  <si>
    <t>Как есть салат по этикету?</t>
  </si>
  <si>
    <t>Как по этикету заказывать доставку</t>
  </si>
  <si>
    <t>Как держать бокал по этикету?</t>
  </si>
  <si>
    <t>Как испортить день тому, кто спит рядом</t>
  </si>
  <si>
    <t>Сомневаетесь в стерильности столовых приборов в ресторане?</t>
  </si>
  <si>
    <t>Этикет в продуктовом магазине</t>
  </si>
  <si>
    <t>Далеко не в каждом ресторане зубочистки вас ждут на столе, однако даже если они стоят перед вами, пользоваться ими нельзя</t>
  </si>
  <si>
    <t>Аперитивы</t>
  </si>
  <si>
    <t>Каждый день мы делаем выбор: большую сумку и набить её для отказа или выбрать маленькую, а всё не уместившееся положить в пакет</t>
  </si>
  <si>
    <t>Здрасти, соседи</t>
  </si>
  <si>
    <t>Порой лекарства становятся частью рациона. Если необходимо принять таблетки за столом, то лучше сделать это не объясняя причин и не углубляясь в историю болезни</t>
  </si>
  <si>
    <t>Десертные приборы</t>
  </si>
  <si>
    <t>Этикет в салоне оптики. Очки из бутика эксклюзивной оптики Gluten Free Frames — https://glutenfreeoptics.com/</t>
  </si>
  <si>
    <t>Традиции Вербного воскресенья: как встречают этот день в семье</t>
  </si>
  <si>
    <t>Это выдаст в вас простушку. Соблазнительно накрасив губы, может вы и привлекли его внимание, но еще выдали в себе простушку. Лучше оставить это для дамской комнаты</t>
  </si>
  <si>
    <t>Вежливость, которая на самом деле раздражает</t>
  </si>
  <si>
    <t>Основы этикета в салоне оптики. Очки из бутика эксклюзивной оптики Gluten Free Frames —https://glutenfreeoptics.com/</t>
  </si>
  <si>
    <t>Под землей этикет не ловит</t>
  </si>
  <si>
    <t>Подача спиртных напитков: когда и с чем</t>
  </si>
  <si>
    <t>Этикет для левши</t>
  </si>
  <si>
    <t>Этикет в магазине одежды</t>
  </si>
  <si>
    <t>Вежливые слова</t>
  </si>
  <si>
    <t>Тонкости обращения с овощами</t>
  </si>
  <si>
    <t>Словарь в цифровом этикете</t>
  </si>
  <si>
    <t>Яйца руками не разламывают</t>
  </si>
  <si>
    <t>Китайский деликатес</t>
  </si>
  <si>
    <t>В чем разница между русской и европейской сервировкой?</t>
  </si>
  <si>
    <t>Заметила тенденцию среди блоггеров ставить сумки на столы в ресторанах для создания контента, а их подписчики всё чаще берут это в пример. Поэтому встретить сумку на столе не такая уж редкость!</t>
  </si>
  <si>
    <t>Что делать, если ваше окружение далеко от этикета?</t>
  </si>
  <si>
    <t>Что делать с косточкой?</t>
  </si>
  <si>
    <t>Табу для джентельмена</t>
  </si>
  <si>
    <t>Что надеть на работу?</t>
  </si>
  <si>
    <t>Этикет сообщений</t>
  </si>
  <si>
    <t>Шампанское с утра. Зачем?</t>
  </si>
  <si>
    <t>Скучать по или скучать за?</t>
  </si>
  <si>
    <t>Если не понравилась еда в ресторане</t>
  </si>
  <si>
    <t>Как принимать гостей в квартире</t>
  </si>
  <si>
    <t>Повод поехать в Великий Новгород: выставка «Храмы Земли Русской» до 17 мая</t>
  </si>
  <si>
    <t>Как есть оливье по этикету</t>
  </si>
  <si>
    <t>Четыре зоны тарелки</t>
  </si>
  <si>
    <t>Когда распаковывать подарок</t>
  </si>
  <si>
    <t>Вы неправильно чихаете</t>
  </si>
  <si>
    <t>Как отказаться от алкоголя</t>
  </si>
  <si>
    <t>Почему чашку держат именно так</t>
  </si>
  <si>
    <t>Что делать, если подарок не понравился</t>
  </si>
  <si>
    <t>Если вы заметили, что собеседник забыл ваше имя</t>
  </si>
  <si>
    <t>Еще бокальчик</t>
  </si>
  <si>
    <t>Почему не стоит писать «Доброго времени суток»?</t>
  </si>
  <si>
    <t>Оскорбительные комментарии</t>
  </si>
  <si>
    <t>Как всегда выглядеть элегантно</t>
  </si>
  <si>
    <t>Синдром дефицита внимания</t>
  </si>
  <si>
    <t>Сервировка BMW</t>
  </si>
  <si>
    <t>В гости с пустыми руками</t>
  </si>
  <si>
    <t>Как празднуют 1 мая в разных странах</t>
  </si>
  <si>
    <t>Под землей тоже есть этикет!</t>
  </si>
  <si>
    <t>Правило ножа</t>
  </si>
  <si>
    <t>Как отодвигать стул</t>
  </si>
  <si>
    <t>Принципы этикета в конфликтных ситуациях</t>
  </si>
  <si>
    <t>Столик на компанию</t>
  </si>
  <si>
    <t>Топ-5 антиэтикетных повседневных действий</t>
  </si>
  <si>
    <t>Марокко: между роскошью медины и ритмом нового города</t>
  </si>
  <si>
    <t>Этикет дня рождения</t>
  </si>
  <si>
    <t>Использованные столовые приборы</t>
  </si>
  <si>
    <t>Эти привычки выдадут вашу невоспитанность</t>
  </si>
  <si>
    <t>Что мы делаем не так 9 мая</t>
  </si>
  <si>
    <t>Правила передачи блюд</t>
  </si>
  <si>
    <t>Цветы в горшках</t>
  </si>
  <si>
    <t>Правила деловой прически</t>
  </si>
  <si>
    <t>5 обидных для собеседника фраз</t>
  </si>
  <si>
    <t>Парфюм без меры</t>
  </si>
  <si>
    <t>5 правил повседневной элегантности</t>
  </si>
  <si>
    <t>Близкие люди и телефон</t>
  </si>
  <si>
    <t>Как элегантно сидеть за столом</t>
  </si>
  <si>
    <t>Когда стоит закрывать ноутбук на встрече?</t>
  </si>
  <si>
    <t>Этикет в гостях с ночевкой на даче</t>
  </si>
  <si>
    <t>Зубочистки за столом</t>
  </si>
  <si>
    <t>Застольный этикет: финальная глава</t>
  </si>
  <si>
    <t>Обесценивание</t>
  </si>
  <si>
    <t>Топ-5 правил этикета в общении с семьей</t>
  </si>
  <si>
    <t>Какие цветы нельзя дарить</t>
  </si>
  <si>
    <t>3 правила изящной речи</t>
  </si>
  <si>
    <t>Светская жизнь Петербурга: 18 – 24 мая</t>
  </si>
  <si>
    <t>Кто первым здоровается?</t>
  </si>
  <si>
    <t>Как поддержать разговор об искусстве, даже если вы не искусствовед</t>
  </si>
  <si>
    <t>Громкая связь</t>
  </si>
  <si>
    <t>Как выключить музыку у соседей и не испортить отношения</t>
  </si>
  <si>
    <t>5 ice breakers для светского вечера</t>
  </si>
  <si>
    <t>Как спросить о возрасте?</t>
  </si>
  <si>
    <t>Гид по фруктовому этикету</t>
  </si>
  <si>
    <t>Охрана в магазинах</t>
  </si>
  <si>
    <t>Как выдержать войну за дачные границы</t>
  </si>
  <si>
    <t>Я никогда не… 📌… поправляю чужие манеры на публике 📌 … говорю: «Ой, ты что, не знаешь, как правильно?» 📌 … навязываю этикет 📌 … забываю, что этикет – это не про меня. Это про других</t>
  </si>
  <si>
    <t>Светская жизнь Петербурга: 25-31 мая</t>
  </si>
  <si>
    <t>1) Этикет – это устаревшее. Это навигация по социальным кодам 2) Вежливость – это слабость. Наоборот 3) Этикет для женщин. Этикет для всех 4) Это никому не нужно. Этикет – это ваш социальный капитал</t>
  </si>
  <si>
    <t>Как поддержать small talk на ужине, открытии или премьере</t>
  </si>
  <si>
    <t>Я эксперт по этикету и мне больно смотреть на то, когда 1) салфетка не на коленях 2) Тост говорят за себя 3) Машут официанту...</t>
  </si>
  <si>
    <t>Цифровая этика в школе</t>
  </si>
  <si>
    <t>Пить никто не заставляет</t>
  </si>
  <si>
    <t>Как превратить культурный выход в полезное знакомство</t>
  </si>
  <si>
    <t>5 фраз, которые моментально выдают профессионала:  1) «Позвольте уточнить, чтобы избежать недопонимания».... Продолжение в комментариях!</t>
  </si>
  <si>
    <t>Этикет чувств: чему учит стихотворение Ахматовой спустя сто лет</t>
  </si>
  <si>
    <t>Топ-5 ошибок этикета, которые совершают даже интеллигентные люди.  1) Отвечать комплиментом на комплимент. — «Какая у вас блузка!» — «И у вас тоже красивая!»... Продолжение в комментариях...</t>
  </si>
  <si>
    <t>Святой Пантелеймон</t>
  </si>
  <si>
    <t>Светская жизнь Петербурга: 1-7 июня</t>
  </si>
  <si>
    <t>Почему воспитанные так не делают, даже если могут? 1) Они не поправляют чужие ошибки на публике. Даже если слово сказано с ударением не туда. Продолжение в комментариях...</t>
  </si>
  <si>
    <t>Русский императив: выставка, о которой все говорят</t>
  </si>
  <si>
    <t>«Письмо матери» Есенина: стихотворение, которое учит самому сложному</t>
  </si>
  <si>
    <t>Как запоминать имена сразу? Умение запомнить имя собеседника – это не врождённый талант, а навык. И одновременно способ проявить уважение... Продолжение в комментариях!</t>
  </si>
  <si>
    <t>Почему я перечитываю «Евгения Онегина» во взрослом возрасте</t>
  </si>
  <si>
    <t>Факты обо мне, которые не сочетаются с моей личностью как специалиста по этикету:  1) Постоянно нарушаю этикет! 2) Продолжение в комментариях...</t>
  </si>
  <si>
    <t>Соседи против шашлычников</t>
  </si>
  <si>
    <t>Как задавать вопросы, чтобы с вами хотели продолжать разговор</t>
  </si>
  <si>
    <t>Что стоило бы знать об этикете в 20, чтобы не сожалеть об этом в 40... Ответ в комментариях!</t>
  </si>
  <si>
    <t>Как одеться элегантно по этикету</t>
  </si>
  <si>
    <t>Я эксперт по этикету, и вот что вас реально выдаёт...</t>
  </si>
  <si>
    <t>Светская жизнь Петербурга: 8-14 июня</t>
  </si>
  <si>
    <t>Помогать, когда не просят?</t>
  </si>
  <si>
    <t>Новый ресторанный этикет: что уже считается дурным тоном</t>
  </si>
  <si>
    <t>5 привычек, которые сигнализируют плохое воспитание 1. Громко разговаривать по телефону в общественных..... (продолжение в комментариях)</t>
  </si>
  <si>
    <t>Можно ли плакать на публике?</t>
  </si>
  <si>
    <t>Топ-5 признаков тихой роскоши в поведении... Продолжение в комментариях...</t>
  </si>
  <si>
    <t>Ошибки, которые сразу выдают человека не из светской среды</t>
  </si>
  <si>
    <t>Лайфхаки этикета, чтобы вас запоминали надолго 1. Называйте собеседника по имени, особенно в конце разговора. Это не манипуляция, это уважение к индивидуальности... продолжение в комментариях</t>
  </si>
  <si>
    <t>5 вещей на даче, которые воспитанные люди никогда не делают</t>
  </si>
  <si>
    <t>Топ привычек настоящих леди и джентльменов (через призму современного этикета) 1. Они уважают чужое время. Не опаздывают, не затягивают встречи, отменяют встречи... (продолжение в комментариях...)</t>
  </si>
  <si>
    <t>Нормально ли не любить классику</t>
  </si>
  <si>
    <t>Как всегда производить хорошее впечатление... (продолжение в комментариях)</t>
  </si>
  <si>
    <t>Светская жизнь Петербурга: 15-21 июня</t>
  </si>
  <si>
    <t>Лето – не просто сезон. Это состояние. Простое, как босые ноги в тёплом песке. Лёгкое, как дыхание у воды. Точное, как правильный купальник.</t>
  </si>
  <si>
    <t>Дачный этикет умер?</t>
  </si>
  <si>
    <t>Пять летних ошибок, которые разрушают ваш образ 📌 Синтетика в жару – враг грации... Продолжение в комментариях</t>
  </si>
  <si>
    <t>Нужно ли извиняться, если ты прав</t>
  </si>
  <si>
    <t>Нужен ли этикет везде? Пять доказательств тому, что да Этикет нужен везде. Вот почему: 1️⃣ Он помогает не нарушать чужие границы. Продолжение в комментариях...</t>
  </si>
  <si>
    <t>Светская жизнь Петербурга: 22-28 июня</t>
  </si>
  <si>
    <t>Ты или Вы?</t>
  </si>
  <si>
    <t>Кто оплачивает пикник?</t>
  </si>
  <si>
    <t>Как обращаться с манжетами за столом? Даже если дресс-код white tie, а вы пришли в вечернем платье в пол... (продолжение в комментариях)</t>
  </si>
  <si>
    <t>Истерика в ресторане – это манипуляция или глупость?</t>
  </si>
  <si>
    <t>Еда вилкой и ножом vs. руками – вопрос не только удобства, но и уровня формальности 📌 Пицца... (Продолжение в комментариях)</t>
  </si>
  <si>
    <t>Как не потерять лицо в битве за борщевик (и любые джунгли)</t>
  </si>
  <si>
    <t>Этикет за самоваром: чему нас до сих пор учат Маковские</t>
  </si>
  <si>
    <t>5 ошибок, которые сразу бросаются в глаза в ресторане. 1️⃣ Салфетка Её место не на столе и не под тарелкой... Продолжение в комментариях</t>
  </si>
  <si>
    <t>Светская жизнь Петербурга: 29 июня – 5 июля</t>
  </si>
  <si>
    <t>Веди себя достойно!</t>
  </si>
  <si>
    <t>Дачные долги или шуруповерт «до завтра»</t>
  </si>
  <si>
    <t>Поздние письма</t>
  </si>
  <si>
    <t>Когда супруга перестает быть женой</t>
  </si>
  <si>
    <t>Как вкусно поужинать</t>
  </si>
  <si>
    <t>«Сорри за войс» - этикет в мессенджерах</t>
  </si>
  <si>
    <t>Светская жизнь Петербурга: 6-12 июля</t>
  </si>
  <si>
    <t>Можно ли не дружить с соседями</t>
  </si>
  <si>
    <t>Как элегантно раздеться в городе, чтобы позагорать</t>
  </si>
  <si>
    <t>Нормально ли не любить театр?</t>
  </si>
  <si>
    <t>Светская жизнь Петербурга: 13-19 июля</t>
  </si>
  <si>
    <t>Как вежливо отказать соседу на даче</t>
  </si>
  <si>
    <t>Этикет общения в мессенджерах</t>
  </si>
  <si>
    <t>Дачный этикет детей: что родители должны объяснить еще до поездки за город</t>
  </si>
  <si>
    <t>Светская жизнь Петербурга: 20-26 июля</t>
  </si>
  <si>
    <t>Искусство быть петербуржцем</t>
  </si>
  <si>
    <t>Этикет дачных подарков: что привозить в гости, а что считается дурным тоном</t>
  </si>
  <si>
    <t>Лицемерная помощь</t>
  </si>
  <si>
    <t>Каждому блюду свой подход</t>
  </si>
  <si>
    <t>Как испортить о себе впечатление</t>
  </si>
  <si>
    <t>В праздничной суете</t>
  </si>
  <si>
    <t>Примеры элегантных и современных пожеланий вы сможете найти в закрепленном комментарии</t>
  </si>
  <si>
    <t>А вы предпочитаете кофе с собой или разрешаете себе паузу на чашку кофе в кофейне?</t>
  </si>
  <si>
    <t>Как передавать соль и перец по этикету?</t>
  </si>
  <si>
    <t>Как избежать просьб за столом в стиле «передайте соль, пожалуйста» или «будьте добры перец»?</t>
  </si>
  <si>
    <t>Как выйти из-за стола по этикету?</t>
  </si>
  <si>
    <t>Цветы в подарок мужчине?</t>
  </si>
  <si>
    <t>Как дарить цветы по этикету?</t>
  </si>
  <si>
    <t>Манерничать у витрин</t>
  </si>
  <si>
    <t>Что такое селфи по этикету?</t>
  </si>
  <si>
    <t>Как есть сырники по этикету</t>
  </si>
  <si>
    <t>Когда блюдо нужно приправлять специями?</t>
  </si>
  <si>
    <t>Как читать меню?</t>
  </si>
  <si>
    <t>В ожидании встречи в ресторане</t>
  </si>
  <si>
    <t>Как реагировать на неудачный подарок</t>
  </si>
  <si>
    <t>План действий при знакомстве</t>
  </si>
  <si>
    <t>Что отделяет вас от океана?🇲🇦</t>
  </si>
  <si>
    <t>Самое главное правило на встрече</t>
  </si>
  <si>
    <t>Мои комментаторы на ДЗЕНе - котики</t>
  </si>
  <si>
    <t>Что такое нулевой день ПМЭФ?</t>
  </si>
  <si>
    <t>Идея для идеального свидания</t>
  </si>
  <si>
    <t>Одно из любимых мест местных жителей, куда порой не доходят толпы туристов. Адрес в конце видео ☕️</t>
  </si>
  <si>
    <t>А вы знали, что знаменитые медведи Ральфа – это не просто логотип бренда?</t>
  </si>
  <si>
    <t>Как читать фрески в Ватикане?</t>
  </si>
  <si>
    <t>Когда я увидела это видео, у меня внутри всё перевернулось. Честно говоря, я испытала настоящее отвращение.... Продолжение в комментариях ➡️</t>
  </si>
  <si>
    <t>О культурном вестнике. Новый выпуск уже завтра!</t>
  </si>
  <si>
    <t>Топ-5 правил dress code на корте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</si>
</sst>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.mm\.yyyy"/>
    <numFmt numFmtId="165" formatCode="0.0%"/>
  </numFmts>
  <fonts count="7">
    <font>
      <sz val="11.0"/>
      <color theme="1"/>
      <name val="Calibri"/>
      <scheme val="minor"/>
    </font>
    <font>
      <b/>
      <sz val="13.0"/>
      <color theme="1"/>
      <name val="Arial"/>
    </font>
    <font>
      <b/>
      <sz val="10.0"/>
      <color theme="1"/>
      <name val="Arial"/>
    </font>
    <font>
      <i/>
      <sz val="10.0"/>
      <color rgb="FF555555"/>
      <name val="Arial"/>
    </font>
    <font>
      <sz val="10.0"/>
      <color theme="1"/>
      <name val="Arial"/>
    </font>
    <font>
      <b/>
      <sz val="10.0"/>
      <color rgb="FFFFFFFF"/>
      <name val="Arial"/>
    </font>
    <font>
      <u/>
      <sz val="10.0"/>
      <color rgb="FF0563C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4">
    <border/>
    <border>
      <left/>
      <right/>
      <top/>
      <bottom style="thin">
        <color rgb="FFBFBFBF"/>
      </bottom>
    </border>
    <border>
      <left/>
      <right/>
      <top/>
      <bottom/>
    </border>
    <border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center" wrapText="1"/>
    </xf>
    <xf borderId="2" fillId="2" fontId="5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vertical="bottom" wrapText="0"/>
    </xf>
    <xf borderId="3" fillId="0" fontId="4" numFmtId="164" xfId="0" applyAlignment="1" applyBorder="1" applyFont="1" applyNumberForma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3" fillId="0" fontId="4" numFmtId="3" xfId="0" applyAlignment="1" applyBorder="1" applyFont="1" applyNumberFormat="1">
      <alignment shrinkToFit="0" vertical="bottom" wrapText="0"/>
    </xf>
    <xf borderId="3" fillId="0" fontId="6" numFmtId="0" xfId="0" applyAlignment="1" applyBorder="1" applyFont="1">
      <alignment shrinkToFit="0" vertical="bottom" wrapText="0"/>
    </xf>
    <xf borderId="3" fillId="0" fontId="4" numFmtId="165" xfId="0" applyAlignment="1" applyBorder="1" applyFont="1" applyNumberFormat="1">
      <alignment shrinkToFit="0" vertical="bottom" wrapText="0"/>
    </xf>
    <xf borderId="3" fillId="0" fontId="4" numFmtId="2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zen.ru/media/id/63dd27aac30ab522dcce48b3/670ec7a0551d0514028c554e" TargetMode="External"/><Relationship Id="rId194" Type="http://schemas.openxmlformats.org/officeDocument/2006/relationships/hyperlink" Target="https://dzen.ru/media/id/63dd27aac30ab522dcce48b3/671dba3a0135fe0674133d33" TargetMode="External"/><Relationship Id="rId193" Type="http://schemas.openxmlformats.org/officeDocument/2006/relationships/hyperlink" Target="https://dzen.ru/media/id/63dd27aac30ab522dcce48b3/671a178300ff8577c75a986c" TargetMode="External"/><Relationship Id="rId192" Type="http://schemas.openxmlformats.org/officeDocument/2006/relationships/hyperlink" Target="https://dzen.ru/media/id/63dd27aac30ab522dcce48b3/6718972e6cd37d17113d6f53" TargetMode="External"/><Relationship Id="rId191" Type="http://schemas.openxmlformats.org/officeDocument/2006/relationships/hyperlink" Target="https://dzen.ru/media/id/63dd27aac30ab522dcce48b3/67121a6f702a103585223e81" TargetMode="External"/><Relationship Id="rId187" Type="http://schemas.openxmlformats.org/officeDocument/2006/relationships/hyperlink" Target="https://dzen.ru/media/id/63dd27aac30ab522dcce48b3/6706662814f6dd0d169edfb6" TargetMode="External"/><Relationship Id="rId186" Type="http://schemas.openxmlformats.org/officeDocument/2006/relationships/hyperlink" Target="https://dzen.ru/media/id/63dd27aac30ab522dcce48b3/67039d47396b9a10016af2fc" TargetMode="External"/><Relationship Id="rId185" Type="http://schemas.openxmlformats.org/officeDocument/2006/relationships/hyperlink" Target="https://dzen.ru/media/id/63dd27aac30ab522dcce48b3/66ffa47d36ccdf3a4cdecf7b" TargetMode="External"/><Relationship Id="rId184" Type="http://schemas.openxmlformats.org/officeDocument/2006/relationships/hyperlink" Target="https://dzen.ru/media/id/63dd27aac30ab522dcce48b3/66fa5ae206ec2b139ec84f67" TargetMode="External"/><Relationship Id="rId189" Type="http://schemas.openxmlformats.org/officeDocument/2006/relationships/hyperlink" Target="https://dzen.ru/media/id/63dd27aac30ab522dcce48b3/670d095f996627484ccff641" TargetMode="External"/><Relationship Id="rId188" Type="http://schemas.openxmlformats.org/officeDocument/2006/relationships/hyperlink" Target="https://dzen.ru/media/id/63dd27aac30ab522dcce48b3/6708e7b2551d0514021ebad8" TargetMode="External"/><Relationship Id="rId183" Type="http://schemas.openxmlformats.org/officeDocument/2006/relationships/hyperlink" Target="https://dzen.ru/media/id/63dd27aac30ab522dcce48b3/66f3e9967b36697872ea5804" TargetMode="External"/><Relationship Id="rId182" Type="http://schemas.openxmlformats.org/officeDocument/2006/relationships/hyperlink" Target="https://dzen.ru/media/id/63dd27aac30ab522dcce48b3/66f1291aa1ad352bba78728c" TargetMode="External"/><Relationship Id="rId181" Type="http://schemas.openxmlformats.org/officeDocument/2006/relationships/hyperlink" Target="https://dzen.ru/media/id/63dd27aac30ab522dcce48b3/66ed4453576d5e047ec0a942" TargetMode="External"/><Relationship Id="rId180" Type="http://schemas.openxmlformats.org/officeDocument/2006/relationships/hyperlink" Target="https://dzen.ru/media/id/63dd27aac30ab522dcce48b3/66ea90050e02a1063be572a3" TargetMode="External"/><Relationship Id="rId176" Type="http://schemas.openxmlformats.org/officeDocument/2006/relationships/hyperlink" Target="https://dzen.ru/media/id/63dd27aac30ab522dcce48b3/66deb7f183f0604cbbda0e03" TargetMode="External"/><Relationship Id="rId297" Type="http://schemas.openxmlformats.org/officeDocument/2006/relationships/hyperlink" Target="https://dzen.ru/media/id/63dd27aac30ab522dcce48b3/68016014c05ff97f14e23e44" TargetMode="External"/><Relationship Id="rId175" Type="http://schemas.openxmlformats.org/officeDocument/2006/relationships/hyperlink" Target="https://dzen.ru/media/id/63dd27aac30ab522dcce48b3/66dae1a782d936435a86732b" TargetMode="External"/><Relationship Id="rId296" Type="http://schemas.openxmlformats.org/officeDocument/2006/relationships/hyperlink" Target="https://dzen.ru/media/id/63dd27aac30ab522dcce48b3/681caf7332755952723a1940" TargetMode="External"/><Relationship Id="rId174" Type="http://schemas.openxmlformats.org/officeDocument/2006/relationships/hyperlink" Target="https://dzen.ru/media/id/63dd27aac30ab522dcce48b3/66d832331627741813ca0697" TargetMode="External"/><Relationship Id="rId295" Type="http://schemas.openxmlformats.org/officeDocument/2006/relationships/hyperlink" Target="https://dzen.ru/media/id/63dd27aac30ab522dcce48b3/680161959ab7045dffe2f800" TargetMode="External"/><Relationship Id="rId173" Type="http://schemas.openxmlformats.org/officeDocument/2006/relationships/hyperlink" Target="https://dzen.ru/media/id/63dd27aac30ab522dcce48b3/66d55c0ac146bc03f96f7c17" TargetMode="External"/><Relationship Id="rId294" Type="http://schemas.openxmlformats.org/officeDocument/2006/relationships/hyperlink" Target="https://dzen.ru/media/id/63dd27aac30ab522dcce48b3/680d2ba8348137286a4dd16f" TargetMode="External"/><Relationship Id="rId179" Type="http://schemas.openxmlformats.org/officeDocument/2006/relationships/hyperlink" Target="https://dzen.ru/media/id/63dd27aac30ab522dcce48b3/66e7f6bf8181c103d654585c" TargetMode="External"/><Relationship Id="rId178" Type="http://schemas.openxmlformats.org/officeDocument/2006/relationships/hyperlink" Target="https://dzen.ru/media/id/63dd27aac30ab522dcce48b3/66e42e8f5a081f17d539d71c" TargetMode="External"/><Relationship Id="rId299" Type="http://schemas.openxmlformats.org/officeDocument/2006/relationships/hyperlink" Target="https://dzen.ru/media/id/63dd27aac30ab522dcce48b3/680166d8527e534590826421" TargetMode="External"/><Relationship Id="rId177" Type="http://schemas.openxmlformats.org/officeDocument/2006/relationships/hyperlink" Target="https://dzen.ru/media/id/63dd27aac30ab522dcce48b3/66e1a05f1df72c7dd682ef4e" TargetMode="External"/><Relationship Id="rId298" Type="http://schemas.openxmlformats.org/officeDocument/2006/relationships/hyperlink" Target="https://dzen.ru/media/id/63dd27aac30ab522dcce48b3/681cdf8ecbff7317c632b3d2" TargetMode="External"/><Relationship Id="rId198" Type="http://schemas.openxmlformats.org/officeDocument/2006/relationships/hyperlink" Target="https://dzen.ru/media/id/63dd27aac30ab522dcce48b3/672a0fb5d1136548f135dceb" TargetMode="External"/><Relationship Id="rId197" Type="http://schemas.openxmlformats.org/officeDocument/2006/relationships/hyperlink" Target="https://dzen.ru/media/id/63dd27aac30ab522dcce48b3/67287d8cb08ab834ddc3bc10" TargetMode="External"/><Relationship Id="rId196" Type="http://schemas.openxmlformats.org/officeDocument/2006/relationships/hyperlink" Target="https://dzen.ru/media/id/63dd27aac30ab522dcce48b3/6724ad91f3214d12a30f643e" TargetMode="External"/><Relationship Id="rId195" Type="http://schemas.openxmlformats.org/officeDocument/2006/relationships/hyperlink" Target="https://dzen.ru/media/id/63dd27aac30ab522dcce48b3/6722491540e70a5ac4c6de9c" TargetMode="External"/><Relationship Id="rId199" Type="http://schemas.openxmlformats.org/officeDocument/2006/relationships/hyperlink" Target="https://dzen.ru/media/id/63dd27aac30ab522dcce48b3/672a16e353a093571fdede52" TargetMode="External"/><Relationship Id="rId150" Type="http://schemas.openxmlformats.org/officeDocument/2006/relationships/hyperlink" Target="https://dzen.ru/media/id/63dd27aac30ab522dcce48b3/6694e720863a9877f3524224" TargetMode="External"/><Relationship Id="rId271" Type="http://schemas.openxmlformats.org/officeDocument/2006/relationships/hyperlink" Target="https://dzen.ru/media/id/63dd27aac30ab522dcce48b3/67de1da3b7d586607d4b88e3" TargetMode="External"/><Relationship Id="rId392" Type="http://schemas.openxmlformats.org/officeDocument/2006/relationships/hyperlink" Target="https://dzen.ru/media/id/63dd27aac30ab522dcce48b3/68ec1178b4d1206b000ab78f" TargetMode="External"/><Relationship Id="rId270" Type="http://schemas.openxmlformats.org/officeDocument/2006/relationships/hyperlink" Target="https://dzen.ru/media/id/63dd27aac30ab522dcce48b3/67d245b7f39d0f338069a067" TargetMode="External"/><Relationship Id="rId391" Type="http://schemas.openxmlformats.org/officeDocument/2006/relationships/hyperlink" Target="https://dzen.ru/media/id/63dd27aac30ab522dcce48b3/68dff6884953315479aeaa35" TargetMode="External"/><Relationship Id="rId390" Type="http://schemas.openxmlformats.org/officeDocument/2006/relationships/hyperlink" Target="https://dzen.ru/media/id/63dd27aac30ab522dcce48b3/68dffc8913e9620c6ae7d63e" TargetMode="External"/><Relationship Id="rId1" Type="http://schemas.openxmlformats.org/officeDocument/2006/relationships/hyperlink" Target="https://dzen.ru/media/id/63dd27aac30ab522dcce48b3/64229198c9b8b77e077b9be0" TargetMode="External"/><Relationship Id="rId2" Type="http://schemas.openxmlformats.org/officeDocument/2006/relationships/hyperlink" Target="https://dzen.ru/media/id/63dd27aac30ab522dcce48b3/642bf9d9a867c062828e1b44" TargetMode="External"/><Relationship Id="rId3" Type="http://schemas.openxmlformats.org/officeDocument/2006/relationships/hyperlink" Target="https://dzen.ru/media/id/63dd27aac30ab522dcce48b3/64439ac06195f63c2e8f23f8" TargetMode="External"/><Relationship Id="rId149" Type="http://schemas.openxmlformats.org/officeDocument/2006/relationships/hyperlink" Target="https://dzen.ru/media/id/63dd27aac30ab522dcce48b3/669249c26206d47d47005a8c" TargetMode="External"/><Relationship Id="rId4" Type="http://schemas.openxmlformats.org/officeDocument/2006/relationships/hyperlink" Target="https://dzen.ru/media/id/63dd27aac30ab522dcce48b3/647202eb0686372682c08f10" TargetMode="External"/><Relationship Id="rId148" Type="http://schemas.openxmlformats.org/officeDocument/2006/relationships/hyperlink" Target="https://dzen.ru/media/id/63dd27aac30ab522dcce48b3/668ee1ec768fc17b655637f2" TargetMode="External"/><Relationship Id="rId269" Type="http://schemas.openxmlformats.org/officeDocument/2006/relationships/hyperlink" Target="https://dzen.ru/media/id/63dd27aac30ab522dcce48b3/67de1aae3114b94305c01f1e" TargetMode="External"/><Relationship Id="rId9" Type="http://schemas.openxmlformats.org/officeDocument/2006/relationships/hyperlink" Target="https://dzen.ru/media/id/63dd27aac30ab522dcce48b3/65251755c095b8411ac6763a" TargetMode="External"/><Relationship Id="rId143" Type="http://schemas.openxmlformats.org/officeDocument/2006/relationships/hyperlink" Target="https://dzen.ru/media/id/63dd27aac30ab522dcce48b3/66825465e419264ab4f06a12" TargetMode="External"/><Relationship Id="rId264" Type="http://schemas.openxmlformats.org/officeDocument/2006/relationships/hyperlink" Target="https://dzen.ru/media/id/63dd27aac30ab522dcce48b3/67dc7ef429afa9677559e1f3" TargetMode="External"/><Relationship Id="rId385" Type="http://schemas.openxmlformats.org/officeDocument/2006/relationships/hyperlink" Target="https://dzen.ru/media/id/63dd27aac30ab522dcce48b3/68cf44df316d1775411a4f8f" TargetMode="External"/><Relationship Id="rId142" Type="http://schemas.openxmlformats.org/officeDocument/2006/relationships/hyperlink" Target="https://dzen.ru/media/id/63dd27aac30ab522dcce48b3/667fbc2afd7b631e44c474b8" TargetMode="External"/><Relationship Id="rId263" Type="http://schemas.openxmlformats.org/officeDocument/2006/relationships/hyperlink" Target="https://dzen.ru/media/id/63dd27aac30ab522dcce48b3/67d7641bd11c147eae0639bb" TargetMode="External"/><Relationship Id="rId384" Type="http://schemas.openxmlformats.org/officeDocument/2006/relationships/hyperlink" Target="https://dzen.ru/media/id/63dd27aac30ab522dcce48b3/68d8242df54dbb52d0644ffe" TargetMode="External"/><Relationship Id="rId141" Type="http://schemas.openxmlformats.org/officeDocument/2006/relationships/hyperlink" Target="https://dzen.ru/media/id/63dd27aac30ab522dcce48b3/667c413a9a544801f6284575" TargetMode="External"/><Relationship Id="rId262" Type="http://schemas.openxmlformats.org/officeDocument/2006/relationships/hyperlink" Target="https://dzen.ru/media/id/63dd27aac30ab522dcce48b3/67d7668a795bde0c1a710917" TargetMode="External"/><Relationship Id="rId383" Type="http://schemas.openxmlformats.org/officeDocument/2006/relationships/hyperlink" Target="https://dzen.ru/media/id/63dd27aac30ab522dcce48b3/68d85a46f7e53e790d415b29" TargetMode="External"/><Relationship Id="rId140" Type="http://schemas.openxmlformats.org/officeDocument/2006/relationships/hyperlink" Target="https://dzen.ru/media/id/63dd27aac30ab522dcce48b3/667a67249d76681df9c6e0f0" TargetMode="External"/><Relationship Id="rId261" Type="http://schemas.openxmlformats.org/officeDocument/2006/relationships/hyperlink" Target="https://dzen.ru/media/id/63dd27aac30ab522dcce48b3/67b79c580046007a391db23f" TargetMode="External"/><Relationship Id="rId382" Type="http://schemas.openxmlformats.org/officeDocument/2006/relationships/hyperlink" Target="https://dzen.ru/media/id/63dd27aac30ab522dcce48b3/68d83b137c87061c305febbc" TargetMode="External"/><Relationship Id="rId5" Type="http://schemas.openxmlformats.org/officeDocument/2006/relationships/hyperlink" Target="https://dzen.ru/media/id/63dd27aac30ab522dcce48b3/64d26e412f59ab3263fedea4" TargetMode="External"/><Relationship Id="rId147" Type="http://schemas.openxmlformats.org/officeDocument/2006/relationships/hyperlink" Target="https://dzen.ru/media/id/63dd27aac30ab522dcce48b3/668ce99f597abb295f4f6d9f" TargetMode="External"/><Relationship Id="rId268" Type="http://schemas.openxmlformats.org/officeDocument/2006/relationships/hyperlink" Target="https://dzen.ru/media/id/63dd27aac30ab522dcce48b3/67de087f4701de07a902989e" TargetMode="External"/><Relationship Id="rId389" Type="http://schemas.openxmlformats.org/officeDocument/2006/relationships/hyperlink" Target="https://dzen.ru/media/id/63dd27aac30ab522dcce48b3/68dffceecb1ab64e565f4a8f" TargetMode="External"/><Relationship Id="rId6" Type="http://schemas.openxmlformats.org/officeDocument/2006/relationships/hyperlink" Target="https://dzen.ru/media/id/63dd27aac30ab522dcce48b3/64d36eaac09280390d1dbe7b" TargetMode="External"/><Relationship Id="rId146" Type="http://schemas.openxmlformats.org/officeDocument/2006/relationships/hyperlink" Target="https://dzen.ru/media/id/63dd27aac30ab522dcce48b3/668909d9bf000b11236ef142" TargetMode="External"/><Relationship Id="rId267" Type="http://schemas.openxmlformats.org/officeDocument/2006/relationships/hyperlink" Target="https://dzen.ru/media/id/63dd27aac30ab522dcce48b3/67e014f1db637532c9bca5b2" TargetMode="External"/><Relationship Id="rId388" Type="http://schemas.openxmlformats.org/officeDocument/2006/relationships/hyperlink" Target="https://dzen.ru/media/id/63dd27aac30ab522dcce48b3/68dff6df6e185f1baef09c6d" TargetMode="External"/><Relationship Id="rId7" Type="http://schemas.openxmlformats.org/officeDocument/2006/relationships/hyperlink" Target="https://dzen.ru/media/id/63dd27aac30ab522dcce48b3/64dc7b0a5d7a31683f99e2f3" TargetMode="External"/><Relationship Id="rId145" Type="http://schemas.openxmlformats.org/officeDocument/2006/relationships/hyperlink" Target="https://dzen.ru/media/id/63dd27aac30ab522dcce48b3/66879698e419264ab4e4afb9" TargetMode="External"/><Relationship Id="rId266" Type="http://schemas.openxmlformats.org/officeDocument/2006/relationships/hyperlink" Target="https://dzen.ru/media/id/63dd27aac30ab522dcce48b3/67d7699084b42d75731b341c" TargetMode="External"/><Relationship Id="rId387" Type="http://schemas.openxmlformats.org/officeDocument/2006/relationships/hyperlink" Target="https://dzen.ru/media/id/63dd27aac30ab522dcce48b3/68dff7ad1130210c935b163c" TargetMode="External"/><Relationship Id="rId8" Type="http://schemas.openxmlformats.org/officeDocument/2006/relationships/hyperlink" Target="https://dzen.ru/media/id/63dd27aac30ab522dcce48b3/64e08d9da5f0c931a9263d04" TargetMode="External"/><Relationship Id="rId144" Type="http://schemas.openxmlformats.org/officeDocument/2006/relationships/hyperlink" Target="https://dzen.ru/media/id/63dd27aac30ab522dcce48b3/6683e22762d21a0b5b172218" TargetMode="External"/><Relationship Id="rId265" Type="http://schemas.openxmlformats.org/officeDocument/2006/relationships/hyperlink" Target="https://dzen.ru/media/id/63dd27aac30ab522dcce48b3/67d2425488f481026d15d767" TargetMode="External"/><Relationship Id="rId386" Type="http://schemas.openxmlformats.org/officeDocument/2006/relationships/hyperlink" Target="https://dzen.ru/media/id/63dd27aac30ab522dcce48b3/68d8532d4b61de53db374b29" TargetMode="External"/><Relationship Id="rId260" Type="http://schemas.openxmlformats.org/officeDocument/2006/relationships/hyperlink" Target="https://dzen.ru/media/id/63dd27aac30ab522dcce48b3/67cc5a446d765c59f4a11606" TargetMode="External"/><Relationship Id="rId381" Type="http://schemas.openxmlformats.org/officeDocument/2006/relationships/hyperlink" Target="https://dzen.ru/media/id/63dd27aac30ab522dcce48b3/68d839de411a92297112a2cf" TargetMode="External"/><Relationship Id="rId380" Type="http://schemas.openxmlformats.org/officeDocument/2006/relationships/hyperlink" Target="https://dzen.ru/media/id/63dd27aac30ab522dcce48b3/68d854758708355f375009ce" TargetMode="External"/><Relationship Id="rId139" Type="http://schemas.openxmlformats.org/officeDocument/2006/relationships/hyperlink" Target="https://dzen.ru/media/id/63dd27aac30ab522dcce48b3/66769dd1c4463870659779a6" TargetMode="External"/><Relationship Id="rId138" Type="http://schemas.openxmlformats.org/officeDocument/2006/relationships/hyperlink" Target="https://dzen.ru/media/id/63dd27aac30ab522dcce48b3/6672a350867ea00009f932b3" TargetMode="External"/><Relationship Id="rId259" Type="http://schemas.openxmlformats.org/officeDocument/2006/relationships/hyperlink" Target="https://dzen.ru/media/id/63dd27aac30ab522dcce48b3/67c7315df4400c7534c4c4d1" TargetMode="External"/><Relationship Id="rId137" Type="http://schemas.openxmlformats.org/officeDocument/2006/relationships/hyperlink" Target="https://dzen.ru/media/id/63dd27aac30ab522dcce48b3/66729f2f9d38727c0f587522" TargetMode="External"/><Relationship Id="rId258" Type="http://schemas.openxmlformats.org/officeDocument/2006/relationships/hyperlink" Target="https://dzen.ru/media/id/63dd27aac30ab522dcce48b3/67cc550d1cdbb51640b623cf" TargetMode="External"/><Relationship Id="rId379" Type="http://schemas.openxmlformats.org/officeDocument/2006/relationships/hyperlink" Target="https://dzen.ru/media/id/63dd27aac30ab522dcce48b3/68cf46ca9091fc28b665b1e8" TargetMode="External"/><Relationship Id="rId132" Type="http://schemas.openxmlformats.org/officeDocument/2006/relationships/hyperlink" Target="https://dzen.ru/media/id/63dd27aac30ab522dcce48b3/66641a65b205006d78c03513" TargetMode="External"/><Relationship Id="rId253" Type="http://schemas.openxmlformats.org/officeDocument/2006/relationships/hyperlink" Target="https://dzen.ru/media/id/63dd27aac30ab522dcce48b3/67c13941586b4d4a9edc9847" TargetMode="External"/><Relationship Id="rId374" Type="http://schemas.openxmlformats.org/officeDocument/2006/relationships/hyperlink" Target="https://dzen.ru/media/id/63dd27aac30ab522dcce48b3/68cf42f812e1b53b4e251da5" TargetMode="External"/><Relationship Id="rId495" Type="http://schemas.openxmlformats.org/officeDocument/2006/relationships/hyperlink" Target="https://dzen.ru/media/id/63dd27aac30ab522dcce48b3/699368d0dc116e459fe3e2ab" TargetMode="External"/><Relationship Id="rId131" Type="http://schemas.openxmlformats.org/officeDocument/2006/relationships/hyperlink" Target="https://dzen.ru/media/id/63dd27aac30ab522dcce48b3/666160d7ae5bc312e585c745" TargetMode="External"/><Relationship Id="rId252" Type="http://schemas.openxmlformats.org/officeDocument/2006/relationships/hyperlink" Target="https://dzen.ru/media/id/63dd27aac30ab522dcce48b3/67ac42ddcf4d8c43c2e31376" TargetMode="External"/><Relationship Id="rId373" Type="http://schemas.openxmlformats.org/officeDocument/2006/relationships/hyperlink" Target="https://dzen.ru/media/id/63dd27aac30ab522dcce48b3/68c42b644e88bf099d462c78" TargetMode="External"/><Relationship Id="rId494" Type="http://schemas.openxmlformats.org/officeDocument/2006/relationships/hyperlink" Target="https://dzen.ru/media/id/63dd27aac30ab522dcce48b3/6992dd503d552d18d65755c9" TargetMode="External"/><Relationship Id="rId130" Type="http://schemas.openxmlformats.org/officeDocument/2006/relationships/hyperlink" Target="https://dzen.ru/media/id/63dd27aac30ab522dcce48b3/665ed29f4fb7d66f4634d653" TargetMode="External"/><Relationship Id="rId251" Type="http://schemas.openxmlformats.org/officeDocument/2006/relationships/hyperlink" Target="https://dzen.ru/media/id/63dd27aac30ab522dcce48b3/67a3b22f89a16f5704cd860c" TargetMode="External"/><Relationship Id="rId372" Type="http://schemas.openxmlformats.org/officeDocument/2006/relationships/hyperlink" Target="https://dzen.ru/media/id/63dd27aac30ab522dcce48b3/68c439d86f9b675db4731c02" TargetMode="External"/><Relationship Id="rId493" Type="http://schemas.openxmlformats.org/officeDocument/2006/relationships/hyperlink" Target="https://dzen.ru/media/id/63dd27aac30ab522dcce48b3/698c597d6c1dd34f5344c10d" TargetMode="External"/><Relationship Id="rId250" Type="http://schemas.openxmlformats.org/officeDocument/2006/relationships/hyperlink" Target="https://dzen.ru/media/id/63dd27aac30ab522dcce48b3/67bb44b1cb64550b9d19f96d" TargetMode="External"/><Relationship Id="rId371" Type="http://schemas.openxmlformats.org/officeDocument/2006/relationships/hyperlink" Target="https://dzen.ru/media/id/63dd27aac30ab522dcce48b3/68c68f71efed904d54875ab9" TargetMode="External"/><Relationship Id="rId492" Type="http://schemas.openxmlformats.org/officeDocument/2006/relationships/hyperlink" Target="https://dzen.ru/media/id/63dd27aac30ab522dcce48b3/698c559c4763ed47210b3a0c" TargetMode="External"/><Relationship Id="rId136" Type="http://schemas.openxmlformats.org/officeDocument/2006/relationships/hyperlink" Target="https://dzen.ru/media/id/63dd27aac30ab522dcce48b3/666e58646b57775badd4e49a" TargetMode="External"/><Relationship Id="rId257" Type="http://schemas.openxmlformats.org/officeDocument/2006/relationships/hyperlink" Target="https://dzen.ru/media/id/63dd27aac30ab522dcce48b3/67b03728a5909b71caa68209" TargetMode="External"/><Relationship Id="rId378" Type="http://schemas.openxmlformats.org/officeDocument/2006/relationships/hyperlink" Target="https://dzen.ru/media/id/63dd27aac30ab522dcce48b3/68cf37f02a0efa402d093264" TargetMode="External"/><Relationship Id="rId499" Type="http://schemas.openxmlformats.org/officeDocument/2006/relationships/hyperlink" Target="https://dzen.ru/media/id/63dd27aac30ab522dcce48b3/69981b31f7c9b17c66ceb61b" TargetMode="External"/><Relationship Id="rId135" Type="http://schemas.openxmlformats.org/officeDocument/2006/relationships/hyperlink" Target="https://dzen.ru/media/id/63dd27aac30ab522dcce48b3/666c06e858d6c46b6113f4aa" TargetMode="External"/><Relationship Id="rId256" Type="http://schemas.openxmlformats.org/officeDocument/2006/relationships/hyperlink" Target="https://dzen.ru/media/id/63dd27aac30ab522dcce48b3/67b7924583dc047ea144ce38" TargetMode="External"/><Relationship Id="rId377" Type="http://schemas.openxmlformats.org/officeDocument/2006/relationships/hyperlink" Target="https://dzen.ru/media/id/63dd27aac30ab522dcce48b3/68cfdf5290b25a0ab337b2c1" TargetMode="External"/><Relationship Id="rId498" Type="http://schemas.openxmlformats.org/officeDocument/2006/relationships/hyperlink" Target="https://dzen.ru/media/id/63dd27aac30ab522dcce48b3/699818e097ddef09c5fb5fc4" TargetMode="External"/><Relationship Id="rId134" Type="http://schemas.openxmlformats.org/officeDocument/2006/relationships/hyperlink" Target="https://dzen.ru/media/id/63dd27aac30ab522dcce48b3/6668e3c90ca25727591baa78" TargetMode="External"/><Relationship Id="rId255" Type="http://schemas.openxmlformats.org/officeDocument/2006/relationships/hyperlink" Target="https://dzen.ru/media/id/63dd27aac30ab522dcce48b3/67c72db0205ede48472077a8" TargetMode="External"/><Relationship Id="rId376" Type="http://schemas.openxmlformats.org/officeDocument/2006/relationships/hyperlink" Target="https://dzen.ru/media/id/63dd27aac30ab522dcce48b3/68c83c55d99d823f51e7f9ef" TargetMode="External"/><Relationship Id="rId497" Type="http://schemas.openxmlformats.org/officeDocument/2006/relationships/hyperlink" Target="https://dzen.ru/media/id/63dd27aac30ab522dcce48b3/6994d4fd9e126268a59bc19f" TargetMode="External"/><Relationship Id="rId133" Type="http://schemas.openxmlformats.org/officeDocument/2006/relationships/hyperlink" Target="https://dzen.ru/media/id/63dd27aac30ab522dcce48b3/6666bd7d0b511666481bfb26" TargetMode="External"/><Relationship Id="rId254" Type="http://schemas.openxmlformats.org/officeDocument/2006/relationships/hyperlink" Target="https://dzen.ru/media/id/63dd27aac30ab522dcce48b3/67b9a0ca1b5d8d3cae2a649c" TargetMode="External"/><Relationship Id="rId375" Type="http://schemas.openxmlformats.org/officeDocument/2006/relationships/hyperlink" Target="https://dzen.ru/media/id/63dd27aac30ab522dcce48b3/68cfdec8ca5aca7320ac0c6e" TargetMode="External"/><Relationship Id="rId496" Type="http://schemas.openxmlformats.org/officeDocument/2006/relationships/hyperlink" Target="https://dzen.ru/media/id/63dd27aac30ab522dcce48b3/6994d347ea4f9867ed99201b" TargetMode="External"/><Relationship Id="rId172" Type="http://schemas.openxmlformats.org/officeDocument/2006/relationships/hyperlink" Target="https://dzen.ru/media/id/63dd27aac30ab522dcce48b3/66d0c8abcc3ba7690ea0683e" TargetMode="External"/><Relationship Id="rId293" Type="http://schemas.openxmlformats.org/officeDocument/2006/relationships/hyperlink" Target="https://dzen.ru/media/id/63dd27aac30ab522dcce48b3/680d259d2071087de536f962" TargetMode="External"/><Relationship Id="rId171" Type="http://schemas.openxmlformats.org/officeDocument/2006/relationships/hyperlink" Target="https://dzen.ru/media/id/63dd27aac30ab522dcce48b3/66ce373233c5f32485cf227e" TargetMode="External"/><Relationship Id="rId292" Type="http://schemas.openxmlformats.org/officeDocument/2006/relationships/hyperlink" Target="https://dzen.ru/media/id/63dd27aac30ab522dcce48b3/680d1fc03fee45474345c128" TargetMode="External"/><Relationship Id="rId170" Type="http://schemas.openxmlformats.org/officeDocument/2006/relationships/hyperlink" Target="https://dzen.ru/media/id/63dd27aac30ab522dcce48b3/66cb14d8ac4b7b1c4df04a9c" TargetMode="External"/><Relationship Id="rId291" Type="http://schemas.openxmlformats.org/officeDocument/2006/relationships/hyperlink" Target="https://dzen.ru/media/id/63dd27aac30ab522dcce48b3/680eb9497727ff621422ddf7" TargetMode="External"/><Relationship Id="rId290" Type="http://schemas.openxmlformats.org/officeDocument/2006/relationships/hyperlink" Target="https://dzen.ru/media/id/63dd27aac30ab522dcce48b3/68139abcf579fe6ab1c08acc" TargetMode="External"/><Relationship Id="rId165" Type="http://schemas.openxmlformats.org/officeDocument/2006/relationships/hyperlink" Target="https://dzen.ru/media/id/63dd27aac30ab522dcce48b3/66bc6e5c8b92ab6fd38388be" TargetMode="External"/><Relationship Id="rId286" Type="http://schemas.openxmlformats.org/officeDocument/2006/relationships/hyperlink" Target="https://dzen.ru/media/id/63dd27aac30ab522dcce48b3/67fad285e1caa514eaa0efc2" TargetMode="External"/><Relationship Id="rId164" Type="http://schemas.openxmlformats.org/officeDocument/2006/relationships/hyperlink" Target="https://dzen.ru/media/id/63dd27aac30ab522dcce48b3/66b9cb1092b676336fba8519" TargetMode="External"/><Relationship Id="rId285" Type="http://schemas.openxmlformats.org/officeDocument/2006/relationships/hyperlink" Target="https://dzen.ru/media/id/63dd27aac30ab522dcce48b3/68041b0e27a1864908ad2729" TargetMode="External"/><Relationship Id="rId163" Type="http://schemas.openxmlformats.org/officeDocument/2006/relationships/hyperlink" Target="https://dzen.ru/media/id/63dd27aac30ab522dcce48b3/66b73b102da20429e84894bf" TargetMode="External"/><Relationship Id="rId284" Type="http://schemas.openxmlformats.org/officeDocument/2006/relationships/hyperlink" Target="https://dzen.ru/media/id/63dd27aac30ab522dcce48b3/6807de294f14493dd1faec6e" TargetMode="External"/><Relationship Id="rId162" Type="http://schemas.openxmlformats.org/officeDocument/2006/relationships/hyperlink" Target="https://dzen.ru/media/id/63dd27aac30ab522dcce48b3/66b487c90e91671e5a0190f1" TargetMode="External"/><Relationship Id="rId283" Type="http://schemas.openxmlformats.org/officeDocument/2006/relationships/hyperlink" Target="https://dzen.ru/media/id/63dd27aac30ab522dcce48b3/68015985e6b59e57eb4a7d83" TargetMode="External"/><Relationship Id="rId169" Type="http://schemas.openxmlformats.org/officeDocument/2006/relationships/hyperlink" Target="https://dzen.ru/media/id/63dd27aac30ab522dcce48b3/66c72d1040e6066f40c600cd" TargetMode="External"/><Relationship Id="rId168" Type="http://schemas.openxmlformats.org/officeDocument/2006/relationships/hyperlink" Target="https://dzen.ru/media/id/63dd27aac30ab522dcce48b3/66c4cf86df2b810cc4ae01b1" TargetMode="External"/><Relationship Id="rId289" Type="http://schemas.openxmlformats.org/officeDocument/2006/relationships/hyperlink" Target="https://dzen.ru/media/id/63dd27aac30ab522dcce48b3/68016358e1caa514eab826b3" TargetMode="External"/><Relationship Id="rId167" Type="http://schemas.openxmlformats.org/officeDocument/2006/relationships/hyperlink" Target="https://dzen.ru/media/id/63dd27aac30ab522dcce48b3/66c3108d61ad894a99f9fae6" TargetMode="External"/><Relationship Id="rId288" Type="http://schemas.openxmlformats.org/officeDocument/2006/relationships/hyperlink" Target="https://dzen.ru/media/id/63dd27aac30ab522dcce48b3/680c5a543e3ca00ba091496c" TargetMode="External"/><Relationship Id="rId166" Type="http://schemas.openxmlformats.org/officeDocument/2006/relationships/hyperlink" Target="https://dzen.ru/media/id/63dd27aac30ab522dcce48b3/66c04b9d3c265b68b02313ad" TargetMode="External"/><Relationship Id="rId287" Type="http://schemas.openxmlformats.org/officeDocument/2006/relationships/hyperlink" Target="https://dzen.ru/media/id/63dd27aac30ab522dcce48b3/680d22bb28dc2229638f28c0" TargetMode="External"/><Relationship Id="rId161" Type="http://schemas.openxmlformats.org/officeDocument/2006/relationships/hyperlink" Target="https://dzen.ru/media/id/63dd27aac30ab522dcce48b3/66b1d413839c8d7a5434e1df" TargetMode="External"/><Relationship Id="rId282" Type="http://schemas.openxmlformats.org/officeDocument/2006/relationships/hyperlink" Target="https://dzen.ru/media/id/63dd27aac30ab522dcce48b3/68015d78abfde60e8f35dfc5" TargetMode="External"/><Relationship Id="rId160" Type="http://schemas.openxmlformats.org/officeDocument/2006/relationships/hyperlink" Target="https://dzen.ru/media/id/63dd27aac30ab522dcce48b3/66af2a810542f0527ae85137" TargetMode="External"/><Relationship Id="rId281" Type="http://schemas.openxmlformats.org/officeDocument/2006/relationships/hyperlink" Target="https://dzen.ru/media/id/63dd27aac30ab522dcce48b3/67f7ff6cf657e116d95715f5" TargetMode="External"/><Relationship Id="rId280" Type="http://schemas.openxmlformats.org/officeDocument/2006/relationships/hyperlink" Target="https://dzen.ru/media/id/63dd27aac30ab522dcce48b3/67f2a11e148ce5610bed99b3" TargetMode="External"/><Relationship Id="rId159" Type="http://schemas.openxmlformats.org/officeDocument/2006/relationships/hyperlink" Target="https://dzen.ru/media/id/63dd27aac30ab522dcce48b3/66aca43557e7bc5b7bed8851" TargetMode="External"/><Relationship Id="rId154" Type="http://schemas.openxmlformats.org/officeDocument/2006/relationships/hyperlink" Target="https://dzen.ru/media/id/63dd27aac30ab522dcce48b3/669ec604aa10c4738d611423" TargetMode="External"/><Relationship Id="rId275" Type="http://schemas.openxmlformats.org/officeDocument/2006/relationships/hyperlink" Target="https://dzen.ru/media/id/63dd27aac30ab522dcce48b3/67f2a9031047046a46d08f36" TargetMode="External"/><Relationship Id="rId396" Type="http://schemas.openxmlformats.org/officeDocument/2006/relationships/hyperlink" Target="https://dzen.ru/media/id/63dd27aac30ab522dcce48b3/68e82ebd20cef80020ca2094" TargetMode="External"/><Relationship Id="rId153" Type="http://schemas.openxmlformats.org/officeDocument/2006/relationships/hyperlink" Target="https://dzen.ru/media/id/63dd27aac30ab522dcce48b3/669cd9bdf11d201c92353444" TargetMode="External"/><Relationship Id="rId274" Type="http://schemas.openxmlformats.org/officeDocument/2006/relationships/hyperlink" Target="https://dzen.ru/media/id/63dd27aac30ab522dcce48b3/67b79838f3fda67e670c3893" TargetMode="External"/><Relationship Id="rId395" Type="http://schemas.openxmlformats.org/officeDocument/2006/relationships/hyperlink" Target="https://dzen.ru/media/id/63dd27aac30ab522dcce48b3/68e82081e7ae21418484fb43" TargetMode="External"/><Relationship Id="rId152" Type="http://schemas.openxmlformats.org/officeDocument/2006/relationships/hyperlink" Target="https://dzen.ru/media/id/63dd27aac30ab522dcce48b3/669a2ff15de5626eddfe6c5e" TargetMode="External"/><Relationship Id="rId273" Type="http://schemas.openxmlformats.org/officeDocument/2006/relationships/hyperlink" Target="https://dzen.ru/media/id/63dd27aac30ab522dcce48b3/67b78aca51a35a1d23214d6f" TargetMode="External"/><Relationship Id="rId394" Type="http://schemas.openxmlformats.org/officeDocument/2006/relationships/hyperlink" Target="https://dzen.ru/media/id/63dd27aac30ab522dcce48b3/68e804618e98e1176a8615ed" TargetMode="External"/><Relationship Id="rId151" Type="http://schemas.openxmlformats.org/officeDocument/2006/relationships/hyperlink" Target="https://dzen.ru/media/id/63dd27aac30ab522dcce48b3/6696bb99e4a7f25f09dd5a71" TargetMode="External"/><Relationship Id="rId272" Type="http://schemas.openxmlformats.org/officeDocument/2006/relationships/hyperlink" Target="https://dzen.ru/media/id/63dd27aac30ab522dcce48b3/67b793df53046856a671ff8c" TargetMode="External"/><Relationship Id="rId393" Type="http://schemas.openxmlformats.org/officeDocument/2006/relationships/hyperlink" Target="https://dzen.ru/media/id/63dd27aac30ab522dcce48b3/68e81f5efba0286ff3623205" TargetMode="External"/><Relationship Id="rId158" Type="http://schemas.openxmlformats.org/officeDocument/2006/relationships/hyperlink" Target="https://dzen.ru/media/id/63dd27aac30ab522dcce48b3/66aa0ae8b9a52a13c02599c1" TargetMode="External"/><Relationship Id="rId279" Type="http://schemas.openxmlformats.org/officeDocument/2006/relationships/hyperlink" Target="https://dzen.ru/media/id/63dd27aac30ab522dcce48b3/67d76bee668f0578acc98674" TargetMode="External"/><Relationship Id="rId157" Type="http://schemas.openxmlformats.org/officeDocument/2006/relationships/hyperlink" Target="https://dzen.ru/media/id/63dd27aac30ab522dcce48b3/66a75f38d3a54523d5d0d382" TargetMode="External"/><Relationship Id="rId278" Type="http://schemas.openxmlformats.org/officeDocument/2006/relationships/hyperlink" Target="https://dzen.ru/media/id/63dd27aac30ab522dcce48b3/67effc921047046a465e146c" TargetMode="External"/><Relationship Id="rId399" Type="http://schemas.openxmlformats.org/officeDocument/2006/relationships/hyperlink" Target="https://dzen.ru/media/id/63dd27aac30ab522dcce48b3/68f52eaaa338645c0b2a3e1e" TargetMode="External"/><Relationship Id="rId156" Type="http://schemas.openxmlformats.org/officeDocument/2006/relationships/hyperlink" Target="https://dzen.ru/media/id/63dd27aac30ab522dcce48b3/66a4b2cdba5e8b1a462bec91" TargetMode="External"/><Relationship Id="rId277" Type="http://schemas.openxmlformats.org/officeDocument/2006/relationships/hyperlink" Target="https://dzen.ru/media/id/63dd27aac30ab522dcce48b3/67f2a74789cc1106831965ef" TargetMode="External"/><Relationship Id="rId398" Type="http://schemas.openxmlformats.org/officeDocument/2006/relationships/hyperlink" Target="https://dzen.ru/media/id/63dd27aac30ab522dcce48b3/68f51ec34d505347cb4aaaf1" TargetMode="External"/><Relationship Id="rId155" Type="http://schemas.openxmlformats.org/officeDocument/2006/relationships/hyperlink" Target="https://dzen.ru/media/id/63dd27aac30ab522dcce48b3/66a13b741391a41155e1e000" TargetMode="External"/><Relationship Id="rId276" Type="http://schemas.openxmlformats.org/officeDocument/2006/relationships/hyperlink" Target="https://dzen.ru/media/id/63dd27aac30ab522dcce48b3/67f4a3cbe467857dce7fe15b" TargetMode="External"/><Relationship Id="rId397" Type="http://schemas.openxmlformats.org/officeDocument/2006/relationships/hyperlink" Target="https://dzen.ru/media/id/63dd27aac30ab522dcce48b3/68e82cabe7ae2141848bdf77" TargetMode="External"/><Relationship Id="rId40" Type="http://schemas.openxmlformats.org/officeDocument/2006/relationships/hyperlink" Target="https://dzen.ru/media/id/63dd27aac30ab522dcce48b3/6571ca17b52b316f42dafe14" TargetMode="External"/><Relationship Id="rId42" Type="http://schemas.openxmlformats.org/officeDocument/2006/relationships/hyperlink" Target="https://dzen.ru/media/id/63dd27aac30ab522dcce48b3/657730d36dbe6b1938eb80ff" TargetMode="External"/><Relationship Id="rId41" Type="http://schemas.openxmlformats.org/officeDocument/2006/relationships/hyperlink" Target="https://dzen.ru/media/id/63dd27aac30ab522dcce48b3/65747c014f0304257d9b7448" TargetMode="External"/><Relationship Id="rId44" Type="http://schemas.openxmlformats.org/officeDocument/2006/relationships/hyperlink" Target="https://dzen.ru/media/id/63dd27aac30ab522dcce48b3/657c0ccc6aba5b2d76bef1bd" TargetMode="External"/><Relationship Id="rId43" Type="http://schemas.openxmlformats.org/officeDocument/2006/relationships/hyperlink" Target="https://dzen.ru/media/id/63dd27aac30ab522dcce48b3/65797cf1d536e822e776825d" TargetMode="External"/><Relationship Id="rId46" Type="http://schemas.openxmlformats.org/officeDocument/2006/relationships/hyperlink" Target="https://dzen.ru/media/id/63dd27aac30ab522dcce48b3/65815ca869ac86089c7d1a62" TargetMode="External"/><Relationship Id="rId45" Type="http://schemas.openxmlformats.org/officeDocument/2006/relationships/hyperlink" Target="https://dzen.ru/media/id/63dd27aac30ab522dcce48b3/657eb11a83b4b95986426920" TargetMode="External"/><Relationship Id="rId509" Type="http://schemas.openxmlformats.org/officeDocument/2006/relationships/hyperlink" Target="https://dzen.ru/media/id/63dd27aac30ab522dcce48b3/69a7eeb9c7cdd850ac55588b" TargetMode="External"/><Relationship Id="rId508" Type="http://schemas.openxmlformats.org/officeDocument/2006/relationships/hyperlink" Target="https://dzen.ru/media/id/63dd27aac30ab522dcce48b3/69a553fce55b6a07bf2ac9ee" TargetMode="External"/><Relationship Id="rId503" Type="http://schemas.openxmlformats.org/officeDocument/2006/relationships/hyperlink" Target="https://dzen.ru/media/id/63dd27aac30ab522dcce48b3/69a00c32d0f5970c40c3fedd" TargetMode="External"/><Relationship Id="rId624" Type="http://schemas.openxmlformats.org/officeDocument/2006/relationships/drawing" Target="../drawings/drawing3.xml"/><Relationship Id="rId502" Type="http://schemas.openxmlformats.org/officeDocument/2006/relationships/hyperlink" Target="https://dzen.ru/media/id/63dd27aac30ab522dcce48b3/699eb6bc7e3fad32911e760b" TargetMode="External"/><Relationship Id="rId623" Type="http://schemas.openxmlformats.org/officeDocument/2006/relationships/hyperlink" Target="https://dzen.ru/media/id/63dd27aac30ab522dcce48b3/6a6340679e17237ef9dd0aff" TargetMode="External"/><Relationship Id="rId501" Type="http://schemas.openxmlformats.org/officeDocument/2006/relationships/hyperlink" Target="https://dzen.ru/media/id/63dd27aac30ab522dcce48b3/699c45284948182381f124c6" TargetMode="External"/><Relationship Id="rId622" Type="http://schemas.openxmlformats.org/officeDocument/2006/relationships/hyperlink" Target="https://dzen.ru/media/id/63dd27aac30ab522dcce48b3/6a60671e06178a60e494f436" TargetMode="External"/><Relationship Id="rId500" Type="http://schemas.openxmlformats.org/officeDocument/2006/relationships/hyperlink" Target="https://dzen.ru/media/id/63dd27aac30ab522dcce48b3/699c227f4948182381c528f7" TargetMode="External"/><Relationship Id="rId621" Type="http://schemas.openxmlformats.org/officeDocument/2006/relationships/hyperlink" Target="https://dzen.ru/media/id/63dd27aac30ab522dcce48b3/6a5f2b69a803da6867ca52e0" TargetMode="External"/><Relationship Id="rId507" Type="http://schemas.openxmlformats.org/officeDocument/2006/relationships/hyperlink" Target="https://dzen.ru/media/id/63dd27aac30ab522dcce48b3/69a55d3b2ca7165f888a5d98" TargetMode="External"/><Relationship Id="rId506" Type="http://schemas.openxmlformats.org/officeDocument/2006/relationships/hyperlink" Target="https://dzen.ru/media/id/63dd27aac30ab522dcce48b3/69a54b948ab50139c0ab5743" TargetMode="External"/><Relationship Id="rId505" Type="http://schemas.openxmlformats.org/officeDocument/2006/relationships/hyperlink" Target="https://dzen.ru/media/id/63dd27aac30ab522dcce48b3/696cc2813afdea3149775dbb" TargetMode="External"/><Relationship Id="rId504" Type="http://schemas.openxmlformats.org/officeDocument/2006/relationships/hyperlink" Target="https://dzen.ru/media/id/63dd27aac30ab522dcce48b3/696ccdd456e4430fc1e5747f" TargetMode="External"/><Relationship Id="rId48" Type="http://schemas.openxmlformats.org/officeDocument/2006/relationships/hyperlink" Target="https://dzen.ru/media/id/63dd27aac30ab522dcce48b3/6585d80041d6bb6c24552ea4" TargetMode="External"/><Relationship Id="rId47" Type="http://schemas.openxmlformats.org/officeDocument/2006/relationships/hyperlink" Target="https://dzen.ru/media/id/63dd27aac30ab522dcce48b3/658312b02df2b36839247d12" TargetMode="External"/><Relationship Id="rId49" Type="http://schemas.openxmlformats.org/officeDocument/2006/relationships/hyperlink" Target="https://dzen.ru/media/id/63dd27aac30ab522dcce48b3/65896ef339c6e24c8b4a458e" TargetMode="External"/><Relationship Id="rId620" Type="http://schemas.openxmlformats.org/officeDocument/2006/relationships/hyperlink" Target="https://dzen.ru/media/id/63dd27aac30ab522dcce48b3/6a5dcbf26d8e995c249120c4" TargetMode="External"/><Relationship Id="rId31" Type="http://schemas.openxmlformats.org/officeDocument/2006/relationships/hyperlink" Target="https://dzen.ru/media/id/63dd27aac30ab522dcce48b3/6559220765e2fc0570db50e8" TargetMode="External"/><Relationship Id="rId30" Type="http://schemas.openxmlformats.org/officeDocument/2006/relationships/hyperlink" Target="https://dzen.ru/media/id/63dd27aac30ab522dcce48b3/65576b9c1e1bd141ad1fcddc" TargetMode="External"/><Relationship Id="rId33" Type="http://schemas.openxmlformats.org/officeDocument/2006/relationships/hyperlink" Target="https://dzen.ru/media/id/63dd27aac30ab522dcce48b3/655f6532aad3ac18d32a32cc" TargetMode="External"/><Relationship Id="rId32" Type="http://schemas.openxmlformats.org/officeDocument/2006/relationships/hyperlink" Target="https://dzen.ru/media/id/63dd27aac30ab522dcce48b3/655c579c8a74061665ac7e17" TargetMode="External"/><Relationship Id="rId35" Type="http://schemas.openxmlformats.org/officeDocument/2006/relationships/hyperlink" Target="https://dzen.ru/media/id/63dd27aac30ab522dcce48b3/65645eaa84ef1976903f5a5e" TargetMode="External"/><Relationship Id="rId34" Type="http://schemas.openxmlformats.org/officeDocument/2006/relationships/hyperlink" Target="https://dzen.ru/media/id/63dd27aac30ab522dcce48b3/6561ade565c1165014b369c1" TargetMode="External"/><Relationship Id="rId619" Type="http://schemas.openxmlformats.org/officeDocument/2006/relationships/hyperlink" Target="https://dzen.ru/media/id/63dd27aac30ab522dcce48b3/6a5a13ea8d8abc0ac8850358" TargetMode="External"/><Relationship Id="rId618" Type="http://schemas.openxmlformats.org/officeDocument/2006/relationships/hyperlink" Target="https://dzen.ru/media/id/63dd27aac30ab522dcce48b3/6a5735297cd0c57ca147691f" TargetMode="External"/><Relationship Id="rId613" Type="http://schemas.openxmlformats.org/officeDocument/2006/relationships/hyperlink" Target="https://dzen.ru/media/id/63dd27aac30ab522dcce48b3/6a4cc7d2bab9cd47ce55dddc" TargetMode="External"/><Relationship Id="rId612" Type="http://schemas.openxmlformats.org/officeDocument/2006/relationships/hyperlink" Target="https://dzen.ru/media/id/63dd27aac30ab522dcce48b3/6a4adc9f2b36b82950796a04" TargetMode="External"/><Relationship Id="rId611" Type="http://schemas.openxmlformats.org/officeDocument/2006/relationships/hyperlink" Target="https://dzen.ru/media/id/63dd27aac30ab522dcce48b3/6a46df985ec2671d970addcf" TargetMode="External"/><Relationship Id="rId610" Type="http://schemas.openxmlformats.org/officeDocument/2006/relationships/hyperlink" Target="https://dzen.ru/media/id/63dd27aac30ab522dcce48b3/6a4404db17f7ac487ba10644" TargetMode="External"/><Relationship Id="rId617" Type="http://schemas.openxmlformats.org/officeDocument/2006/relationships/hyperlink" Target="https://dzen.ru/media/id/63dd27aac30ab522dcce48b3/6a55f3f2077fdc3319dd9e45" TargetMode="External"/><Relationship Id="rId616" Type="http://schemas.openxmlformats.org/officeDocument/2006/relationships/hyperlink" Target="https://dzen.ru/media/id/63dd27aac30ab522dcce48b3/6a54ad54dc87c335f3d3f331" TargetMode="External"/><Relationship Id="rId615" Type="http://schemas.openxmlformats.org/officeDocument/2006/relationships/hyperlink" Target="https://dzen.ru/media/id/63dd27aac30ab522dcce48b3/6a4ce9ab23afe7791709c31d" TargetMode="External"/><Relationship Id="rId614" Type="http://schemas.openxmlformats.org/officeDocument/2006/relationships/hyperlink" Target="https://dzen.ru/media/id/63dd27aac30ab522dcce48b3/6a4ce8e95e72ba3125f78af7" TargetMode="External"/><Relationship Id="rId37" Type="http://schemas.openxmlformats.org/officeDocument/2006/relationships/hyperlink" Target="https://dzen.ru/media/id/63dd27aac30ab522dcce48b3/656a0473f87caa53d311c53f" TargetMode="External"/><Relationship Id="rId36" Type="http://schemas.openxmlformats.org/officeDocument/2006/relationships/hyperlink" Target="https://dzen.ru/media/id/63dd27aac30ab522dcce48b3/656738da88cffc7a8f1a60f3" TargetMode="External"/><Relationship Id="rId39" Type="http://schemas.openxmlformats.org/officeDocument/2006/relationships/hyperlink" Target="https://dzen.ru/media/id/63dd27aac30ab522dcce48b3/656f51e5b7c55f2e680040a0" TargetMode="External"/><Relationship Id="rId38" Type="http://schemas.openxmlformats.org/officeDocument/2006/relationships/hyperlink" Target="https://dzen.ru/media/id/63dd27aac30ab522dcce48b3/656c93a39894eb7840c34401" TargetMode="External"/><Relationship Id="rId20" Type="http://schemas.openxmlformats.org/officeDocument/2006/relationships/hyperlink" Target="https://dzen.ru/media/id/63dd27aac30ab522dcce48b3/653ca6b66a06345c86072afa" TargetMode="External"/><Relationship Id="rId22" Type="http://schemas.openxmlformats.org/officeDocument/2006/relationships/hyperlink" Target="https://dzen.ru/media/id/63dd27aac30ab522dcce48b3/6542123b458b143fc2d3a8a2" TargetMode="External"/><Relationship Id="rId21" Type="http://schemas.openxmlformats.org/officeDocument/2006/relationships/hyperlink" Target="https://dzen.ru/media/id/63dd27aac30ab522dcce48b3/653f97cadf966c757041e7b8" TargetMode="External"/><Relationship Id="rId24" Type="http://schemas.openxmlformats.org/officeDocument/2006/relationships/hyperlink" Target="https://dzen.ru/media/id/63dd27aac30ab522dcce48b3/6547bb44b8dcae73a89d3a23" TargetMode="External"/><Relationship Id="rId23" Type="http://schemas.openxmlformats.org/officeDocument/2006/relationships/hyperlink" Target="https://dzen.ru/media/id/63dd27aac30ab522dcce48b3/654508c3a5af4a380cd486d8" TargetMode="External"/><Relationship Id="rId409" Type="http://schemas.openxmlformats.org/officeDocument/2006/relationships/hyperlink" Target="https://dzen.ru/media/id/63dd27aac30ab522dcce48b3/68fe970c4f58bf206cc21914" TargetMode="External"/><Relationship Id="rId404" Type="http://schemas.openxmlformats.org/officeDocument/2006/relationships/hyperlink" Target="https://dzen.ru/media/id/63dd27aac30ab522dcce48b3/68fe91284a5a361f8301acf4" TargetMode="External"/><Relationship Id="rId525" Type="http://schemas.openxmlformats.org/officeDocument/2006/relationships/hyperlink" Target="https://dzen.ru/media/id/63dd27aac30ab522dcce48b3/69bc552c406f6a623f11b68e" TargetMode="External"/><Relationship Id="rId403" Type="http://schemas.openxmlformats.org/officeDocument/2006/relationships/hyperlink" Target="https://dzen.ru/media/id/63dd27aac30ab522dcce48b3/68f52c18dd73ca4c23e1b105" TargetMode="External"/><Relationship Id="rId524" Type="http://schemas.openxmlformats.org/officeDocument/2006/relationships/hyperlink" Target="https://dzen.ru/media/id/63dd27aac30ab522dcce48b3/69bc543fafa5fb3888a5dfdf" TargetMode="External"/><Relationship Id="rId402" Type="http://schemas.openxmlformats.org/officeDocument/2006/relationships/hyperlink" Target="https://dzen.ru/media/id/63dd27aac30ab522dcce48b3/68e96db60cbf23407c0aaed4" TargetMode="External"/><Relationship Id="rId523" Type="http://schemas.openxmlformats.org/officeDocument/2006/relationships/hyperlink" Target="https://dzen.ru/media/id/63dd27aac30ab522dcce48b3/69bbc2c1c44034744555c3ed" TargetMode="External"/><Relationship Id="rId401" Type="http://schemas.openxmlformats.org/officeDocument/2006/relationships/hyperlink" Target="https://dzen.ru/media/id/63dd27aac30ab522dcce48b3/68f5307d14f4d936c886f254" TargetMode="External"/><Relationship Id="rId522" Type="http://schemas.openxmlformats.org/officeDocument/2006/relationships/hyperlink" Target="https://dzen.ru/media/id/63dd27aac30ab522dcce48b3/69b9834ea8886c3949330f51" TargetMode="External"/><Relationship Id="rId408" Type="http://schemas.openxmlformats.org/officeDocument/2006/relationships/hyperlink" Target="https://dzen.ru/media/id/63dd27aac30ab522dcce48b3/68fe8b2d1810287604b4a948" TargetMode="External"/><Relationship Id="rId529" Type="http://schemas.openxmlformats.org/officeDocument/2006/relationships/hyperlink" Target="https://dzen.ru/media/id/63dd27aac30ab522dcce48b3/69c508d288e0774576ffb340" TargetMode="External"/><Relationship Id="rId407" Type="http://schemas.openxmlformats.org/officeDocument/2006/relationships/hyperlink" Target="https://dzen.ru/media/id/63dd27aac30ab522dcce48b3/68fe89aa7ed67f2779ce9315" TargetMode="External"/><Relationship Id="rId528" Type="http://schemas.openxmlformats.org/officeDocument/2006/relationships/hyperlink" Target="https://dzen.ru/media/id/63dd27aac30ab522dcce48b3/69c26d742951261a4bf2e0c9" TargetMode="External"/><Relationship Id="rId406" Type="http://schemas.openxmlformats.org/officeDocument/2006/relationships/hyperlink" Target="https://dzen.ru/media/id/63dd27aac30ab522dcce48b3/68fe95af9504783537206101" TargetMode="External"/><Relationship Id="rId527" Type="http://schemas.openxmlformats.org/officeDocument/2006/relationships/hyperlink" Target="https://dzen.ru/media/id/63dd27aac30ab522dcce48b3/69c25bb30304c77280fb360a" TargetMode="External"/><Relationship Id="rId405" Type="http://schemas.openxmlformats.org/officeDocument/2006/relationships/hyperlink" Target="https://dzen.ru/media/id/63dd27aac30ab522dcce48b3/68fe88202838d622c7c5734b" TargetMode="External"/><Relationship Id="rId526" Type="http://schemas.openxmlformats.org/officeDocument/2006/relationships/hyperlink" Target="https://dzen.ru/media/id/63dd27aac30ab522dcce48b3/69c074352e14f079eedc3e6a" TargetMode="External"/><Relationship Id="rId26" Type="http://schemas.openxmlformats.org/officeDocument/2006/relationships/hyperlink" Target="https://dzen.ru/media/id/63dd27aac30ab522dcce48b3/654cf3a65fbdb06733de78de" TargetMode="External"/><Relationship Id="rId25" Type="http://schemas.openxmlformats.org/officeDocument/2006/relationships/hyperlink" Target="https://dzen.ru/media/id/63dd27aac30ab522dcce48b3/654a4ae388bda60cad86e64f" TargetMode="External"/><Relationship Id="rId28" Type="http://schemas.openxmlformats.org/officeDocument/2006/relationships/hyperlink" Target="https://dzen.ru/media/id/63dd27aac30ab522dcce48b3/6551082b11ee265e6c903f9c" TargetMode="External"/><Relationship Id="rId27" Type="http://schemas.openxmlformats.org/officeDocument/2006/relationships/hyperlink" Target="https://dzen.ru/media/id/63dd27aac30ab522dcce48b3/654f6decef61d67414350bb8" TargetMode="External"/><Relationship Id="rId400" Type="http://schemas.openxmlformats.org/officeDocument/2006/relationships/hyperlink" Target="https://dzen.ru/media/id/63dd27aac30ab522dcce48b3/68e80966ba597a593cd77313" TargetMode="External"/><Relationship Id="rId521" Type="http://schemas.openxmlformats.org/officeDocument/2006/relationships/hyperlink" Target="https://dzen.ru/media/id/63dd27aac30ab522dcce48b3/69b7fe203914d7783684ff9b" TargetMode="External"/><Relationship Id="rId29" Type="http://schemas.openxmlformats.org/officeDocument/2006/relationships/hyperlink" Target="https://dzen.ru/media/id/63dd27aac30ab522dcce48b3/6554e71e3b3f472e351ad680" TargetMode="External"/><Relationship Id="rId520" Type="http://schemas.openxmlformats.org/officeDocument/2006/relationships/hyperlink" Target="https://dzen.ru/media/id/63dd27aac30ab522dcce48b3/69b6ee9b00135712385c57f4" TargetMode="External"/><Relationship Id="rId11" Type="http://schemas.openxmlformats.org/officeDocument/2006/relationships/hyperlink" Target="https://dzen.ru/media/id/63dd27aac30ab522dcce48b3/652aa96b5a70464fa106de4e" TargetMode="External"/><Relationship Id="rId10" Type="http://schemas.openxmlformats.org/officeDocument/2006/relationships/hyperlink" Target="https://dzen.ru/media/id/63dd27aac30ab522dcce48b3/6527d7f342b2122b751f0da0" TargetMode="External"/><Relationship Id="rId13" Type="http://schemas.openxmlformats.org/officeDocument/2006/relationships/hyperlink" Target="https://dzen.ru/media/id/63dd27aac30ab522dcce48b3/652d8e648365541c39aaf587" TargetMode="External"/><Relationship Id="rId12" Type="http://schemas.openxmlformats.org/officeDocument/2006/relationships/hyperlink" Target="https://dzen.ru/media/id/63dd27aac30ab522dcce48b3/652d6ac68365541c395aec7f" TargetMode="External"/><Relationship Id="rId519" Type="http://schemas.openxmlformats.org/officeDocument/2006/relationships/hyperlink" Target="https://dzen.ru/media/id/63dd27aac30ab522dcce48b3/69b5394d81119e04eff8b199" TargetMode="External"/><Relationship Id="rId514" Type="http://schemas.openxmlformats.org/officeDocument/2006/relationships/hyperlink" Target="https://dzen.ru/media/id/63dd27aac30ab522dcce48b3/69afe8cd54c19f73b997c3ce" TargetMode="External"/><Relationship Id="rId513" Type="http://schemas.openxmlformats.org/officeDocument/2006/relationships/hyperlink" Target="https://dzen.ru/media/id/63dd27aac30ab522dcce48b3/69adff8f14c4182ff737b898" TargetMode="External"/><Relationship Id="rId512" Type="http://schemas.openxmlformats.org/officeDocument/2006/relationships/hyperlink" Target="https://dzen.ru/media/id/63dd27aac30ab522dcce48b3/69aaa18e0f5a7468bd63d421" TargetMode="External"/><Relationship Id="rId511" Type="http://schemas.openxmlformats.org/officeDocument/2006/relationships/hyperlink" Target="https://dzen.ru/media/id/63dd27aac30ab522dcce48b3/69a9efe4c8860f221f5d231a" TargetMode="External"/><Relationship Id="rId518" Type="http://schemas.openxmlformats.org/officeDocument/2006/relationships/hyperlink" Target="https://dzen.ru/media/id/63dd27aac30ab522dcce48b3/69b335dc7c578d071bad91f3" TargetMode="External"/><Relationship Id="rId517" Type="http://schemas.openxmlformats.org/officeDocument/2006/relationships/hyperlink" Target="https://dzen.ru/media/id/63dd27aac30ab522dcce48b3/69b3342a7f84cf33ad3b33dc" TargetMode="External"/><Relationship Id="rId516" Type="http://schemas.openxmlformats.org/officeDocument/2006/relationships/hyperlink" Target="https://dzen.ru/media/id/63dd27aac30ab522dcce48b3/69b27bdc50d2f45d98362bdf" TargetMode="External"/><Relationship Id="rId515" Type="http://schemas.openxmlformats.org/officeDocument/2006/relationships/hyperlink" Target="https://dzen.ru/media/id/63dd27aac30ab522dcce48b3/69afecf0d6a65018c4ac905d" TargetMode="External"/><Relationship Id="rId15" Type="http://schemas.openxmlformats.org/officeDocument/2006/relationships/hyperlink" Target="https://dzen.ru/media/id/63dd27aac30ab522dcce48b3/653004280966b827aab9dd12" TargetMode="External"/><Relationship Id="rId14" Type="http://schemas.openxmlformats.org/officeDocument/2006/relationships/hyperlink" Target="https://dzen.ru/media/id/63dd27aac30ab522dcce48b3/652eab126bbf9502d078f6f3" TargetMode="External"/><Relationship Id="rId17" Type="http://schemas.openxmlformats.org/officeDocument/2006/relationships/hyperlink" Target="https://dzen.ru/media/id/63dd27aac30ab522dcce48b3/65340ea3e82387673fab2b1c" TargetMode="External"/><Relationship Id="rId16" Type="http://schemas.openxmlformats.org/officeDocument/2006/relationships/hyperlink" Target="https://dzen.ru/media/id/63dd27aac30ab522dcce48b3/6532486442603874aaa3139e" TargetMode="External"/><Relationship Id="rId19" Type="http://schemas.openxmlformats.org/officeDocument/2006/relationships/hyperlink" Target="https://dzen.ru/media/id/63dd27aac30ab522dcce48b3/6533ec03dfbed1522e94b94a" TargetMode="External"/><Relationship Id="rId510" Type="http://schemas.openxmlformats.org/officeDocument/2006/relationships/hyperlink" Target="https://dzen.ru/media/id/63dd27aac30ab522dcce48b3/69a943881f9647023418af7f" TargetMode="External"/><Relationship Id="rId18" Type="http://schemas.openxmlformats.org/officeDocument/2006/relationships/hyperlink" Target="https://dzen.ru/media/id/63dd27aac30ab522dcce48b3/6536dba1ac1eaf2192746f13" TargetMode="External"/><Relationship Id="rId84" Type="http://schemas.openxmlformats.org/officeDocument/2006/relationships/hyperlink" Target="https://dzen.ru/media/id/63dd27aac30ab522dcce48b3/65e589abe12f920d341ca8c7" TargetMode="External"/><Relationship Id="rId83" Type="http://schemas.openxmlformats.org/officeDocument/2006/relationships/hyperlink" Target="https://dzen.ru/media/id/63dd27aac30ab522dcce48b3/65e2e5b22b8b137faf70d9cb" TargetMode="External"/><Relationship Id="rId86" Type="http://schemas.openxmlformats.org/officeDocument/2006/relationships/hyperlink" Target="https://dzen.ru/media/id/63dd27aac30ab522dcce48b3/65eae9420050982f07e6c630" TargetMode="External"/><Relationship Id="rId85" Type="http://schemas.openxmlformats.org/officeDocument/2006/relationships/hyperlink" Target="https://dzen.ru/media/id/63dd27aac30ab522dcce48b3/65e7a8547700786f98db4069" TargetMode="External"/><Relationship Id="rId88" Type="http://schemas.openxmlformats.org/officeDocument/2006/relationships/hyperlink" Target="https://dzen.ru/media/id/63dd27aac30ab522dcce48b3/65ef8e8628714c5311ea24da" TargetMode="External"/><Relationship Id="rId87" Type="http://schemas.openxmlformats.org/officeDocument/2006/relationships/hyperlink" Target="https://dzen.ru/media/id/63dd27aac30ab522dcce48b3/65ed6e0c0149d872ef0cddd9" TargetMode="External"/><Relationship Id="rId89" Type="http://schemas.openxmlformats.org/officeDocument/2006/relationships/hyperlink" Target="https://dzen.ru/media/id/63dd27aac30ab522dcce48b3/65ef97ab8bdbff4a8a12f00e" TargetMode="External"/><Relationship Id="rId80" Type="http://schemas.openxmlformats.org/officeDocument/2006/relationships/hyperlink" Target="https://dzen.ru/media/id/63dd27aac30ab522dcce48b3/65db0de7569aee7bb40100a6" TargetMode="External"/><Relationship Id="rId82" Type="http://schemas.openxmlformats.org/officeDocument/2006/relationships/hyperlink" Target="https://dzen.ru/media/id/63dd27aac30ab522dcce48b3/65e07ff73057d83ff3266082" TargetMode="External"/><Relationship Id="rId81" Type="http://schemas.openxmlformats.org/officeDocument/2006/relationships/hyperlink" Target="https://dzen.ru/media/id/63dd27aac30ab522dcce48b3/65ddbe064b6b2f256fe048c3" TargetMode="External"/><Relationship Id="rId73" Type="http://schemas.openxmlformats.org/officeDocument/2006/relationships/hyperlink" Target="https://dzen.ru/media/id/63dd27aac30ab522dcce48b3/65c7ed12e7105805f101d98b" TargetMode="External"/><Relationship Id="rId72" Type="http://schemas.openxmlformats.org/officeDocument/2006/relationships/hyperlink" Target="https://dzen.ru/media/id/63dd27aac30ab522dcce48b3/65c5fb4109606a2c08cc169d" TargetMode="External"/><Relationship Id="rId75" Type="http://schemas.openxmlformats.org/officeDocument/2006/relationships/hyperlink" Target="https://dzen.ru/media/id/63dd27aac30ab522dcce48b3/65cdd00d09606a2c08fb41b7" TargetMode="External"/><Relationship Id="rId74" Type="http://schemas.openxmlformats.org/officeDocument/2006/relationships/hyperlink" Target="https://dzen.ru/media/id/63dd27aac30ab522dcce48b3/65cb1c27db1fd65e3269618f" TargetMode="External"/><Relationship Id="rId77" Type="http://schemas.openxmlformats.org/officeDocument/2006/relationships/hyperlink" Target="https://dzen.ru/media/id/63dd27aac30ab522dcce48b3/65d316f2b59d7950726ccca6" TargetMode="External"/><Relationship Id="rId76" Type="http://schemas.openxmlformats.org/officeDocument/2006/relationships/hyperlink" Target="https://dzen.ru/media/id/63dd27aac30ab522dcce48b3/65d0784db59d795072ed3e68" TargetMode="External"/><Relationship Id="rId79" Type="http://schemas.openxmlformats.org/officeDocument/2006/relationships/hyperlink" Target="https://dzen.ru/media/id/63dd27aac30ab522dcce48b3/65d86b6fd2b1603f98ad4d4c" TargetMode="External"/><Relationship Id="rId78" Type="http://schemas.openxmlformats.org/officeDocument/2006/relationships/hyperlink" Target="https://dzen.ru/media/id/63dd27aac30ab522dcce48b3/65d5a9e115e35e7dc7a1030d" TargetMode="External"/><Relationship Id="rId71" Type="http://schemas.openxmlformats.org/officeDocument/2006/relationships/hyperlink" Target="https://dzen.ru/media/id/63dd27aac30ab522dcce48b3/65c33c890f01582226c885c0" TargetMode="External"/><Relationship Id="rId70" Type="http://schemas.openxmlformats.org/officeDocument/2006/relationships/hyperlink" Target="https://dzen.ru/media/id/63dd27aac30ab522dcce48b3/65c07cba45d96a12fdfda2e7" TargetMode="External"/><Relationship Id="rId62" Type="http://schemas.openxmlformats.org/officeDocument/2006/relationships/hyperlink" Target="https://dzen.ru/media/id/63dd27aac30ab522dcce48b3/65aa7d3a5d43777ffc9904bd" TargetMode="External"/><Relationship Id="rId61" Type="http://schemas.openxmlformats.org/officeDocument/2006/relationships/hyperlink" Target="https://dzen.ru/media/id/63dd27aac30ab522dcce48b3/65a81a7c335af54b4b43da2a" TargetMode="External"/><Relationship Id="rId64" Type="http://schemas.openxmlformats.org/officeDocument/2006/relationships/hyperlink" Target="https://dzen.ru/media/id/63dd27aac30ab522dcce48b3/65b0ced4c5eb1b4dc153b62e" TargetMode="External"/><Relationship Id="rId63" Type="http://schemas.openxmlformats.org/officeDocument/2006/relationships/hyperlink" Target="https://dzen.ru/media/id/63dd27aac30ab522dcce48b3/65ae2112612efc41c8a63587" TargetMode="External"/><Relationship Id="rId66" Type="http://schemas.openxmlformats.org/officeDocument/2006/relationships/hyperlink" Target="https://dzen.ru/media/id/63dd27aac30ab522dcce48b3/65b3c7e8fa240c5e6134b62d" TargetMode="External"/><Relationship Id="rId65" Type="http://schemas.openxmlformats.org/officeDocument/2006/relationships/hyperlink" Target="https://dzen.ru/media/id/63dd27aac30ab522dcce48b3/65b35b10a4f0b521043de3d8" TargetMode="External"/><Relationship Id="rId68" Type="http://schemas.openxmlformats.org/officeDocument/2006/relationships/hyperlink" Target="https://dzen.ru/media/id/63dd27aac30ab522dcce48b3/65bb5dfb168cdf5c397c9920" TargetMode="External"/><Relationship Id="rId67" Type="http://schemas.openxmlformats.org/officeDocument/2006/relationships/hyperlink" Target="https://dzen.ru/media/id/63dd27aac30ab522dcce48b3/65b8a9a2ddb34e045460e434" TargetMode="External"/><Relationship Id="rId609" Type="http://schemas.openxmlformats.org/officeDocument/2006/relationships/hyperlink" Target="https://dzen.ru/media/id/63dd27aac30ab522dcce48b3/6a42dc418bfc1715296b41a8" TargetMode="External"/><Relationship Id="rId608" Type="http://schemas.openxmlformats.org/officeDocument/2006/relationships/hyperlink" Target="https://dzen.ru/media/id/63dd27aac30ab522dcce48b3/6a41918f47d3cf6b48b4605d" TargetMode="External"/><Relationship Id="rId607" Type="http://schemas.openxmlformats.org/officeDocument/2006/relationships/hyperlink" Target="https://dzen.ru/media/id/63dd27aac30ab522dcce48b3/6a40eee530865c46a915e26b" TargetMode="External"/><Relationship Id="rId60" Type="http://schemas.openxmlformats.org/officeDocument/2006/relationships/hyperlink" Target="https://dzen.ru/media/id/63dd27aac30ab522dcce48b3/65a58c49e093670734455e49" TargetMode="External"/><Relationship Id="rId602" Type="http://schemas.openxmlformats.org/officeDocument/2006/relationships/hyperlink" Target="https://dzen.ru/media/id/63dd27aac30ab522dcce48b3/6a34fdd15ebf3519ec9f4c01" TargetMode="External"/><Relationship Id="rId601" Type="http://schemas.openxmlformats.org/officeDocument/2006/relationships/hyperlink" Target="https://dzen.ru/media/id/63dd27aac30ab522dcce48b3/6a3262a50ba5787101444fa9" TargetMode="External"/><Relationship Id="rId600" Type="http://schemas.openxmlformats.org/officeDocument/2006/relationships/hyperlink" Target="https://dzen.ru/media/id/63dd27aac30ab522dcce48b3/6a310ae297011e4b94d08122" TargetMode="External"/><Relationship Id="rId606" Type="http://schemas.openxmlformats.org/officeDocument/2006/relationships/hyperlink" Target="https://dzen.ru/media/id/63dd27aac30ab522dcce48b3/6a3da678d9b57f6d8a92204f" TargetMode="External"/><Relationship Id="rId605" Type="http://schemas.openxmlformats.org/officeDocument/2006/relationships/hyperlink" Target="https://dzen.ru/media/id/63dd27aac30ab522dcce48b3/6a3b9464aa314c580e2fd1b1" TargetMode="External"/><Relationship Id="rId604" Type="http://schemas.openxmlformats.org/officeDocument/2006/relationships/hyperlink" Target="https://dzen.ru/media/id/63dd27aac30ab522dcce48b3/6a3a64f8ad24ae75861f981b" TargetMode="External"/><Relationship Id="rId603" Type="http://schemas.openxmlformats.org/officeDocument/2006/relationships/hyperlink" Target="https://dzen.ru/media/id/63dd27aac30ab522dcce48b3/6a38f206665bf6072bb69970" TargetMode="External"/><Relationship Id="rId69" Type="http://schemas.openxmlformats.org/officeDocument/2006/relationships/hyperlink" Target="https://dzen.ru/media/id/63dd27aac30ab522dcce48b3/65bdf4f4ff094971f0a10338" TargetMode="External"/><Relationship Id="rId51" Type="http://schemas.openxmlformats.org/officeDocument/2006/relationships/hyperlink" Target="https://dzen.ru/media/id/63dd27aac30ab522dcce48b3/658e82b52eb5c11b9676b96b" TargetMode="External"/><Relationship Id="rId50" Type="http://schemas.openxmlformats.org/officeDocument/2006/relationships/hyperlink" Target="https://dzen.ru/media/id/63dd27aac30ab522dcce48b3/658b46eabff6e67336619e7b" TargetMode="External"/><Relationship Id="rId53" Type="http://schemas.openxmlformats.org/officeDocument/2006/relationships/hyperlink" Target="https://dzen.ru/media/id/63dd27aac30ab522dcce48b3/6593db9a1f823614d3245261" TargetMode="External"/><Relationship Id="rId52" Type="http://schemas.openxmlformats.org/officeDocument/2006/relationships/hyperlink" Target="https://dzen.ru/media/id/63dd27aac30ab522dcce48b3/6590965195509b2d84458681" TargetMode="External"/><Relationship Id="rId55" Type="http://schemas.openxmlformats.org/officeDocument/2006/relationships/hyperlink" Target="https://dzen.ru/media/id/63dd27aac30ab522dcce48b3/65990eefc767be610dafb991" TargetMode="External"/><Relationship Id="rId54" Type="http://schemas.openxmlformats.org/officeDocument/2006/relationships/hyperlink" Target="https://dzen.ru/media/id/63dd27aac30ab522dcce48b3/65966eebeb35721ecb8570c0" TargetMode="External"/><Relationship Id="rId57" Type="http://schemas.openxmlformats.org/officeDocument/2006/relationships/hyperlink" Target="https://dzen.ru/media/id/63dd27aac30ab522dcce48b3/659d05c5b296f85363feeead" TargetMode="External"/><Relationship Id="rId56" Type="http://schemas.openxmlformats.org/officeDocument/2006/relationships/hyperlink" Target="https://dzen.ru/media/id/63dd27aac30ab522dcce48b3/659bb02b2a04ce11257e2938" TargetMode="External"/><Relationship Id="rId59" Type="http://schemas.openxmlformats.org/officeDocument/2006/relationships/hyperlink" Target="https://dzen.ru/media/id/63dd27aac30ab522dcce48b3/65a38efe44abe535e13e905d" TargetMode="External"/><Relationship Id="rId58" Type="http://schemas.openxmlformats.org/officeDocument/2006/relationships/hyperlink" Target="https://dzen.ru/media/id/63dd27aac30ab522dcce48b3/65a0dfdad99f650ca42a7a52" TargetMode="External"/><Relationship Id="rId590" Type="http://schemas.openxmlformats.org/officeDocument/2006/relationships/hyperlink" Target="https://dzen.ru/media/id/63dd27aac30ab522dcce48b3/6a215a02a1da0e2b86550175" TargetMode="External"/><Relationship Id="rId107" Type="http://schemas.openxmlformats.org/officeDocument/2006/relationships/hyperlink" Target="https://dzen.ru/media/id/63dd27aac30ab522dcce48b3/662250aaac021a178f5ba953" TargetMode="External"/><Relationship Id="rId228" Type="http://schemas.openxmlformats.org/officeDocument/2006/relationships/hyperlink" Target="https://dzen.ru/media/id/63dd27aac30ab522dcce48b3/676af877f405b90b52ecfbce" TargetMode="External"/><Relationship Id="rId349" Type="http://schemas.openxmlformats.org/officeDocument/2006/relationships/hyperlink" Target="https://dzen.ru/media/id/63dd27aac30ab522dcce48b3/689922c4cc1c1458e25fd7b2" TargetMode="External"/><Relationship Id="rId106" Type="http://schemas.openxmlformats.org/officeDocument/2006/relationships/hyperlink" Target="https://dzen.ru/media/id/63dd27aac30ab522dcce48b3/661ef9da71204b5166b0a703" TargetMode="External"/><Relationship Id="rId227" Type="http://schemas.openxmlformats.org/officeDocument/2006/relationships/hyperlink" Target="https://dzen.ru/media/id/63dd27aac30ab522dcce48b3/67823344ca505531c15f2865" TargetMode="External"/><Relationship Id="rId348" Type="http://schemas.openxmlformats.org/officeDocument/2006/relationships/hyperlink" Target="https://dzen.ru/media/id/63dd27aac30ab522dcce48b3/688e36dd51fad0000bcec275" TargetMode="External"/><Relationship Id="rId469" Type="http://schemas.openxmlformats.org/officeDocument/2006/relationships/hyperlink" Target="https://dzen.ru/media/id/63dd27aac30ab522dcce48b3/696144d4a5ebb71be8eda482" TargetMode="External"/><Relationship Id="rId105" Type="http://schemas.openxmlformats.org/officeDocument/2006/relationships/hyperlink" Target="https://dzen.ru/media/id/63dd27aac30ab522dcce48b3/661c0ef11bb95a519d79e98a" TargetMode="External"/><Relationship Id="rId226" Type="http://schemas.openxmlformats.org/officeDocument/2006/relationships/hyperlink" Target="https://dzen.ru/media/id/63dd27aac30ab522dcce48b3/677bff95b96b121a4ab0c7bd" TargetMode="External"/><Relationship Id="rId347" Type="http://schemas.openxmlformats.org/officeDocument/2006/relationships/hyperlink" Target="https://dzen.ru/media/id/63dd27aac30ab522dcce48b3/688e26bbd1e1e16d15719619" TargetMode="External"/><Relationship Id="rId468" Type="http://schemas.openxmlformats.org/officeDocument/2006/relationships/hyperlink" Target="https://dzen.ru/media/id/63dd27aac30ab522dcce48b3/69614772a45e4e67c3211407" TargetMode="External"/><Relationship Id="rId589" Type="http://schemas.openxmlformats.org/officeDocument/2006/relationships/hyperlink" Target="https://dzen.ru/media/id/63dd27aac30ab522dcce48b3/6a1e0be2de7360241c338161" TargetMode="External"/><Relationship Id="rId104" Type="http://schemas.openxmlformats.org/officeDocument/2006/relationships/hyperlink" Target="https://dzen.ru/media/id/63dd27aac30ab522dcce48b3/66199cc7b2c477719b52d315" TargetMode="External"/><Relationship Id="rId225" Type="http://schemas.openxmlformats.org/officeDocument/2006/relationships/hyperlink" Target="https://dzen.ru/media/id/63dd27aac30ab522dcce48b3/677bdb0f74c6ec2e8a2cc822" TargetMode="External"/><Relationship Id="rId346" Type="http://schemas.openxmlformats.org/officeDocument/2006/relationships/hyperlink" Target="https://dzen.ru/media/id/63dd27aac30ab522dcce48b3/688e227ede02396d905383d4" TargetMode="External"/><Relationship Id="rId467" Type="http://schemas.openxmlformats.org/officeDocument/2006/relationships/hyperlink" Target="https://dzen.ru/media/id/63dd27aac30ab522dcce48b3/696149922e2b4a128b0279bc" TargetMode="External"/><Relationship Id="rId588" Type="http://schemas.openxmlformats.org/officeDocument/2006/relationships/hyperlink" Target="https://dzen.ru/media/id/63dd27aac30ab522dcce48b3/6a1e0cd5b55b73423d4b7bc7" TargetMode="External"/><Relationship Id="rId109" Type="http://schemas.openxmlformats.org/officeDocument/2006/relationships/hyperlink" Target="https://dzen.ru/media/id/63dd27aac30ab522dcce48b3/66275d4729c2047a17a9c14f" TargetMode="External"/><Relationship Id="rId108" Type="http://schemas.openxmlformats.org/officeDocument/2006/relationships/hyperlink" Target="https://dzen.ru/media/id/63dd27aac30ab522dcce48b3/6624b232cbb15a5702930a0d" TargetMode="External"/><Relationship Id="rId229" Type="http://schemas.openxmlformats.org/officeDocument/2006/relationships/hyperlink" Target="https://dzen.ru/media/id/63dd27aac30ab522dcce48b3/6776a0e7b89fd1434de33980" TargetMode="External"/><Relationship Id="rId220" Type="http://schemas.openxmlformats.org/officeDocument/2006/relationships/hyperlink" Target="https://dzen.ru/media/id/63dd27aac30ab522dcce48b3/6755c354107ef73196433bb8" TargetMode="External"/><Relationship Id="rId341" Type="http://schemas.openxmlformats.org/officeDocument/2006/relationships/hyperlink" Target="https://dzen.ru/media/id/63dd27aac30ab522dcce48b3/6884a9251574236f60dd5174" TargetMode="External"/><Relationship Id="rId462" Type="http://schemas.openxmlformats.org/officeDocument/2006/relationships/hyperlink" Target="https://dzen.ru/media/id/63dd27aac30ab522dcce48b3/69514a231e75223ebd0a7a1a" TargetMode="External"/><Relationship Id="rId583" Type="http://schemas.openxmlformats.org/officeDocument/2006/relationships/hyperlink" Target="https://dzen.ru/media/id/63dd27aac30ab522dcce48b3/6a170968e9db2d1622fb0dd7" TargetMode="External"/><Relationship Id="rId340" Type="http://schemas.openxmlformats.org/officeDocument/2006/relationships/hyperlink" Target="https://dzen.ru/media/id/63dd27aac30ab522dcce48b3/6884ad134ea451210081fc1c" TargetMode="External"/><Relationship Id="rId461" Type="http://schemas.openxmlformats.org/officeDocument/2006/relationships/hyperlink" Target="https://dzen.ru/media/id/63dd27aac30ab522dcce48b3/69515336c3623b459e988718" TargetMode="External"/><Relationship Id="rId582" Type="http://schemas.openxmlformats.org/officeDocument/2006/relationships/hyperlink" Target="https://dzen.ru/media/id/63dd27aac30ab522dcce48b3/6a161920839cb04b4f4f97ad" TargetMode="External"/><Relationship Id="rId460" Type="http://schemas.openxmlformats.org/officeDocument/2006/relationships/hyperlink" Target="https://dzen.ru/media/id/63dd27aac30ab522dcce48b3/69514f596fc6d7224d27b7ff" TargetMode="External"/><Relationship Id="rId581" Type="http://schemas.openxmlformats.org/officeDocument/2006/relationships/hyperlink" Target="https://dzen.ru/media/id/63dd27aac30ab522dcce48b3/6a14b4e6ad71e4211b56261f" TargetMode="External"/><Relationship Id="rId580" Type="http://schemas.openxmlformats.org/officeDocument/2006/relationships/hyperlink" Target="https://dzen.ru/media/id/63dd27aac30ab522dcce48b3/6a13d700c569140ae11dff8c" TargetMode="External"/><Relationship Id="rId103" Type="http://schemas.openxmlformats.org/officeDocument/2006/relationships/hyperlink" Target="https://dzen.ru/media/id/63dd27aac30ab522dcce48b3/66179a65d770996ce94b3572" TargetMode="External"/><Relationship Id="rId224" Type="http://schemas.openxmlformats.org/officeDocument/2006/relationships/hyperlink" Target="https://dzen.ru/media/id/63dd27aac30ab522dcce48b3/67769ae74c82065a67c613a8" TargetMode="External"/><Relationship Id="rId345" Type="http://schemas.openxmlformats.org/officeDocument/2006/relationships/hyperlink" Target="https://dzen.ru/media/id/63dd27aac30ab522dcce48b3/6884d8cc1574236f600eaf2b" TargetMode="External"/><Relationship Id="rId466" Type="http://schemas.openxmlformats.org/officeDocument/2006/relationships/hyperlink" Target="https://dzen.ru/media/id/63dd27aac30ab522dcce48b3/6951574dc3623b459e9dbe68" TargetMode="External"/><Relationship Id="rId587" Type="http://schemas.openxmlformats.org/officeDocument/2006/relationships/hyperlink" Target="https://dzen.ru/media/id/63dd27aac30ab522dcce48b3/6a1e0c5ea2c26b6c9fea4fbb" TargetMode="External"/><Relationship Id="rId102" Type="http://schemas.openxmlformats.org/officeDocument/2006/relationships/hyperlink" Target="https://dzen.ru/media/id/63dd27aac30ab522dcce48b3/6615056bfc2db45bb823b37a" TargetMode="External"/><Relationship Id="rId223" Type="http://schemas.openxmlformats.org/officeDocument/2006/relationships/hyperlink" Target="https://dzen.ru/media/id/63dd27aac30ab522dcce48b3/67765decb857da78466007bd" TargetMode="External"/><Relationship Id="rId344" Type="http://schemas.openxmlformats.org/officeDocument/2006/relationships/hyperlink" Target="https://dzen.ru/media/id/63dd27aac30ab522dcce48b3/688e3080594210707b7e6599" TargetMode="External"/><Relationship Id="rId465" Type="http://schemas.openxmlformats.org/officeDocument/2006/relationships/hyperlink" Target="https://dzen.ru/media/id/63dd27aac30ab522dcce48b3/696147b8e3db5c6061a7be92" TargetMode="External"/><Relationship Id="rId586" Type="http://schemas.openxmlformats.org/officeDocument/2006/relationships/hyperlink" Target="https://dzen.ru/media/id/63dd27aac30ab522dcce48b3/6a1d3612562fd931d7613ab3" TargetMode="External"/><Relationship Id="rId101" Type="http://schemas.openxmlformats.org/officeDocument/2006/relationships/hyperlink" Target="https://dzen.ru/media/id/63dd27aac30ab522dcce48b3/6611e9d49c7e2d240741935c" TargetMode="External"/><Relationship Id="rId222" Type="http://schemas.openxmlformats.org/officeDocument/2006/relationships/hyperlink" Target="https://dzen.ru/media/id/63dd27aac30ab522dcce48b3/67687341ff19cc1d3d38c948" TargetMode="External"/><Relationship Id="rId343" Type="http://schemas.openxmlformats.org/officeDocument/2006/relationships/hyperlink" Target="https://dzen.ru/media/id/63dd27aac30ab522dcce48b3/6884b35a44c3d77cbee983fb" TargetMode="External"/><Relationship Id="rId464" Type="http://schemas.openxmlformats.org/officeDocument/2006/relationships/hyperlink" Target="https://dzen.ru/media/id/63dd27aac30ab522dcce48b3/69517280d24769283fdd0d02" TargetMode="External"/><Relationship Id="rId585" Type="http://schemas.openxmlformats.org/officeDocument/2006/relationships/hyperlink" Target="https://dzen.ru/media/id/63dd27aac30ab522dcce48b3/6a18aa9986215e0d9ed759f7" TargetMode="External"/><Relationship Id="rId100" Type="http://schemas.openxmlformats.org/officeDocument/2006/relationships/hyperlink" Target="https://dzen.ru/media/id/63dd27aac30ab522dcce48b3/660fce3bb4dd1071d6776f8c" TargetMode="External"/><Relationship Id="rId221" Type="http://schemas.openxmlformats.org/officeDocument/2006/relationships/hyperlink" Target="https://dzen.ru/media/id/63dd27aac30ab522dcce48b3/676d778d078b4a47b438c49c" TargetMode="External"/><Relationship Id="rId342" Type="http://schemas.openxmlformats.org/officeDocument/2006/relationships/hyperlink" Target="https://dzen.ru/media/id/63dd27aac30ab522dcce48b3/6884b7fd69884043c99331cf" TargetMode="External"/><Relationship Id="rId463" Type="http://schemas.openxmlformats.org/officeDocument/2006/relationships/hyperlink" Target="https://dzen.ru/media/id/63dd27aac30ab522dcce48b3/6951556e43c19f4e6f823738" TargetMode="External"/><Relationship Id="rId584" Type="http://schemas.openxmlformats.org/officeDocument/2006/relationships/hyperlink" Target="https://dzen.ru/media/id/63dd27aac30ab522dcce48b3/6a18a6985d42dc291f3b0370" TargetMode="External"/><Relationship Id="rId217" Type="http://schemas.openxmlformats.org/officeDocument/2006/relationships/hyperlink" Target="https://dzen.ru/media/id/63dd27aac30ab522dcce48b3/675d66e7d3a60a56ca40c5df" TargetMode="External"/><Relationship Id="rId338" Type="http://schemas.openxmlformats.org/officeDocument/2006/relationships/hyperlink" Target="https://dzen.ru/media/id/63dd27aac30ab522dcce48b3/687d697d6f92306e0a4eb981" TargetMode="External"/><Relationship Id="rId459" Type="http://schemas.openxmlformats.org/officeDocument/2006/relationships/hyperlink" Target="https://dzen.ru/media/id/63dd27aac30ab522dcce48b3/69515445a5ebb71be83717a4" TargetMode="External"/><Relationship Id="rId216" Type="http://schemas.openxmlformats.org/officeDocument/2006/relationships/hyperlink" Target="https://dzen.ru/media/id/63dd27aac30ab522dcce48b3/675b5096e49bcd65d7de5f0b" TargetMode="External"/><Relationship Id="rId337" Type="http://schemas.openxmlformats.org/officeDocument/2006/relationships/hyperlink" Target="https://dzen.ru/media/id/63dd27aac30ab522dcce48b3/6873d043b10b8b71566d7fd4" TargetMode="External"/><Relationship Id="rId458" Type="http://schemas.openxmlformats.org/officeDocument/2006/relationships/hyperlink" Target="https://dzen.ru/media/id/63dd27aac30ab522dcce48b3/69481ef1767e450dac8bfc4e" TargetMode="External"/><Relationship Id="rId579" Type="http://schemas.openxmlformats.org/officeDocument/2006/relationships/hyperlink" Target="https://dzen.ru/media/id/63dd27aac30ab522dcce48b3/6a10380d0beca04a2bdba9be" TargetMode="External"/><Relationship Id="rId215" Type="http://schemas.openxmlformats.org/officeDocument/2006/relationships/hyperlink" Target="https://dzen.ru/media/id/63dd27aac30ab522dcce48b3/675d6e776a55196abda94c2c" TargetMode="External"/><Relationship Id="rId336" Type="http://schemas.openxmlformats.org/officeDocument/2006/relationships/hyperlink" Target="https://dzen.ru/media/id/63dd27aac30ab522dcce48b3/6843b7dee81e9155a65113f0" TargetMode="External"/><Relationship Id="rId457" Type="http://schemas.openxmlformats.org/officeDocument/2006/relationships/hyperlink" Target="https://dzen.ru/media/id/63dd27aac30ab522dcce48b3/694811f97087b2140f74b21d" TargetMode="External"/><Relationship Id="rId578" Type="http://schemas.openxmlformats.org/officeDocument/2006/relationships/hyperlink" Target="https://dzen.ru/media/id/63dd27aac30ab522dcce48b3/6a0ec3c285026874bbc35d6f" TargetMode="External"/><Relationship Id="rId214" Type="http://schemas.openxmlformats.org/officeDocument/2006/relationships/hyperlink" Target="https://dzen.ru/media/id/63dd27aac30ab522dcce48b3/675b503ed8fb625d81d3911c" TargetMode="External"/><Relationship Id="rId335" Type="http://schemas.openxmlformats.org/officeDocument/2006/relationships/hyperlink" Target="https://dzen.ru/media/id/63dd27aac30ab522dcce48b3/6855cd9e9674506b1f2ceec4" TargetMode="External"/><Relationship Id="rId456" Type="http://schemas.openxmlformats.org/officeDocument/2006/relationships/hyperlink" Target="https://dzen.ru/media/id/63dd27aac30ab522dcce48b3/6948067ef4a9394601aeb194" TargetMode="External"/><Relationship Id="rId577" Type="http://schemas.openxmlformats.org/officeDocument/2006/relationships/hyperlink" Target="https://dzen.ru/media/id/63dd27aac30ab522dcce48b3/6a0ec1e3e3becd0bfc57cc16" TargetMode="External"/><Relationship Id="rId219" Type="http://schemas.openxmlformats.org/officeDocument/2006/relationships/hyperlink" Target="https://dzen.ru/media/id/63dd27aac30ab522dcce48b3/6755ce500769fc26ca301148" TargetMode="External"/><Relationship Id="rId218" Type="http://schemas.openxmlformats.org/officeDocument/2006/relationships/hyperlink" Target="https://dzen.ru/media/id/63dd27aac30ab522dcce48b3/6755cf8807f8224d4183c0bc" TargetMode="External"/><Relationship Id="rId339" Type="http://schemas.openxmlformats.org/officeDocument/2006/relationships/hyperlink" Target="https://dzen.ru/media/id/63dd27aac30ab522dcce48b3/687d6e054a82000e6fc37009" TargetMode="External"/><Relationship Id="rId330" Type="http://schemas.openxmlformats.org/officeDocument/2006/relationships/hyperlink" Target="https://dzen.ru/media/id/63dd27aac30ab522dcce48b3/684e4498dae809545e9fc7e3" TargetMode="External"/><Relationship Id="rId451" Type="http://schemas.openxmlformats.org/officeDocument/2006/relationships/hyperlink" Target="https://dzen.ru/media/id/63dd27aac30ab522dcce48b3/693e9f470976141caff871ed" TargetMode="External"/><Relationship Id="rId572" Type="http://schemas.openxmlformats.org/officeDocument/2006/relationships/hyperlink" Target="https://dzen.ru/media/id/63dd27aac30ab522dcce48b3/6a05d55d7a176c57a86bf946" TargetMode="External"/><Relationship Id="rId450" Type="http://schemas.openxmlformats.org/officeDocument/2006/relationships/hyperlink" Target="https://dzen.ru/media/id/63dd27aac30ab522dcce48b3/693ea10e566f616587d6bf43" TargetMode="External"/><Relationship Id="rId571" Type="http://schemas.openxmlformats.org/officeDocument/2006/relationships/hyperlink" Target="https://dzen.ru/media/id/63dd27aac30ab522dcce48b3/6a038811570c2d44d953efd5" TargetMode="External"/><Relationship Id="rId570" Type="http://schemas.openxmlformats.org/officeDocument/2006/relationships/hyperlink" Target="https://dzen.ru/media/id/63dd27aac30ab522dcce48b3/6a03a5607630a14b800255ed" TargetMode="External"/><Relationship Id="rId213" Type="http://schemas.openxmlformats.org/officeDocument/2006/relationships/hyperlink" Target="https://dzen.ru/media/id/63dd27aac30ab522dcce48b3/67586a8a9eb6062c05da61c6" TargetMode="External"/><Relationship Id="rId334" Type="http://schemas.openxmlformats.org/officeDocument/2006/relationships/hyperlink" Target="https://dzen.ru/media/id/63dd27aac30ab522dcce48b3/6873cb67ef09bd32e5036cf9" TargetMode="External"/><Relationship Id="rId455" Type="http://schemas.openxmlformats.org/officeDocument/2006/relationships/hyperlink" Target="https://dzen.ru/media/id/63dd27aac30ab522dcce48b3/69481c1098059e4c777e6172" TargetMode="External"/><Relationship Id="rId576" Type="http://schemas.openxmlformats.org/officeDocument/2006/relationships/hyperlink" Target="https://dzen.ru/media/id/63dd27aac30ab522dcce48b3/6a0d402219a063237298f9a5" TargetMode="External"/><Relationship Id="rId212" Type="http://schemas.openxmlformats.org/officeDocument/2006/relationships/hyperlink" Target="https://dzen.ru/media/id/63dd27aac30ab522dcce48b3/6755c1b2a8a0414691b37e0c" TargetMode="External"/><Relationship Id="rId333" Type="http://schemas.openxmlformats.org/officeDocument/2006/relationships/hyperlink" Target="https://dzen.ru/media/id/63dd27aac30ab522dcce48b3/68765a9146ad481ff3274eae" TargetMode="External"/><Relationship Id="rId454" Type="http://schemas.openxmlformats.org/officeDocument/2006/relationships/hyperlink" Target="https://dzen.ru/media/id/63dd27aac30ab522dcce48b3/694804c2f4a9394601ac8065" TargetMode="External"/><Relationship Id="rId575" Type="http://schemas.openxmlformats.org/officeDocument/2006/relationships/hyperlink" Target="https://dzen.ru/media/id/63dd27aac30ab522dcce48b3/6a0c1ad55030b312793e1a56" TargetMode="External"/><Relationship Id="rId211" Type="http://schemas.openxmlformats.org/officeDocument/2006/relationships/hyperlink" Target="https://dzen.ru/media/id/63dd27aac30ab522dcce48b3/674cdc8a99b3202c1f2ddf24" TargetMode="External"/><Relationship Id="rId332" Type="http://schemas.openxmlformats.org/officeDocument/2006/relationships/hyperlink" Target="https://dzen.ru/media/id/63dd27aac30ab522dcce48b3/6873d94527b84310ade490a9" TargetMode="External"/><Relationship Id="rId453" Type="http://schemas.openxmlformats.org/officeDocument/2006/relationships/hyperlink" Target="https://dzen.ru/media/id/63dd27aac30ab522dcce48b3/69499b0d64be0147777bd1c2" TargetMode="External"/><Relationship Id="rId574" Type="http://schemas.openxmlformats.org/officeDocument/2006/relationships/hyperlink" Target="https://dzen.ru/media/id/63dd27aac30ab522dcce48b3/6a09c6b03dcba176c3838b16" TargetMode="External"/><Relationship Id="rId210" Type="http://schemas.openxmlformats.org/officeDocument/2006/relationships/hyperlink" Target="https://dzen.ru/media/id/63dd27aac30ab522dcce48b3/674cc8121260e648646b3c18" TargetMode="External"/><Relationship Id="rId331" Type="http://schemas.openxmlformats.org/officeDocument/2006/relationships/hyperlink" Target="https://dzen.ru/media/id/63dd27aac30ab522dcce48b3/684e47b5f0cba24df0c3b729" TargetMode="External"/><Relationship Id="rId452" Type="http://schemas.openxmlformats.org/officeDocument/2006/relationships/hyperlink" Target="https://dzen.ru/media/id/63dd27aac30ab522dcce48b3/6948191e7776ec1d425fbb35" TargetMode="External"/><Relationship Id="rId573" Type="http://schemas.openxmlformats.org/officeDocument/2006/relationships/hyperlink" Target="https://dzen.ru/media/id/63dd27aac30ab522dcce48b3/6a06522aa62f460406862144" TargetMode="External"/><Relationship Id="rId370" Type="http://schemas.openxmlformats.org/officeDocument/2006/relationships/hyperlink" Target="https://dzen.ru/media/id/63dd27aac30ab522dcce48b3/68bac6a68d69e628bbc0c10a" TargetMode="External"/><Relationship Id="rId491" Type="http://schemas.openxmlformats.org/officeDocument/2006/relationships/hyperlink" Target="https://dzen.ru/media/id/63dd27aac30ab522dcce48b3/698c50f64af95548ef34bcdb" TargetMode="External"/><Relationship Id="rId490" Type="http://schemas.openxmlformats.org/officeDocument/2006/relationships/hyperlink" Target="https://dzen.ru/media/id/63dd27aac30ab522dcce48b3/696cc9660a33112e4677c858" TargetMode="External"/><Relationship Id="rId129" Type="http://schemas.openxmlformats.org/officeDocument/2006/relationships/hyperlink" Target="https://dzen.ru/media/id/63dd27aac30ab522dcce48b3/665bb33f0d264d42a7e97110" TargetMode="External"/><Relationship Id="rId128" Type="http://schemas.openxmlformats.org/officeDocument/2006/relationships/hyperlink" Target="https://dzen.ru/media/id/63dd27aac30ab522dcce48b3/66590a598f8f587ad8f3adbf" TargetMode="External"/><Relationship Id="rId249" Type="http://schemas.openxmlformats.org/officeDocument/2006/relationships/hyperlink" Target="https://dzen.ru/media/id/63dd27aac30ab522dcce48b3/67b993d30135093dea36377e" TargetMode="External"/><Relationship Id="rId127" Type="http://schemas.openxmlformats.org/officeDocument/2006/relationships/hyperlink" Target="https://dzen.ru/media/id/63dd27aac30ab522dcce48b3/6656e1915fc26601bca774f1" TargetMode="External"/><Relationship Id="rId248" Type="http://schemas.openxmlformats.org/officeDocument/2006/relationships/hyperlink" Target="https://dzen.ru/media/id/63dd27aac30ab522dcce48b3/67a3bb3389a16f5704dd2c04" TargetMode="External"/><Relationship Id="rId369" Type="http://schemas.openxmlformats.org/officeDocument/2006/relationships/hyperlink" Target="https://dzen.ru/media/id/63dd27aac30ab522dcce48b3/68c68b3db7325c409e862107" TargetMode="External"/><Relationship Id="rId126" Type="http://schemas.openxmlformats.org/officeDocument/2006/relationships/hyperlink" Target="https://dzen.ru/media/id/63dd27aac30ab522dcce48b3/6654458b01282a451771ce28" TargetMode="External"/><Relationship Id="rId247" Type="http://schemas.openxmlformats.org/officeDocument/2006/relationships/hyperlink" Target="https://dzen.ru/media/id/63dd27aac30ab522dcce48b3/67b0ecad0e6b464c2410d3b4" TargetMode="External"/><Relationship Id="rId368" Type="http://schemas.openxmlformats.org/officeDocument/2006/relationships/hyperlink" Target="https://dzen.ru/media/id/63dd27aac30ab522dcce48b3/68c42ff05b792419360893d1" TargetMode="External"/><Relationship Id="rId489" Type="http://schemas.openxmlformats.org/officeDocument/2006/relationships/hyperlink" Target="https://dzen.ru/media/id/63dd27aac30ab522dcce48b3/69899fac0f83b1583df89211" TargetMode="External"/><Relationship Id="rId121" Type="http://schemas.openxmlformats.org/officeDocument/2006/relationships/hyperlink" Target="https://dzen.ru/media/id/63dd27aac30ab522dcce48b3/6646f956d17e135fd6f9b096" TargetMode="External"/><Relationship Id="rId242" Type="http://schemas.openxmlformats.org/officeDocument/2006/relationships/hyperlink" Target="https://dzen.ru/media/id/63dd27aac30ab522dcce48b3/67a3b1a689a16f5704cc8e98" TargetMode="External"/><Relationship Id="rId363" Type="http://schemas.openxmlformats.org/officeDocument/2006/relationships/hyperlink" Target="https://dzen.ru/media/id/63dd27aac30ab522dcce48b3/68a1ae984230d279d0b8e4b0" TargetMode="External"/><Relationship Id="rId484" Type="http://schemas.openxmlformats.org/officeDocument/2006/relationships/hyperlink" Target="https://dzen.ru/media/id/63dd27aac30ab522dcce48b3/69831775477a861ce0ae0dd0" TargetMode="External"/><Relationship Id="rId120" Type="http://schemas.openxmlformats.org/officeDocument/2006/relationships/hyperlink" Target="https://dzen.ru/media/id/63dd27aac30ab522dcce48b3/66447b8ce73439739bde342d" TargetMode="External"/><Relationship Id="rId241" Type="http://schemas.openxmlformats.org/officeDocument/2006/relationships/hyperlink" Target="https://dzen.ru/media/id/63dd27aac30ab522dcce48b3/67a3c20492d8f6099595b74b" TargetMode="External"/><Relationship Id="rId362" Type="http://schemas.openxmlformats.org/officeDocument/2006/relationships/hyperlink" Target="https://dzen.ru/media/id/63dd27aac30ab522dcce48b3/68a2221651f2a12c74539ab8" TargetMode="External"/><Relationship Id="rId483" Type="http://schemas.openxmlformats.org/officeDocument/2006/relationships/hyperlink" Target="https://dzen.ru/media/id/63dd27aac30ab522dcce48b3/698065a821168d71a51d663b" TargetMode="External"/><Relationship Id="rId240" Type="http://schemas.openxmlformats.org/officeDocument/2006/relationships/hyperlink" Target="https://dzen.ru/media/id/63dd27aac30ab522dcce48b3/67a3b11302225a70e45c9ef8" TargetMode="External"/><Relationship Id="rId361" Type="http://schemas.openxmlformats.org/officeDocument/2006/relationships/hyperlink" Target="https://dzen.ru/media/id/63dd27aac30ab522dcce48b3/688e337fdd24f54edd998ad6" TargetMode="External"/><Relationship Id="rId482" Type="http://schemas.openxmlformats.org/officeDocument/2006/relationships/hyperlink" Target="https://dzen.ru/media/id/63dd27aac30ab522dcce48b3/698062c871f0967fd973fd04" TargetMode="External"/><Relationship Id="rId360" Type="http://schemas.openxmlformats.org/officeDocument/2006/relationships/hyperlink" Target="https://dzen.ru/media/id/63dd27aac30ab522dcce48b3/68b4557f0c5cde33fe51fb0a" TargetMode="External"/><Relationship Id="rId481" Type="http://schemas.openxmlformats.org/officeDocument/2006/relationships/hyperlink" Target="https://dzen.ru/media/id/63dd27aac30ab522dcce48b3/697dbdf953d8595cadc893a3" TargetMode="External"/><Relationship Id="rId125" Type="http://schemas.openxmlformats.org/officeDocument/2006/relationships/hyperlink" Target="https://dzen.ru/media/id/63dd27aac30ab522dcce48b3/6651448f5fc26601bc10c8f7" TargetMode="External"/><Relationship Id="rId246" Type="http://schemas.openxmlformats.org/officeDocument/2006/relationships/hyperlink" Target="https://dzen.ru/media/id/63dd27aac30ab522dcce48b3/67b0f0b1eba3ab3083eec485" TargetMode="External"/><Relationship Id="rId367" Type="http://schemas.openxmlformats.org/officeDocument/2006/relationships/hyperlink" Target="https://dzen.ru/media/id/63dd27aac30ab522dcce48b3/68babd25dd36c46d6e5d01e2" TargetMode="External"/><Relationship Id="rId488" Type="http://schemas.openxmlformats.org/officeDocument/2006/relationships/hyperlink" Target="https://dzen.ru/media/id/63dd27aac30ab522dcce48b3/69899ea0db12ae7446c3b144" TargetMode="External"/><Relationship Id="rId124" Type="http://schemas.openxmlformats.org/officeDocument/2006/relationships/hyperlink" Target="https://dzen.ru/media/id/63dd27aac30ab522dcce48b3/664edd03bf0c940b99624365" TargetMode="External"/><Relationship Id="rId245" Type="http://schemas.openxmlformats.org/officeDocument/2006/relationships/hyperlink" Target="https://dzen.ru/media/id/63dd27aac30ab522dcce48b3/67b03d63a5909b71caadf98f" TargetMode="External"/><Relationship Id="rId366" Type="http://schemas.openxmlformats.org/officeDocument/2006/relationships/hyperlink" Target="https://dzen.ru/media/id/63dd27aac30ab522dcce48b3/68bac34982ef2a1e7203304e" TargetMode="External"/><Relationship Id="rId487" Type="http://schemas.openxmlformats.org/officeDocument/2006/relationships/hyperlink" Target="https://dzen.ru/media/id/63dd27aac30ab522dcce48b3/6986ebb8a9cb7849f0d6ecda" TargetMode="External"/><Relationship Id="rId123" Type="http://schemas.openxmlformats.org/officeDocument/2006/relationships/hyperlink" Target="https://dzen.ru/media/id/63dd27aac30ab522dcce48b3/664c516a635482244fdfd4a0" TargetMode="External"/><Relationship Id="rId244" Type="http://schemas.openxmlformats.org/officeDocument/2006/relationships/hyperlink" Target="https://dzen.ru/media/id/63dd27aac30ab522dcce48b3/67a3b154fa37df674c7874ae" TargetMode="External"/><Relationship Id="rId365" Type="http://schemas.openxmlformats.org/officeDocument/2006/relationships/hyperlink" Target="https://dzen.ru/media/id/63dd27aac30ab522dcce48b3/68babb168d69e628bbb0099c" TargetMode="External"/><Relationship Id="rId486" Type="http://schemas.openxmlformats.org/officeDocument/2006/relationships/hyperlink" Target="https://dzen.ru/media/id/63dd27aac30ab522dcce48b3/6985b78fdb12ae7446e6d908" TargetMode="External"/><Relationship Id="rId122" Type="http://schemas.openxmlformats.org/officeDocument/2006/relationships/hyperlink" Target="https://dzen.ru/media/id/63dd27aac30ab522dcce48b3/66491cd422ce294559d32274" TargetMode="External"/><Relationship Id="rId243" Type="http://schemas.openxmlformats.org/officeDocument/2006/relationships/hyperlink" Target="https://dzen.ru/media/id/63dd27aac30ab522dcce48b3/67a3b768c07b444f32bb6f20" TargetMode="External"/><Relationship Id="rId364" Type="http://schemas.openxmlformats.org/officeDocument/2006/relationships/hyperlink" Target="https://dzen.ru/media/id/63dd27aac30ab522dcce48b3/68babedf282488273343260c" TargetMode="External"/><Relationship Id="rId485" Type="http://schemas.openxmlformats.org/officeDocument/2006/relationships/hyperlink" Target="https://dzen.ru/media/id/63dd27aac30ab522dcce48b3/69846d4cb64e210ec9499ead" TargetMode="External"/><Relationship Id="rId95" Type="http://schemas.openxmlformats.org/officeDocument/2006/relationships/hyperlink" Target="https://dzen.ru/media/id/63dd27aac30ab522dcce48b3/6602910322aa0724b50025b6" TargetMode="External"/><Relationship Id="rId94" Type="http://schemas.openxmlformats.org/officeDocument/2006/relationships/hyperlink" Target="https://dzen.ru/media/id/63dd27aac30ab522dcce48b3/65ffef50637a7913325e2afd" TargetMode="External"/><Relationship Id="rId97" Type="http://schemas.openxmlformats.org/officeDocument/2006/relationships/hyperlink" Target="https://dzen.ru/media/id/63dd27aac30ab522dcce48b3/66075177cea4665fd5d19da9" TargetMode="External"/><Relationship Id="rId96" Type="http://schemas.openxmlformats.org/officeDocument/2006/relationships/hyperlink" Target="https://dzen.ru/media/id/63dd27aac30ab522dcce48b3/6604b3e975d1500baa528f22" TargetMode="External"/><Relationship Id="rId99" Type="http://schemas.openxmlformats.org/officeDocument/2006/relationships/hyperlink" Target="https://dzen.ru/media/id/63dd27aac30ab522dcce48b3/660cb736b264c0652c41a2a3" TargetMode="External"/><Relationship Id="rId480" Type="http://schemas.openxmlformats.org/officeDocument/2006/relationships/hyperlink" Target="https://dzen.ru/media/id/63dd27aac30ab522dcce48b3/697c7b967ec66d64f95ebcf8" TargetMode="External"/><Relationship Id="rId98" Type="http://schemas.openxmlformats.org/officeDocument/2006/relationships/hyperlink" Target="https://dzen.ru/media/id/63dd27aac30ab522dcce48b3/660a76a69d47c93154458e1a" TargetMode="External"/><Relationship Id="rId91" Type="http://schemas.openxmlformats.org/officeDocument/2006/relationships/hyperlink" Target="https://dzen.ru/media/id/63dd27aac30ab522dcce48b3/65f7519d1d98e109a3d62ab7" TargetMode="External"/><Relationship Id="rId90" Type="http://schemas.openxmlformats.org/officeDocument/2006/relationships/hyperlink" Target="https://dzen.ru/media/id/63dd27aac30ab522dcce48b3/65f37528d0b61e78b2bba305" TargetMode="External"/><Relationship Id="rId93" Type="http://schemas.openxmlformats.org/officeDocument/2006/relationships/hyperlink" Target="https://dzen.ru/media/id/63dd27aac30ab522dcce48b3/65fd49acca334130e3673f65" TargetMode="External"/><Relationship Id="rId92" Type="http://schemas.openxmlformats.org/officeDocument/2006/relationships/hyperlink" Target="https://dzen.ru/media/id/63dd27aac30ab522dcce48b3/65f9fd1eeb565e5104d10dd6" TargetMode="External"/><Relationship Id="rId118" Type="http://schemas.openxmlformats.org/officeDocument/2006/relationships/hyperlink" Target="https://dzen.ru/media/id/63dd27aac30ab522dcce48b3/663f2be797b762648711688b" TargetMode="External"/><Relationship Id="rId239" Type="http://schemas.openxmlformats.org/officeDocument/2006/relationships/hyperlink" Target="https://dzen.ru/media/id/63dd27aac30ab522dcce48b3/679e52db79e4e83d7d5b4798" TargetMode="External"/><Relationship Id="rId117" Type="http://schemas.openxmlformats.org/officeDocument/2006/relationships/hyperlink" Target="https://dzen.ru/media/id/63dd27aac30ab522dcce48b3/663c887668aabe399c6fecb9" TargetMode="External"/><Relationship Id="rId238" Type="http://schemas.openxmlformats.org/officeDocument/2006/relationships/hyperlink" Target="https://dzen.ru/media/id/63dd27aac30ab522dcce48b3/678b9a161c51c6673dd67f1c" TargetMode="External"/><Relationship Id="rId359" Type="http://schemas.openxmlformats.org/officeDocument/2006/relationships/hyperlink" Target="https://dzen.ru/media/id/63dd27aac30ab522dcce48b3/68a1a5f8a204564aa740cf3d" TargetMode="External"/><Relationship Id="rId116" Type="http://schemas.openxmlformats.org/officeDocument/2006/relationships/hyperlink" Target="https://dzen.ru/media/id/63dd27aac30ab522dcce48b3/6639eb229f669c30c3550c51" TargetMode="External"/><Relationship Id="rId237" Type="http://schemas.openxmlformats.org/officeDocument/2006/relationships/hyperlink" Target="https://dzen.ru/media/id/63dd27aac30ab522dcce48b3/6793e936b2bea61a68ae0afb" TargetMode="External"/><Relationship Id="rId358" Type="http://schemas.openxmlformats.org/officeDocument/2006/relationships/hyperlink" Target="https://dzen.ru/media/id/63dd27aac30ab522dcce48b3/68a21f4b4230d279d035c203" TargetMode="External"/><Relationship Id="rId479" Type="http://schemas.openxmlformats.org/officeDocument/2006/relationships/hyperlink" Target="https://dzen.ru/media/id/63dd27aac30ab522dcce48b3/6976025f618339313fb10f15" TargetMode="External"/><Relationship Id="rId115" Type="http://schemas.openxmlformats.org/officeDocument/2006/relationships/hyperlink" Target="https://dzen.ru/media/id/63dd27aac30ab522dcce48b3/66373b9e0e1546102794447c" TargetMode="External"/><Relationship Id="rId236" Type="http://schemas.openxmlformats.org/officeDocument/2006/relationships/hyperlink" Target="https://dzen.ru/media/id/63dd27aac30ab522dcce48b3/6793c829e4e0164089963ebe" TargetMode="External"/><Relationship Id="rId357" Type="http://schemas.openxmlformats.org/officeDocument/2006/relationships/hyperlink" Target="https://dzen.ru/media/id/63dd27aac30ab522dcce48b3/68a19d194952361c36edda26" TargetMode="External"/><Relationship Id="rId478" Type="http://schemas.openxmlformats.org/officeDocument/2006/relationships/hyperlink" Target="https://dzen.ru/media/id/63dd27aac30ab522dcce48b3/6979e7e94437833b46b4ea3c" TargetMode="External"/><Relationship Id="rId599" Type="http://schemas.openxmlformats.org/officeDocument/2006/relationships/hyperlink" Target="https://dzen.ru/media/id/63dd27aac30ab522dcce48b3/6a2f9fa032fc990f336ce09b" TargetMode="External"/><Relationship Id="rId119" Type="http://schemas.openxmlformats.org/officeDocument/2006/relationships/hyperlink" Target="https://dzen.ru/media/id/63dd27aac30ab522dcce48b3/6641c02b0357f923a7fc86fc" TargetMode="External"/><Relationship Id="rId110" Type="http://schemas.openxmlformats.org/officeDocument/2006/relationships/hyperlink" Target="https://dzen.ru/media/id/63dd27aac30ab522dcce48b3/662a1a71c808d277773065a6" TargetMode="External"/><Relationship Id="rId231" Type="http://schemas.openxmlformats.org/officeDocument/2006/relationships/hyperlink" Target="https://dzen.ru/media/id/63dd27aac30ab522dcce48b3/678b9767f295c745119bf8b4" TargetMode="External"/><Relationship Id="rId352" Type="http://schemas.openxmlformats.org/officeDocument/2006/relationships/hyperlink" Target="https://dzen.ru/media/id/63dd27aac30ab522dcce48b3/68a223dcb13a7f1cb1e3b19d" TargetMode="External"/><Relationship Id="rId473" Type="http://schemas.openxmlformats.org/officeDocument/2006/relationships/hyperlink" Target="https://dzen.ru/media/id/63dd27aac30ab522dcce48b3/696cc10bb3868b4e7787df26" TargetMode="External"/><Relationship Id="rId594" Type="http://schemas.openxmlformats.org/officeDocument/2006/relationships/hyperlink" Target="https://dzen.ru/media/id/63dd27aac30ab522dcce48b3/6a27cac0450551402d26432a" TargetMode="External"/><Relationship Id="rId230" Type="http://schemas.openxmlformats.org/officeDocument/2006/relationships/hyperlink" Target="https://dzen.ru/media/id/63dd27aac30ab522dcce48b3/678d2ae58e33370bace1c9a4" TargetMode="External"/><Relationship Id="rId351" Type="http://schemas.openxmlformats.org/officeDocument/2006/relationships/hyperlink" Target="https://dzen.ru/media/id/63dd27aac30ab522dcce48b3/689919e93a8ebb77f926e978" TargetMode="External"/><Relationship Id="rId472" Type="http://schemas.openxmlformats.org/officeDocument/2006/relationships/hyperlink" Target="https://dzen.ru/media/id/63dd27aac30ab522dcce48b3/6970a079077e8f045f1346b6" TargetMode="External"/><Relationship Id="rId593" Type="http://schemas.openxmlformats.org/officeDocument/2006/relationships/hyperlink" Target="https://dzen.ru/media/id/63dd27aac30ab522dcce48b3/6a2686e13e9e7a7e67e13ee6" TargetMode="External"/><Relationship Id="rId350" Type="http://schemas.openxmlformats.org/officeDocument/2006/relationships/hyperlink" Target="https://dzen.ru/media/id/63dd27aac30ab522dcce48b3/689925aa2d1cc46bb3d12ebc" TargetMode="External"/><Relationship Id="rId471" Type="http://schemas.openxmlformats.org/officeDocument/2006/relationships/hyperlink" Target="https://dzen.ru/media/id/63dd27aac30ab522dcce48b3/696cc2f93afdea314977f599" TargetMode="External"/><Relationship Id="rId592" Type="http://schemas.openxmlformats.org/officeDocument/2006/relationships/hyperlink" Target="https://dzen.ru/media/id/63dd27aac30ab522dcce48b3/6a21fb03f060b8028d902c37" TargetMode="External"/><Relationship Id="rId470" Type="http://schemas.openxmlformats.org/officeDocument/2006/relationships/hyperlink" Target="https://dzen.ru/media/id/63dd27aac30ab522dcce48b3/696cb82fc71bdc43a5b3c83b" TargetMode="External"/><Relationship Id="rId591" Type="http://schemas.openxmlformats.org/officeDocument/2006/relationships/hyperlink" Target="https://dzen.ru/media/id/63dd27aac30ab522dcce48b3/6a21fa45dbd1b65a7332e883" TargetMode="External"/><Relationship Id="rId114" Type="http://schemas.openxmlformats.org/officeDocument/2006/relationships/hyperlink" Target="https://dzen.ru/media/id/63dd27aac30ab522dcce48b3/663368e519148e7821fe29c9" TargetMode="External"/><Relationship Id="rId235" Type="http://schemas.openxmlformats.org/officeDocument/2006/relationships/hyperlink" Target="https://dzen.ru/media/id/63dd27aac30ab522dcce48b3/67973129cfbdb479bea539f2" TargetMode="External"/><Relationship Id="rId356" Type="http://schemas.openxmlformats.org/officeDocument/2006/relationships/hyperlink" Target="https://dzen.ru/media/id/63dd27aac30ab522dcce48b3/68a9abb42573560372518f50" TargetMode="External"/><Relationship Id="rId477" Type="http://schemas.openxmlformats.org/officeDocument/2006/relationships/hyperlink" Target="https://dzen.ru/media/id/63dd27aac30ab522dcce48b3/6975fc3fcfce4a65cb2b3339" TargetMode="External"/><Relationship Id="rId598" Type="http://schemas.openxmlformats.org/officeDocument/2006/relationships/hyperlink" Target="https://dzen.ru/media/id/63dd27aac30ab522dcce48b3/6a2a8b73403fe12f4bb3f309" TargetMode="External"/><Relationship Id="rId113" Type="http://schemas.openxmlformats.org/officeDocument/2006/relationships/hyperlink" Target="https://dzen.ru/media/id/63dd27aac30ab522dcce48b3/66310dc87044c74bee917674" TargetMode="External"/><Relationship Id="rId234" Type="http://schemas.openxmlformats.org/officeDocument/2006/relationships/hyperlink" Target="https://dzen.ru/media/id/63dd27aac30ab522dcce48b3/678d2bb249dbc957f72d1e1f" TargetMode="External"/><Relationship Id="rId355" Type="http://schemas.openxmlformats.org/officeDocument/2006/relationships/hyperlink" Target="https://dzen.ru/media/id/63dd27aac30ab522dcce48b3/68a225df326e5b5146661c91" TargetMode="External"/><Relationship Id="rId476" Type="http://schemas.openxmlformats.org/officeDocument/2006/relationships/hyperlink" Target="https://dzen.ru/media/id/63dd27aac30ab522dcce48b3/6977490a26b5c6151e7c74f7" TargetMode="External"/><Relationship Id="rId597" Type="http://schemas.openxmlformats.org/officeDocument/2006/relationships/hyperlink" Target="https://dzen.ru/media/id/63dd27aac30ab522dcce48b3/6a2a8ae46514515979eb8464" TargetMode="External"/><Relationship Id="rId112" Type="http://schemas.openxmlformats.org/officeDocument/2006/relationships/hyperlink" Target="https://dzen.ru/media/id/63dd27aac30ab522dcce48b3/662f53e0eb2236040fef634b" TargetMode="External"/><Relationship Id="rId233" Type="http://schemas.openxmlformats.org/officeDocument/2006/relationships/hyperlink" Target="https://dzen.ru/media/id/63dd27aac30ab522dcce48b3/67939b1f6a036524f6ea6066" TargetMode="External"/><Relationship Id="rId354" Type="http://schemas.openxmlformats.org/officeDocument/2006/relationships/hyperlink" Target="https://dzen.ru/media/id/63dd27aac30ab522dcce48b3/68991d0a4557dd55e5de40a1" TargetMode="External"/><Relationship Id="rId475" Type="http://schemas.openxmlformats.org/officeDocument/2006/relationships/hyperlink" Target="https://dzen.ru/media/id/63dd27aac30ab522dcce48b3/696cc8552821ba5513d1a56b" TargetMode="External"/><Relationship Id="rId596" Type="http://schemas.openxmlformats.org/officeDocument/2006/relationships/hyperlink" Target="https://dzen.ru/media/id/63dd27aac30ab522dcce48b3/6a2a7fe832fc990f33f47254" TargetMode="External"/><Relationship Id="rId111" Type="http://schemas.openxmlformats.org/officeDocument/2006/relationships/hyperlink" Target="https://dzen.ru/media/id/63dd27aac30ab522dcce48b3/662cbf6731eace3a597a7f6a" TargetMode="External"/><Relationship Id="rId232" Type="http://schemas.openxmlformats.org/officeDocument/2006/relationships/hyperlink" Target="https://dzen.ru/media/id/63dd27aac30ab522dcce48b3/677bdef3b96b121a4a7bdffd" TargetMode="External"/><Relationship Id="rId353" Type="http://schemas.openxmlformats.org/officeDocument/2006/relationships/hyperlink" Target="https://dzen.ru/media/id/63dd27aac30ab522dcce48b3/68a1a3cdb13a2e233e0f1208" TargetMode="External"/><Relationship Id="rId474" Type="http://schemas.openxmlformats.org/officeDocument/2006/relationships/hyperlink" Target="https://dzen.ru/media/id/63dd27aac30ab522dcce48b3/6973417e6f55303e74bd11a6" TargetMode="External"/><Relationship Id="rId595" Type="http://schemas.openxmlformats.org/officeDocument/2006/relationships/hyperlink" Target="https://dzen.ru/media/id/63dd27aac30ab522dcce48b3/6a290c7bc274e95afa476c54" TargetMode="External"/><Relationship Id="rId305" Type="http://schemas.openxmlformats.org/officeDocument/2006/relationships/hyperlink" Target="https://dzen.ru/media/id/63dd27aac30ab522dcce48b3/682f710ed972df23db68969f" TargetMode="External"/><Relationship Id="rId426" Type="http://schemas.openxmlformats.org/officeDocument/2006/relationships/hyperlink" Target="https://dzen.ru/media/id/63dd27aac30ab522dcce48b3/69137b54aedabb2e2407a31f" TargetMode="External"/><Relationship Id="rId547" Type="http://schemas.openxmlformats.org/officeDocument/2006/relationships/hyperlink" Target="https://dzen.ru/media/id/63dd27aac30ab522dcce48b3/69e0b9b74e425a1d553b5fd1" TargetMode="External"/><Relationship Id="rId304" Type="http://schemas.openxmlformats.org/officeDocument/2006/relationships/hyperlink" Target="https://dzen.ru/media/id/63dd27aac30ab522dcce48b3/682a38945a881453f071df90" TargetMode="External"/><Relationship Id="rId425" Type="http://schemas.openxmlformats.org/officeDocument/2006/relationships/hyperlink" Target="https://dzen.ru/media/id/63dd27aac30ab522dcce48b3/691209eaa43d9f7b725da8a7" TargetMode="External"/><Relationship Id="rId546" Type="http://schemas.openxmlformats.org/officeDocument/2006/relationships/hyperlink" Target="https://dzen.ru/media/id/63dd27aac30ab522dcce48b3/69de08b8a6684003ee8018b8" TargetMode="External"/><Relationship Id="rId303" Type="http://schemas.openxmlformats.org/officeDocument/2006/relationships/hyperlink" Target="https://dzen.ru/media/id/63dd27aac30ab522dcce48b3/682a33c8edaf9d0b2135fe0f" TargetMode="External"/><Relationship Id="rId424" Type="http://schemas.openxmlformats.org/officeDocument/2006/relationships/hyperlink" Target="https://dzen.ru/media/id/63dd27aac30ab522dcce48b3/69137ef4a9b3de7cf980953c" TargetMode="External"/><Relationship Id="rId545" Type="http://schemas.openxmlformats.org/officeDocument/2006/relationships/hyperlink" Target="https://dzen.ru/media/id/63dd27aac30ab522dcce48b3/69de053b6a5aac3c674439c9" TargetMode="External"/><Relationship Id="rId302" Type="http://schemas.openxmlformats.org/officeDocument/2006/relationships/hyperlink" Target="https://dzen.ru/media/id/63dd27aac30ab522dcce48b3/682a24e1c49d2f29a4a7a9c8" TargetMode="External"/><Relationship Id="rId423" Type="http://schemas.openxmlformats.org/officeDocument/2006/relationships/hyperlink" Target="https://dzen.ru/media/id/63dd27aac30ab522dcce48b3/69120f5a604acf5b5193bd38" TargetMode="External"/><Relationship Id="rId544" Type="http://schemas.openxmlformats.org/officeDocument/2006/relationships/hyperlink" Target="https://dzen.ru/media/id/63dd27aac30ab522dcce48b3/69dbf59f5151071d55398701" TargetMode="External"/><Relationship Id="rId309" Type="http://schemas.openxmlformats.org/officeDocument/2006/relationships/hyperlink" Target="https://dzen.ru/media/id/63dd27aac30ab522dcce48b3/682dc8e7306647541837e46d" TargetMode="External"/><Relationship Id="rId308" Type="http://schemas.openxmlformats.org/officeDocument/2006/relationships/hyperlink" Target="https://dzen.ru/media/id/63dd27aac30ab522dcce48b3/682a36b598bd244615477d77" TargetMode="External"/><Relationship Id="rId429" Type="http://schemas.openxmlformats.org/officeDocument/2006/relationships/hyperlink" Target="https://dzen.ru/media/id/63dd27aac30ab522dcce48b3/6912113b7dcb9029e09224ea" TargetMode="External"/><Relationship Id="rId307" Type="http://schemas.openxmlformats.org/officeDocument/2006/relationships/hyperlink" Target="https://dzen.ru/media/id/63dd27aac30ab522dcce48b3/683b4d4a80e8847bc070f460" TargetMode="External"/><Relationship Id="rId428" Type="http://schemas.openxmlformats.org/officeDocument/2006/relationships/hyperlink" Target="https://dzen.ru/media/id/63dd27aac30ab522dcce48b3/69137cdfaedabb2e240a17a4" TargetMode="External"/><Relationship Id="rId549" Type="http://schemas.openxmlformats.org/officeDocument/2006/relationships/hyperlink" Target="https://dzen.ru/media/id/63dd27aac30ab522dcce48b3/69e0d90b1851bd6b6f3cb7f2" TargetMode="External"/><Relationship Id="rId306" Type="http://schemas.openxmlformats.org/officeDocument/2006/relationships/hyperlink" Target="https://dzen.ru/media/id/63dd27aac30ab522dcce48b3/682a3105a685494e64f4c0c9" TargetMode="External"/><Relationship Id="rId427" Type="http://schemas.openxmlformats.org/officeDocument/2006/relationships/hyperlink" Target="https://dzen.ru/media/id/63dd27aac30ab522dcce48b3/691225db13841327799c4180" TargetMode="External"/><Relationship Id="rId548" Type="http://schemas.openxmlformats.org/officeDocument/2006/relationships/hyperlink" Target="https://dzen.ru/media/id/63dd27aac30ab522dcce48b3/69e0d3f173d9690519460243" TargetMode="External"/><Relationship Id="rId301" Type="http://schemas.openxmlformats.org/officeDocument/2006/relationships/hyperlink" Target="https://dzen.ru/media/id/63dd27aac30ab522dcce48b3/681cbb35cbff7317c602095a" TargetMode="External"/><Relationship Id="rId422" Type="http://schemas.openxmlformats.org/officeDocument/2006/relationships/hyperlink" Target="https://dzen.ru/media/id/63dd27aac30ab522dcce48b3/6913414ca8b499516651e6e2" TargetMode="External"/><Relationship Id="rId543" Type="http://schemas.openxmlformats.org/officeDocument/2006/relationships/hyperlink" Target="https://dzen.ru/media/id/63dd27aac30ab522dcce48b3/69d7ce5bb5a80b525862a2f1" TargetMode="External"/><Relationship Id="rId300" Type="http://schemas.openxmlformats.org/officeDocument/2006/relationships/hyperlink" Target="https://dzen.ru/media/id/63dd27aac30ab522dcce48b3/68200ae6d568643f0a47ddd0" TargetMode="External"/><Relationship Id="rId421" Type="http://schemas.openxmlformats.org/officeDocument/2006/relationships/hyperlink" Target="https://dzen.ru/media/id/63dd27aac30ab522dcce48b3/6910dd314fdaa54bfd25ddab" TargetMode="External"/><Relationship Id="rId542" Type="http://schemas.openxmlformats.org/officeDocument/2006/relationships/hyperlink" Target="https://dzen.ru/media/id/63dd27aac30ab522dcce48b3/69d8cb6fe78b8c086e5b8519" TargetMode="External"/><Relationship Id="rId420" Type="http://schemas.openxmlformats.org/officeDocument/2006/relationships/hyperlink" Target="https://dzen.ru/media/id/63dd27aac30ab522dcce48b3/6910dcd49200a14d3591af09" TargetMode="External"/><Relationship Id="rId541" Type="http://schemas.openxmlformats.org/officeDocument/2006/relationships/hyperlink" Target="https://dzen.ru/media/id/63dd27aac30ab522dcce48b3/69d4ba111107cd05a600b875" TargetMode="External"/><Relationship Id="rId540" Type="http://schemas.openxmlformats.org/officeDocument/2006/relationships/hyperlink" Target="https://dzen.ru/media/id/63dd27aac30ab522dcce48b3/69d4cbd726c7cf3dc0d4ea81" TargetMode="External"/><Relationship Id="rId415" Type="http://schemas.openxmlformats.org/officeDocument/2006/relationships/hyperlink" Target="https://dzen.ru/media/id/63dd27aac30ab522dcce48b3/690751d3e0d30a4d2385ef43" TargetMode="External"/><Relationship Id="rId536" Type="http://schemas.openxmlformats.org/officeDocument/2006/relationships/hyperlink" Target="https://dzen.ru/media/id/63dd27aac30ab522dcce48b3/69cb9def36d9e77fee59de5a" TargetMode="External"/><Relationship Id="rId414" Type="http://schemas.openxmlformats.org/officeDocument/2006/relationships/hyperlink" Target="https://dzen.ru/media/id/63dd27aac30ab522dcce48b3/6907587f63c1542864c35535" TargetMode="External"/><Relationship Id="rId535" Type="http://schemas.openxmlformats.org/officeDocument/2006/relationships/hyperlink" Target="https://dzen.ru/media/id/63dd27aac30ab522dcce48b3/69cb99d0b58d5f0c3ea06481" TargetMode="External"/><Relationship Id="rId413" Type="http://schemas.openxmlformats.org/officeDocument/2006/relationships/hyperlink" Target="https://dzen.ru/media/id/63dd27aac30ab522dcce48b3/690750376c1a137a07246f50" TargetMode="External"/><Relationship Id="rId534" Type="http://schemas.openxmlformats.org/officeDocument/2006/relationships/hyperlink" Target="https://dzen.ru/media/id/63dd27aac30ab522dcce48b3/69cb8d0db58d5f0c3e830f86" TargetMode="External"/><Relationship Id="rId412" Type="http://schemas.openxmlformats.org/officeDocument/2006/relationships/hyperlink" Target="https://dzen.ru/media/id/63dd27aac30ab522dcce48b3/69075ab34227de1adfacae91" TargetMode="External"/><Relationship Id="rId533" Type="http://schemas.openxmlformats.org/officeDocument/2006/relationships/hyperlink" Target="https://dzen.ru/media/id/63dd27aac30ab522dcce48b3/69cb878f4d05b60ad9cd7da3" TargetMode="External"/><Relationship Id="rId419" Type="http://schemas.openxmlformats.org/officeDocument/2006/relationships/hyperlink" Target="https://dzen.ru/media/id/63dd27aac30ab522dcce48b3/6910e118aedabb2e24760a5f" TargetMode="External"/><Relationship Id="rId418" Type="http://schemas.openxmlformats.org/officeDocument/2006/relationships/hyperlink" Target="https://dzen.ru/media/id/63dd27aac30ab522dcce48b3/6910db001b8336643eddb077" TargetMode="External"/><Relationship Id="rId539" Type="http://schemas.openxmlformats.org/officeDocument/2006/relationships/hyperlink" Target="https://dzen.ru/media/id/63dd27aac30ab522dcce48b3/69d4b90034d4d861b0fdda9e" TargetMode="External"/><Relationship Id="rId417" Type="http://schemas.openxmlformats.org/officeDocument/2006/relationships/hyperlink" Target="https://dzen.ru/media/id/63dd27aac30ab522dcce48b3/6910e03f5b80947f858e714b" TargetMode="External"/><Relationship Id="rId538" Type="http://schemas.openxmlformats.org/officeDocument/2006/relationships/hyperlink" Target="https://dzen.ru/media/id/63dd27aac30ab522dcce48b3/69d29de84c261661d6151010" TargetMode="External"/><Relationship Id="rId416" Type="http://schemas.openxmlformats.org/officeDocument/2006/relationships/hyperlink" Target="https://dzen.ru/media/id/63dd27aac30ab522dcce48b3/6910d8717dcb9029e0e97391" TargetMode="External"/><Relationship Id="rId537" Type="http://schemas.openxmlformats.org/officeDocument/2006/relationships/hyperlink" Target="https://dzen.ru/media/id/63dd27aac30ab522dcce48b3/69cb9fd041594c75d035564f" TargetMode="External"/><Relationship Id="rId411" Type="http://schemas.openxmlformats.org/officeDocument/2006/relationships/hyperlink" Target="https://dzen.ru/media/id/63dd27aac30ab522dcce48b3/69074ea6b7a2c57976d4ff69" TargetMode="External"/><Relationship Id="rId532" Type="http://schemas.openxmlformats.org/officeDocument/2006/relationships/hyperlink" Target="https://dzen.ru/media/id/63dd27aac30ab522dcce48b3/69c974ad88e0774576ad0c36" TargetMode="External"/><Relationship Id="rId410" Type="http://schemas.openxmlformats.org/officeDocument/2006/relationships/hyperlink" Target="https://dzen.ru/media/id/63dd27aac30ab522dcce48b3/690756816c1a137a072a58dc" TargetMode="External"/><Relationship Id="rId531" Type="http://schemas.openxmlformats.org/officeDocument/2006/relationships/hyperlink" Target="https://dzen.ru/media/id/63dd27aac30ab522dcce48b3/69c57b02552adb1e403beeea" TargetMode="External"/><Relationship Id="rId530" Type="http://schemas.openxmlformats.org/officeDocument/2006/relationships/hyperlink" Target="https://dzen.ru/media/id/63dd27aac30ab522dcce48b3/69c54337637bea447c6fd675" TargetMode="External"/><Relationship Id="rId206" Type="http://schemas.openxmlformats.org/officeDocument/2006/relationships/hyperlink" Target="https://dzen.ru/media/id/63dd27aac30ab522dcce48b3/67418ae9bb9b34179b599d32" TargetMode="External"/><Relationship Id="rId327" Type="http://schemas.openxmlformats.org/officeDocument/2006/relationships/hyperlink" Target="https://dzen.ru/media/id/63dd27aac30ab522dcce48b3/684e3afee5076503cb2151fc" TargetMode="External"/><Relationship Id="rId448" Type="http://schemas.openxmlformats.org/officeDocument/2006/relationships/hyperlink" Target="https://dzen.ru/media/id/63dd27aac30ab522dcce48b3/693e9eca7e27d113807532df" TargetMode="External"/><Relationship Id="rId569" Type="http://schemas.openxmlformats.org/officeDocument/2006/relationships/hyperlink" Target="https://dzen.ru/media/id/63dd27aac30ab522dcce48b3/6a030e9c15156b27f1351bb2" TargetMode="External"/><Relationship Id="rId205" Type="http://schemas.openxmlformats.org/officeDocument/2006/relationships/hyperlink" Target="https://dzen.ru/media/id/63dd27aac30ab522dcce48b3/673a5a7b7332de4747266c18" TargetMode="External"/><Relationship Id="rId326" Type="http://schemas.openxmlformats.org/officeDocument/2006/relationships/hyperlink" Target="https://dzen.ru/media/id/63dd27aac30ab522dcce48b3/6855f05804af7c23601f9249" TargetMode="External"/><Relationship Id="rId447" Type="http://schemas.openxmlformats.org/officeDocument/2006/relationships/hyperlink" Target="https://dzen.ru/media/id/63dd27aac30ab522dcce48b3/693e8c000976141cafe094c1" TargetMode="External"/><Relationship Id="rId568" Type="http://schemas.openxmlformats.org/officeDocument/2006/relationships/hyperlink" Target="https://dzen.ru/media/id/63dd27aac30ab522dcce48b3/6a00b9431babcd215f208a6d" TargetMode="External"/><Relationship Id="rId204" Type="http://schemas.openxmlformats.org/officeDocument/2006/relationships/hyperlink" Target="https://dzen.ru/media/id/63dd27aac30ab522dcce48b3/672fad37728ad76ebc294d89" TargetMode="External"/><Relationship Id="rId325" Type="http://schemas.openxmlformats.org/officeDocument/2006/relationships/hyperlink" Target="https://dzen.ru/media/id/63dd27aac30ab522dcce48b3/684e3ec76bc49e34726f50b8" TargetMode="External"/><Relationship Id="rId446" Type="http://schemas.openxmlformats.org/officeDocument/2006/relationships/hyperlink" Target="https://dzen.ru/media/id/63dd27aac30ab522dcce48b3/693e922ec3b529492de32083" TargetMode="External"/><Relationship Id="rId567" Type="http://schemas.openxmlformats.org/officeDocument/2006/relationships/hyperlink" Target="https://dzen.ru/media/id/63dd27aac30ab522dcce48b3/69fe8a0a15156b27f12c9587" TargetMode="External"/><Relationship Id="rId203" Type="http://schemas.openxmlformats.org/officeDocument/2006/relationships/hyperlink" Target="https://dzen.ru/media/id/63dd27aac30ab522dcce48b3/672facd0933ccf37f0f0741e" TargetMode="External"/><Relationship Id="rId324" Type="http://schemas.openxmlformats.org/officeDocument/2006/relationships/hyperlink" Target="https://dzen.ru/media/id/63dd27aac30ab522dcce48b3/683b617d610de855479c7162" TargetMode="External"/><Relationship Id="rId445" Type="http://schemas.openxmlformats.org/officeDocument/2006/relationships/hyperlink" Target="https://dzen.ru/media/id/63dd27aac30ab522dcce48b3/69359353e1b578752e80e7e6" TargetMode="External"/><Relationship Id="rId566" Type="http://schemas.openxmlformats.org/officeDocument/2006/relationships/hyperlink" Target="https://dzen.ru/media/id/63dd27aac30ab522dcce48b3/69fd2a9eb664315096347adb" TargetMode="External"/><Relationship Id="rId209" Type="http://schemas.openxmlformats.org/officeDocument/2006/relationships/hyperlink" Target="https://dzen.ru/media/id/63dd27aac30ab522dcce48b3/674cdea1e903fb6ed1306daf" TargetMode="External"/><Relationship Id="rId208" Type="http://schemas.openxmlformats.org/officeDocument/2006/relationships/hyperlink" Target="https://dzen.ru/media/id/63dd27aac30ab522dcce48b3/67489e22a34584092fcabea7" TargetMode="External"/><Relationship Id="rId329" Type="http://schemas.openxmlformats.org/officeDocument/2006/relationships/hyperlink" Target="https://dzen.ru/media/id/63dd27aac30ab522dcce48b3/6855ecff37486b604e9f5a61" TargetMode="External"/><Relationship Id="rId207" Type="http://schemas.openxmlformats.org/officeDocument/2006/relationships/hyperlink" Target="https://dzen.ru/media/id/63dd27aac30ab522dcce48b3/6745f18d5630cc58dee5cda8" TargetMode="External"/><Relationship Id="rId328" Type="http://schemas.openxmlformats.org/officeDocument/2006/relationships/hyperlink" Target="https://dzen.ru/media/id/63dd27aac30ab522dcce48b3/6848ba2d33562a4b416db818" TargetMode="External"/><Relationship Id="rId449" Type="http://schemas.openxmlformats.org/officeDocument/2006/relationships/hyperlink" Target="https://dzen.ru/media/id/63dd27aac30ab522dcce48b3/693c8768533948527b7f203e" TargetMode="External"/><Relationship Id="rId440" Type="http://schemas.openxmlformats.org/officeDocument/2006/relationships/hyperlink" Target="https://dzen.ru/media/id/63dd27aac30ab522dcce48b3/6935945dc10d4960a0c698e7" TargetMode="External"/><Relationship Id="rId561" Type="http://schemas.openxmlformats.org/officeDocument/2006/relationships/hyperlink" Target="https://dzen.ru/media/id/63dd27aac30ab522dcce48b3/69f2fc10b0394c6175f81508" TargetMode="External"/><Relationship Id="rId560" Type="http://schemas.openxmlformats.org/officeDocument/2006/relationships/hyperlink" Target="https://dzen.ru/media/id/63dd27aac30ab522dcce48b3/69f2fb47b0394c6175f709f2" TargetMode="External"/><Relationship Id="rId202" Type="http://schemas.openxmlformats.org/officeDocument/2006/relationships/hyperlink" Target="https://dzen.ru/media/id/63dd27aac30ab522dcce48b3/6735dda23d02300d4725492d" TargetMode="External"/><Relationship Id="rId323" Type="http://schemas.openxmlformats.org/officeDocument/2006/relationships/hyperlink" Target="https://dzen.ru/media/id/63dd27aac30ab522dcce48b3/6848b691614ba5050203bd0a" TargetMode="External"/><Relationship Id="rId444" Type="http://schemas.openxmlformats.org/officeDocument/2006/relationships/hyperlink" Target="https://dzen.ru/media/id/63dd27aac30ab522dcce48b3/693596ea2b4fd22326680d79" TargetMode="External"/><Relationship Id="rId565" Type="http://schemas.openxmlformats.org/officeDocument/2006/relationships/hyperlink" Target="https://dzen.ru/media/id/63dd27aac30ab522dcce48b3/69f9e8fe9e653d7783345579" TargetMode="External"/><Relationship Id="rId201" Type="http://schemas.openxmlformats.org/officeDocument/2006/relationships/hyperlink" Target="https://dzen.ru/media/id/63dd27aac30ab522dcce48b3/672faeb5195f1460501468f2" TargetMode="External"/><Relationship Id="rId322" Type="http://schemas.openxmlformats.org/officeDocument/2006/relationships/hyperlink" Target="https://dzen.ru/media/id/63dd27aac30ab522dcce48b3/6848c0cc614ba50502081d73" TargetMode="External"/><Relationship Id="rId443" Type="http://schemas.openxmlformats.org/officeDocument/2006/relationships/hyperlink" Target="https://dzen.ru/media/id/63dd27aac30ab522dcce48b3/69358c035e853a1113268e39" TargetMode="External"/><Relationship Id="rId564" Type="http://schemas.openxmlformats.org/officeDocument/2006/relationships/hyperlink" Target="https://dzen.ru/media/id/63dd27aac30ab522dcce48b3/69f9e61266544869fb77b708" TargetMode="External"/><Relationship Id="rId200" Type="http://schemas.openxmlformats.org/officeDocument/2006/relationships/hyperlink" Target="https://dzen.ru/media/id/63dd27aac30ab522dcce48b3/672fa8e75c020758f986bac5" TargetMode="External"/><Relationship Id="rId321" Type="http://schemas.openxmlformats.org/officeDocument/2006/relationships/hyperlink" Target="https://dzen.ru/media/id/63dd27aac30ab522dcce48b3/6843c1dedae809545ea2a90c" TargetMode="External"/><Relationship Id="rId442" Type="http://schemas.openxmlformats.org/officeDocument/2006/relationships/hyperlink" Target="https://dzen.ru/media/id/63dd27aac30ab522dcce48b3/69359822e6a451708ad8e0a2" TargetMode="External"/><Relationship Id="rId563" Type="http://schemas.openxmlformats.org/officeDocument/2006/relationships/hyperlink" Target="https://dzen.ru/media/id/63dd27aac30ab522dcce48b3/69f9acf6a38e126ba1bc7de7" TargetMode="External"/><Relationship Id="rId320" Type="http://schemas.openxmlformats.org/officeDocument/2006/relationships/hyperlink" Target="https://dzen.ru/media/id/63dd27aac30ab522dcce48b3/6843ba73129ad45762e49144" TargetMode="External"/><Relationship Id="rId441" Type="http://schemas.openxmlformats.org/officeDocument/2006/relationships/hyperlink" Target="https://dzen.ru/media/id/63dd27aac30ab522dcce48b3/69358fbce70d9d325c5160c3" TargetMode="External"/><Relationship Id="rId562" Type="http://schemas.openxmlformats.org/officeDocument/2006/relationships/hyperlink" Target="https://dzen.ru/media/id/63dd27aac30ab522dcce48b3/69f863d29e653d7783774f26" TargetMode="External"/><Relationship Id="rId316" Type="http://schemas.openxmlformats.org/officeDocument/2006/relationships/hyperlink" Target="https://dzen.ru/media/id/63dd27aac30ab522dcce48b3/6843ae9e6bc49e3472e364da" TargetMode="External"/><Relationship Id="rId437" Type="http://schemas.openxmlformats.org/officeDocument/2006/relationships/hyperlink" Target="https://dzen.ru/media/id/63dd27aac30ab522dcce48b3/692c83cf39305e0523aa3b49" TargetMode="External"/><Relationship Id="rId558" Type="http://schemas.openxmlformats.org/officeDocument/2006/relationships/hyperlink" Target="https://dzen.ru/media/id/63dd27aac30ab522dcce48b3/69f1245757a5ad04e57018a2" TargetMode="External"/><Relationship Id="rId315" Type="http://schemas.openxmlformats.org/officeDocument/2006/relationships/hyperlink" Target="https://dzen.ru/media/id/63dd27aac30ab522dcce48b3/683b5390d19484575fdab10d" TargetMode="External"/><Relationship Id="rId436" Type="http://schemas.openxmlformats.org/officeDocument/2006/relationships/hyperlink" Target="https://dzen.ru/media/id/63dd27aac30ab522dcce48b3/692c7e258173bb64a5922176" TargetMode="External"/><Relationship Id="rId557" Type="http://schemas.openxmlformats.org/officeDocument/2006/relationships/hyperlink" Target="https://dzen.ru/media/id/63dd27aac30ab522dcce48b3/69f04f142643861053ea94cc" TargetMode="External"/><Relationship Id="rId314" Type="http://schemas.openxmlformats.org/officeDocument/2006/relationships/hyperlink" Target="https://dzen.ru/media/id/63dd27aac30ab522dcce48b3/68439f20cf8dda7689fee92c" TargetMode="External"/><Relationship Id="rId435" Type="http://schemas.openxmlformats.org/officeDocument/2006/relationships/hyperlink" Target="https://dzen.ru/media/id/63dd27aac30ab522dcce48b3/692c9d09f2a6a03d40421299" TargetMode="External"/><Relationship Id="rId556" Type="http://schemas.openxmlformats.org/officeDocument/2006/relationships/hyperlink" Target="https://dzen.ru/media/id/63dd27aac30ab522dcce48b3/69ee7ac65b5f074ecdae648f" TargetMode="External"/><Relationship Id="rId313" Type="http://schemas.openxmlformats.org/officeDocument/2006/relationships/hyperlink" Target="https://dzen.ru/media/id/63dd27aac30ab522dcce48b3/683b41e616dc514cdba4dd2a" TargetMode="External"/><Relationship Id="rId434" Type="http://schemas.openxmlformats.org/officeDocument/2006/relationships/hyperlink" Target="https://dzen.ru/media/id/63dd27aac30ab522dcce48b3/692c83561f2a3b1edf221af9" TargetMode="External"/><Relationship Id="rId555" Type="http://schemas.openxmlformats.org/officeDocument/2006/relationships/hyperlink" Target="https://dzen.ru/media/id/63dd27aac30ab522dcce48b3/69ea0422f3e3fa0b120fb45c" TargetMode="External"/><Relationship Id="rId319" Type="http://schemas.openxmlformats.org/officeDocument/2006/relationships/hyperlink" Target="https://dzen.ru/media/id/63dd27aac30ab522dcce48b3/6848bd3cc798ef1f1c2ce418" TargetMode="External"/><Relationship Id="rId318" Type="http://schemas.openxmlformats.org/officeDocument/2006/relationships/hyperlink" Target="https://dzen.ru/media/id/63dd27aac30ab522dcce48b3/683b641095eee80f6c0cbb59" TargetMode="External"/><Relationship Id="rId439" Type="http://schemas.openxmlformats.org/officeDocument/2006/relationships/hyperlink" Target="https://dzen.ru/media/id/63dd27aac30ab522dcce48b3/692c7dba1f2a3b1edf1a8c00" TargetMode="External"/><Relationship Id="rId317" Type="http://schemas.openxmlformats.org/officeDocument/2006/relationships/hyperlink" Target="https://dzen.ru/media/id/63dd27aac30ab522dcce48b3/6843a531dae809545e92fdf2" TargetMode="External"/><Relationship Id="rId438" Type="http://schemas.openxmlformats.org/officeDocument/2006/relationships/hyperlink" Target="https://dzen.ru/media/id/63dd27aac30ab522dcce48b3/692c81a5799bac0b22dd7476" TargetMode="External"/><Relationship Id="rId559" Type="http://schemas.openxmlformats.org/officeDocument/2006/relationships/hyperlink" Target="https://dzen.ru/media/id/63dd27aac30ab522dcce48b3/69f2f77910d44e45047c5e19" TargetMode="External"/><Relationship Id="rId550" Type="http://schemas.openxmlformats.org/officeDocument/2006/relationships/hyperlink" Target="https://dzen.ru/media/id/63dd27aac30ab522dcce48b3/69e61d3420cb0c0c82b3ec0d" TargetMode="External"/><Relationship Id="rId312" Type="http://schemas.openxmlformats.org/officeDocument/2006/relationships/hyperlink" Target="https://dzen.ru/media/id/63dd27aac30ab522dcce48b3/6843b1aa33562a4b41dd93a7" TargetMode="External"/><Relationship Id="rId433" Type="http://schemas.openxmlformats.org/officeDocument/2006/relationships/hyperlink" Target="https://dzen.ru/media/id/63dd27aac30ab522dcce48b3/69138379772ce42de0081af7" TargetMode="External"/><Relationship Id="rId554" Type="http://schemas.openxmlformats.org/officeDocument/2006/relationships/hyperlink" Target="https://dzen.ru/media/id/63dd27aac30ab522dcce48b3/69ea039cdeaa9d1e1eb56f5b" TargetMode="External"/><Relationship Id="rId311" Type="http://schemas.openxmlformats.org/officeDocument/2006/relationships/hyperlink" Target="https://dzen.ru/media/id/63dd27aac30ab522dcce48b3/6841d70143f465753452ad5d" TargetMode="External"/><Relationship Id="rId432" Type="http://schemas.openxmlformats.org/officeDocument/2006/relationships/hyperlink" Target="https://dzen.ru/media/id/63dd27aac30ab522dcce48b3/691383fda9242d4bfa82c20d" TargetMode="External"/><Relationship Id="rId553" Type="http://schemas.openxmlformats.org/officeDocument/2006/relationships/hyperlink" Target="https://dzen.ru/media/id/63dd27aac30ab522dcce48b3/69e9f3b6ea98285a8015046a" TargetMode="External"/><Relationship Id="rId310" Type="http://schemas.openxmlformats.org/officeDocument/2006/relationships/hyperlink" Target="https://dzen.ru/media/id/63dd27aac30ab522dcce48b3/682dcd009582a50508796ede" TargetMode="External"/><Relationship Id="rId431" Type="http://schemas.openxmlformats.org/officeDocument/2006/relationships/hyperlink" Target="https://dzen.ru/media/id/63dd27aac30ab522dcce48b3/69121701127d6a6c1df1d04c" TargetMode="External"/><Relationship Id="rId552" Type="http://schemas.openxmlformats.org/officeDocument/2006/relationships/hyperlink" Target="https://dzen.ru/media/id/63dd27aac30ab522dcce48b3/69e75284a1a9b957474d3680" TargetMode="External"/><Relationship Id="rId430" Type="http://schemas.openxmlformats.org/officeDocument/2006/relationships/hyperlink" Target="https://dzen.ru/media/id/63dd27aac30ab522dcce48b3/691380b7bd0bbd39bf0f7e3e" TargetMode="External"/><Relationship Id="rId551" Type="http://schemas.openxmlformats.org/officeDocument/2006/relationships/hyperlink" Target="https://dzen.ru/media/id/63dd27aac30ab522dcce48b3/69e748423dba43770d5b3309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dzen.ru/media/id/63dd27aac30ab522dcce48b3/64b1393deb521d675218a7eb" TargetMode="External"/><Relationship Id="rId194" Type="http://schemas.openxmlformats.org/officeDocument/2006/relationships/hyperlink" Target="https://dzen.ru/media/id/63dd27aac30ab522dcce48b3/64b6a0fafff562673880b66a" TargetMode="External"/><Relationship Id="rId193" Type="http://schemas.openxmlformats.org/officeDocument/2006/relationships/hyperlink" Target="https://dzen.ru/media/id/63dd27aac30ab522dcce48b3/64b553e6e2f6aa6832c82820" TargetMode="External"/><Relationship Id="rId192" Type="http://schemas.openxmlformats.org/officeDocument/2006/relationships/hyperlink" Target="https://dzen.ru/media/id/63dd27aac30ab522dcce48b3/64b3e7702162ad30eb7d7dbe" TargetMode="External"/><Relationship Id="rId191" Type="http://schemas.openxmlformats.org/officeDocument/2006/relationships/hyperlink" Target="https://dzen.ru/media/id/63dd27aac30ab522dcce48b3/64b28f6c25e22b780900a629" TargetMode="External"/><Relationship Id="rId187" Type="http://schemas.openxmlformats.org/officeDocument/2006/relationships/hyperlink" Target="https://dzen.ru/media/id/63dd27aac30ab522dcce48b3/64ad2e626cb5cb08313ae189" TargetMode="External"/><Relationship Id="rId186" Type="http://schemas.openxmlformats.org/officeDocument/2006/relationships/hyperlink" Target="https://dzen.ru/media/id/63dd27aac30ab522dcce48b3/64abff606ba4132c8f97d063" TargetMode="External"/><Relationship Id="rId185" Type="http://schemas.openxmlformats.org/officeDocument/2006/relationships/hyperlink" Target="https://dzen.ru/media/id/63dd27aac30ab522dcce48b3/64aa889fb6491f03121e77b5" TargetMode="External"/><Relationship Id="rId184" Type="http://schemas.openxmlformats.org/officeDocument/2006/relationships/hyperlink" Target="https://dzen.ru/media/id/63dd27aac30ab522dcce48b3/64aa62c403ddb86a9bc0f51a" TargetMode="External"/><Relationship Id="rId189" Type="http://schemas.openxmlformats.org/officeDocument/2006/relationships/hyperlink" Target="https://dzen.ru/media/id/63dd27aac30ab522dcce48b3/64afc29a914019282cb523df" TargetMode="External"/><Relationship Id="rId188" Type="http://schemas.openxmlformats.org/officeDocument/2006/relationships/hyperlink" Target="https://dzen.ru/media/id/63dd27aac30ab522dcce48b3/64ae841098a9494b39b3c521" TargetMode="External"/><Relationship Id="rId183" Type="http://schemas.openxmlformats.org/officeDocument/2006/relationships/hyperlink" Target="https://dzen.ru/media/id/63dd27aac30ab522dcce48b3/64a820a8d2dcc1693872c35f" TargetMode="External"/><Relationship Id="rId182" Type="http://schemas.openxmlformats.org/officeDocument/2006/relationships/hyperlink" Target="https://dzen.ru/media/id/63dd27aac30ab522dcce48b3/64a6953d2e8e4c7f24001a67" TargetMode="External"/><Relationship Id="rId181" Type="http://schemas.openxmlformats.org/officeDocument/2006/relationships/hyperlink" Target="https://dzen.ru/media/id/63dd27aac30ab522dcce48b3/64a56c058e513a0cecdd11f1" TargetMode="External"/><Relationship Id="rId180" Type="http://schemas.openxmlformats.org/officeDocument/2006/relationships/hyperlink" Target="https://dzen.ru/media/id/63dd27aac30ab522dcce48b3/64a45069b92cd218c7c13c5d" TargetMode="External"/><Relationship Id="rId176" Type="http://schemas.openxmlformats.org/officeDocument/2006/relationships/hyperlink" Target="https://dzen.ru/media/id/63dd27aac30ab522dcce48b3/649f15780d384d3575732bff" TargetMode="External"/><Relationship Id="rId297" Type="http://schemas.openxmlformats.org/officeDocument/2006/relationships/hyperlink" Target="https://dzen.ru/media/id/63dd27aac30ab522dcce48b3/653bb15915feae0ef4206795" TargetMode="External"/><Relationship Id="rId175" Type="http://schemas.openxmlformats.org/officeDocument/2006/relationships/hyperlink" Target="https://dzen.ru/media/id/63dd27aac30ab522dcce48b3/649c4f998eeb147b3f448257" TargetMode="External"/><Relationship Id="rId296" Type="http://schemas.openxmlformats.org/officeDocument/2006/relationships/hyperlink" Target="https://dzen.ru/media/id/63dd27aac30ab522dcce48b3/653a90f96c71bb6ca71e41c2" TargetMode="External"/><Relationship Id="rId174" Type="http://schemas.openxmlformats.org/officeDocument/2006/relationships/hyperlink" Target="https://dzen.ru/media/id/63dd27aac30ab522dcce48b3/649b133c3bade31c61384dbd" TargetMode="External"/><Relationship Id="rId295" Type="http://schemas.openxmlformats.org/officeDocument/2006/relationships/hyperlink" Target="https://dzen.ru/media/id/63dd27aac30ab522dcce48b3/6538ed5c923fed279f19b336" TargetMode="External"/><Relationship Id="rId173" Type="http://schemas.openxmlformats.org/officeDocument/2006/relationships/hyperlink" Target="https://dzen.ru/media/id/63dd27aac30ab522dcce48b3/6499bd3afde3c05d4fa41e2c" TargetMode="External"/><Relationship Id="rId294" Type="http://schemas.openxmlformats.org/officeDocument/2006/relationships/hyperlink" Target="https://dzen.ru/media/id/63dd27aac30ab522dcce48b3/6538cd0526db6d14ce36caa1" TargetMode="External"/><Relationship Id="rId179" Type="http://schemas.openxmlformats.org/officeDocument/2006/relationships/hyperlink" Target="https://dzen.ru/media/id/63dd27aac30ab522dcce48b3/64a2ceb85134d54eb8e730f3" TargetMode="External"/><Relationship Id="rId178" Type="http://schemas.openxmlformats.org/officeDocument/2006/relationships/hyperlink" Target="https://dzen.ru/media/id/63dd27aac30ab522dcce48b3/64a079d7b4777377d17cd39b" TargetMode="External"/><Relationship Id="rId299" Type="http://schemas.openxmlformats.org/officeDocument/2006/relationships/hyperlink" Target="https://dzen.ru/media/id/63dd27aac30ab522dcce48b3/6540e21c3461b16f8e75705d" TargetMode="External"/><Relationship Id="rId177" Type="http://schemas.openxmlformats.org/officeDocument/2006/relationships/hyperlink" Target="https://dzen.ru/media/id/63dd27aac30ab522dcce48b3/64a06bc8d7aa5d585077a539" TargetMode="External"/><Relationship Id="rId298" Type="http://schemas.openxmlformats.org/officeDocument/2006/relationships/hyperlink" Target="https://dzen.ru/media/id/63dd27aac30ab522dcce48b3/653e1a47f74f9b38b0ad688b" TargetMode="External"/><Relationship Id="rId198" Type="http://schemas.openxmlformats.org/officeDocument/2006/relationships/hyperlink" Target="https://dzen.ru/media/id/63dd27aac30ab522dcce48b3/64ba95d62de5e453a4a81ca7" TargetMode="External"/><Relationship Id="rId197" Type="http://schemas.openxmlformats.org/officeDocument/2006/relationships/hyperlink" Target="https://dzen.ru/media/id/63dd27aac30ab522dcce48b3/64b93ee43681fc71266b2746" TargetMode="External"/><Relationship Id="rId196" Type="http://schemas.openxmlformats.org/officeDocument/2006/relationships/hyperlink" Target="https://dzen.ru/media/id/63dd27aac30ab522dcce48b3/64b93ec4057a71086627a9c8" TargetMode="External"/><Relationship Id="rId195" Type="http://schemas.openxmlformats.org/officeDocument/2006/relationships/hyperlink" Target="https://dzen.ru/media/id/63dd27aac30ab522dcce48b3/64b7d46d1a73ea0ccd8bc323" TargetMode="External"/><Relationship Id="rId199" Type="http://schemas.openxmlformats.org/officeDocument/2006/relationships/hyperlink" Target="https://dzen.ru/media/id/63dd27aac30ab522dcce48b3/64bbe4da953ef56ce2b61814" TargetMode="External"/><Relationship Id="rId150" Type="http://schemas.openxmlformats.org/officeDocument/2006/relationships/hyperlink" Target="https://dzen.ru/media/id/63dd27aac30ab522dcce48b3/6479b458dbf34b3bb78f6f96" TargetMode="External"/><Relationship Id="rId271" Type="http://schemas.openxmlformats.org/officeDocument/2006/relationships/hyperlink" Target="https://dzen.ru/media/id/63dd27aac30ab522dcce48b3/651af92451b4a948e50004a5" TargetMode="External"/><Relationship Id="rId392" Type="http://schemas.openxmlformats.org/officeDocument/2006/relationships/hyperlink" Target="https://dzen.ru/media/id/63dd27aac30ab522dcce48b3/6630c4322ba533362a7293fb" TargetMode="External"/><Relationship Id="rId270" Type="http://schemas.openxmlformats.org/officeDocument/2006/relationships/hyperlink" Target="https://dzen.ru/media/id/63dd27aac30ab522dcce48b3/6519a2554e191e4a5f6a1e4c" TargetMode="External"/><Relationship Id="rId391" Type="http://schemas.openxmlformats.org/officeDocument/2006/relationships/hyperlink" Target="https://dzen.ru/media/id/63dd27aac30ab522dcce48b3/662e0ecc8bcdab100e7e10f7" TargetMode="External"/><Relationship Id="rId390" Type="http://schemas.openxmlformats.org/officeDocument/2006/relationships/hyperlink" Target="https://dzen.ru/media/id/63dd27aac30ab522dcce48b3/662b6a6f780e086b030777dd" TargetMode="External"/><Relationship Id="rId1" Type="http://schemas.openxmlformats.org/officeDocument/2006/relationships/hyperlink" Target="https://dzen.ru/media/id/63dd27aac30ab522dcce48b3/63dd3b43c190412358129f98" TargetMode="External"/><Relationship Id="rId2" Type="http://schemas.openxmlformats.org/officeDocument/2006/relationships/hyperlink" Target="https://dzen.ru/media/id/63dd27aac30ab522dcce48b3/63de2dd816e34617a5f587a5" TargetMode="External"/><Relationship Id="rId3" Type="http://schemas.openxmlformats.org/officeDocument/2006/relationships/hyperlink" Target="https://dzen.ru/media/id/63dd27aac30ab522dcce48b3/63de303416e34617a5fa96a3" TargetMode="External"/><Relationship Id="rId149" Type="http://schemas.openxmlformats.org/officeDocument/2006/relationships/hyperlink" Target="https://dzen.ru/media/id/63dd27aac30ab522dcce48b3/6479b3b8d0939c3b22bf9827" TargetMode="External"/><Relationship Id="rId4" Type="http://schemas.openxmlformats.org/officeDocument/2006/relationships/hyperlink" Target="https://dzen.ru/media/id/63dd27aac30ab522dcce48b3/63de3b76d48a7d30cc3077e5" TargetMode="External"/><Relationship Id="rId148" Type="http://schemas.openxmlformats.org/officeDocument/2006/relationships/hyperlink" Target="https://dzen.ru/media/id/63dd27aac30ab522dcce48b3/6479b243844be36a08737e03" TargetMode="External"/><Relationship Id="rId269" Type="http://schemas.openxmlformats.org/officeDocument/2006/relationships/hyperlink" Target="https://dzen.ru/media/id/63dd27aac30ab522dcce48b3/65183cb44115d078d18153f9" TargetMode="External"/><Relationship Id="rId9" Type="http://schemas.openxmlformats.org/officeDocument/2006/relationships/hyperlink" Target="https://dzen.ru/media/id/63dd27aac30ab522dcce48b3/63e34acdc377ee72605c7e35" TargetMode="External"/><Relationship Id="rId143" Type="http://schemas.openxmlformats.org/officeDocument/2006/relationships/hyperlink" Target="https://dzen.ru/media/id/63dd27aac30ab522dcce48b3/64731a423befba03d33eece6" TargetMode="External"/><Relationship Id="rId264" Type="http://schemas.openxmlformats.org/officeDocument/2006/relationships/hyperlink" Target="https://dzen.ru/media/id/63dd27aac30ab522dcce48b3/6511bf2fdfe02a15fac9e841" TargetMode="External"/><Relationship Id="rId385" Type="http://schemas.openxmlformats.org/officeDocument/2006/relationships/hyperlink" Target="https://dzen.ru/media/id/63dd27aac30ab522dcce48b3/661e51e0dbc1430ad94ce029" TargetMode="External"/><Relationship Id="rId142" Type="http://schemas.openxmlformats.org/officeDocument/2006/relationships/hyperlink" Target="https://dzen.ru/media/id/63dd27aac30ab522dcce48b3/646dd729d424253881a160a8" TargetMode="External"/><Relationship Id="rId263" Type="http://schemas.openxmlformats.org/officeDocument/2006/relationships/hyperlink" Target="https://dzen.ru/media/id/63dd27aac30ab522dcce48b3/6510790383b318555a199339" TargetMode="External"/><Relationship Id="rId384" Type="http://schemas.openxmlformats.org/officeDocument/2006/relationships/hyperlink" Target="https://dzen.ru/media/id/63dd27aac30ab522dcce48b3/660dddc511e7b24e9e38bad0" TargetMode="External"/><Relationship Id="rId141" Type="http://schemas.openxmlformats.org/officeDocument/2006/relationships/hyperlink" Target="https://dzen.ru/media/id/63dd27aac30ab522dcce48b3/646dd6fafe2aca4b3ccd3770" TargetMode="External"/><Relationship Id="rId262" Type="http://schemas.openxmlformats.org/officeDocument/2006/relationships/hyperlink" Target="https://dzen.ru/media/id/63dd27aac30ab522dcce48b3/650ee6570eaf94272793c5dc" TargetMode="External"/><Relationship Id="rId383" Type="http://schemas.openxmlformats.org/officeDocument/2006/relationships/hyperlink" Target="https://dzen.ru/media/id/63dd27aac30ab522dcce48b3/660ddd70f18eec5c864c4b79" TargetMode="External"/><Relationship Id="rId140" Type="http://schemas.openxmlformats.org/officeDocument/2006/relationships/hyperlink" Target="https://dzen.ru/media/id/63dd27aac30ab522dcce48b3/646dd249fb94f15bc90b2c21" TargetMode="External"/><Relationship Id="rId261" Type="http://schemas.openxmlformats.org/officeDocument/2006/relationships/hyperlink" Target="https://dzen.ru/media/id/63dd27aac30ab522dcce48b3/650a15c558df0e7be435e098" TargetMode="External"/><Relationship Id="rId382" Type="http://schemas.openxmlformats.org/officeDocument/2006/relationships/hyperlink" Target="https://dzen.ru/media/id/63dd27aac30ab522dcce48b3/660ddd4e11e7b24e9e3860c4" TargetMode="External"/><Relationship Id="rId5" Type="http://schemas.openxmlformats.org/officeDocument/2006/relationships/hyperlink" Target="https://dzen.ru/media/id/63dd27aac30ab522dcce48b3/63de3c73c30ab522dc48b032" TargetMode="External"/><Relationship Id="rId147" Type="http://schemas.openxmlformats.org/officeDocument/2006/relationships/hyperlink" Target="https://dzen.ru/media/id/63dd27aac30ab522dcce48b3/64731b4acec039781cb1fa95" TargetMode="External"/><Relationship Id="rId268" Type="http://schemas.openxmlformats.org/officeDocument/2006/relationships/hyperlink" Target="https://dzen.ru/media/id/63dd27aac30ab522dcce48b3/6516f73f5dedb62dd54742ff" TargetMode="External"/><Relationship Id="rId389" Type="http://schemas.openxmlformats.org/officeDocument/2006/relationships/hyperlink" Target="https://dzen.ru/media/id/63dd27aac30ab522dcce48b3/6628ca9e24f62a3086b60201" TargetMode="External"/><Relationship Id="rId6" Type="http://schemas.openxmlformats.org/officeDocument/2006/relationships/hyperlink" Target="https://dzen.ru/media/id/63dd27aac30ab522dcce48b3/63de5a7f6b64ec28c02dfb85" TargetMode="External"/><Relationship Id="rId146" Type="http://schemas.openxmlformats.org/officeDocument/2006/relationships/hyperlink" Target="https://dzen.ru/media/id/63dd27aac30ab522dcce48b3/64731aea2378a24240fb7127" TargetMode="External"/><Relationship Id="rId267" Type="http://schemas.openxmlformats.org/officeDocument/2006/relationships/hyperlink" Target="https://dzen.ru/media/id/63dd27aac30ab522dcce48b3/6515a6b471874f01f958f6ff" TargetMode="External"/><Relationship Id="rId388" Type="http://schemas.openxmlformats.org/officeDocument/2006/relationships/hyperlink" Target="https://dzen.ru/media/id/63dd27aac30ab522dcce48b3/662628f69aebf023f3b66d90" TargetMode="External"/><Relationship Id="rId7" Type="http://schemas.openxmlformats.org/officeDocument/2006/relationships/hyperlink" Target="https://dzen.ru/media/id/63dd27aac30ab522dcce48b3/63e23a2cefdb741a2e96b06a" TargetMode="External"/><Relationship Id="rId145" Type="http://schemas.openxmlformats.org/officeDocument/2006/relationships/hyperlink" Target="https://dzen.ru/media/id/63dd27aac30ab522dcce48b3/64731abf6a0c2f23725fb44f" TargetMode="External"/><Relationship Id="rId266" Type="http://schemas.openxmlformats.org/officeDocument/2006/relationships/hyperlink" Target="https://dzen.ru/media/id/63dd27aac30ab522dcce48b3/651447c6048037517384ff38" TargetMode="External"/><Relationship Id="rId387" Type="http://schemas.openxmlformats.org/officeDocument/2006/relationships/hyperlink" Target="https://dzen.ru/media/id/63dd27aac30ab522dcce48b3/66238305824b084ed78791e5" TargetMode="External"/><Relationship Id="rId8" Type="http://schemas.openxmlformats.org/officeDocument/2006/relationships/hyperlink" Target="https://dzen.ru/media/id/63dd27aac30ab522dcce48b3/63e24ae6b62fe45d336bdd6e" TargetMode="External"/><Relationship Id="rId144" Type="http://schemas.openxmlformats.org/officeDocument/2006/relationships/hyperlink" Target="https://dzen.ru/media/id/63dd27aac30ab522dcce48b3/64731a8d5beabd2bd5a7d251" TargetMode="External"/><Relationship Id="rId265" Type="http://schemas.openxmlformats.org/officeDocument/2006/relationships/hyperlink" Target="https://dzen.ru/media/id/63dd27aac30ab522dcce48b3/6512eebe8773b724c9e86f6f" TargetMode="External"/><Relationship Id="rId386" Type="http://schemas.openxmlformats.org/officeDocument/2006/relationships/hyperlink" Target="https://dzen.ru/media/id/63dd27aac30ab522dcce48b3/6620df7d590e6441e3b45421" TargetMode="External"/><Relationship Id="rId260" Type="http://schemas.openxmlformats.org/officeDocument/2006/relationships/hyperlink" Target="https://dzen.ru/media/id/63dd27aac30ab522dcce48b3/6509f033bfd70e27c33345ee" TargetMode="External"/><Relationship Id="rId381" Type="http://schemas.openxmlformats.org/officeDocument/2006/relationships/hyperlink" Target="https://dzen.ru/media/id/63dd27aac30ab522dcce48b3/660ddd242db346567a7b6221" TargetMode="External"/><Relationship Id="rId380" Type="http://schemas.openxmlformats.org/officeDocument/2006/relationships/hyperlink" Target="https://dzen.ru/media/id/63dd27aac30ab522dcce48b3/660ddcfbffcf605250f08ecc" TargetMode="External"/><Relationship Id="rId139" Type="http://schemas.openxmlformats.org/officeDocument/2006/relationships/hyperlink" Target="https://dzen.ru/media/id/63dd27aac30ab522dcce48b3/646dd215b75eb830cc0fba8f" TargetMode="External"/><Relationship Id="rId138" Type="http://schemas.openxmlformats.org/officeDocument/2006/relationships/hyperlink" Target="https://dzen.ru/media/id/63dd27aac30ab522dcce48b3/6469f44acbad560bc546373b" TargetMode="External"/><Relationship Id="rId259" Type="http://schemas.openxmlformats.org/officeDocument/2006/relationships/hyperlink" Target="https://dzen.ru/media/id/63dd27aac30ab522dcce48b3/6509cb90f4f46871466eba0a" TargetMode="External"/><Relationship Id="rId137" Type="http://schemas.openxmlformats.org/officeDocument/2006/relationships/hyperlink" Target="https://dzen.ru/media/id/63dd27aac30ab522dcce48b3/6469f41e16943d5cebbaf2d5" TargetMode="External"/><Relationship Id="rId258" Type="http://schemas.openxmlformats.org/officeDocument/2006/relationships/hyperlink" Target="https://dzen.ru/media/id/63dd27aac30ab522dcce48b3/6509c1a779a9a41e3a27b3ed" TargetMode="External"/><Relationship Id="rId379" Type="http://schemas.openxmlformats.org/officeDocument/2006/relationships/hyperlink" Target="https://dzen.ru/media/id/63dd27aac30ab522dcce48b3/660ddcb9d45a53675bf8eb36" TargetMode="External"/><Relationship Id="rId132" Type="http://schemas.openxmlformats.org/officeDocument/2006/relationships/hyperlink" Target="https://dzen.ru/media/id/63dd27aac30ab522dcce48b3/6464b39df0a26876b0fd2aee" TargetMode="External"/><Relationship Id="rId253" Type="http://schemas.openxmlformats.org/officeDocument/2006/relationships/hyperlink" Target="https://dzen.ru/media/id/63dd27aac30ab522dcce48b3/650327514d91f00608e52f32" TargetMode="External"/><Relationship Id="rId374" Type="http://schemas.openxmlformats.org/officeDocument/2006/relationships/hyperlink" Target="https://dzen.ru/media/id/63dd27aac30ab522dcce48b3/6603deab637a791332b973f9" TargetMode="External"/><Relationship Id="rId495" Type="http://schemas.openxmlformats.org/officeDocument/2006/relationships/hyperlink" Target="https://dzen.ru/media/id/63dd27aac30ab522dcce48b3/6819858fc11f387ebfb2547a" TargetMode="External"/><Relationship Id="rId131" Type="http://schemas.openxmlformats.org/officeDocument/2006/relationships/hyperlink" Target="https://dzen.ru/media/id/63dd27aac30ab522dcce48b3/646345323a265e05b30a3efc" TargetMode="External"/><Relationship Id="rId252" Type="http://schemas.openxmlformats.org/officeDocument/2006/relationships/hyperlink" Target="https://dzen.ru/media/id/63dd27aac30ab522dcce48b3/6501c7bbc66c44161ce0f4bc" TargetMode="External"/><Relationship Id="rId373" Type="http://schemas.openxmlformats.org/officeDocument/2006/relationships/hyperlink" Target="https://dzen.ru/media/id/63dd27aac30ab522dcce48b3/65eecadc1a77260ed07ed807" TargetMode="External"/><Relationship Id="rId494" Type="http://schemas.openxmlformats.org/officeDocument/2006/relationships/hyperlink" Target="https://dzen.ru/media/id/63dd27aac30ab522dcce48b3/68130aab7535b749ada4ccc1" TargetMode="External"/><Relationship Id="rId130" Type="http://schemas.openxmlformats.org/officeDocument/2006/relationships/hyperlink" Target="https://dzen.ru/media/id/63dd27aac30ab522dcce48b3/645f624b523722662b01efdf" TargetMode="External"/><Relationship Id="rId251" Type="http://schemas.openxmlformats.org/officeDocument/2006/relationships/hyperlink" Target="https://dzen.ru/media/id/63dd27aac30ab522dcce48b3/650064acb9751c752dbb6bee" TargetMode="External"/><Relationship Id="rId372" Type="http://schemas.openxmlformats.org/officeDocument/2006/relationships/hyperlink" Target="https://dzen.ru/media/id/63dd27aac30ab522dcce48b3/65eecaac2e34d760b951d495" TargetMode="External"/><Relationship Id="rId493" Type="http://schemas.openxmlformats.org/officeDocument/2006/relationships/hyperlink" Target="https://dzen.ru/media/id/63dd27aac30ab522dcce48b3/680ffd610abbb40ac9573181" TargetMode="External"/><Relationship Id="rId250" Type="http://schemas.openxmlformats.org/officeDocument/2006/relationships/hyperlink" Target="https://dzen.ru/media/id/63dd27aac30ab522dcce48b3/64ff28728b817f3cfdc12faf" TargetMode="External"/><Relationship Id="rId371" Type="http://schemas.openxmlformats.org/officeDocument/2006/relationships/hyperlink" Target="https://dzen.ru/media/id/63dd27aac30ab522dcce48b3/65eeca736ccb0d2f277c8e30" TargetMode="External"/><Relationship Id="rId492" Type="http://schemas.openxmlformats.org/officeDocument/2006/relationships/hyperlink" Target="https://dzen.ru/media/id/63dd27aac30ab522dcce48b3/67f7b4fb5b806b3254f7a017" TargetMode="External"/><Relationship Id="rId136" Type="http://schemas.openxmlformats.org/officeDocument/2006/relationships/hyperlink" Target="https://dzen.ru/media/id/63dd27aac30ab522dcce48b3/6469f3f5fbefcc700697ca30" TargetMode="External"/><Relationship Id="rId257" Type="http://schemas.openxmlformats.org/officeDocument/2006/relationships/hyperlink" Target="https://dzen.ru/media/id/63dd27aac30ab522dcce48b3/6508738888601d1945eefe2a" TargetMode="External"/><Relationship Id="rId378" Type="http://schemas.openxmlformats.org/officeDocument/2006/relationships/hyperlink" Target="https://dzen.ru/media/id/63dd27aac30ab522dcce48b3/660ddc8855f61733df9d2a8d" TargetMode="External"/><Relationship Id="rId499" Type="http://schemas.openxmlformats.org/officeDocument/2006/relationships/hyperlink" Target="https://dzen.ru/media/id/63dd27aac30ab522dcce48b3/682be4e82ca68930077aaa69" TargetMode="External"/><Relationship Id="rId135" Type="http://schemas.openxmlformats.org/officeDocument/2006/relationships/hyperlink" Target="https://dzen.ru/media/id/63dd27aac30ab522dcce48b3/64653ed16912376c6b8316a8" TargetMode="External"/><Relationship Id="rId256" Type="http://schemas.openxmlformats.org/officeDocument/2006/relationships/hyperlink" Target="https://dzen.ru/media/id/63dd27aac30ab522dcce48b3/65071d7d526a462625152131" TargetMode="External"/><Relationship Id="rId377" Type="http://schemas.openxmlformats.org/officeDocument/2006/relationships/hyperlink" Target="https://dzen.ru/media/id/63dd27aac30ab522dcce48b3/660bd08c9d47c93154226e8a" TargetMode="External"/><Relationship Id="rId498" Type="http://schemas.openxmlformats.org/officeDocument/2006/relationships/hyperlink" Target="https://dzen.ru/media/id/63dd27aac30ab522dcce48b3/68252e56e64c5a188037b4e8" TargetMode="External"/><Relationship Id="rId134" Type="http://schemas.openxmlformats.org/officeDocument/2006/relationships/hyperlink" Target="https://dzen.ru/media/id/63dd27aac30ab522dcce48b3/64653e71a956372e0cc37b71" TargetMode="External"/><Relationship Id="rId255" Type="http://schemas.openxmlformats.org/officeDocument/2006/relationships/hyperlink" Target="https://dzen.ru/media/id/63dd27aac30ab522dcce48b3/6505d6e72ed36a089af11bfd" TargetMode="External"/><Relationship Id="rId376" Type="http://schemas.openxmlformats.org/officeDocument/2006/relationships/hyperlink" Target="https://dzen.ru/media/id/63dd27aac30ab522dcce48b3/66092218754d4217d4dba1b8" TargetMode="External"/><Relationship Id="rId497" Type="http://schemas.openxmlformats.org/officeDocument/2006/relationships/hyperlink" Target="https://dzen.ru/media/id/63dd27aac30ab522dcce48b3/68229f3ebfe63923aa654275" TargetMode="External"/><Relationship Id="rId133" Type="http://schemas.openxmlformats.org/officeDocument/2006/relationships/hyperlink" Target="https://dzen.ru/media/id/63dd27aac30ab522dcce48b3/64653e435903af636d8c59b9" TargetMode="External"/><Relationship Id="rId254" Type="http://schemas.openxmlformats.org/officeDocument/2006/relationships/hyperlink" Target="https://dzen.ru/media/id/63dd27aac30ab522dcce48b3/65048083ffb3f010e7344d5c" TargetMode="External"/><Relationship Id="rId375" Type="http://schemas.openxmlformats.org/officeDocument/2006/relationships/hyperlink" Target="https://dzen.ru/media/id/63dd27aac30ab522dcce48b3/660683353de7862a703e2ddc" TargetMode="External"/><Relationship Id="rId496" Type="http://schemas.openxmlformats.org/officeDocument/2006/relationships/hyperlink" Target="https://dzen.ru/media/id/63dd27aac30ab522dcce48b3/681c3354ce129d3481f1a69c" TargetMode="External"/><Relationship Id="rId172" Type="http://schemas.openxmlformats.org/officeDocument/2006/relationships/hyperlink" Target="https://dzen.ru/media/id/63dd27aac30ab522dcce48b3/64985b13612ee44473ef6004" TargetMode="External"/><Relationship Id="rId293" Type="http://schemas.openxmlformats.org/officeDocument/2006/relationships/hyperlink" Target="https://dzen.ru/media/id/63dd27aac30ab522dcce48b3/653631b82aa46d5701b04664" TargetMode="External"/><Relationship Id="rId171" Type="http://schemas.openxmlformats.org/officeDocument/2006/relationships/hyperlink" Target="https://dzen.ru/media/id/63dd27aac30ab522dcce48b3/649715c3774190685ccb5da9" TargetMode="External"/><Relationship Id="rId292" Type="http://schemas.openxmlformats.org/officeDocument/2006/relationships/hyperlink" Target="https://dzen.ru/media/id/63dd27aac30ab522dcce48b3/6535633251df531a5e46eafc" TargetMode="External"/><Relationship Id="rId170" Type="http://schemas.openxmlformats.org/officeDocument/2006/relationships/hyperlink" Target="https://dzen.ru/media/id/63dd27aac30ab522dcce48b3/6495b769d3edc357ce3a3f22" TargetMode="External"/><Relationship Id="rId291" Type="http://schemas.openxmlformats.org/officeDocument/2006/relationships/hyperlink" Target="https://dzen.ru/media/id/63dd27aac30ab522dcce48b3/65338ca89e3a246608cd4c4f" TargetMode="External"/><Relationship Id="rId290" Type="http://schemas.openxmlformats.org/officeDocument/2006/relationships/hyperlink" Target="https://dzen.ru/media/id/63dd27aac30ab522dcce48b3/6532b8b16bbf9502d0a67c3f" TargetMode="External"/><Relationship Id="rId165" Type="http://schemas.openxmlformats.org/officeDocument/2006/relationships/hyperlink" Target="https://dzen.ru/media/id/63dd27aac30ab522dcce48b3/648f7bdb3923b316d6e21cf5" TargetMode="External"/><Relationship Id="rId286" Type="http://schemas.openxmlformats.org/officeDocument/2006/relationships/hyperlink" Target="https://dzen.ru/media/id/63dd27aac30ab522dcce48b3/652e4b360d874a06ba006d54" TargetMode="External"/><Relationship Id="rId164" Type="http://schemas.openxmlformats.org/officeDocument/2006/relationships/hyperlink" Target="https://dzen.ru/media/id/63dd27aac30ab522dcce48b3/648ecf3d8cde1a1137d0cf1b" TargetMode="External"/><Relationship Id="rId285" Type="http://schemas.openxmlformats.org/officeDocument/2006/relationships/hyperlink" Target="https://dzen.ru/media/id/63dd27aac30ab522dcce48b3/652da2b7762550169a90f657" TargetMode="External"/><Relationship Id="rId163" Type="http://schemas.openxmlformats.org/officeDocument/2006/relationships/hyperlink" Target="https://dzen.ru/media/id/63dd27aac30ab522dcce48b3/648ae46acdc3c01bcc920743" TargetMode="External"/><Relationship Id="rId284" Type="http://schemas.openxmlformats.org/officeDocument/2006/relationships/hyperlink" Target="https://dzen.ru/media/id/63dd27aac30ab522dcce48b3/652c0ea38365541c39f8078c" TargetMode="External"/><Relationship Id="rId162" Type="http://schemas.openxmlformats.org/officeDocument/2006/relationships/hyperlink" Target="https://dzen.ru/media/id/63dd27aac30ab522dcce48b3/648ae33138c1ca45309ea468" TargetMode="External"/><Relationship Id="rId283" Type="http://schemas.openxmlformats.org/officeDocument/2006/relationships/hyperlink" Target="https://dzen.ru/media/id/63dd27aac30ab522dcce48b3/652b99abab650635f8f70d2c" TargetMode="External"/><Relationship Id="rId169" Type="http://schemas.openxmlformats.org/officeDocument/2006/relationships/hyperlink" Target="https://dzen.ru/media/id/63dd27aac30ab522dcce48b3/6494528a6b468327af688971" TargetMode="External"/><Relationship Id="rId168" Type="http://schemas.openxmlformats.org/officeDocument/2006/relationships/hyperlink" Target="https://dzen.ru/media/id/63dd27aac30ab522dcce48b3/64930d09b8acde14795609f0" TargetMode="External"/><Relationship Id="rId289" Type="http://schemas.openxmlformats.org/officeDocument/2006/relationships/hyperlink" Target="https://dzen.ru/media/id/63dd27aac30ab522dcce48b3/65312b425126c208cc5b3651" TargetMode="External"/><Relationship Id="rId167" Type="http://schemas.openxmlformats.org/officeDocument/2006/relationships/hyperlink" Target="https://dzen.ru/media/id/63dd27aac30ab522dcce48b3/6491bdaad1c97f70d7814c85" TargetMode="External"/><Relationship Id="rId288" Type="http://schemas.openxmlformats.org/officeDocument/2006/relationships/hyperlink" Target="https://dzen.ru/media/id/63dd27aac30ab522dcce48b3/652f88a901335b6b6d0d5437" TargetMode="External"/><Relationship Id="rId166" Type="http://schemas.openxmlformats.org/officeDocument/2006/relationships/hyperlink" Target="https://dzen.ru/media/id/63dd27aac30ab522dcce48b3/649098b2d079f82a49099d75" TargetMode="External"/><Relationship Id="rId287" Type="http://schemas.openxmlformats.org/officeDocument/2006/relationships/hyperlink" Target="https://dzen.ru/media/id/63dd27aac30ab522dcce48b3/652e5231b0280a1e7c5e4d13" TargetMode="External"/><Relationship Id="rId161" Type="http://schemas.openxmlformats.org/officeDocument/2006/relationships/hyperlink" Target="https://dzen.ru/media/id/63dd27aac30ab522dcce48b3/648adb809b13826e2858d213" TargetMode="External"/><Relationship Id="rId282" Type="http://schemas.openxmlformats.org/officeDocument/2006/relationships/hyperlink" Target="https://dzen.ru/media/id/63dd27aac30ab522dcce48b3/65297a2b6e626e1158418da0" TargetMode="External"/><Relationship Id="rId160" Type="http://schemas.openxmlformats.org/officeDocument/2006/relationships/hyperlink" Target="https://dzen.ru/media/id/63dd27aac30ab522dcce48b3/64823b1b8db8a360148b594e" TargetMode="External"/><Relationship Id="rId281" Type="http://schemas.openxmlformats.org/officeDocument/2006/relationships/hyperlink" Target="https://dzen.ru/media/id/63dd27aac30ab522dcce48b3/652812f3c094161c02779c19" TargetMode="External"/><Relationship Id="rId280" Type="http://schemas.openxmlformats.org/officeDocument/2006/relationships/hyperlink" Target="https://dzen.ru/media/id/63dd27aac30ab522dcce48b3/6526c4b3a93ab309be18d22d" TargetMode="External"/><Relationship Id="rId159" Type="http://schemas.openxmlformats.org/officeDocument/2006/relationships/hyperlink" Target="https://dzen.ru/media/id/63dd27aac30ab522dcce48b3/64823aba9506570f87f2dc23" TargetMode="External"/><Relationship Id="rId154" Type="http://schemas.openxmlformats.org/officeDocument/2006/relationships/hyperlink" Target="https://dzen.ru/media/id/63dd27aac30ab522dcce48b3/647cf9beea92526071903043" TargetMode="External"/><Relationship Id="rId275" Type="http://schemas.openxmlformats.org/officeDocument/2006/relationships/hyperlink" Target="https://dzen.ru/media/id/63dd27aac30ab522dcce48b3/6520324a90b03d45f1959f25" TargetMode="External"/><Relationship Id="rId396" Type="http://schemas.openxmlformats.org/officeDocument/2006/relationships/hyperlink" Target="https://dzen.ru/media/id/63dd27aac30ab522dcce48b3/663b3e94c4ca42469e93ac11" TargetMode="External"/><Relationship Id="rId153" Type="http://schemas.openxmlformats.org/officeDocument/2006/relationships/hyperlink" Target="https://dzen.ru/media/id/63dd27aac30ab522dcce48b3/647cf96b3f0f616a866141b2" TargetMode="External"/><Relationship Id="rId274" Type="http://schemas.openxmlformats.org/officeDocument/2006/relationships/hyperlink" Target="https://dzen.ru/media/id/63dd27aac30ab522dcce48b3/651ee07be069e306034f0166" TargetMode="External"/><Relationship Id="rId395" Type="http://schemas.openxmlformats.org/officeDocument/2006/relationships/hyperlink" Target="https://dzen.ru/media/id/63dd27aac30ab522dcce48b3/663895d19a937b6e8fcc4ed4" TargetMode="External"/><Relationship Id="rId152" Type="http://schemas.openxmlformats.org/officeDocument/2006/relationships/hyperlink" Target="https://dzen.ru/media/id/63dd27aac30ab522dcce48b3/647cf912ea925260718f5403" TargetMode="External"/><Relationship Id="rId273" Type="http://schemas.openxmlformats.org/officeDocument/2006/relationships/hyperlink" Target="https://dzen.ru/media/id/63dd27aac30ab522dcce48b3/651d8e60244fa84b56c1b701" TargetMode="External"/><Relationship Id="rId394" Type="http://schemas.openxmlformats.org/officeDocument/2006/relationships/hyperlink" Target="https://dzen.ru/media/id/63dd27aac30ab522dcce48b3/6635fe6e12d1c34b9c8c39b5" TargetMode="External"/><Relationship Id="rId151" Type="http://schemas.openxmlformats.org/officeDocument/2006/relationships/hyperlink" Target="https://dzen.ru/media/id/63dd27aac30ab522dcce48b3/647cf882f0df9c38060e96e3" TargetMode="External"/><Relationship Id="rId272" Type="http://schemas.openxmlformats.org/officeDocument/2006/relationships/hyperlink" Target="https://dzen.ru/media/id/63dd27aac30ab522dcce48b3/651c42526b0b253b3632e326" TargetMode="External"/><Relationship Id="rId393" Type="http://schemas.openxmlformats.org/officeDocument/2006/relationships/hyperlink" Target="https://dzen.ru/media/id/63dd27aac30ab522dcce48b3/6633643771b8677f1da29da7" TargetMode="External"/><Relationship Id="rId158" Type="http://schemas.openxmlformats.org/officeDocument/2006/relationships/hyperlink" Target="https://dzen.ru/media/id/63dd27aac30ab522dcce48b3/64823a590b24603c929c7370" TargetMode="External"/><Relationship Id="rId279" Type="http://schemas.openxmlformats.org/officeDocument/2006/relationships/hyperlink" Target="https://dzen.ru/media/id/63dd27aac30ab522dcce48b3/65258945816f97001317484f" TargetMode="External"/><Relationship Id="rId157" Type="http://schemas.openxmlformats.org/officeDocument/2006/relationships/hyperlink" Target="https://dzen.ru/media/id/63dd27aac30ab522dcce48b3/648239fd5208a65c04afdafa" TargetMode="External"/><Relationship Id="rId278" Type="http://schemas.openxmlformats.org/officeDocument/2006/relationships/hyperlink" Target="https://dzen.ru/media/id/63dd27aac30ab522dcce48b3/652434ea3a21c739e6ea0a1e" TargetMode="External"/><Relationship Id="rId399" Type="http://schemas.openxmlformats.org/officeDocument/2006/relationships/hyperlink" Target="https://dzen.ru/media/id/63dd27aac30ab522dcce48b3/6643293dc85fb6083da5c8e8" TargetMode="External"/><Relationship Id="rId156" Type="http://schemas.openxmlformats.org/officeDocument/2006/relationships/hyperlink" Target="https://dzen.ru/media/id/63dd27aac30ab522dcce48b3/6482398785c3654e555f3469" TargetMode="External"/><Relationship Id="rId277" Type="http://schemas.openxmlformats.org/officeDocument/2006/relationships/hyperlink" Target="https://dzen.ru/media/id/63dd27aac30ab522dcce48b3/6522d0154e3fa3646984ff61" TargetMode="External"/><Relationship Id="rId398" Type="http://schemas.openxmlformats.org/officeDocument/2006/relationships/hyperlink" Target="https://dzen.ru/media/id/63dd27aac30ab522dcce48b3/66407ff21d849c75f28a72a8" TargetMode="External"/><Relationship Id="rId155" Type="http://schemas.openxmlformats.org/officeDocument/2006/relationships/hyperlink" Target="https://dzen.ru/media/id/63dd27aac30ab522dcce48b3/647cfa15287e4a17092401d8" TargetMode="External"/><Relationship Id="rId276" Type="http://schemas.openxmlformats.org/officeDocument/2006/relationships/hyperlink" Target="https://dzen.ru/media/id/63dd27aac30ab522dcce48b3/6521761f4372ef46463aec9a" TargetMode="External"/><Relationship Id="rId397" Type="http://schemas.openxmlformats.org/officeDocument/2006/relationships/hyperlink" Target="https://dzen.ru/media/id/63dd27aac30ab522dcce48b3/663dcfe27e0c9b549840fa6d" TargetMode="External"/><Relationship Id="rId40" Type="http://schemas.openxmlformats.org/officeDocument/2006/relationships/hyperlink" Target="https://dzen.ru/media/id/63dd27aac30ab522dcce48b3/63f1de2789230f22b449a26e" TargetMode="External"/><Relationship Id="rId42" Type="http://schemas.openxmlformats.org/officeDocument/2006/relationships/hyperlink" Target="https://dzen.ru/media/id/63dd27aac30ab522dcce48b3/63f5f293cf9a1b3cd0d42ae5" TargetMode="External"/><Relationship Id="rId41" Type="http://schemas.openxmlformats.org/officeDocument/2006/relationships/hyperlink" Target="https://dzen.ru/media/id/63dd27aac30ab522dcce48b3/63f1df0a339850375708a407" TargetMode="External"/><Relationship Id="rId44" Type="http://schemas.openxmlformats.org/officeDocument/2006/relationships/hyperlink" Target="https://dzen.ru/media/id/63dd27aac30ab522dcce48b3/63f5f460214a725f508320e6" TargetMode="External"/><Relationship Id="rId43" Type="http://schemas.openxmlformats.org/officeDocument/2006/relationships/hyperlink" Target="https://dzen.ru/media/id/63dd27aac30ab522dcce48b3/63f5f37dcb9b9e706d1bddec" TargetMode="External"/><Relationship Id="rId46" Type="http://schemas.openxmlformats.org/officeDocument/2006/relationships/hyperlink" Target="https://dzen.ru/media/id/63dd27aac30ab522dcce48b3/63fa2edb72051e06a152b6a7" TargetMode="External"/><Relationship Id="rId45" Type="http://schemas.openxmlformats.org/officeDocument/2006/relationships/hyperlink" Target="https://dzen.ru/media/id/63dd27aac30ab522dcce48b3/63f8a44d50fea47de5bd2357" TargetMode="External"/><Relationship Id="rId509" Type="http://schemas.openxmlformats.org/officeDocument/2006/relationships/hyperlink" Target="https://dzen.ru/media/id/63dd27aac30ab522dcce48b3/6859d61da2064858f1167e6b" TargetMode="External"/><Relationship Id="rId508" Type="http://schemas.openxmlformats.org/officeDocument/2006/relationships/hyperlink" Target="https://dzen.ru/media/id/63dd27aac30ab522dcce48b3/684f7570c798ef1f1c4ffc30" TargetMode="External"/><Relationship Id="rId629" Type="http://schemas.openxmlformats.org/officeDocument/2006/relationships/hyperlink" Target="https://dzen.ru/media/id/63dd27aac30ab522dcce48b3/69cb8687e669ed222cbdcfe0" TargetMode="External"/><Relationship Id="rId503" Type="http://schemas.openxmlformats.org/officeDocument/2006/relationships/hyperlink" Target="https://dzen.ru/media/id/63dd27aac30ab522dcce48b3/683e1a6c9a6f7d3e3cf676d6" TargetMode="External"/><Relationship Id="rId624" Type="http://schemas.openxmlformats.org/officeDocument/2006/relationships/hyperlink" Target="https://dzen.ru/media/id/63dd27aac30ab522dcce48b3/69c3fa9dc81abe3e2d01c703" TargetMode="External"/><Relationship Id="rId502" Type="http://schemas.openxmlformats.org/officeDocument/2006/relationships/hyperlink" Target="https://dzen.ru/media/id/63dd27aac30ab522dcce48b3/683886e723ddd33f9a98d64d" TargetMode="External"/><Relationship Id="rId623" Type="http://schemas.openxmlformats.org/officeDocument/2006/relationships/hyperlink" Target="https://dzen.ru/media/id/63dd27aac30ab522dcce48b3/69c25e0ca4aa3b497ef94b0a" TargetMode="External"/><Relationship Id="rId501" Type="http://schemas.openxmlformats.org/officeDocument/2006/relationships/hyperlink" Target="https://dzen.ru/media/id/63dd27aac30ab522dcce48b3/6835246854fbb57705c79ca2" TargetMode="External"/><Relationship Id="rId622" Type="http://schemas.openxmlformats.org/officeDocument/2006/relationships/hyperlink" Target="https://dzen.ru/media/id/63dd27aac30ab522dcce48b3/69c117d816fa137f929f5ea0" TargetMode="External"/><Relationship Id="rId500" Type="http://schemas.openxmlformats.org/officeDocument/2006/relationships/hyperlink" Target="https://dzen.ru/media/id/63dd27aac30ab522dcce48b3/682f24f893f017039fe46c65" TargetMode="External"/><Relationship Id="rId621" Type="http://schemas.openxmlformats.org/officeDocument/2006/relationships/hyperlink" Target="https://dzen.ru/media/id/63dd27aac30ab522dcce48b3/69be570eb813342d3b999119" TargetMode="External"/><Relationship Id="rId507" Type="http://schemas.openxmlformats.org/officeDocument/2006/relationships/hyperlink" Target="https://dzen.ru/media/id/63dd27aac30ab522dcce48b3/684f748b4bac1a4b04b7db4b" TargetMode="External"/><Relationship Id="rId628" Type="http://schemas.openxmlformats.org/officeDocument/2006/relationships/hyperlink" Target="https://dzen.ru/media/id/63dd27aac30ab522dcce48b3/69ca8ee4ea0e9210334ed308" TargetMode="External"/><Relationship Id="rId506" Type="http://schemas.openxmlformats.org/officeDocument/2006/relationships/hyperlink" Target="https://dzen.ru/media/id/63dd27aac30ab522dcce48b3/684a519ebdb83b4509f357eb" TargetMode="External"/><Relationship Id="rId627" Type="http://schemas.openxmlformats.org/officeDocument/2006/relationships/hyperlink" Target="https://dzen.ru/media/id/63dd27aac30ab522dcce48b3/69c79b8bb247637e15f147e4" TargetMode="External"/><Relationship Id="rId505" Type="http://schemas.openxmlformats.org/officeDocument/2006/relationships/hyperlink" Target="https://dzen.ru/media/id/63dd27aac30ab522dcce48b3/68486a55129ad45762ddb3c8" TargetMode="External"/><Relationship Id="rId626" Type="http://schemas.openxmlformats.org/officeDocument/2006/relationships/hyperlink" Target="https://dzen.ru/media/id/63dd27aac30ab522dcce48b3/69c652fad56a431b205b158b" TargetMode="External"/><Relationship Id="rId504" Type="http://schemas.openxmlformats.org/officeDocument/2006/relationships/hyperlink" Target="https://dzen.ru/media/id/63dd27aac30ab522dcce48b3/6840d31152fdab79b6a42a83" TargetMode="External"/><Relationship Id="rId625" Type="http://schemas.openxmlformats.org/officeDocument/2006/relationships/hyperlink" Target="https://dzen.ru/media/id/63dd27aac30ab522dcce48b3/69c4fd99d6cafc6083a9234c" TargetMode="External"/><Relationship Id="rId48" Type="http://schemas.openxmlformats.org/officeDocument/2006/relationships/hyperlink" Target="https://dzen.ru/media/id/63dd27aac30ab522dcce48b3/63fb45783876d93b6fe21990" TargetMode="External"/><Relationship Id="rId47" Type="http://schemas.openxmlformats.org/officeDocument/2006/relationships/hyperlink" Target="https://dzen.ru/media/id/63dd27aac30ab522dcce48b3/63fb44f868d0d13d3ae68380" TargetMode="External"/><Relationship Id="rId49" Type="http://schemas.openxmlformats.org/officeDocument/2006/relationships/hyperlink" Target="https://dzen.ru/media/id/63dd27aac30ab522dcce48b3/63fcd2a8e59c5a53fd7dbcf4" TargetMode="External"/><Relationship Id="rId620" Type="http://schemas.openxmlformats.org/officeDocument/2006/relationships/hyperlink" Target="https://dzen.ru/media/id/63dd27aac30ab522dcce48b3/69bd222c2af5b27b2c915c40" TargetMode="External"/><Relationship Id="rId31" Type="http://schemas.openxmlformats.org/officeDocument/2006/relationships/hyperlink" Target="https://dzen.ru/media/id/63dd27aac30ab522dcce48b3/63ecbd09e4c14d3f823a9aa1" TargetMode="External"/><Relationship Id="rId30" Type="http://schemas.openxmlformats.org/officeDocument/2006/relationships/hyperlink" Target="https://dzen.ru/media/id/63dd27aac30ab522dcce48b3/63ebb7f4f5597e73feb307f1" TargetMode="External"/><Relationship Id="rId33" Type="http://schemas.openxmlformats.org/officeDocument/2006/relationships/hyperlink" Target="https://dzen.ru/media/id/63dd27aac30ab522dcce48b3/63ed459b02c2220cc29bc7de" TargetMode="External"/><Relationship Id="rId32" Type="http://schemas.openxmlformats.org/officeDocument/2006/relationships/hyperlink" Target="https://dzen.ru/media/id/63dd27aac30ab522dcce48b3/63ecbda324ae2c4bb8f0cc6b" TargetMode="External"/><Relationship Id="rId35" Type="http://schemas.openxmlformats.org/officeDocument/2006/relationships/hyperlink" Target="https://dzen.ru/media/id/63dd27aac30ab522dcce48b3/63ef948ce50f1863de16a1a9" TargetMode="External"/><Relationship Id="rId34" Type="http://schemas.openxmlformats.org/officeDocument/2006/relationships/hyperlink" Target="https://dzen.ru/media/id/63dd27aac30ab522dcce48b3/63ed45fab0dc892d68bec644" TargetMode="External"/><Relationship Id="rId619" Type="http://schemas.openxmlformats.org/officeDocument/2006/relationships/hyperlink" Target="https://dzen.ru/media/id/63dd27aac30ab522dcce48b3/69bbca1b81c9275cbcd00d78" TargetMode="External"/><Relationship Id="rId618" Type="http://schemas.openxmlformats.org/officeDocument/2006/relationships/hyperlink" Target="https://dzen.ru/media/id/63dd27aac30ab522dcce48b3/69ba8273140c421ae390e5fe" TargetMode="External"/><Relationship Id="rId613" Type="http://schemas.openxmlformats.org/officeDocument/2006/relationships/hyperlink" Target="https://dzen.ru/media/id/63dd27aac30ab522dcce48b3/69b2975eddf44f223391cd85" TargetMode="External"/><Relationship Id="rId612" Type="http://schemas.openxmlformats.org/officeDocument/2006/relationships/hyperlink" Target="https://dzen.ru/media/id/63dd27aac30ab522dcce48b3/69b13acd7121ce0dfc5afbc4" TargetMode="External"/><Relationship Id="rId611" Type="http://schemas.openxmlformats.org/officeDocument/2006/relationships/hyperlink" Target="https://dzen.ru/media/id/63dd27aac30ab522dcce48b3/69aff3a538356039a2a6b315" TargetMode="External"/><Relationship Id="rId610" Type="http://schemas.openxmlformats.org/officeDocument/2006/relationships/hyperlink" Target="https://dzen.ru/media/id/63dd27aac30ab522dcce48b3/69ac066f54c19f73b9003c43" TargetMode="External"/><Relationship Id="rId617" Type="http://schemas.openxmlformats.org/officeDocument/2006/relationships/hyperlink" Target="https://dzen.ru/media/id/63dd27aac30ab522dcce48b3/69b80bb55a734a0f92b3ac41" TargetMode="External"/><Relationship Id="rId616" Type="http://schemas.openxmlformats.org/officeDocument/2006/relationships/hyperlink" Target="https://dzen.ru/media/id/63dd27aac30ab522dcce48b3/69b7d3fe3914d778363c7dcb" TargetMode="External"/><Relationship Id="rId615" Type="http://schemas.openxmlformats.org/officeDocument/2006/relationships/hyperlink" Target="https://dzen.ru/media/id/63dd27aac30ab522dcce48b3/69b53f7c3914d77836c98d2b" TargetMode="External"/><Relationship Id="rId614" Type="http://schemas.openxmlformats.org/officeDocument/2006/relationships/hyperlink" Target="https://dzen.ru/media/id/63dd27aac30ab522dcce48b3/69b3f311ac59991cb17661fe" TargetMode="External"/><Relationship Id="rId37" Type="http://schemas.openxmlformats.org/officeDocument/2006/relationships/hyperlink" Target="https://dzen.ru/media/id/63dd27aac30ab522dcce48b3/63f1d6d83398503757f08c88" TargetMode="External"/><Relationship Id="rId36" Type="http://schemas.openxmlformats.org/officeDocument/2006/relationships/hyperlink" Target="https://dzen.ru/media/id/63dd27aac30ab522dcce48b3/63f1d52e29138056e760af9f" TargetMode="External"/><Relationship Id="rId39" Type="http://schemas.openxmlformats.org/officeDocument/2006/relationships/hyperlink" Target="https://dzen.ru/media/id/63dd27aac30ab522dcce48b3/63f1dd9797c8c1465f42ee45" TargetMode="External"/><Relationship Id="rId38" Type="http://schemas.openxmlformats.org/officeDocument/2006/relationships/hyperlink" Target="https://dzen.ru/media/id/63dd27aac30ab522dcce48b3/63f1dd0632c5b8194dd7c1b0" TargetMode="External"/><Relationship Id="rId20" Type="http://schemas.openxmlformats.org/officeDocument/2006/relationships/hyperlink" Target="https://dzen.ru/media/id/63dd27aac30ab522dcce48b3/63e73e23775492059746e587" TargetMode="External"/><Relationship Id="rId22" Type="http://schemas.openxmlformats.org/officeDocument/2006/relationships/hyperlink" Target="https://dzen.ru/media/id/63dd27aac30ab522dcce48b3/63e73f0223ae796bcfde125b" TargetMode="External"/><Relationship Id="rId21" Type="http://schemas.openxmlformats.org/officeDocument/2006/relationships/hyperlink" Target="https://dzen.ru/media/id/63dd27aac30ab522dcce48b3/63e73e8377549205974793c2" TargetMode="External"/><Relationship Id="rId24" Type="http://schemas.openxmlformats.org/officeDocument/2006/relationships/hyperlink" Target="https://dzen.ru/media/id/63dd27aac30ab522dcce48b3/63e73fd323ae796bcfdf8c5b" TargetMode="External"/><Relationship Id="rId23" Type="http://schemas.openxmlformats.org/officeDocument/2006/relationships/hyperlink" Target="https://dzen.ru/media/id/63dd27aac30ab522dcce48b3/63e73f66d8a61f624dfbc645" TargetMode="External"/><Relationship Id="rId409" Type="http://schemas.openxmlformats.org/officeDocument/2006/relationships/hyperlink" Target="https://dzen.ru/media/id/63dd27aac30ab522dcce48b3/665b0d5a407fdf75c98d8913" TargetMode="External"/><Relationship Id="rId404" Type="http://schemas.openxmlformats.org/officeDocument/2006/relationships/hyperlink" Target="https://dzen.ru/media/id/63dd27aac30ab522dcce48b3/665057567bb4bb4db3329a02" TargetMode="External"/><Relationship Id="rId525" Type="http://schemas.openxmlformats.org/officeDocument/2006/relationships/hyperlink" Target="https://dzen.ru/media/id/63dd27aac30ab522dcce48b3/69021b4ce0d30a4d237ba5ff" TargetMode="External"/><Relationship Id="rId646" Type="http://schemas.openxmlformats.org/officeDocument/2006/relationships/hyperlink" Target="https://dzen.ru/media/id/63dd27aac30ab522dcce48b3/69eca20fb328ed76d082d055" TargetMode="External"/><Relationship Id="rId403" Type="http://schemas.openxmlformats.org/officeDocument/2006/relationships/hyperlink" Target="https://dzen.ru/media/id/63dd27aac30ab522dcce48b3/664db78c4e94a95a1fdabae2" TargetMode="External"/><Relationship Id="rId524" Type="http://schemas.openxmlformats.org/officeDocument/2006/relationships/hyperlink" Target="https://dzen.ru/media/id/63dd27aac30ab522dcce48b3/68ff9ea32838d622c73e53b2" TargetMode="External"/><Relationship Id="rId645" Type="http://schemas.openxmlformats.org/officeDocument/2006/relationships/hyperlink" Target="https://dzen.ru/media/id/63dd27aac30ab522dcce48b3/69eb5a8cffbebd09e0ad0c42" TargetMode="External"/><Relationship Id="rId402" Type="http://schemas.openxmlformats.org/officeDocument/2006/relationships/hyperlink" Target="https://dzen.ru/media/id/63dd27aac30ab522dcce48b3/664ab275ddbe90425529520e" TargetMode="External"/><Relationship Id="rId523" Type="http://schemas.openxmlformats.org/officeDocument/2006/relationships/hyperlink" Target="https://dzen.ru/media/id/63dd27aac30ab522dcce48b3/68fbf6ee9f0528014afa25ee" TargetMode="External"/><Relationship Id="rId644" Type="http://schemas.openxmlformats.org/officeDocument/2006/relationships/hyperlink" Target="https://dzen.ru/media/id/63dd27aac30ab522dcce48b3/69e8a675ef10a53c8ef4f647" TargetMode="External"/><Relationship Id="rId401" Type="http://schemas.openxmlformats.org/officeDocument/2006/relationships/hyperlink" Target="https://dzen.ru/media/id/63dd27aac30ab522dcce48b3/66486e6758e5af458ca09e14" TargetMode="External"/><Relationship Id="rId522" Type="http://schemas.openxmlformats.org/officeDocument/2006/relationships/hyperlink" Target="https://dzen.ru/media/id/63dd27aac30ab522dcce48b3/68fbf6d22c86e33ffc03820c" TargetMode="External"/><Relationship Id="rId643" Type="http://schemas.openxmlformats.org/officeDocument/2006/relationships/hyperlink" Target="https://dzen.ru/media/id/63dd27aac30ab522dcce48b3/69e7a1f7504a2d335f657c41" TargetMode="External"/><Relationship Id="rId408" Type="http://schemas.openxmlformats.org/officeDocument/2006/relationships/hyperlink" Target="https://dzen.ru/media/id/63dd27aac30ab522dcce48b3/665aeb17c32b1358d0b82a23" TargetMode="External"/><Relationship Id="rId529" Type="http://schemas.openxmlformats.org/officeDocument/2006/relationships/hyperlink" Target="https://dzen.ru/media/id/63dd27aac30ab522dcce48b3/690bad44aabad23d9696de4f" TargetMode="External"/><Relationship Id="rId407" Type="http://schemas.openxmlformats.org/officeDocument/2006/relationships/hyperlink" Target="https://dzen.ru/media/id/63dd27aac30ab522dcce48b3/66583fd14d573e5b6fe8c7d7" TargetMode="External"/><Relationship Id="rId528" Type="http://schemas.openxmlformats.org/officeDocument/2006/relationships/hyperlink" Target="https://dzen.ru/media/id/63dd27aac30ab522dcce48b3/6908dea42317255bf337ad8f" TargetMode="External"/><Relationship Id="rId649" Type="http://schemas.openxmlformats.org/officeDocument/2006/relationships/hyperlink" Target="https://dzen.ru/media/id/63dd27aac30ab522dcce48b3/69f4557c8034f13afe362913" TargetMode="External"/><Relationship Id="rId406" Type="http://schemas.openxmlformats.org/officeDocument/2006/relationships/hyperlink" Target="https://dzen.ru/media/id/63dd27aac30ab522dcce48b3/66559f6e4241dd157f495897" TargetMode="External"/><Relationship Id="rId527" Type="http://schemas.openxmlformats.org/officeDocument/2006/relationships/hyperlink" Target="https://dzen.ru/media/id/63dd27aac30ab522dcce48b3/69062909548acf6c5bbd7252" TargetMode="External"/><Relationship Id="rId648" Type="http://schemas.openxmlformats.org/officeDocument/2006/relationships/hyperlink" Target="https://dzen.ru/media/id/63dd27aac30ab522dcce48b3/69f1d42d8397d7093fbf7c58" TargetMode="External"/><Relationship Id="rId405" Type="http://schemas.openxmlformats.org/officeDocument/2006/relationships/hyperlink" Target="https://dzen.ru/media/id/63dd27aac30ab522dcce48b3/6652f994633b6e66204ca790" TargetMode="External"/><Relationship Id="rId526" Type="http://schemas.openxmlformats.org/officeDocument/2006/relationships/hyperlink" Target="https://dzen.ru/media/id/63dd27aac30ab522dcce48b3/69049ad8e0d30a4d232a1bf5" TargetMode="External"/><Relationship Id="rId647" Type="http://schemas.openxmlformats.org/officeDocument/2006/relationships/hyperlink" Target="https://dzen.ru/media/id/63dd27aac30ab522dcce48b3/69ef0f245f1565661884433c" TargetMode="External"/><Relationship Id="rId26" Type="http://schemas.openxmlformats.org/officeDocument/2006/relationships/hyperlink" Target="https://dzen.ru/media/id/63dd27aac30ab522dcce48b3/63e740c6d8a61f624dfe4e67" TargetMode="External"/><Relationship Id="rId25" Type="http://schemas.openxmlformats.org/officeDocument/2006/relationships/hyperlink" Target="https://dzen.ru/media/id/63dd27aac30ab522dcce48b3/63e7403de635502055cbddbf" TargetMode="External"/><Relationship Id="rId28" Type="http://schemas.openxmlformats.org/officeDocument/2006/relationships/hyperlink" Target="https://dzen.ru/media/id/63dd27aac30ab522dcce48b3/63ea03083672ed09e332cb25" TargetMode="External"/><Relationship Id="rId27" Type="http://schemas.openxmlformats.org/officeDocument/2006/relationships/hyperlink" Target="https://dzen.ru/media/id/63dd27aac30ab522dcce48b3/63e7414db6320256725a3f85" TargetMode="External"/><Relationship Id="rId400" Type="http://schemas.openxmlformats.org/officeDocument/2006/relationships/hyperlink" Target="https://dzen.ru/media/id/63dd27aac30ab522dcce48b3/6645cf04fb2cf86e21863d29" TargetMode="External"/><Relationship Id="rId521" Type="http://schemas.openxmlformats.org/officeDocument/2006/relationships/hyperlink" Target="https://dzen.ru/media/id/63dd27aac30ab522dcce48b3/68f8dc96e50c2f095f70e87d" TargetMode="External"/><Relationship Id="rId642" Type="http://schemas.openxmlformats.org/officeDocument/2006/relationships/hyperlink" Target="https://dzen.ru/media/id/63dd27aac30ab522dcce48b3/69e69ded6a9454772626ad36" TargetMode="External"/><Relationship Id="rId29" Type="http://schemas.openxmlformats.org/officeDocument/2006/relationships/hyperlink" Target="https://dzen.ru/media/id/63dd27aac30ab522dcce48b3/63ea03ead8a61f624dc098f3" TargetMode="External"/><Relationship Id="rId520" Type="http://schemas.openxmlformats.org/officeDocument/2006/relationships/hyperlink" Target="https://dzen.ru/media/id/63dd27aac30ab522dcce48b3/68f66ffb3b3ecd35b5d5291d" TargetMode="External"/><Relationship Id="rId641" Type="http://schemas.openxmlformats.org/officeDocument/2006/relationships/hyperlink" Target="https://dzen.ru/media/id/63dd27aac30ab522dcce48b3/69e3591b6bb3744fb8b64f8b" TargetMode="External"/><Relationship Id="rId640" Type="http://schemas.openxmlformats.org/officeDocument/2006/relationships/hyperlink" Target="https://dzen.ru/media/id/63dd27aac30ab522dcce48b3/69e22980ff5efd65a7fd01b7" TargetMode="External"/><Relationship Id="rId11" Type="http://schemas.openxmlformats.org/officeDocument/2006/relationships/hyperlink" Target="https://dzen.ru/media/id/63dd27aac30ab522dcce48b3/63e34d85206e0529c26b8f08" TargetMode="External"/><Relationship Id="rId10" Type="http://schemas.openxmlformats.org/officeDocument/2006/relationships/hyperlink" Target="https://dzen.ru/media/id/63dd27aac30ab522dcce48b3/63e34b89206e0529c266fc06" TargetMode="External"/><Relationship Id="rId13" Type="http://schemas.openxmlformats.org/officeDocument/2006/relationships/hyperlink" Target="https://dzen.ru/media/id/63dd27aac30ab522dcce48b3/63e4bf1e71083879c11d7ab9" TargetMode="External"/><Relationship Id="rId12" Type="http://schemas.openxmlformats.org/officeDocument/2006/relationships/hyperlink" Target="https://dzen.ru/media/id/63dd27aac30ab522dcce48b3/63e34e2871083879c1425559" TargetMode="External"/><Relationship Id="rId519" Type="http://schemas.openxmlformats.org/officeDocument/2006/relationships/hyperlink" Target="https://dzen.ru/media/id/63dd27aac30ab522dcce48b3/68ed91d5f784a07f037aae69" TargetMode="External"/><Relationship Id="rId514" Type="http://schemas.openxmlformats.org/officeDocument/2006/relationships/hyperlink" Target="https://dzen.ru/media/id/63dd27aac30ab522dcce48b3/68ad28e659f39475d081cd9a" TargetMode="External"/><Relationship Id="rId635" Type="http://schemas.openxmlformats.org/officeDocument/2006/relationships/hyperlink" Target="https://dzen.ru/media/id/63dd27aac30ab522dcce48b3/69d4c54f16c912336e603aa7" TargetMode="External"/><Relationship Id="rId513" Type="http://schemas.openxmlformats.org/officeDocument/2006/relationships/hyperlink" Target="https://dzen.ru/media/id/63dd27aac30ab522dcce48b3/688a9852af26891504b6a416" TargetMode="External"/><Relationship Id="rId634" Type="http://schemas.openxmlformats.org/officeDocument/2006/relationships/hyperlink" Target="https://dzen.ru/media/id/63dd27aac30ab522dcce48b3/69d397cba97d8f46a0b4996e" TargetMode="External"/><Relationship Id="rId512" Type="http://schemas.openxmlformats.org/officeDocument/2006/relationships/hyperlink" Target="https://dzen.ru/media/id/63dd27aac30ab522dcce48b3/6888d60b050a79396eb66cf0" TargetMode="External"/><Relationship Id="rId633" Type="http://schemas.openxmlformats.org/officeDocument/2006/relationships/hyperlink" Target="https://dzen.ru/media/id/63dd27aac30ab522dcce48b3/69d0da14822f9600c8405684" TargetMode="External"/><Relationship Id="rId511" Type="http://schemas.openxmlformats.org/officeDocument/2006/relationships/hyperlink" Target="https://dzen.ru/media/id/63dd27aac30ab522dcce48b3/687f4d3351cdab32176950bd" TargetMode="External"/><Relationship Id="rId632" Type="http://schemas.openxmlformats.org/officeDocument/2006/relationships/hyperlink" Target="https://dzen.ru/media/id/63dd27aac30ab522dcce48b3/69cf8ab95cc9da341a51783c" TargetMode="External"/><Relationship Id="rId518" Type="http://schemas.openxmlformats.org/officeDocument/2006/relationships/hyperlink" Target="https://dzen.ru/media/id/63dd27aac30ab522dcce48b3/68cb21493a91b21a064052e0" TargetMode="External"/><Relationship Id="rId639" Type="http://schemas.openxmlformats.org/officeDocument/2006/relationships/hyperlink" Target="https://dzen.ru/media/id/63dd27aac30ab522dcce48b3/69df6e0e5f2c6700184b081b" TargetMode="External"/><Relationship Id="rId517" Type="http://schemas.openxmlformats.org/officeDocument/2006/relationships/hyperlink" Target="https://dzen.ru/media/id/63dd27aac30ab522dcce48b3/68bfeabc2a02b7362f518a0b" TargetMode="External"/><Relationship Id="rId638" Type="http://schemas.openxmlformats.org/officeDocument/2006/relationships/hyperlink" Target="https://dzen.ru/media/id/63dd27aac30ab522dcce48b3/69dccbfccc4ccd7838bee483" TargetMode="External"/><Relationship Id="rId516" Type="http://schemas.openxmlformats.org/officeDocument/2006/relationships/hyperlink" Target="https://dzen.ru/media/id/63dd27aac30ab522dcce48b3/68b6a3a1910c7045df648b5e" TargetMode="External"/><Relationship Id="rId637" Type="http://schemas.openxmlformats.org/officeDocument/2006/relationships/hyperlink" Target="https://dzen.ru/media/id/63dd27aac30ab522dcce48b3/69d91a2a26b14460f249f3ee" TargetMode="External"/><Relationship Id="rId515" Type="http://schemas.openxmlformats.org/officeDocument/2006/relationships/hyperlink" Target="https://dzen.ru/media/id/63dd27aac30ab522dcce48b3/68ad818152fbfd6b1684ff34" TargetMode="External"/><Relationship Id="rId636" Type="http://schemas.openxmlformats.org/officeDocument/2006/relationships/hyperlink" Target="https://dzen.ru/media/id/63dd27aac30ab522dcce48b3/69d6239216c912336efe92b1" TargetMode="External"/><Relationship Id="rId15" Type="http://schemas.openxmlformats.org/officeDocument/2006/relationships/hyperlink" Target="https://dzen.ru/media/id/63dd27aac30ab522dcce48b3/63e4c01fa42b1d132cc5a169" TargetMode="External"/><Relationship Id="rId14" Type="http://schemas.openxmlformats.org/officeDocument/2006/relationships/hyperlink" Target="https://dzen.ru/media/id/63dd27aac30ab522dcce48b3/63e4bfa720951645e7c3419b" TargetMode="External"/><Relationship Id="rId17" Type="http://schemas.openxmlformats.org/officeDocument/2006/relationships/hyperlink" Target="https://dzen.ru/media/id/63dd27aac30ab522dcce48b3/63e5e1312f2f457d3a34055c" TargetMode="External"/><Relationship Id="rId16" Type="http://schemas.openxmlformats.org/officeDocument/2006/relationships/hyperlink" Target="https://dzen.ru/media/id/63dd27aac30ab522dcce48b3/63e5e0ae6555b01990600616" TargetMode="External"/><Relationship Id="rId19" Type="http://schemas.openxmlformats.org/officeDocument/2006/relationships/hyperlink" Target="https://dzen.ru/media/id/63dd27aac30ab522dcce48b3/63e5e282022af957b2ac54cb" TargetMode="External"/><Relationship Id="rId510" Type="http://schemas.openxmlformats.org/officeDocument/2006/relationships/hyperlink" Target="https://dzen.ru/media/id/63dd27aac30ab522dcce48b3/687cc789e6dd871dfdd3c922" TargetMode="External"/><Relationship Id="rId631" Type="http://schemas.openxmlformats.org/officeDocument/2006/relationships/hyperlink" Target="https://dzen.ru/media/id/63dd27aac30ab522dcce48b3/69cba5db68834d7c097c487d" TargetMode="External"/><Relationship Id="rId18" Type="http://schemas.openxmlformats.org/officeDocument/2006/relationships/hyperlink" Target="https://dzen.ru/media/id/63dd27aac30ab522dcce48b3/63e5e1d49527e10694efb6b7" TargetMode="External"/><Relationship Id="rId630" Type="http://schemas.openxmlformats.org/officeDocument/2006/relationships/hyperlink" Target="https://dzen.ru/media/id/63dd27aac30ab522dcce48b3/69cce11f7a57a606de776a29" TargetMode="External"/><Relationship Id="rId84" Type="http://schemas.openxmlformats.org/officeDocument/2006/relationships/hyperlink" Target="https://dzen.ru/media/id/63dd27aac30ab522dcce48b3/6423fc6af8ec7c3ceabef54a" TargetMode="External"/><Relationship Id="rId83" Type="http://schemas.openxmlformats.org/officeDocument/2006/relationships/hyperlink" Target="https://dzen.ru/media/id/63dd27aac30ab522dcce48b3/64233cf693ef502e09325ed8" TargetMode="External"/><Relationship Id="rId86" Type="http://schemas.openxmlformats.org/officeDocument/2006/relationships/hyperlink" Target="https://dzen.ru/media/id/63dd27aac30ab522dcce48b3/6426bb3a4b88007cce4bd05d" TargetMode="External"/><Relationship Id="rId85" Type="http://schemas.openxmlformats.org/officeDocument/2006/relationships/hyperlink" Target="https://dzen.ru/media/id/63dd27aac30ab522dcce48b3/642555d26ce96c0a8b8addea" TargetMode="External"/><Relationship Id="rId88" Type="http://schemas.openxmlformats.org/officeDocument/2006/relationships/hyperlink" Target="https://dzen.ru/media/id/63dd27aac30ab522dcce48b3/642940af17fedc0d79045277" TargetMode="External"/><Relationship Id="rId87" Type="http://schemas.openxmlformats.org/officeDocument/2006/relationships/hyperlink" Target="https://dzen.ru/media/id/63dd27aac30ab522dcce48b3/6427fc26282bdf49f5dcbe69" TargetMode="External"/><Relationship Id="rId89" Type="http://schemas.openxmlformats.org/officeDocument/2006/relationships/hyperlink" Target="https://dzen.ru/media/id/63dd27aac30ab522dcce48b3/642ac170e1fa7f28645964c9" TargetMode="External"/><Relationship Id="rId80" Type="http://schemas.openxmlformats.org/officeDocument/2006/relationships/hyperlink" Target="https://dzen.ru/media/id/63dd27aac30ab522dcce48b3/641e162f4410c17d36978210" TargetMode="External"/><Relationship Id="rId82" Type="http://schemas.openxmlformats.org/officeDocument/2006/relationships/hyperlink" Target="https://dzen.ru/media/id/63dd27aac30ab522dcce48b3/6421769c65530d6563edd045" TargetMode="External"/><Relationship Id="rId81" Type="http://schemas.openxmlformats.org/officeDocument/2006/relationships/hyperlink" Target="https://dzen.ru/media/id/63dd27aac30ab522dcce48b3/64205c591df94946286cd0f3" TargetMode="External"/><Relationship Id="rId73" Type="http://schemas.openxmlformats.org/officeDocument/2006/relationships/hyperlink" Target="https://dzen.ru/media/id/63dd27aac30ab522dcce48b3/641427c3188a1b0dd6a42364" TargetMode="External"/><Relationship Id="rId72" Type="http://schemas.openxmlformats.org/officeDocument/2006/relationships/hyperlink" Target="https://dzen.ru/media/id/63dd27aac30ab522dcce48b3/64142773fa104d28f5ac70a0" TargetMode="External"/><Relationship Id="rId75" Type="http://schemas.openxmlformats.org/officeDocument/2006/relationships/hyperlink" Target="https://dzen.ru/media/id/63dd27aac30ab522dcce48b3/6418a2a83df84b6502b717b3" TargetMode="External"/><Relationship Id="rId74" Type="http://schemas.openxmlformats.org/officeDocument/2006/relationships/hyperlink" Target="https://dzen.ru/media/id/63dd27aac30ab522dcce48b3/6416e8db68b5dc1e539037f0" TargetMode="External"/><Relationship Id="rId77" Type="http://schemas.openxmlformats.org/officeDocument/2006/relationships/hyperlink" Target="https://dzen.ru/media/id/63dd27aac30ab522dcce48b3/641aeb0b54a4711c493e9467" TargetMode="External"/><Relationship Id="rId76" Type="http://schemas.openxmlformats.org/officeDocument/2006/relationships/hyperlink" Target="https://dzen.ru/media/id/63dd27aac30ab522dcce48b3/6419cd7cd54685168a6703e6" TargetMode="External"/><Relationship Id="rId79" Type="http://schemas.openxmlformats.org/officeDocument/2006/relationships/hyperlink" Target="https://dzen.ru/media/id/63dd27aac30ab522dcce48b3/641d8587cf387e4ed8da047b" TargetMode="External"/><Relationship Id="rId78" Type="http://schemas.openxmlformats.org/officeDocument/2006/relationships/hyperlink" Target="https://dzen.ru/media/id/63dd27aac30ab522dcce48b3/641c7203701ef4371af93bca" TargetMode="External"/><Relationship Id="rId71" Type="http://schemas.openxmlformats.org/officeDocument/2006/relationships/hyperlink" Target="https://dzen.ru/media/id/63dd27aac30ab522dcce48b3/64142708b976c55636b8e317" TargetMode="External"/><Relationship Id="rId70" Type="http://schemas.openxmlformats.org/officeDocument/2006/relationships/hyperlink" Target="https://dzen.ru/media/id/63dd27aac30ab522dcce48b3/641426be9446fd1fb6b519dd" TargetMode="External"/><Relationship Id="rId62" Type="http://schemas.openxmlformats.org/officeDocument/2006/relationships/hyperlink" Target="https://dzen.ru/media/id/63dd27aac30ab522dcce48b3/640c48204fc9e34fb8313b2d" TargetMode="External"/><Relationship Id="rId61" Type="http://schemas.openxmlformats.org/officeDocument/2006/relationships/hyperlink" Target="https://dzen.ru/media/id/63dd27aac30ab522dcce48b3/640c4785172c4f645494af11" TargetMode="External"/><Relationship Id="rId64" Type="http://schemas.openxmlformats.org/officeDocument/2006/relationships/hyperlink" Target="https://dzen.ru/media/id/63dd27aac30ab522dcce48b3/640c48e0d4e137214a308b5a" TargetMode="External"/><Relationship Id="rId63" Type="http://schemas.openxmlformats.org/officeDocument/2006/relationships/hyperlink" Target="https://dzen.ru/media/id/63dd27aac30ab522dcce48b3/640c488cd4e137214a2fd75b" TargetMode="External"/><Relationship Id="rId66" Type="http://schemas.openxmlformats.org/officeDocument/2006/relationships/hyperlink" Target="https://dzen.ru/media/id/63dd27aac30ab522dcce48b3/6410ef22b02fb42525e34f32" TargetMode="External"/><Relationship Id="rId65" Type="http://schemas.openxmlformats.org/officeDocument/2006/relationships/hyperlink" Target="https://dzen.ru/media/id/63dd27aac30ab522dcce48b3/640c493ba019fd175505c850" TargetMode="External"/><Relationship Id="rId68" Type="http://schemas.openxmlformats.org/officeDocument/2006/relationships/hyperlink" Target="https://dzen.ru/media/id/63dd27aac30ab522dcce48b3/6410f0e36cc57e15daa65548" TargetMode="External"/><Relationship Id="rId67" Type="http://schemas.openxmlformats.org/officeDocument/2006/relationships/hyperlink" Target="https://dzen.ru/media/id/63dd27aac30ab522dcce48b3/6410efce7a771c2eee9deb7d" TargetMode="External"/><Relationship Id="rId609" Type="http://schemas.openxmlformats.org/officeDocument/2006/relationships/hyperlink" Target="https://dzen.ru/media/id/63dd27aac30ab522dcce48b3/69aa9018c21a01225f86ec5b" TargetMode="External"/><Relationship Id="rId608" Type="http://schemas.openxmlformats.org/officeDocument/2006/relationships/hyperlink" Target="https://dzen.ru/media/id/63dd27aac30ab522dcce48b3/69a935dd54c19f73b9e04545" TargetMode="External"/><Relationship Id="rId607" Type="http://schemas.openxmlformats.org/officeDocument/2006/relationships/hyperlink" Target="https://dzen.ru/media/id/63dd27aac30ab522dcce48b3/69a8097fc87e676274ae0b51" TargetMode="External"/><Relationship Id="rId60" Type="http://schemas.openxmlformats.org/officeDocument/2006/relationships/hyperlink" Target="https://dzen.ru/media/id/63dd27aac30ab522dcce48b3/640c4720208ecd0da4aa710f" TargetMode="External"/><Relationship Id="rId602" Type="http://schemas.openxmlformats.org/officeDocument/2006/relationships/hyperlink" Target="https://dzen.ru/media/id/63dd27aac30ab522dcce48b3/699f7bae60ec9a474d41860c" TargetMode="External"/><Relationship Id="rId601" Type="http://schemas.openxmlformats.org/officeDocument/2006/relationships/hyperlink" Target="https://dzen.ru/media/id/63dd27aac30ab522dcce48b3/699f71395036c84a97378e35" TargetMode="External"/><Relationship Id="rId600" Type="http://schemas.openxmlformats.org/officeDocument/2006/relationships/hyperlink" Target="https://dzen.ru/media/id/63dd27aac30ab522dcce48b3/699eff7e2ca7165f88ff4851" TargetMode="External"/><Relationship Id="rId606" Type="http://schemas.openxmlformats.org/officeDocument/2006/relationships/hyperlink" Target="https://dzen.ru/media/id/63dd27aac30ab522dcce48b3/69a691f92ca7165f88e1af50" TargetMode="External"/><Relationship Id="rId605" Type="http://schemas.openxmlformats.org/officeDocument/2006/relationships/hyperlink" Target="https://dzen.ru/media/id/63dd27aac30ab522dcce48b3/69a6919060784765a596a8fb" TargetMode="External"/><Relationship Id="rId604" Type="http://schemas.openxmlformats.org/officeDocument/2006/relationships/hyperlink" Target="https://dzen.ru/media/id/63dd27aac30ab522dcce48b3/69a2b12fc87e676274f846f7" TargetMode="External"/><Relationship Id="rId603" Type="http://schemas.openxmlformats.org/officeDocument/2006/relationships/hyperlink" Target="https://dzen.ru/media/id/63dd27aac30ab522dcce48b3/69a191aa27a6b50c23bae670" TargetMode="External"/><Relationship Id="rId69" Type="http://schemas.openxmlformats.org/officeDocument/2006/relationships/hyperlink" Target="https://dzen.ru/media/id/63dd27aac30ab522dcce48b3/6410f195e09e825fc5e0d932" TargetMode="External"/><Relationship Id="rId51" Type="http://schemas.openxmlformats.org/officeDocument/2006/relationships/hyperlink" Target="https://dzen.ru/media/id/63dd27aac30ab522dcce48b3/63ff333309621d795d9b55db" TargetMode="External"/><Relationship Id="rId50" Type="http://schemas.openxmlformats.org/officeDocument/2006/relationships/hyperlink" Target="https://dzen.ru/media/id/63dd27aac30ab522dcce48b3/63fe244b1e751c186b02af4f" TargetMode="External"/><Relationship Id="rId53" Type="http://schemas.openxmlformats.org/officeDocument/2006/relationships/hyperlink" Target="https://dzen.ru/media/id/63dd27aac30ab522dcce48b3/64030e5279d1922f93eb0811" TargetMode="External"/><Relationship Id="rId52" Type="http://schemas.openxmlformats.org/officeDocument/2006/relationships/hyperlink" Target="https://dzen.ru/media/id/63dd27aac30ab522dcce48b3/640089f7f9053437dfa52c3d" TargetMode="External"/><Relationship Id="rId55" Type="http://schemas.openxmlformats.org/officeDocument/2006/relationships/hyperlink" Target="https://dzen.ru/media/id/63dd27aac30ab522dcce48b3/6406f8b4f056c65375fa59f0" TargetMode="External"/><Relationship Id="rId54" Type="http://schemas.openxmlformats.org/officeDocument/2006/relationships/hyperlink" Target="https://dzen.ru/media/id/63dd27aac30ab522dcce48b3/6404add5028b9d7ae4db71fe" TargetMode="External"/><Relationship Id="rId57" Type="http://schemas.openxmlformats.org/officeDocument/2006/relationships/hyperlink" Target="https://dzen.ru/media/id/63dd27aac30ab522dcce48b3/640ad2330a7c6b686e8bdd58" TargetMode="External"/><Relationship Id="rId56" Type="http://schemas.openxmlformats.org/officeDocument/2006/relationships/hyperlink" Target="https://dzen.ru/media/id/63dd27aac30ab522dcce48b3/6409be2fd9258c3cb1de667d" TargetMode="External"/><Relationship Id="rId59" Type="http://schemas.openxmlformats.org/officeDocument/2006/relationships/hyperlink" Target="https://dzen.ru/media/id/63dd27aac30ab522dcce48b3/640c46caf51604314a810aeb" TargetMode="External"/><Relationship Id="rId58" Type="http://schemas.openxmlformats.org/officeDocument/2006/relationships/hyperlink" Target="https://dzen.ru/media/id/63dd27aac30ab522dcce48b3/640c4568508a173b5bce23d5" TargetMode="External"/><Relationship Id="rId590" Type="http://schemas.openxmlformats.org/officeDocument/2006/relationships/hyperlink" Target="https://dzen.ru/media/id/63dd27aac30ab522dcce48b3/6990237fd4b49760c4af972b" TargetMode="External"/><Relationship Id="rId107" Type="http://schemas.openxmlformats.org/officeDocument/2006/relationships/hyperlink" Target="https://dzen.ru/media/id/63dd27aac30ab522dcce48b3/6442394504e485105ce8b857" TargetMode="External"/><Relationship Id="rId228" Type="http://schemas.openxmlformats.org/officeDocument/2006/relationships/hyperlink" Target="https://dzen.ru/media/id/63dd27aac30ab522dcce48b3/64e21e9b9d7ce32b3a145018" TargetMode="External"/><Relationship Id="rId349" Type="http://schemas.openxmlformats.org/officeDocument/2006/relationships/hyperlink" Target="https://dzen.ru/media/id/63dd27aac30ab522dcce48b3/65c21a628f4eb37bf0312100" TargetMode="External"/><Relationship Id="rId106" Type="http://schemas.openxmlformats.org/officeDocument/2006/relationships/hyperlink" Target="https://dzen.ru/media/id/63dd27aac30ab522dcce48b3/6440af102171c245fa9db2c0" TargetMode="External"/><Relationship Id="rId227" Type="http://schemas.openxmlformats.org/officeDocument/2006/relationships/hyperlink" Target="https://dzen.ru/media/id/63dd27aac30ab522dcce48b3/64e0dce2a5f0c931a9adf4fb" TargetMode="External"/><Relationship Id="rId348" Type="http://schemas.openxmlformats.org/officeDocument/2006/relationships/hyperlink" Target="https://dzen.ru/media/id/63dd27aac30ab522dcce48b3/65bf7288fa9ef6641df97ff4" TargetMode="External"/><Relationship Id="rId469" Type="http://schemas.openxmlformats.org/officeDocument/2006/relationships/hyperlink" Target="https://dzen.ru/media/id/63dd27aac30ab522dcce48b3/67764e829f63e44d2d409363" TargetMode="External"/><Relationship Id="rId105" Type="http://schemas.openxmlformats.org/officeDocument/2006/relationships/hyperlink" Target="https://dzen.ru/media/id/63dd27aac30ab522dcce48b3/643f110cf4e31e6c612d539a" TargetMode="External"/><Relationship Id="rId226" Type="http://schemas.openxmlformats.org/officeDocument/2006/relationships/hyperlink" Target="https://dzen.ru/media/id/63dd27aac30ab522dcce48b3/64df8a74a5f0c931a9e91ee2" TargetMode="External"/><Relationship Id="rId347" Type="http://schemas.openxmlformats.org/officeDocument/2006/relationships/hyperlink" Target="https://dzen.ru/media/id/63dd27aac30ab522dcce48b3/65bce2645dfc3730073dc123" TargetMode="External"/><Relationship Id="rId468" Type="http://schemas.openxmlformats.org/officeDocument/2006/relationships/hyperlink" Target="https://dzen.ru/media/id/63dd27aac30ab522dcce48b3/677627d0a240fb562857f9ca" TargetMode="External"/><Relationship Id="rId589" Type="http://schemas.openxmlformats.org/officeDocument/2006/relationships/hyperlink" Target="https://dzen.ru/media/id/63dd27aac30ab522dcce48b3/698eebddf1a25f22b8874294" TargetMode="External"/><Relationship Id="rId104" Type="http://schemas.openxmlformats.org/officeDocument/2006/relationships/hyperlink" Target="https://dzen.ru/media/id/63dd27aac30ab522dcce48b3/643e5760b09ef74c5d6d3672" TargetMode="External"/><Relationship Id="rId225" Type="http://schemas.openxmlformats.org/officeDocument/2006/relationships/hyperlink" Target="https://dzen.ru/media/id/63dd27aac30ab522dcce48b3/64de1f9da9216a35444964e4" TargetMode="External"/><Relationship Id="rId346" Type="http://schemas.openxmlformats.org/officeDocument/2006/relationships/hyperlink" Target="https://dzen.ru/media/id/63dd27aac30ab522dcce48b3/65ba69679a43927d63990461" TargetMode="External"/><Relationship Id="rId467" Type="http://schemas.openxmlformats.org/officeDocument/2006/relationships/hyperlink" Target="https://dzen.ru/media/id/63dd27aac30ab522dcce48b3/6772be9b61de3c12de133b0d" TargetMode="External"/><Relationship Id="rId588" Type="http://schemas.openxmlformats.org/officeDocument/2006/relationships/hyperlink" Target="https://dzen.ru/media/id/63dd27aac30ab522dcce48b3/698c50b7d389c17d75a0d4b9" TargetMode="External"/><Relationship Id="rId109" Type="http://schemas.openxmlformats.org/officeDocument/2006/relationships/hyperlink" Target="https://dzen.ru/media/id/63dd27aac30ab522dcce48b3/6444fa8c2952dd21d46a3628" TargetMode="External"/><Relationship Id="rId108" Type="http://schemas.openxmlformats.org/officeDocument/2006/relationships/hyperlink" Target="https://dzen.ru/media/id/63dd27aac30ab522dcce48b3/6443ea00e8967e33c12d02eb" TargetMode="External"/><Relationship Id="rId229" Type="http://schemas.openxmlformats.org/officeDocument/2006/relationships/hyperlink" Target="https://dzen.ru/media/id/63dd27aac30ab522dcce48b3/64e370d2fc86116427fb7c0d" TargetMode="External"/><Relationship Id="rId220" Type="http://schemas.openxmlformats.org/officeDocument/2006/relationships/hyperlink" Target="https://dzen.ru/media/id/63dd27aac30ab522dcce48b3/64d7a5c0d5a4066e1ab20239" TargetMode="External"/><Relationship Id="rId341" Type="http://schemas.openxmlformats.org/officeDocument/2006/relationships/hyperlink" Target="https://dzen.ru/media/id/63dd27aac30ab522dcce48b3/65aceab245a3d2231603f312" TargetMode="External"/><Relationship Id="rId462" Type="http://schemas.openxmlformats.org/officeDocument/2006/relationships/hyperlink" Target="https://dzen.ru/media/id/63dd27aac30ab522dcce48b3/6763c4f96cb0db76f412f795" TargetMode="External"/><Relationship Id="rId583" Type="http://schemas.openxmlformats.org/officeDocument/2006/relationships/hyperlink" Target="https://dzen.ru/media/id/63dd27aac30ab522dcce48b3/6981c4696927e759894b6c16" TargetMode="External"/><Relationship Id="rId340" Type="http://schemas.openxmlformats.org/officeDocument/2006/relationships/hyperlink" Target="https://dzen.ru/media/id/63dd27aac30ab522dcce48b3/65aa59382e90f77ee36aea3b" TargetMode="External"/><Relationship Id="rId461" Type="http://schemas.openxmlformats.org/officeDocument/2006/relationships/hyperlink" Target="https://dzen.ru/media/id/63dd27aac30ab522dcce48b3/676141afc41d463742ef0259" TargetMode="External"/><Relationship Id="rId582" Type="http://schemas.openxmlformats.org/officeDocument/2006/relationships/hyperlink" Target="https://dzen.ru/media/id/63dd27aac30ab522dcce48b3/6981ad25ed5bec4bf0ecadab" TargetMode="External"/><Relationship Id="rId460" Type="http://schemas.openxmlformats.org/officeDocument/2006/relationships/hyperlink" Target="https://dzen.ru/media/id/63dd27aac30ab522dcce48b3/675d5648ce410104479790f9" TargetMode="External"/><Relationship Id="rId581" Type="http://schemas.openxmlformats.org/officeDocument/2006/relationships/hyperlink" Target="https://dzen.ru/media/id/63dd27aac30ab522dcce48b3/69808277c00b4404e07df5aa" TargetMode="External"/><Relationship Id="rId580" Type="http://schemas.openxmlformats.org/officeDocument/2006/relationships/hyperlink" Target="https://dzen.ru/media/id/63dd27aac30ab522dcce48b3/697ddadd53d8595caded393a" TargetMode="External"/><Relationship Id="rId103" Type="http://schemas.openxmlformats.org/officeDocument/2006/relationships/hyperlink" Target="https://dzen.ru/media/id/63dd27aac30ab522dcce48b3/643c60654d6f403382345fba" TargetMode="External"/><Relationship Id="rId224" Type="http://schemas.openxmlformats.org/officeDocument/2006/relationships/hyperlink" Target="https://dzen.ru/media/id/63dd27aac30ab522dcce48b3/64dce7a111e6134d5ea32304" TargetMode="External"/><Relationship Id="rId345" Type="http://schemas.openxmlformats.org/officeDocument/2006/relationships/hyperlink" Target="https://dzen.ru/media/id/63dd27aac30ab522dcce48b3/65b7815ef73db3435b0f4b2e" TargetMode="External"/><Relationship Id="rId466" Type="http://schemas.openxmlformats.org/officeDocument/2006/relationships/hyperlink" Target="https://dzen.ru/media/id/63dd27aac30ab522dcce48b3/676ee4d5414c0d15d26ed362" TargetMode="External"/><Relationship Id="rId587" Type="http://schemas.openxmlformats.org/officeDocument/2006/relationships/hyperlink" Target="https://dzen.ru/media/id/63dd27aac30ab522dcce48b3/6989d2a5d39e2312733770ad" TargetMode="External"/><Relationship Id="rId102" Type="http://schemas.openxmlformats.org/officeDocument/2006/relationships/hyperlink" Target="https://dzen.ru/media/id/63dd27aac30ab522dcce48b3/643b2754bdaeac23afd11503" TargetMode="External"/><Relationship Id="rId223" Type="http://schemas.openxmlformats.org/officeDocument/2006/relationships/hyperlink" Target="https://dzen.ru/media/id/63dd27aac30ab522dcce48b3/64db86039fa3aa5a31f9f784" TargetMode="External"/><Relationship Id="rId344" Type="http://schemas.openxmlformats.org/officeDocument/2006/relationships/hyperlink" Target="https://dzen.ru/media/id/63dd27aac30ab522dcce48b3/65b4ca86194b0809df129338" TargetMode="External"/><Relationship Id="rId465" Type="http://schemas.openxmlformats.org/officeDocument/2006/relationships/hyperlink" Target="https://dzen.ru/media/id/63dd27aac30ab522dcce48b3/676d36bcbdc355605f0ab280" TargetMode="External"/><Relationship Id="rId586" Type="http://schemas.openxmlformats.org/officeDocument/2006/relationships/hyperlink" Target="https://dzen.ru/media/id/63dd27aac30ab522dcce48b3/6987546e6cb80a0df577be72" TargetMode="External"/><Relationship Id="rId101" Type="http://schemas.openxmlformats.org/officeDocument/2006/relationships/hyperlink" Target="https://dzen.ru/media/id/63dd27aac30ab522dcce48b3/643a6c846f99ba706bc7c715" TargetMode="External"/><Relationship Id="rId222" Type="http://schemas.openxmlformats.org/officeDocument/2006/relationships/hyperlink" Target="https://dzen.ru/media/id/63dd27aac30ab522dcce48b3/64da3bf1ae41ff4d81c7c2b1" TargetMode="External"/><Relationship Id="rId343" Type="http://schemas.openxmlformats.org/officeDocument/2006/relationships/hyperlink" Target="https://dzen.ru/media/id/63dd27aac30ab522dcce48b3/65b23e82d071787ab00a0833" TargetMode="External"/><Relationship Id="rId464" Type="http://schemas.openxmlformats.org/officeDocument/2006/relationships/hyperlink" Target="https://dzen.ru/media/id/63dd27aac30ab522dcce48b3/676a6b6561473f01b5c71199" TargetMode="External"/><Relationship Id="rId585" Type="http://schemas.openxmlformats.org/officeDocument/2006/relationships/hyperlink" Target="https://dzen.ru/media/id/63dd27aac30ab522dcce48b3/6985cb91411702731c667cec" TargetMode="External"/><Relationship Id="rId100" Type="http://schemas.openxmlformats.org/officeDocument/2006/relationships/hyperlink" Target="https://dzen.ru/media/id/63dd27aac30ab522dcce48b3/64385449b4206372d429035c" TargetMode="External"/><Relationship Id="rId221" Type="http://schemas.openxmlformats.org/officeDocument/2006/relationships/hyperlink" Target="https://dzen.ru/media/id/63dd27aac30ab522dcce48b3/64d8d727e0718b48a4d03267" TargetMode="External"/><Relationship Id="rId342" Type="http://schemas.openxmlformats.org/officeDocument/2006/relationships/hyperlink" Target="https://dzen.ru/media/id/63dd27aac30ab522dcce48b3/65af7f9ff710c9537f2f65f6" TargetMode="External"/><Relationship Id="rId463" Type="http://schemas.openxmlformats.org/officeDocument/2006/relationships/hyperlink" Target="https://dzen.ru/media/id/63dd27aac30ab522dcce48b3/6766756b2230c210992111a2" TargetMode="External"/><Relationship Id="rId584" Type="http://schemas.openxmlformats.org/officeDocument/2006/relationships/hyperlink" Target="https://dzen.ru/media/id/63dd27aac30ab522dcce48b3/69832a80a817b25bc072114e" TargetMode="External"/><Relationship Id="rId217" Type="http://schemas.openxmlformats.org/officeDocument/2006/relationships/hyperlink" Target="https://dzen.ru/media/id/63dd27aac30ab522dcce48b3/64d3a3af557c7928fd958d83" TargetMode="External"/><Relationship Id="rId338" Type="http://schemas.openxmlformats.org/officeDocument/2006/relationships/hyperlink" Target="https://dzen.ru/media/id/63dd27aac30ab522dcce48b3/65a505a2ddf1a70e5665545b" TargetMode="External"/><Relationship Id="rId459" Type="http://schemas.openxmlformats.org/officeDocument/2006/relationships/hyperlink" Target="https://dzen.ru/media/id/63dd27aac30ab522dcce48b3/675aa95725a9185336de68cb" TargetMode="External"/><Relationship Id="rId216" Type="http://schemas.openxmlformats.org/officeDocument/2006/relationships/hyperlink" Target="https://dzen.ru/media/id/63dd27aac30ab522dcce48b3/64d24d0165b8bf655f4085bd" TargetMode="External"/><Relationship Id="rId337" Type="http://schemas.openxmlformats.org/officeDocument/2006/relationships/hyperlink" Target="https://dzen.ru/media/id/63dd27aac30ab522dcce48b3/65a25a40b754511ad6fd13aa" TargetMode="External"/><Relationship Id="rId458" Type="http://schemas.openxmlformats.org/officeDocument/2006/relationships/hyperlink" Target="https://dzen.ru/media/id/63dd27aac30ab522dcce48b3/6757e7c880bd6732302cf36a" TargetMode="External"/><Relationship Id="rId579" Type="http://schemas.openxmlformats.org/officeDocument/2006/relationships/hyperlink" Target="https://dzen.ru/media/id/63dd27aac30ab522dcce48b3/697ca04277634e37c62ed88f" TargetMode="External"/><Relationship Id="rId215" Type="http://schemas.openxmlformats.org/officeDocument/2006/relationships/hyperlink" Target="https://dzen.ru/media/id/63dd27aac30ab522dcce48b3/64d0d7164a27621bc2b4d732" TargetMode="External"/><Relationship Id="rId336" Type="http://schemas.openxmlformats.org/officeDocument/2006/relationships/hyperlink" Target="https://dzen.ru/media/id/63dd27aac30ab522dcce48b3/659fbbdc5647dd345050fbb2" TargetMode="External"/><Relationship Id="rId457" Type="http://schemas.openxmlformats.org/officeDocument/2006/relationships/hyperlink" Target="https://dzen.ru/media/id/63dd27aac30ab522dcce48b3/675401c29931853c2f9feadb" TargetMode="External"/><Relationship Id="rId578" Type="http://schemas.openxmlformats.org/officeDocument/2006/relationships/hyperlink" Target="https://dzen.ru/media/id/63dd27aac30ab522dcce48b3/6979fc504437833b46ebf248" TargetMode="External"/><Relationship Id="rId214" Type="http://schemas.openxmlformats.org/officeDocument/2006/relationships/hyperlink" Target="https://dzen.ru/media/id/63dd27aac30ab522dcce48b3/64cf9dd2d1abe756216d0311" TargetMode="External"/><Relationship Id="rId335" Type="http://schemas.openxmlformats.org/officeDocument/2006/relationships/hyperlink" Target="https://dzen.ru/media/id/63dd27aac30ab522dcce48b3/659d2497270a0108aa42e645" TargetMode="External"/><Relationship Id="rId456" Type="http://schemas.openxmlformats.org/officeDocument/2006/relationships/hyperlink" Target="https://dzen.ru/media/id/63dd27aac30ab522dcce48b3/67519305eaccc34dc79f9bc7" TargetMode="External"/><Relationship Id="rId577" Type="http://schemas.openxmlformats.org/officeDocument/2006/relationships/hyperlink" Target="https://dzen.ru/media/id/63dd27aac30ab522dcce48b3/69776e894156b1621a0336be" TargetMode="External"/><Relationship Id="rId219" Type="http://schemas.openxmlformats.org/officeDocument/2006/relationships/hyperlink" Target="https://dzen.ru/media/id/63dd27aac30ab522dcce48b3/64d646d4ece9da1476904a39" TargetMode="External"/><Relationship Id="rId218" Type="http://schemas.openxmlformats.org/officeDocument/2006/relationships/hyperlink" Target="https://dzen.ru/media/id/63dd27aac30ab522dcce48b3/64d4edac5902091e1e50ebe4" TargetMode="External"/><Relationship Id="rId339" Type="http://schemas.openxmlformats.org/officeDocument/2006/relationships/hyperlink" Target="https://dzen.ru/media/id/63dd27aac30ab522dcce48b3/65a7a8e7d6fe4d67bf269e0d" TargetMode="External"/><Relationship Id="rId330" Type="http://schemas.openxmlformats.org/officeDocument/2006/relationships/hyperlink" Target="https://dzen.ru/media/id/63dd27aac30ab522dcce48b3/658fe8aba4afb845b1aae9c8" TargetMode="External"/><Relationship Id="rId451" Type="http://schemas.openxmlformats.org/officeDocument/2006/relationships/hyperlink" Target="https://dzen.ru/media/id/63dd27aac30ab522dcce48b3/6715efd33e08c16a42f35754" TargetMode="External"/><Relationship Id="rId572" Type="http://schemas.openxmlformats.org/officeDocument/2006/relationships/hyperlink" Target="https://dzen.ru/media/id/63dd27aac30ab522dcce48b3/696b5b8e84d48664e17a3fd1" TargetMode="External"/><Relationship Id="rId450" Type="http://schemas.openxmlformats.org/officeDocument/2006/relationships/hyperlink" Target="https://dzen.ru/media/id/63dd27aac30ab522dcce48b3/670e35993673b06ef751377e" TargetMode="External"/><Relationship Id="rId571" Type="http://schemas.openxmlformats.org/officeDocument/2006/relationships/hyperlink" Target="https://dzen.ru/media/id/63dd27aac30ab522dcce48b3/696a0c4f9413f0435b6e4082" TargetMode="External"/><Relationship Id="rId570" Type="http://schemas.openxmlformats.org/officeDocument/2006/relationships/hyperlink" Target="https://dzen.ru/media/id/63dd27aac30ab522dcce48b3/69677aceb2d5f9209fb7ddae" TargetMode="External"/><Relationship Id="rId213" Type="http://schemas.openxmlformats.org/officeDocument/2006/relationships/hyperlink" Target="https://dzen.ru/media/id/63dd27aac30ab522dcce48b3/64ce24695fd9762d162c2c80" TargetMode="External"/><Relationship Id="rId334" Type="http://schemas.openxmlformats.org/officeDocument/2006/relationships/hyperlink" Target="https://dzen.ru/media/id/63dd27aac30ab522dcce48b3/659aaae8270a0108aa27f17e" TargetMode="External"/><Relationship Id="rId455" Type="http://schemas.openxmlformats.org/officeDocument/2006/relationships/hyperlink" Target="https://dzen.ru/media/id/63dd27aac30ab522dcce48b3/672c7ba17c58c73067bebef9" TargetMode="External"/><Relationship Id="rId576" Type="http://schemas.openxmlformats.org/officeDocument/2006/relationships/hyperlink" Target="https://dzen.ru/media/id/63dd27aac30ab522dcce48b3/6974c81360015736ef75c81a" TargetMode="External"/><Relationship Id="rId212" Type="http://schemas.openxmlformats.org/officeDocument/2006/relationships/hyperlink" Target="https://dzen.ru/media/id/63dd27aac30ab522dcce48b3/64cc0df71a2d213521837e4f" TargetMode="External"/><Relationship Id="rId333" Type="http://schemas.openxmlformats.org/officeDocument/2006/relationships/hyperlink" Target="https://dzen.ru/media/id/63dd27aac30ab522dcce48b3/6597ffd392a5031d8271181d" TargetMode="External"/><Relationship Id="rId454" Type="http://schemas.openxmlformats.org/officeDocument/2006/relationships/hyperlink" Target="https://dzen.ru/media/id/63dd27aac30ab522dcce48b3/6729e5e20d936139bfdde2f3" TargetMode="External"/><Relationship Id="rId575" Type="http://schemas.openxmlformats.org/officeDocument/2006/relationships/hyperlink" Target="https://dzen.ru/media/id/63dd27aac30ab522dcce48b3/69735a469f2e7939d02b92ef" TargetMode="External"/><Relationship Id="rId211" Type="http://schemas.openxmlformats.org/officeDocument/2006/relationships/hyperlink" Target="https://dzen.ru/media/id/63dd27aac30ab522dcce48b3/64cba7e8ef433f10ac2b5261" TargetMode="External"/><Relationship Id="rId332" Type="http://schemas.openxmlformats.org/officeDocument/2006/relationships/hyperlink" Target="https://dzen.ru/media/id/63dd27aac30ab522dcce48b3/659566335c108b68eacac542" TargetMode="External"/><Relationship Id="rId453" Type="http://schemas.openxmlformats.org/officeDocument/2006/relationships/hyperlink" Target="https://dzen.ru/media/id/63dd27aac30ab522dcce48b3/671fb49e7cb4355e1d8de10c" TargetMode="External"/><Relationship Id="rId574" Type="http://schemas.openxmlformats.org/officeDocument/2006/relationships/hyperlink" Target="https://dzen.ru/media/id/63dd27aac30ab522dcce48b3/6970a64f077e8f045f1d649b" TargetMode="External"/><Relationship Id="rId210" Type="http://schemas.openxmlformats.org/officeDocument/2006/relationships/hyperlink" Target="https://dzen.ru/media/id/63dd27aac30ab522dcce48b3/64c97a96d21c8d352cb0fcc9" TargetMode="External"/><Relationship Id="rId331" Type="http://schemas.openxmlformats.org/officeDocument/2006/relationships/hyperlink" Target="https://dzen.ru/media/id/63dd27aac30ab522dcce48b3/6592afaaaa8dfa366d044e57" TargetMode="External"/><Relationship Id="rId452" Type="http://schemas.openxmlformats.org/officeDocument/2006/relationships/hyperlink" Target="https://dzen.ru/media/id/63dd27aac30ab522dcce48b3/671a16c83b40e03d0e58260d" TargetMode="External"/><Relationship Id="rId573" Type="http://schemas.openxmlformats.org/officeDocument/2006/relationships/hyperlink" Target="https://dzen.ru/media/id/63dd27aac30ab522dcce48b3/696e1e6435adb34b9103e082" TargetMode="External"/><Relationship Id="rId370" Type="http://schemas.openxmlformats.org/officeDocument/2006/relationships/hyperlink" Target="https://dzen.ru/media/id/63dd27aac30ab522dcce48b3/65eeca150149d872efd755e8" TargetMode="External"/><Relationship Id="rId491" Type="http://schemas.openxmlformats.org/officeDocument/2006/relationships/hyperlink" Target="https://dzen.ru/media/id/63dd27aac30ab522dcce48b3/67cfb52488f481026d845efe" TargetMode="External"/><Relationship Id="rId490" Type="http://schemas.openxmlformats.org/officeDocument/2006/relationships/hyperlink" Target="https://dzen.ru/media/id/63dd27aac30ab522dcce48b3/67c91720d97b6f7d412f6bd2" TargetMode="External"/><Relationship Id="rId129" Type="http://schemas.openxmlformats.org/officeDocument/2006/relationships/hyperlink" Target="https://dzen.ru/media/id/63dd27aac30ab522dcce48b3/645f648c09d15309d1480cd5" TargetMode="External"/><Relationship Id="rId128" Type="http://schemas.openxmlformats.org/officeDocument/2006/relationships/hyperlink" Target="https://dzen.ru/media/id/63dd27aac30ab522dcce48b3/645f62f685ccb948093af23b" TargetMode="External"/><Relationship Id="rId249" Type="http://schemas.openxmlformats.org/officeDocument/2006/relationships/hyperlink" Target="https://dzen.ru/media/id/63dd27aac30ab522dcce48b3/64fde968de44ec2d8efd50f5" TargetMode="External"/><Relationship Id="rId127" Type="http://schemas.openxmlformats.org/officeDocument/2006/relationships/hyperlink" Target="https://dzen.ru/media/id/63dd27aac30ab522dcce48b3/645e18ae9a2b427ccfcf0502" TargetMode="External"/><Relationship Id="rId248" Type="http://schemas.openxmlformats.org/officeDocument/2006/relationships/hyperlink" Target="https://dzen.ru/media/id/63dd27aac30ab522dcce48b3/64fc814872084b0714128f45" TargetMode="External"/><Relationship Id="rId369" Type="http://schemas.openxmlformats.org/officeDocument/2006/relationships/hyperlink" Target="https://dzen.ru/media/id/63dd27aac30ab522dcce48b3/65eec9bf28714c5311bae9d5" TargetMode="External"/><Relationship Id="rId126" Type="http://schemas.openxmlformats.org/officeDocument/2006/relationships/hyperlink" Target="https://dzen.ru/media/id/63dd27aac30ab522dcce48b3/645ccb3d167baa53a894c589" TargetMode="External"/><Relationship Id="rId247" Type="http://schemas.openxmlformats.org/officeDocument/2006/relationships/hyperlink" Target="https://dzen.ru/media/id/63dd27aac30ab522dcce48b3/64fb2d1140159a051a09d217" TargetMode="External"/><Relationship Id="rId368" Type="http://schemas.openxmlformats.org/officeDocument/2006/relationships/hyperlink" Target="https://dzen.ru/media/id/63dd27aac30ab522dcce48b3/65eec9660fe2f30fb1e0ce82" TargetMode="External"/><Relationship Id="rId489" Type="http://schemas.openxmlformats.org/officeDocument/2006/relationships/hyperlink" Target="https://dzen.ru/media/id/63dd27aac30ab522dcce48b3/67c67df246ac5f15b1f8d869" TargetMode="External"/><Relationship Id="rId121" Type="http://schemas.openxmlformats.org/officeDocument/2006/relationships/hyperlink" Target="https://dzen.ru/media/id/63dd27aac30ab522dcce48b3/64541c728c1d170b7603356d" TargetMode="External"/><Relationship Id="rId242" Type="http://schemas.openxmlformats.org/officeDocument/2006/relationships/hyperlink" Target="https://dzen.ru/media/id/63dd27aac30ab522dcce48b3/64f49146d643ae46b711317a" TargetMode="External"/><Relationship Id="rId363" Type="http://schemas.openxmlformats.org/officeDocument/2006/relationships/hyperlink" Target="https://dzen.ru/media/id/63dd27aac30ab522dcce48b3/65e727c143aee1520a58fb14" TargetMode="External"/><Relationship Id="rId484" Type="http://schemas.openxmlformats.org/officeDocument/2006/relationships/hyperlink" Target="https://dzen.ru/media/id/63dd27aac30ab522dcce48b3/67ad9e5da654a83f340468ec" TargetMode="External"/><Relationship Id="rId120" Type="http://schemas.openxmlformats.org/officeDocument/2006/relationships/hyperlink" Target="https://dzen.ru/media/id/63dd27aac30ab522dcce48b3/6453f7e228226754d7f5a06e" TargetMode="External"/><Relationship Id="rId241" Type="http://schemas.openxmlformats.org/officeDocument/2006/relationships/hyperlink" Target="https://dzen.ru/media/id/63dd27aac30ab522dcce48b3/64f34369d643ae46b79ff214" TargetMode="External"/><Relationship Id="rId362" Type="http://schemas.openxmlformats.org/officeDocument/2006/relationships/hyperlink" Target="https://dzen.ru/media/id/63dd27aac30ab522dcce48b3/65e45b9e6d6be61b077ead49" TargetMode="External"/><Relationship Id="rId483" Type="http://schemas.openxmlformats.org/officeDocument/2006/relationships/hyperlink" Target="https://dzen.ru/media/id/63dd27aac30ab522dcce48b3/67aaf6f2b1c7015e6febfa57" TargetMode="External"/><Relationship Id="rId240" Type="http://schemas.openxmlformats.org/officeDocument/2006/relationships/hyperlink" Target="https://dzen.ru/media/id/63dd27aac30ab522dcce48b3/64f20652736c0272f3917ca1" TargetMode="External"/><Relationship Id="rId361" Type="http://schemas.openxmlformats.org/officeDocument/2006/relationships/hyperlink" Target="https://dzen.ru/media/id/63dd27aac30ab522dcce48b3/65e1cf74c904961cd94f8641" TargetMode="External"/><Relationship Id="rId482" Type="http://schemas.openxmlformats.org/officeDocument/2006/relationships/hyperlink" Target="https://dzen.ru/media/id/63dd27aac30ab522dcce48b3/67a45f55d50dbe55bfc13c93" TargetMode="External"/><Relationship Id="rId360" Type="http://schemas.openxmlformats.org/officeDocument/2006/relationships/hyperlink" Target="https://dzen.ru/media/id/63dd27aac30ab522dcce48b3/65df063cd81e6e78f431554f" TargetMode="External"/><Relationship Id="rId481" Type="http://schemas.openxmlformats.org/officeDocument/2006/relationships/hyperlink" Target="https://dzen.ru/media/id/63dd27aac30ab522dcce48b3/67a1c0ff4d5f4d15d153e189" TargetMode="External"/><Relationship Id="rId125" Type="http://schemas.openxmlformats.org/officeDocument/2006/relationships/hyperlink" Target="https://dzen.ru/media/id/63dd27aac30ab522dcce48b3/645b78160d2f1534af6a4c7f" TargetMode="External"/><Relationship Id="rId246" Type="http://schemas.openxmlformats.org/officeDocument/2006/relationships/hyperlink" Target="https://dzen.ru/media/id/63dd27aac30ab522dcce48b3/64f9db5db0453c46849f45b8" TargetMode="External"/><Relationship Id="rId367" Type="http://schemas.openxmlformats.org/officeDocument/2006/relationships/hyperlink" Target="https://dzen.ru/media/id/63dd27aac30ab522dcce48b3/65eec8fbef235c3df9eb42bd" TargetMode="External"/><Relationship Id="rId488" Type="http://schemas.openxmlformats.org/officeDocument/2006/relationships/hyperlink" Target="https://dzen.ru/media/id/63dd27aac30ab522dcce48b3/67bfe18b8aa47105abe2fe04" TargetMode="External"/><Relationship Id="rId124" Type="http://schemas.openxmlformats.org/officeDocument/2006/relationships/hyperlink" Target="https://dzen.ru/media/id/63dd27aac30ab522dcce48b3/6458c284700ade31802b7ef7" TargetMode="External"/><Relationship Id="rId245" Type="http://schemas.openxmlformats.org/officeDocument/2006/relationships/hyperlink" Target="https://dzen.ru/media/id/63dd27aac30ab522dcce48b3/64f8a2e940159a051a665c39" TargetMode="External"/><Relationship Id="rId366" Type="http://schemas.openxmlformats.org/officeDocument/2006/relationships/hyperlink" Target="https://dzen.ru/media/id/63dd27aac30ab522dcce48b3/65eebe480050982f0798a0bc" TargetMode="External"/><Relationship Id="rId487" Type="http://schemas.openxmlformats.org/officeDocument/2006/relationships/hyperlink" Target="https://dzen.ru/media/id/63dd27aac30ab522dcce48b3/67bd5d892e00803ff148ef85" TargetMode="External"/><Relationship Id="rId123" Type="http://schemas.openxmlformats.org/officeDocument/2006/relationships/hyperlink" Target="https://dzen.ru/media/id/63dd27aac30ab522dcce48b3/6456a286034e2f7f1c1c1c26" TargetMode="External"/><Relationship Id="rId244" Type="http://schemas.openxmlformats.org/officeDocument/2006/relationships/hyperlink" Target="https://dzen.ru/media/id/63dd27aac30ab522dcce48b3/64f739776d213b43ba9033e0" TargetMode="External"/><Relationship Id="rId365" Type="http://schemas.openxmlformats.org/officeDocument/2006/relationships/hyperlink" Target="https://dzen.ru/media/id/63dd27aac30ab522dcce48b3/65ec45a06f8a3a56474eb880" TargetMode="External"/><Relationship Id="rId486" Type="http://schemas.openxmlformats.org/officeDocument/2006/relationships/hyperlink" Target="https://dzen.ru/media/id/63dd27aac30ab522dcce48b3/67b6b4d951a35a1d237eb0df" TargetMode="External"/><Relationship Id="rId122" Type="http://schemas.openxmlformats.org/officeDocument/2006/relationships/hyperlink" Target="https://dzen.ru/media/id/63dd27aac30ab522dcce48b3/6456a229f20fcc6a45deee76" TargetMode="External"/><Relationship Id="rId243" Type="http://schemas.openxmlformats.org/officeDocument/2006/relationships/hyperlink" Target="https://dzen.ru/media/id/63dd27aac30ab522dcce48b3/64f5ea618e7f3f09b9a14dd5" TargetMode="External"/><Relationship Id="rId364" Type="http://schemas.openxmlformats.org/officeDocument/2006/relationships/hyperlink" Target="https://dzen.ru/media/id/63dd27aac30ab522dcce48b3/65e99c1bf0624d1b18ea874d" TargetMode="External"/><Relationship Id="rId485" Type="http://schemas.openxmlformats.org/officeDocument/2006/relationships/hyperlink" Target="https://dzen.ru/media/id/63dd27aac30ab522dcce48b3/67b445328157096bf8544f4a" TargetMode="External"/><Relationship Id="rId95" Type="http://schemas.openxmlformats.org/officeDocument/2006/relationships/hyperlink" Target="https://dzen.ru/media/id/63dd27aac30ab522dcce48b3/643294db9919fe2050ba693f" TargetMode="External"/><Relationship Id="rId94" Type="http://schemas.openxmlformats.org/officeDocument/2006/relationships/hyperlink" Target="https://dzen.ru/media/id/63dd27aac30ab522dcce48b3/64319a6ac25f4708f9d404f5" TargetMode="External"/><Relationship Id="rId97" Type="http://schemas.openxmlformats.org/officeDocument/2006/relationships/hyperlink" Target="https://dzen.ru/media/id/63dd27aac30ab522dcce48b3/6435400b6fbe4663a5cff75e" TargetMode="External"/><Relationship Id="rId96" Type="http://schemas.openxmlformats.org/officeDocument/2006/relationships/hyperlink" Target="https://dzen.ru/media/id/63dd27aac30ab522dcce48b3/6432957b5a0876026f22554d" TargetMode="External"/><Relationship Id="rId99" Type="http://schemas.openxmlformats.org/officeDocument/2006/relationships/hyperlink" Target="https://dzen.ru/media/id/63dd27aac30ab522dcce48b3/64367e0bb60b382327cb59c1" TargetMode="External"/><Relationship Id="rId480" Type="http://schemas.openxmlformats.org/officeDocument/2006/relationships/hyperlink" Target="https://dzen.ru/media/id/63dd27aac30ab522dcce48b3/679b12c97de63509e76e25ae" TargetMode="External"/><Relationship Id="rId98" Type="http://schemas.openxmlformats.org/officeDocument/2006/relationships/hyperlink" Target="https://dzen.ru/media/id/63dd27aac30ab522dcce48b3/64367d6249a75201c81a6f80" TargetMode="External"/><Relationship Id="rId91" Type="http://schemas.openxmlformats.org/officeDocument/2006/relationships/hyperlink" Target="https://dzen.ru/media/id/63dd27aac30ab522dcce48b3/642d752529ad38338a8c18db" TargetMode="External"/><Relationship Id="rId90" Type="http://schemas.openxmlformats.org/officeDocument/2006/relationships/hyperlink" Target="https://dzen.ru/media/id/63dd27aac30ab522dcce48b3/642bf6c6997dd640379d060c" TargetMode="External"/><Relationship Id="rId93" Type="http://schemas.openxmlformats.org/officeDocument/2006/relationships/hyperlink" Target="https://dzen.ru/media/id/63dd27aac30ab522dcce48b3/6430073e977c1b05ae5239bb" TargetMode="External"/><Relationship Id="rId92" Type="http://schemas.openxmlformats.org/officeDocument/2006/relationships/hyperlink" Target="https://dzen.ru/media/id/63dd27aac30ab522dcce48b3/642ea7b6db2c06629f6b6eff" TargetMode="External"/><Relationship Id="rId118" Type="http://schemas.openxmlformats.org/officeDocument/2006/relationships/hyperlink" Target="https://dzen.ru/media/id/63dd27aac30ab522dcce48b3/6450f4e40726a464176a8566" TargetMode="External"/><Relationship Id="rId239" Type="http://schemas.openxmlformats.org/officeDocument/2006/relationships/hyperlink" Target="https://dzen.ru/media/id/63dd27aac30ab522dcce48b3/64f09928ee4b16290d843618" TargetMode="External"/><Relationship Id="rId117" Type="http://schemas.openxmlformats.org/officeDocument/2006/relationships/hyperlink" Target="https://dzen.ru/media/id/63dd27aac30ab522dcce48b3/645000e46bdf6b3113301222" TargetMode="External"/><Relationship Id="rId238" Type="http://schemas.openxmlformats.org/officeDocument/2006/relationships/hyperlink" Target="https://dzen.ru/media/id/63dd27aac30ab522dcce48b3/64ef37f45bce8b40f9665b98" TargetMode="External"/><Relationship Id="rId359" Type="http://schemas.openxmlformats.org/officeDocument/2006/relationships/hyperlink" Target="https://dzen.ru/media/id/63dd27aac30ab522dcce48b3/65dc5c57a6331c665feba239" TargetMode="External"/><Relationship Id="rId116" Type="http://schemas.openxmlformats.org/officeDocument/2006/relationships/hyperlink" Target="https://dzen.ru/media/id/63dd27aac30ab522dcce48b3/644e4af76e459848bba04203" TargetMode="External"/><Relationship Id="rId237" Type="http://schemas.openxmlformats.org/officeDocument/2006/relationships/hyperlink" Target="https://dzen.ru/media/id/63dd27aac30ab522dcce48b3/64edf8ebfd9f772853fe968c" TargetMode="External"/><Relationship Id="rId358" Type="http://schemas.openxmlformats.org/officeDocument/2006/relationships/hyperlink" Target="https://dzen.ru/media/id/63dd27aac30ab522dcce48b3/65d9ca3d040cb57dac42e1a0" TargetMode="External"/><Relationship Id="rId479" Type="http://schemas.openxmlformats.org/officeDocument/2006/relationships/hyperlink" Target="https://dzen.ru/media/id/63dd27aac30ab522dcce48b3/67979203e0baf86b2c290a41" TargetMode="External"/><Relationship Id="rId115" Type="http://schemas.openxmlformats.org/officeDocument/2006/relationships/hyperlink" Target="https://dzen.ru/media/id/63dd27aac30ab522dcce48b3/644ce27ccd7785705276bb99" TargetMode="External"/><Relationship Id="rId236" Type="http://schemas.openxmlformats.org/officeDocument/2006/relationships/hyperlink" Target="https://dzen.ru/media/id/63dd27aac30ab522dcce48b3/64ecc0ff16e38207e0784b47" TargetMode="External"/><Relationship Id="rId357" Type="http://schemas.openxmlformats.org/officeDocument/2006/relationships/hyperlink" Target="https://dzen.ru/media/id/63dd27aac30ab522dcce48b3/65d72e3f15e35e7dc7c183e3" TargetMode="External"/><Relationship Id="rId478" Type="http://schemas.openxmlformats.org/officeDocument/2006/relationships/hyperlink" Target="https://dzen.ru/media/id/63dd27aac30ab522dcce48b3/6791df6ce4e10d4e73a0f655" TargetMode="External"/><Relationship Id="rId599" Type="http://schemas.openxmlformats.org/officeDocument/2006/relationships/hyperlink" Target="https://dzen.ru/media/id/63dd27aac30ab522dcce48b3/699ec2a849481823817513fe" TargetMode="External"/><Relationship Id="rId119" Type="http://schemas.openxmlformats.org/officeDocument/2006/relationships/hyperlink" Target="https://dzen.ru/media/id/63dd27aac30ab522dcce48b3/64528de559e5425c59b73122" TargetMode="External"/><Relationship Id="rId110" Type="http://schemas.openxmlformats.org/officeDocument/2006/relationships/hyperlink" Target="https://dzen.ru/media/id/63dd27aac30ab522dcce48b3/644625d0db54b34c51bf45ef" TargetMode="External"/><Relationship Id="rId231" Type="http://schemas.openxmlformats.org/officeDocument/2006/relationships/hyperlink" Target="https://dzen.ru/media/id/63dd27aac30ab522dcce48b3/64e62ab625390b6638b4fc47" TargetMode="External"/><Relationship Id="rId352" Type="http://schemas.openxmlformats.org/officeDocument/2006/relationships/hyperlink" Target="https://dzen.ru/media/id/63dd27aac30ab522dcce48b3/65c9df48f30b1462154a9491" TargetMode="External"/><Relationship Id="rId473" Type="http://schemas.openxmlformats.org/officeDocument/2006/relationships/hyperlink" Target="https://dzen.ru/media/id/63dd27aac30ab522dcce48b3/677fe652c624b31c3ea47836" TargetMode="External"/><Relationship Id="rId594" Type="http://schemas.openxmlformats.org/officeDocument/2006/relationships/hyperlink" Target="https://dzen.ru/media/id/63dd27aac30ab522dcce48b3/6999a2e62c696269d1e671f1" TargetMode="External"/><Relationship Id="rId230" Type="http://schemas.openxmlformats.org/officeDocument/2006/relationships/hyperlink" Target="https://dzen.ru/media/id/63dd27aac30ab522dcce48b3/64e4a63ae6c100299a73f436" TargetMode="External"/><Relationship Id="rId351" Type="http://schemas.openxmlformats.org/officeDocument/2006/relationships/hyperlink" Target="https://dzen.ru/media/id/63dd27aac30ab522dcce48b3/65c74ce6e13b2434bdeed4df" TargetMode="External"/><Relationship Id="rId472" Type="http://schemas.openxmlformats.org/officeDocument/2006/relationships/hyperlink" Target="https://dzen.ru/media/id/63dd27aac30ab522dcce48b3/677fe4dea240fb5628fd76b2" TargetMode="External"/><Relationship Id="rId593" Type="http://schemas.openxmlformats.org/officeDocument/2006/relationships/hyperlink" Target="https://dzen.ru/media/id/63dd27aac30ab522dcce48b3/6998311ea0e1894ffed2542a" TargetMode="External"/><Relationship Id="rId350" Type="http://schemas.openxmlformats.org/officeDocument/2006/relationships/hyperlink" Target="https://dzen.ru/media/id/63dd27aac30ab522dcce48b3/65c49d95ef3c8b496f86d347" TargetMode="External"/><Relationship Id="rId471" Type="http://schemas.openxmlformats.org/officeDocument/2006/relationships/hyperlink" Target="https://dzen.ru/media/id/63dd27aac30ab522dcce48b3/6776504eaeb4d84ef2a8c9df" TargetMode="External"/><Relationship Id="rId592" Type="http://schemas.openxmlformats.org/officeDocument/2006/relationships/hyperlink" Target="https://dzen.ru/media/id/63dd27aac30ab522dcce48b3/69958e1d595bda60a68a82a1" TargetMode="External"/><Relationship Id="rId470" Type="http://schemas.openxmlformats.org/officeDocument/2006/relationships/hyperlink" Target="https://dzen.ru/media/id/63dd27aac30ab522dcce48b3/67764f6d7feaf72a374c902a" TargetMode="External"/><Relationship Id="rId591" Type="http://schemas.openxmlformats.org/officeDocument/2006/relationships/hyperlink" Target="https://dzen.ru/media/id/63dd27aac30ab522dcce48b3/6992f714f6aad662ec1bb9d9" TargetMode="External"/><Relationship Id="rId114" Type="http://schemas.openxmlformats.org/officeDocument/2006/relationships/hyperlink" Target="https://dzen.ru/media/id/63dd27aac30ab522dcce48b3/644b8f351e7cf16ba64b6800" TargetMode="External"/><Relationship Id="rId235" Type="http://schemas.openxmlformats.org/officeDocument/2006/relationships/hyperlink" Target="https://dzen.ru/media/id/63dd27aac30ab522dcce48b3/64eb73d91987760b59407025" TargetMode="External"/><Relationship Id="rId356" Type="http://schemas.openxmlformats.org/officeDocument/2006/relationships/hyperlink" Target="https://dzen.ru/media/id/63dd27aac30ab522dcce48b3/65d47866fed65906fa26c0b6" TargetMode="External"/><Relationship Id="rId477" Type="http://schemas.openxmlformats.org/officeDocument/2006/relationships/hyperlink" Target="https://dzen.ru/media/id/63dd27aac30ab522dcce48b3/678f2e0e49dbc957f7e5d040" TargetMode="External"/><Relationship Id="rId598" Type="http://schemas.openxmlformats.org/officeDocument/2006/relationships/hyperlink" Target="https://dzen.ru/media/id/63dd27aac30ab522dcce48b3/699dbfeab9136848053bd6a2" TargetMode="External"/><Relationship Id="rId113" Type="http://schemas.openxmlformats.org/officeDocument/2006/relationships/hyperlink" Target="https://dzen.ru/media/id/63dd27aac30ab522dcce48b3/644a32782dae64517c990c5a" TargetMode="External"/><Relationship Id="rId234" Type="http://schemas.openxmlformats.org/officeDocument/2006/relationships/hyperlink" Target="https://dzen.ru/media/id/63dd27aac30ab522dcce48b3/64ea12e3ebf4d23d4eb14273" TargetMode="External"/><Relationship Id="rId355" Type="http://schemas.openxmlformats.org/officeDocument/2006/relationships/hyperlink" Target="https://dzen.ru/media/id/63dd27aac30ab522dcce48b3/65d1d8754f3f3438f6f6ceeb" TargetMode="External"/><Relationship Id="rId476" Type="http://schemas.openxmlformats.org/officeDocument/2006/relationships/hyperlink" Target="https://dzen.ru/media/id/63dd27aac30ab522dcce48b3/678b84e093f8e877baee4882" TargetMode="External"/><Relationship Id="rId597" Type="http://schemas.openxmlformats.org/officeDocument/2006/relationships/hyperlink" Target="https://dzen.ru/media/id/63dd27aac30ab522dcce48b3/699d99e849106433d81c5e01" TargetMode="External"/><Relationship Id="rId112" Type="http://schemas.openxmlformats.org/officeDocument/2006/relationships/hyperlink" Target="https://dzen.ru/media/id/63dd27aac30ab522dcce48b3/64483773a8c37330205bc93c" TargetMode="External"/><Relationship Id="rId233" Type="http://schemas.openxmlformats.org/officeDocument/2006/relationships/hyperlink" Target="https://dzen.ru/media/id/63dd27aac30ab522dcce48b3/64e8c980cf36970a75168830" TargetMode="External"/><Relationship Id="rId354" Type="http://schemas.openxmlformats.org/officeDocument/2006/relationships/hyperlink" Target="https://dzen.ru/media/id/63dd27aac30ab522dcce48b3/65cf337d762e4434e014f6ea" TargetMode="External"/><Relationship Id="rId475" Type="http://schemas.openxmlformats.org/officeDocument/2006/relationships/hyperlink" Target="https://dzen.ru/media/id/63dd27aac30ab522dcce48b3/6782301d892d3847b9dc0888" TargetMode="External"/><Relationship Id="rId596" Type="http://schemas.openxmlformats.org/officeDocument/2006/relationships/hyperlink" Target="https://dzen.ru/media/id/63dd27aac30ab522dcce48b3/699c41838b3c9b0e01969820" TargetMode="External"/><Relationship Id="rId111" Type="http://schemas.openxmlformats.org/officeDocument/2006/relationships/hyperlink" Target="https://dzen.ru/media/id/63dd27aac30ab522dcce48b3/6446d48d190f757c4b4193b1" TargetMode="External"/><Relationship Id="rId232" Type="http://schemas.openxmlformats.org/officeDocument/2006/relationships/hyperlink" Target="https://dzen.ru/media/id/63dd27aac30ab522dcce48b3/64e7571bf6ccc15bd1de5e26" TargetMode="External"/><Relationship Id="rId353" Type="http://schemas.openxmlformats.org/officeDocument/2006/relationships/hyperlink" Target="https://dzen.ru/media/id/63dd27aac30ab522dcce48b3/65cca14509606a2c085065ee" TargetMode="External"/><Relationship Id="rId474" Type="http://schemas.openxmlformats.org/officeDocument/2006/relationships/hyperlink" Target="https://dzen.ru/media/id/63dd27aac30ab522dcce48b3/677fe990f11e3b692e379a44" TargetMode="External"/><Relationship Id="rId595" Type="http://schemas.openxmlformats.org/officeDocument/2006/relationships/hyperlink" Target="https://dzen.ru/media/id/63dd27aac30ab522dcce48b3/699c40f46eadb4419166a3a1" TargetMode="External"/><Relationship Id="rId305" Type="http://schemas.openxmlformats.org/officeDocument/2006/relationships/hyperlink" Target="https://dzen.ru/media/id/63dd27aac30ab522dcce48b3/654e3d07f7130e15c5498136" TargetMode="External"/><Relationship Id="rId426" Type="http://schemas.openxmlformats.org/officeDocument/2006/relationships/hyperlink" Target="https://dzen.ru/media/id/63dd27aac30ab522dcce48b3/6683df9d20f448515991d37e" TargetMode="External"/><Relationship Id="rId547" Type="http://schemas.openxmlformats.org/officeDocument/2006/relationships/hyperlink" Target="https://dzen.ru/media/id/63dd27aac30ab522dcce48b3/6932f62d8203693dd4a3f39e" TargetMode="External"/><Relationship Id="rId304" Type="http://schemas.openxmlformats.org/officeDocument/2006/relationships/hyperlink" Target="https://dzen.ru/media/id/63dd27aac30ab522dcce48b3/654b754970ee9a58937a0bb0" TargetMode="External"/><Relationship Id="rId425" Type="http://schemas.openxmlformats.org/officeDocument/2006/relationships/hyperlink" Target="https://dzen.ru/media/id/63dd27aac30ab522dcce48b3/668127a18b2d81786769743a" TargetMode="External"/><Relationship Id="rId546" Type="http://schemas.openxmlformats.org/officeDocument/2006/relationships/hyperlink" Target="https://dzen.ru/media/id/63dd27aac30ab522dcce48b3/6932a6755e853a11134ed011" TargetMode="External"/><Relationship Id="rId303" Type="http://schemas.openxmlformats.org/officeDocument/2006/relationships/hyperlink" Target="https://dzen.ru/media/id/63dd27aac30ab522dcce48b3/654a13066ce9a451ddf62ce1" TargetMode="External"/><Relationship Id="rId424" Type="http://schemas.openxmlformats.org/officeDocument/2006/relationships/hyperlink" Target="https://dzen.ru/media/id/63dd27aac30ab522dcce48b3/667e8a4e62d21a0b5b9e4fa9" TargetMode="External"/><Relationship Id="rId545" Type="http://schemas.openxmlformats.org/officeDocument/2006/relationships/hyperlink" Target="https://dzen.ru/media/id/63dd27aac30ab522dcce48b3/693006039fdab026ceb7bfbd" TargetMode="External"/><Relationship Id="rId302" Type="http://schemas.openxmlformats.org/officeDocument/2006/relationships/hyperlink" Target="https://dzen.ru/media/id/63dd27aac30ab522dcce48b3/6548be6b47258d523c648d11" TargetMode="External"/><Relationship Id="rId423" Type="http://schemas.openxmlformats.org/officeDocument/2006/relationships/hyperlink" Target="https://dzen.ru/media/id/63dd27aac30ab522dcce48b3/667c3f23b1c13b13bbeffce1" TargetMode="External"/><Relationship Id="rId544" Type="http://schemas.openxmlformats.org/officeDocument/2006/relationships/hyperlink" Target="https://dzen.ru/media/id/63dd27aac30ab522dcce48b3/692d95e2046a752dc67115b1" TargetMode="External"/><Relationship Id="rId309" Type="http://schemas.openxmlformats.org/officeDocument/2006/relationships/hyperlink" Target="https://dzen.ru/media/id/63dd27aac30ab522dcce48b3/6558d4ac19a10e7a71f03362" TargetMode="External"/><Relationship Id="rId308" Type="http://schemas.openxmlformats.org/officeDocument/2006/relationships/hyperlink" Target="https://dzen.ru/media/id/63dd27aac30ab522dcce48b3/655638fbfd7eb022308087cb" TargetMode="External"/><Relationship Id="rId429" Type="http://schemas.openxmlformats.org/officeDocument/2006/relationships/hyperlink" Target="https://dzen.ru/media/id/63dd27aac30ab522dcce48b3/668b0de0519e875dafe26e9d" TargetMode="External"/><Relationship Id="rId307" Type="http://schemas.openxmlformats.org/officeDocument/2006/relationships/hyperlink" Target="https://dzen.ru/media/id/63dd27aac30ab522dcce48b3/655360a57c326f1198974056" TargetMode="External"/><Relationship Id="rId428" Type="http://schemas.openxmlformats.org/officeDocument/2006/relationships/hyperlink" Target="https://dzen.ru/media/id/63dd27aac30ab522dcce48b3/6689037c519e875daf640d3d" TargetMode="External"/><Relationship Id="rId549" Type="http://schemas.openxmlformats.org/officeDocument/2006/relationships/hyperlink" Target="https://dzen.ru/media/id/63dd27aac30ab522dcce48b3/69369a156760f966a933dc57" TargetMode="External"/><Relationship Id="rId306" Type="http://schemas.openxmlformats.org/officeDocument/2006/relationships/hyperlink" Target="https://dzen.ru/media/id/63dd27aac30ab522dcce48b3/6550c038a8cf6f342a9a5bf3" TargetMode="External"/><Relationship Id="rId427" Type="http://schemas.openxmlformats.org/officeDocument/2006/relationships/hyperlink" Target="https://dzen.ru/media/id/63dd27aac30ab522dcce48b3/66864d0e4c20c57c76060a08" TargetMode="External"/><Relationship Id="rId548" Type="http://schemas.openxmlformats.org/officeDocument/2006/relationships/hyperlink" Target="https://dzen.ru/media/id/63dd27aac30ab522dcce48b3/6933e41c2b4fd22326c3882c" TargetMode="External"/><Relationship Id="rId660" Type="http://schemas.openxmlformats.org/officeDocument/2006/relationships/hyperlink" Target="https://dzen.ru/media/id/63dd27aac30ab522dcce48b3/6a412befd596620ceab10135" TargetMode="External"/><Relationship Id="rId301" Type="http://schemas.openxmlformats.org/officeDocument/2006/relationships/hyperlink" Target="https://dzen.ru/media/id/63dd27aac30ab522dcce48b3/65461afce87c9226dc8d68b6" TargetMode="External"/><Relationship Id="rId422" Type="http://schemas.openxmlformats.org/officeDocument/2006/relationships/hyperlink" Target="https://dzen.ru/media/id/63dd27aac30ab522dcce48b3/667939c9539c5b430a31811a" TargetMode="External"/><Relationship Id="rId543" Type="http://schemas.openxmlformats.org/officeDocument/2006/relationships/hyperlink" Target="https://dzen.ru/media/id/63dd27aac30ab522dcce48b3/692af90aea542620690caf58" TargetMode="External"/><Relationship Id="rId300" Type="http://schemas.openxmlformats.org/officeDocument/2006/relationships/hyperlink" Target="https://dzen.ru/media/id/63dd27aac30ab522dcce48b3/6543863a9f0fcd51c82252b2" TargetMode="External"/><Relationship Id="rId421" Type="http://schemas.openxmlformats.org/officeDocument/2006/relationships/hyperlink" Target="https://dzen.ru/media/id/63dd27aac30ab522dcce48b3/66769b3620832d3e4cdc397b" TargetMode="External"/><Relationship Id="rId542" Type="http://schemas.openxmlformats.org/officeDocument/2006/relationships/hyperlink" Target="https://dzen.ru/media/id/63dd27aac30ab522dcce48b3/6929a9c22da13d547a7aa346" TargetMode="External"/><Relationship Id="rId420" Type="http://schemas.openxmlformats.org/officeDocument/2006/relationships/hyperlink" Target="https://dzen.ru/media/id/63dd27aac30ab522dcce48b3/6674009a2e7e795a686c4b97" TargetMode="External"/><Relationship Id="rId541" Type="http://schemas.openxmlformats.org/officeDocument/2006/relationships/hyperlink" Target="https://dzen.ru/media/id/63dd27aac30ab522dcce48b3/6926ff4a776c7731a3c964f7" TargetMode="External"/><Relationship Id="rId662" Type="http://schemas.openxmlformats.org/officeDocument/2006/relationships/drawing" Target="../drawings/drawing4.xml"/><Relationship Id="rId540" Type="http://schemas.openxmlformats.org/officeDocument/2006/relationships/hyperlink" Target="https://dzen.ru/media/id/63dd27aac30ab522dcce48b3/6921d059f6a4aa2a74e3c8fe" TargetMode="External"/><Relationship Id="rId661" Type="http://schemas.openxmlformats.org/officeDocument/2006/relationships/hyperlink" Target="https://dzen.ru/media/id/63dd27aac30ab522dcce48b3/6a61226d73e8c62b83831a34" TargetMode="External"/><Relationship Id="rId415" Type="http://schemas.openxmlformats.org/officeDocument/2006/relationships/hyperlink" Target="https://dzen.ru/media/id/63dd27aac30ab522dcce48b3/666ab6536005b730e8e1b155" TargetMode="External"/><Relationship Id="rId536" Type="http://schemas.openxmlformats.org/officeDocument/2006/relationships/hyperlink" Target="https://dzen.ru/media/id/63dd27aac30ab522dcce48b3/6917910b812fde53ca7aa9a3" TargetMode="External"/><Relationship Id="rId657" Type="http://schemas.openxmlformats.org/officeDocument/2006/relationships/hyperlink" Target="https://dzen.ru/media/id/63dd27aac30ab522dcce48b3/6a2e81ddc18d922da71163fa" TargetMode="External"/><Relationship Id="rId414" Type="http://schemas.openxmlformats.org/officeDocument/2006/relationships/hyperlink" Target="https://dzen.ru/media/id/63dd27aac30ab522dcce48b3/666816f96005b730e85dd50b" TargetMode="External"/><Relationship Id="rId535" Type="http://schemas.openxmlformats.org/officeDocument/2006/relationships/hyperlink" Target="https://dzen.ru/media/id/63dd27aac30ab522dcce48b3/691475b61b8336643e1f9352" TargetMode="External"/><Relationship Id="rId656" Type="http://schemas.openxmlformats.org/officeDocument/2006/relationships/hyperlink" Target="https://dzen.ru/media/id/63dd27aac30ab522dcce48b3/6a2c31f00e913e74ec482b60" TargetMode="External"/><Relationship Id="rId413" Type="http://schemas.openxmlformats.org/officeDocument/2006/relationships/hyperlink" Target="https://dzen.ru/media/id/63dd27aac30ab522dcce48b3/66651f2585741632ad3e44f9" TargetMode="External"/><Relationship Id="rId534" Type="http://schemas.openxmlformats.org/officeDocument/2006/relationships/hyperlink" Target="https://dzen.ru/media/id/63dd27aac30ab522dcce48b3/6911cf1998d2f449b9e44bf4" TargetMode="External"/><Relationship Id="rId655" Type="http://schemas.openxmlformats.org/officeDocument/2006/relationships/hyperlink" Target="https://dzen.ru/media/id/63dd27aac30ab522dcce48b3/6a24552e9804be6020f7fe02" TargetMode="External"/><Relationship Id="rId412" Type="http://schemas.openxmlformats.org/officeDocument/2006/relationships/hyperlink" Target="https://dzen.ru/media/id/63dd27aac30ab522dcce48b3/6662e614e8c21b5108515a55" TargetMode="External"/><Relationship Id="rId533" Type="http://schemas.openxmlformats.org/officeDocument/2006/relationships/hyperlink" Target="https://dzen.ru/media/id/63dd27aac30ab522dcce48b3/690fb8e9127d6a6c1d08e3a7" TargetMode="External"/><Relationship Id="rId654" Type="http://schemas.openxmlformats.org/officeDocument/2006/relationships/hyperlink" Target="https://dzen.ru/media/id/63dd27aac30ab522dcce48b3/6a2296d69804be602032b858" TargetMode="External"/><Relationship Id="rId419" Type="http://schemas.openxmlformats.org/officeDocument/2006/relationships/hyperlink" Target="https://dzen.ru/media/id/63dd27aac30ab522dcce48b3/6671830b6803745e87e9334b" TargetMode="External"/><Relationship Id="rId418" Type="http://schemas.openxmlformats.org/officeDocument/2006/relationships/hyperlink" Target="https://dzen.ru/media/id/63dd27aac30ab522dcce48b3/66715619867ea000094e5526" TargetMode="External"/><Relationship Id="rId539" Type="http://schemas.openxmlformats.org/officeDocument/2006/relationships/hyperlink" Target="https://dzen.ru/media/id/63dd27aac30ab522dcce48b3/6920aac96be1b7481b792c88" TargetMode="External"/><Relationship Id="rId417" Type="http://schemas.openxmlformats.org/officeDocument/2006/relationships/hyperlink" Target="https://dzen.ru/media/id/63dd27aac30ab522dcce48b3/666ffa35867ea00009ed651d" TargetMode="External"/><Relationship Id="rId538" Type="http://schemas.openxmlformats.org/officeDocument/2006/relationships/hyperlink" Target="https://dzen.ru/media/id/63dd27aac30ab522dcce48b3/691acb35b012c66368bee7f6" TargetMode="External"/><Relationship Id="rId659" Type="http://schemas.openxmlformats.org/officeDocument/2006/relationships/hyperlink" Target="https://dzen.ru/media/id/63dd27aac30ab522dcce48b3/6a3e43d02dd9ef51bfa3f5fa" TargetMode="External"/><Relationship Id="rId416" Type="http://schemas.openxmlformats.org/officeDocument/2006/relationships/hyperlink" Target="https://dzen.ru/media/id/63dd27aac30ab522dcce48b3/666d589713c25a66aa020428" TargetMode="External"/><Relationship Id="rId537" Type="http://schemas.openxmlformats.org/officeDocument/2006/relationships/hyperlink" Target="https://dzen.ru/media/id/63dd27aac30ab522dcce48b3/6918579cf9ec2b088dd732b5" TargetMode="External"/><Relationship Id="rId658" Type="http://schemas.openxmlformats.org/officeDocument/2006/relationships/hyperlink" Target="https://dzen.ru/media/id/63dd27aac30ab522dcce48b3/6a3106a9f4b6cc41c1c2148f" TargetMode="External"/><Relationship Id="rId411" Type="http://schemas.openxmlformats.org/officeDocument/2006/relationships/hyperlink" Target="https://dzen.ru/media/id/63dd27aac30ab522dcce48b3/66604842bf00ec6cb7c97ec4" TargetMode="External"/><Relationship Id="rId532" Type="http://schemas.openxmlformats.org/officeDocument/2006/relationships/hyperlink" Target="https://dzen.ru/media/id/63dd27aac30ab522dcce48b3/690e04e1604acf5b5167bdee" TargetMode="External"/><Relationship Id="rId653" Type="http://schemas.openxmlformats.org/officeDocument/2006/relationships/hyperlink" Target="https://dzen.ru/media/id/63dd27aac30ab522dcce48b3/6a21610e155d32726166e88b" TargetMode="External"/><Relationship Id="rId410" Type="http://schemas.openxmlformats.org/officeDocument/2006/relationships/hyperlink" Target="https://dzen.ru/media/id/63dd27aac30ab522dcce48b3/665d86ff32ac0d6e72b8ff88" TargetMode="External"/><Relationship Id="rId531" Type="http://schemas.openxmlformats.org/officeDocument/2006/relationships/hyperlink" Target="https://dzen.ru/media/id/63dd27aac30ab522dcce48b3/690d1e65a43d9f7b723c84e0" TargetMode="External"/><Relationship Id="rId652" Type="http://schemas.openxmlformats.org/officeDocument/2006/relationships/hyperlink" Target="https://dzen.ru/media/id/63dd27aac30ab522dcce48b3/6a0309933990ec43f4932ec5" TargetMode="External"/><Relationship Id="rId530" Type="http://schemas.openxmlformats.org/officeDocument/2006/relationships/hyperlink" Target="https://dzen.ru/media/id/63dd27aac30ab522dcce48b3/690badea277e08653b7c8da4" TargetMode="External"/><Relationship Id="rId651" Type="http://schemas.openxmlformats.org/officeDocument/2006/relationships/hyperlink" Target="https://dzen.ru/media/id/63dd27aac30ab522dcce48b3/69f9f74a49f7d6677082fb82" TargetMode="External"/><Relationship Id="rId650" Type="http://schemas.openxmlformats.org/officeDocument/2006/relationships/hyperlink" Target="https://dzen.ru/media/id/63dd27aac30ab522dcce48b3/69f875812464ba6c7863bc82" TargetMode="External"/><Relationship Id="rId206" Type="http://schemas.openxmlformats.org/officeDocument/2006/relationships/hyperlink" Target="https://dzen.ru/media/id/63dd27aac30ab522dcce48b3/64c3c4c79d53c34339f9e017" TargetMode="External"/><Relationship Id="rId327" Type="http://schemas.openxmlformats.org/officeDocument/2006/relationships/hyperlink" Target="https://dzen.ru/media/id/63dd27aac30ab522dcce48b3/6588038c41d6bb6c24a9710f" TargetMode="External"/><Relationship Id="rId448" Type="http://schemas.openxmlformats.org/officeDocument/2006/relationships/hyperlink" Target="https://dzen.ru/media/id/63dd27aac30ab522dcce48b3/66f69ed395b87a0c55fc5a8f" TargetMode="External"/><Relationship Id="rId569" Type="http://schemas.openxmlformats.org/officeDocument/2006/relationships/hyperlink" Target="https://dzen.ru/media/id/63dd27aac30ab522dcce48b3/696633941a10a369260c7a60" TargetMode="External"/><Relationship Id="rId205" Type="http://schemas.openxmlformats.org/officeDocument/2006/relationships/hyperlink" Target="https://dzen.ru/media/id/63dd27aac30ab522dcce48b3/64c3b023b3d8da19fdad4359" TargetMode="External"/><Relationship Id="rId326" Type="http://schemas.openxmlformats.org/officeDocument/2006/relationships/hyperlink" Target="https://dzen.ru/media/id/63dd27aac30ab522dcce48b3/65855ba2270a0108aabda048" TargetMode="External"/><Relationship Id="rId447" Type="http://schemas.openxmlformats.org/officeDocument/2006/relationships/hyperlink" Target="https://dzen.ru/media/id/63dd27aac30ab522dcce48b3/66d0321dd507d3247dabfa70" TargetMode="External"/><Relationship Id="rId568" Type="http://schemas.openxmlformats.org/officeDocument/2006/relationships/hyperlink" Target="https://dzen.ru/media/id/63dd27aac30ab522dcce48b3/6966333b07844a02932efd7e" TargetMode="External"/><Relationship Id="rId204" Type="http://schemas.openxmlformats.org/officeDocument/2006/relationships/hyperlink" Target="https://dzen.ru/media/id/63dd27aac30ab522dcce48b3/64c276fb16c88734fda82283" TargetMode="External"/><Relationship Id="rId325" Type="http://schemas.openxmlformats.org/officeDocument/2006/relationships/hyperlink" Target="https://dzen.ru/media/id/63dd27aac30ab522dcce48b3/6582d41901eb972ef69fcdda" TargetMode="External"/><Relationship Id="rId446" Type="http://schemas.openxmlformats.org/officeDocument/2006/relationships/hyperlink" Target="https://dzen.ru/media/id/63dd27aac30ab522dcce48b3/66bf1fa962ce8a4537b2e87a" TargetMode="External"/><Relationship Id="rId567" Type="http://schemas.openxmlformats.org/officeDocument/2006/relationships/hyperlink" Target="https://dzen.ru/media/id/63dd27aac30ab522dcce48b3/6964b20f4120ad68e66a0a8b" TargetMode="External"/><Relationship Id="rId203" Type="http://schemas.openxmlformats.org/officeDocument/2006/relationships/hyperlink" Target="https://dzen.ru/media/id/63dd27aac30ab522dcce48b3/64c10326f6d8da4594fd48de" TargetMode="External"/><Relationship Id="rId324" Type="http://schemas.openxmlformats.org/officeDocument/2006/relationships/hyperlink" Target="https://dzen.ru/media/id/63dd27aac30ab522dcce48b3/658029971b53404e3d6d810b" TargetMode="External"/><Relationship Id="rId445" Type="http://schemas.openxmlformats.org/officeDocument/2006/relationships/hyperlink" Target="https://dzen.ru/media/id/63dd27aac30ab522dcce48b3/66b33104f42d0d1d200d5326" TargetMode="External"/><Relationship Id="rId566" Type="http://schemas.openxmlformats.org/officeDocument/2006/relationships/hyperlink" Target="https://dzen.ru/media/id/63dd27aac30ab522dcce48b3/6957a296589fb14b5892672e" TargetMode="External"/><Relationship Id="rId209" Type="http://schemas.openxmlformats.org/officeDocument/2006/relationships/hyperlink" Target="https://dzen.ru/media/id/63dd27aac30ab522dcce48b3/64c8de6a64ce37305ca74fe1" TargetMode="External"/><Relationship Id="rId208" Type="http://schemas.openxmlformats.org/officeDocument/2006/relationships/hyperlink" Target="https://dzen.ru/media/id/63dd27aac30ab522dcce48b3/64c3c50d2b84c50c8da5d1f8" TargetMode="External"/><Relationship Id="rId329" Type="http://schemas.openxmlformats.org/officeDocument/2006/relationships/hyperlink" Target="https://dzen.ru/media/id/63dd27aac30ab522dcce48b3/658da0a3c55a222855ec3ad3" TargetMode="External"/><Relationship Id="rId207" Type="http://schemas.openxmlformats.org/officeDocument/2006/relationships/hyperlink" Target="https://dzen.ru/media/id/63dd27aac30ab522dcce48b3/64c3c4ead2d0c34441e94c6b" TargetMode="External"/><Relationship Id="rId328" Type="http://schemas.openxmlformats.org/officeDocument/2006/relationships/hyperlink" Target="https://dzen.ru/media/id/63dd27aac30ab522dcce48b3/658aa59b67f1d170434002ac" TargetMode="External"/><Relationship Id="rId449" Type="http://schemas.openxmlformats.org/officeDocument/2006/relationships/hyperlink" Target="https://dzen.ru/media/id/63dd27aac30ab522dcce48b3/66fcffe24a95863fffaae768" TargetMode="External"/><Relationship Id="rId440" Type="http://schemas.openxmlformats.org/officeDocument/2006/relationships/hyperlink" Target="https://dzen.ru/media/id/63dd27aac30ab522dcce48b3/66a5fbea1391a411555ff2d4" TargetMode="External"/><Relationship Id="rId561" Type="http://schemas.openxmlformats.org/officeDocument/2006/relationships/hyperlink" Target="https://dzen.ru/media/id/63dd27aac30ab522dcce48b3/694bc4473d2424440358fb78" TargetMode="External"/><Relationship Id="rId560" Type="http://schemas.openxmlformats.org/officeDocument/2006/relationships/hyperlink" Target="https://dzen.ru/media/id/63dd27aac30ab522dcce48b3/694b916e7be67d585af0191c" TargetMode="External"/><Relationship Id="rId202" Type="http://schemas.openxmlformats.org/officeDocument/2006/relationships/hyperlink" Target="https://dzen.ru/media/id/63dd27aac30ab522dcce48b3/64bfbbd5bdb1fd768df6a16a" TargetMode="External"/><Relationship Id="rId323" Type="http://schemas.openxmlformats.org/officeDocument/2006/relationships/hyperlink" Target="https://dzen.ru/media/id/63dd27aac30ab522dcce48b3/657d5fbb088c7162e022e9b0" TargetMode="External"/><Relationship Id="rId444" Type="http://schemas.openxmlformats.org/officeDocument/2006/relationships/hyperlink" Target="https://dzen.ru/media/id/63dd27aac30ab522dcce48b3/66b096928ffd6379ecda70c2" TargetMode="External"/><Relationship Id="rId565" Type="http://schemas.openxmlformats.org/officeDocument/2006/relationships/hyperlink" Target="https://dzen.ru/media/id/63dd27aac30ab522dcce48b3/6955113310ea6a3d0c1c87c9" TargetMode="External"/><Relationship Id="rId201" Type="http://schemas.openxmlformats.org/officeDocument/2006/relationships/hyperlink" Target="https://dzen.ru/media/id/63dd27aac30ab522dcce48b3/64be6cc6f278c509e4494e40" TargetMode="External"/><Relationship Id="rId322" Type="http://schemas.openxmlformats.org/officeDocument/2006/relationships/hyperlink" Target="https://dzen.ru/media/id/63dd27aac30ab522dcce48b3/657ad6764c41d70d9a2e3f57" TargetMode="External"/><Relationship Id="rId443" Type="http://schemas.openxmlformats.org/officeDocument/2006/relationships/hyperlink" Target="https://dzen.ru/media/id/63dd27aac30ab522dcce48b3/66adf8e88076ef6414ef3751" TargetMode="External"/><Relationship Id="rId564" Type="http://schemas.openxmlformats.org/officeDocument/2006/relationships/hyperlink" Target="https://dzen.ru/media/id/63dd27aac30ab522dcce48b3/69524624c3623b459e5c9088" TargetMode="External"/><Relationship Id="rId200" Type="http://schemas.openxmlformats.org/officeDocument/2006/relationships/hyperlink" Target="https://dzen.ru/media/id/63dd27aac30ab522dcce48b3/64bda0a380d903121ef7474f" TargetMode="External"/><Relationship Id="rId321" Type="http://schemas.openxmlformats.org/officeDocument/2006/relationships/hyperlink" Target="https://dzen.ru/media/id/63dd27aac30ab522dcce48b3/65784fcc0787fe012625116c" TargetMode="External"/><Relationship Id="rId442" Type="http://schemas.openxmlformats.org/officeDocument/2006/relationships/hyperlink" Target="https://dzen.ru/media/id/63dd27aac30ab522dcce48b3/66ab316824ef3b53976622a9" TargetMode="External"/><Relationship Id="rId563" Type="http://schemas.openxmlformats.org/officeDocument/2006/relationships/hyperlink" Target="https://dzen.ru/media/id/63dd27aac30ab522dcce48b3/694f9a4fd2c782440ca94142" TargetMode="External"/><Relationship Id="rId320" Type="http://schemas.openxmlformats.org/officeDocument/2006/relationships/hyperlink" Target="https://dzen.ru/media/id/63dd27aac30ab522dcce48b3/6575cb959e5faa6d0794f987" TargetMode="External"/><Relationship Id="rId441" Type="http://schemas.openxmlformats.org/officeDocument/2006/relationships/hyperlink" Target="https://dzen.ru/media/id/63dd27aac30ab522dcce48b3/66a8aa7487251435a652e016" TargetMode="External"/><Relationship Id="rId562" Type="http://schemas.openxmlformats.org/officeDocument/2006/relationships/hyperlink" Target="https://dzen.ru/media/id/63dd27aac30ab522dcce48b3/694e2c7b2806d977323c7dbf" TargetMode="External"/><Relationship Id="rId316" Type="http://schemas.openxmlformats.org/officeDocument/2006/relationships/hyperlink" Target="https://dzen.ru/media/id/63dd27aac30ab522dcce48b3/656b1ef5d352075c62beca90" TargetMode="External"/><Relationship Id="rId437" Type="http://schemas.openxmlformats.org/officeDocument/2006/relationships/hyperlink" Target="https://dzen.ru/media/id/63dd27aac30ab522dcce48b3/669fcec7654d346a6e9a5a9f" TargetMode="External"/><Relationship Id="rId558" Type="http://schemas.openxmlformats.org/officeDocument/2006/relationships/hyperlink" Target="https://dzen.ru/media/id/63dd27aac30ab522dcce48b3/69469b19fd50136dae8e9f9a" TargetMode="External"/><Relationship Id="rId315" Type="http://schemas.openxmlformats.org/officeDocument/2006/relationships/hyperlink" Target="https://dzen.ru/media/id/63dd27aac30ab522dcce48b3/65688e2ed9b42c2e6b00eafb" TargetMode="External"/><Relationship Id="rId436" Type="http://schemas.openxmlformats.org/officeDocument/2006/relationships/hyperlink" Target="https://dzen.ru/media/id/63dd27aac30ab522dcce48b3/669e21966cc5d74ec2336a53" TargetMode="External"/><Relationship Id="rId557" Type="http://schemas.openxmlformats.org/officeDocument/2006/relationships/hyperlink" Target="https://dzen.ru/media/id/63dd27aac30ab522dcce48b3/6945246fd92cc248890d4f2a" TargetMode="External"/><Relationship Id="rId314" Type="http://schemas.openxmlformats.org/officeDocument/2006/relationships/hyperlink" Target="https://dzen.ru/media/id/63dd27aac30ab522dcce48b3/6565ce7565c11650148c7132" TargetMode="External"/><Relationship Id="rId435" Type="http://schemas.openxmlformats.org/officeDocument/2006/relationships/hyperlink" Target="https://dzen.ru/media/id/63dd27aac30ab522dcce48b3/669b8745a2bd4a2615a115fa" TargetMode="External"/><Relationship Id="rId556" Type="http://schemas.openxmlformats.org/officeDocument/2006/relationships/hyperlink" Target="https://dzen.ru/media/id/63dd27aac30ab522dcce48b3/6944674ad92cc24889743636" TargetMode="External"/><Relationship Id="rId313" Type="http://schemas.openxmlformats.org/officeDocument/2006/relationships/hyperlink" Target="https://dzen.ru/media/id/63dd27aac30ab522dcce48b3/65633d6a1579133d0f8068dd" TargetMode="External"/><Relationship Id="rId434" Type="http://schemas.openxmlformats.org/officeDocument/2006/relationships/hyperlink" Target="https://dzen.ru/media/id/63dd27aac30ab522dcce48b3/6698e455ef9cc462936bfdc4" TargetMode="External"/><Relationship Id="rId555" Type="http://schemas.openxmlformats.org/officeDocument/2006/relationships/hyperlink" Target="https://dzen.ru/media/id/63dd27aac30ab522dcce48b3/69427d1741a09c78097b57ea" TargetMode="External"/><Relationship Id="rId319" Type="http://schemas.openxmlformats.org/officeDocument/2006/relationships/hyperlink" Target="https://dzen.ru/media/id/63dd27aac30ab522dcce48b3/6572dda909718751205e1ba4" TargetMode="External"/><Relationship Id="rId318" Type="http://schemas.openxmlformats.org/officeDocument/2006/relationships/hyperlink" Target="https://dzen.ru/media/id/63dd27aac30ab522dcce48b3/6570a44d4c41d70d9acf85b3" TargetMode="External"/><Relationship Id="rId439" Type="http://schemas.openxmlformats.org/officeDocument/2006/relationships/hyperlink" Target="https://dzen.ru/media/id/63dd27aac30ab522dcce48b3/66a36642c12abc28a0668c75" TargetMode="External"/><Relationship Id="rId317" Type="http://schemas.openxmlformats.org/officeDocument/2006/relationships/hyperlink" Target="https://dzen.ru/media/id/63dd27aac30ab522dcce48b3/656d9c90904c575fc9d5d800" TargetMode="External"/><Relationship Id="rId438" Type="http://schemas.openxmlformats.org/officeDocument/2006/relationships/hyperlink" Target="https://dzen.ru/media/id/63dd27aac30ab522dcce48b3/66a3636a5de5626eddedd2c7" TargetMode="External"/><Relationship Id="rId559" Type="http://schemas.openxmlformats.org/officeDocument/2006/relationships/hyperlink" Target="https://dzen.ru/media/id/63dd27aac30ab522dcce48b3/694931d9b087b0040bafc677" TargetMode="External"/><Relationship Id="rId550" Type="http://schemas.openxmlformats.org/officeDocument/2006/relationships/hyperlink" Target="https://dzen.ru/media/id/63dd27aac30ab522dcce48b3/69393aba7784fd0306fdc8bc" TargetMode="External"/><Relationship Id="rId312" Type="http://schemas.openxmlformats.org/officeDocument/2006/relationships/hyperlink" Target="https://dzen.ru/media/id/63dd27aac30ab522dcce48b3/6560d8cbbfa8910d18a63a2e" TargetMode="External"/><Relationship Id="rId433" Type="http://schemas.openxmlformats.org/officeDocument/2006/relationships/hyperlink" Target="https://dzen.ru/media/id/63dd27aac30ab522dcce48b3/6696369d475d6049e1e3bb21" TargetMode="External"/><Relationship Id="rId554" Type="http://schemas.openxmlformats.org/officeDocument/2006/relationships/hyperlink" Target="https://dzen.ru/media/id/63dd27aac30ab522dcce48b3/693fecdc21414b5e73b1ccd7" TargetMode="External"/><Relationship Id="rId311" Type="http://schemas.openxmlformats.org/officeDocument/2006/relationships/hyperlink" Target="https://dzen.ru/media/id/63dd27aac30ab522dcce48b3/655e2497761ad554b449dec1" TargetMode="External"/><Relationship Id="rId432" Type="http://schemas.openxmlformats.org/officeDocument/2006/relationships/hyperlink" Target="https://dzen.ru/media/id/63dd27aac30ab522dcce48b3/66939c2a20159c0361db5f08" TargetMode="External"/><Relationship Id="rId553" Type="http://schemas.openxmlformats.org/officeDocument/2006/relationships/hyperlink" Target="https://dzen.ru/media/id/63dd27aac30ab522dcce48b3/693d37cfc8b62e53cdd904d1" TargetMode="External"/><Relationship Id="rId310" Type="http://schemas.openxmlformats.org/officeDocument/2006/relationships/hyperlink" Target="https://dzen.ru/media/id/63dd27aac30ab522dcce48b3/655b4bda19a10e7a71be589f" TargetMode="External"/><Relationship Id="rId431" Type="http://schemas.openxmlformats.org/officeDocument/2006/relationships/hyperlink" Target="https://dzen.ru/media/id/63dd27aac30ab522dcce48b3/66904e90863a9877f3c7683a" TargetMode="External"/><Relationship Id="rId552" Type="http://schemas.openxmlformats.org/officeDocument/2006/relationships/hyperlink" Target="https://dzen.ru/media/id/63dd27aac30ab522dcce48b3/693bea0020776871e4f41144" TargetMode="External"/><Relationship Id="rId430" Type="http://schemas.openxmlformats.org/officeDocument/2006/relationships/hyperlink" Target="https://dzen.ru/media/id/63dd27aac30ab522dcce48b3/668e5f910987a136b8556101" TargetMode="External"/><Relationship Id="rId551" Type="http://schemas.openxmlformats.org/officeDocument/2006/relationships/hyperlink" Target="https://dzen.ru/media/id/63dd27aac30ab522dcce48b3/693a8a9c0ca4823a55a740a9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dzen.ru/media/id/63dd27aac30ab522dcce48b3/683cd2956a52081ccfe622e0" TargetMode="External"/><Relationship Id="rId194" Type="http://schemas.openxmlformats.org/officeDocument/2006/relationships/hyperlink" Target="https://dzen.ru/media/id/63dd27aac30ab522dcce48b3/683cd2df6a52081ccfe65056" TargetMode="External"/><Relationship Id="rId193" Type="http://schemas.openxmlformats.org/officeDocument/2006/relationships/hyperlink" Target="https://dzen.ru/media/id/63dd27aac30ab522dcce48b3/683bc99896145b7264ee31f9" TargetMode="External"/><Relationship Id="rId192" Type="http://schemas.openxmlformats.org/officeDocument/2006/relationships/hyperlink" Target="https://dzen.ru/media/id/63dd27aac30ab522dcce48b3/683cd2bc54d8e7385cc45174" TargetMode="External"/><Relationship Id="rId191" Type="http://schemas.openxmlformats.org/officeDocument/2006/relationships/hyperlink" Target="https://dzen.ru/media/id/63dd27aac30ab522dcce48b3/683bb51180e8847bc0bae6cf" TargetMode="External"/><Relationship Id="rId187" Type="http://schemas.openxmlformats.org/officeDocument/2006/relationships/hyperlink" Target="https://dzen.ru/media/id/63dd27aac30ab522dcce48b3/683cd23e4c6efb6089bd8c73" TargetMode="External"/><Relationship Id="rId186" Type="http://schemas.openxmlformats.org/officeDocument/2006/relationships/hyperlink" Target="https://dzen.ru/media/id/63dd27aac30ab522dcce48b3/683bb4a84a232500bb71ecd3" TargetMode="External"/><Relationship Id="rId185" Type="http://schemas.openxmlformats.org/officeDocument/2006/relationships/hyperlink" Target="https://dzen.ru/media/id/63dd27aac30ab522dcce48b3/683cd210586a484ddea139b8" TargetMode="External"/><Relationship Id="rId184" Type="http://schemas.openxmlformats.org/officeDocument/2006/relationships/hyperlink" Target="https://dzen.ru/media/id/63dd27aac30ab522dcce48b3/683bb3bd646fbb1360a0c497" TargetMode="External"/><Relationship Id="rId189" Type="http://schemas.openxmlformats.org/officeDocument/2006/relationships/hyperlink" Target="https://dzen.ru/media/id/63dd27aac30ab522dcce48b3/683cd269f5d1245ade5c8523" TargetMode="External"/><Relationship Id="rId188" Type="http://schemas.openxmlformats.org/officeDocument/2006/relationships/hyperlink" Target="https://dzen.ru/media/id/63dd27aac30ab522dcce48b3/683bb4d893d34b02e80a03c9" TargetMode="External"/><Relationship Id="rId183" Type="http://schemas.openxmlformats.org/officeDocument/2006/relationships/hyperlink" Target="https://dzen.ru/media/id/63dd27aac30ab522dcce48b3/683bcf21646fbb1360aefbc5" TargetMode="External"/><Relationship Id="rId182" Type="http://schemas.openxmlformats.org/officeDocument/2006/relationships/hyperlink" Target="https://dzen.ru/media/id/63dd27aac30ab522dcce48b3/683bd0e715e49e52259d5718" TargetMode="External"/><Relationship Id="rId181" Type="http://schemas.openxmlformats.org/officeDocument/2006/relationships/hyperlink" Target="https://dzen.ru/media/id/63dd27aac30ab522dcce48b3/683bceb497651c0a16a770ca" TargetMode="External"/><Relationship Id="rId180" Type="http://schemas.openxmlformats.org/officeDocument/2006/relationships/hyperlink" Target="https://dzen.ru/media/id/63dd27aac30ab522dcce48b3/683bd0bbf5d1245ade282ac1" TargetMode="External"/><Relationship Id="rId176" Type="http://schemas.openxmlformats.org/officeDocument/2006/relationships/hyperlink" Target="https://dzen.ru/media/id/63dd27aac30ab522dcce48b3/681cdd16f95c6a564746ff19" TargetMode="External"/><Relationship Id="rId297" Type="http://schemas.openxmlformats.org/officeDocument/2006/relationships/hyperlink" Target="https://dzen.ru/media/id/63dd27aac30ab522dcce48b3/6904b66a123bca62f459d11f" TargetMode="External"/><Relationship Id="rId175" Type="http://schemas.openxmlformats.org/officeDocument/2006/relationships/hyperlink" Target="https://dzen.ru/media/id/63dd27aac30ab522dcce48b3/681cdceae1a3d303325f938d" TargetMode="External"/><Relationship Id="rId296" Type="http://schemas.openxmlformats.org/officeDocument/2006/relationships/hyperlink" Target="https://dzen.ru/media/id/63dd27aac30ab522dcce48b3/6904b61c9aff1145263e5cbe" TargetMode="External"/><Relationship Id="rId174" Type="http://schemas.openxmlformats.org/officeDocument/2006/relationships/hyperlink" Target="https://dzen.ru/media/id/63dd27aac30ab522dcce48b3/681cda35bc03304eb913bde4" TargetMode="External"/><Relationship Id="rId295" Type="http://schemas.openxmlformats.org/officeDocument/2006/relationships/hyperlink" Target="https://dzen.ru/media/id/63dd27aac30ab522dcce48b3/6904b5f9548acf6c5b8593ea" TargetMode="External"/><Relationship Id="rId173" Type="http://schemas.openxmlformats.org/officeDocument/2006/relationships/hyperlink" Target="https://dzen.ru/media/id/63dd27aac30ab522dcce48b3/681cdcbf537e41644471230a" TargetMode="External"/><Relationship Id="rId294" Type="http://schemas.openxmlformats.org/officeDocument/2006/relationships/hyperlink" Target="https://dzen.ru/media/id/63dd27aac30ab522dcce48b3/6904b5cc93cc0216e16d7e18" TargetMode="External"/><Relationship Id="rId179" Type="http://schemas.openxmlformats.org/officeDocument/2006/relationships/hyperlink" Target="https://dzen.ru/media/id/63dd27aac30ab522dcce48b3/681cda7cc964c7115e7ec44a" TargetMode="External"/><Relationship Id="rId178" Type="http://schemas.openxmlformats.org/officeDocument/2006/relationships/hyperlink" Target="https://dzen.ru/media/id/63dd27aac30ab522dcce48b3/683bb2ca96145b7264e36896" TargetMode="External"/><Relationship Id="rId299" Type="http://schemas.openxmlformats.org/officeDocument/2006/relationships/hyperlink" Target="https://dzen.ru/media/id/63dd27aac30ab522dcce48b3/6904b6b6d065d075f4abf906" TargetMode="External"/><Relationship Id="rId177" Type="http://schemas.openxmlformats.org/officeDocument/2006/relationships/hyperlink" Target="https://dzen.ru/media/id/63dd27aac30ab522dcce48b3/681cda5c7d335f0d5db27db5" TargetMode="External"/><Relationship Id="rId298" Type="http://schemas.openxmlformats.org/officeDocument/2006/relationships/hyperlink" Target="https://dzen.ru/media/id/63dd27aac30ab522dcce48b3/6904b69793cc0216e16e7937" TargetMode="External"/><Relationship Id="rId198" Type="http://schemas.openxmlformats.org/officeDocument/2006/relationships/hyperlink" Target="https://dzen.ru/media/id/63dd27aac30ab522dcce48b3/683bca1916dc514cdb0b601a" TargetMode="External"/><Relationship Id="rId197" Type="http://schemas.openxmlformats.org/officeDocument/2006/relationships/hyperlink" Target="https://dzen.ru/media/id/63dd27aac30ab522dcce48b3/683cd32b93d34b02e84d63bc" TargetMode="External"/><Relationship Id="rId196" Type="http://schemas.openxmlformats.org/officeDocument/2006/relationships/hyperlink" Target="https://dzen.ru/media/id/63dd27aac30ab522dcce48b3/683cd304e2eb173008e4bf20" TargetMode="External"/><Relationship Id="rId195" Type="http://schemas.openxmlformats.org/officeDocument/2006/relationships/hyperlink" Target="https://dzen.ru/media/id/63dd27aac30ab522dcce48b3/683bc9dfa5a6734bd4c93b31" TargetMode="External"/><Relationship Id="rId199" Type="http://schemas.openxmlformats.org/officeDocument/2006/relationships/hyperlink" Target="https://dzen.ru/media/id/63dd27aac30ab522dcce48b3/683cd34f586a484ddea1eb8b" TargetMode="External"/><Relationship Id="rId150" Type="http://schemas.openxmlformats.org/officeDocument/2006/relationships/hyperlink" Target="https://dzen.ru/media/id/63dd27aac30ab522dcce48b3/680ec4eb0ca79f7f60a1f6c8" TargetMode="External"/><Relationship Id="rId271" Type="http://schemas.openxmlformats.org/officeDocument/2006/relationships/hyperlink" Target="https://dzen.ru/media/id/63dd27aac30ab522dcce48b3/6904b242548acf6c5b80a64c" TargetMode="External"/><Relationship Id="rId270" Type="http://schemas.openxmlformats.org/officeDocument/2006/relationships/hyperlink" Target="https://dzen.ru/media/id/63dd27aac30ab522dcce48b3/6904b21dac78f246b0bb29f1" TargetMode="External"/><Relationship Id="rId1" Type="http://schemas.openxmlformats.org/officeDocument/2006/relationships/hyperlink" Target="https://dzen.ru/media/id/63dd27aac30ab522dcce48b3/63f3761929138056e7ede011" TargetMode="External"/><Relationship Id="rId2" Type="http://schemas.openxmlformats.org/officeDocument/2006/relationships/hyperlink" Target="https://dzen.ru/media/id/63dd27aac30ab522dcce48b3/63f5fbadb1006b73606247dd" TargetMode="External"/><Relationship Id="rId3" Type="http://schemas.openxmlformats.org/officeDocument/2006/relationships/hyperlink" Target="https://dzen.ru/media/id/63dd27aac30ab522dcce48b3/6408c50d0728812eb4a14afd" TargetMode="External"/><Relationship Id="rId149" Type="http://schemas.openxmlformats.org/officeDocument/2006/relationships/hyperlink" Target="https://dzen.ru/media/id/63dd27aac30ab522dcce48b3/680ec3450abbb40ac9b4d201" TargetMode="External"/><Relationship Id="rId4" Type="http://schemas.openxmlformats.org/officeDocument/2006/relationships/hyperlink" Target="https://dzen.ru/media/id/63dd27aac30ab522dcce48b3/64195fed3d1e83632eec1d49" TargetMode="External"/><Relationship Id="rId148" Type="http://schemas.openxmlformats.org/officeDocument/2006/relationships/hyperlink" Target="https://dzen.ru/media/id/63dd27aac30ab522dcce48b3/680ec4b3cbb89444e2c507ab" TargetMode="External"/><Relationship Id="rId269" Type="http://schemas.openxmlformats.org/officeDocument/2006/relationships/hyperlink" Target="https://dzen.ru/media/id/63dd27aac30ab522dcce48b3/6904b1f962893c637497f95e" TargetMode="External"/><Relationship Id="rId9" Type="http://schemas.openxmlformats.org/officeDocument/2006/relationships/hyperlink" Target="https://dzen.ru/media/id/63dd27aac30ab522dcce48b3/64541c23bb58ab48ce96968e" TargetMode="External"/><Relationship Id="rId143" Type="http://schemas.openxmlformats.org/officeDocument/2006/relationships/hyperlink" Target="https://dzen.ru/media/id/63dd27aac30ab522dcce48b3/680ebd2d85ba840132fe3fc0" TargetMode="External"/><Relationship Id="rId264" Type="http://schemas.openxmlformats.org/officeDocument/2006/relationships/hyperlink" Target="https://dzen.ru/media/id/63dd27aac30ab522dcce48b3/68cf3da6a9d7265e3365957a" TargetMode="External"/><Relationship Id="rId142" Type="http://schemas.openxmlformats.org/officeDocument/2006/relationships/hyperlink" Target="https://dzen.ru/media/id/63dd27aac30ab522dcce48b3/67276c3017b8ad1956410fc7" TargetMode="External"/><Relationship Id="rId263" Type="http://schemas.openxmlformats.org/officeDocument/2006/relationships/hyperlink" Target="https://dzen.ru/media/id/63dd27aac30ab522dcce48b3/68cf3d8512e1b53b4e232183" TargetMode="External"/><Relationship Id="rId141" Type="http://schemas.openxmlformats.org/officeDocument/2006/relationships/hyperlink" Target="https://dzen.ru/media/id/63dd27aac30ab522dcce48b3/65b389b6a0b15a1344573aea" TargetMode="External"/><Relationship Id="rId262" Type="http://schemas.openxmlformats.org/officeDocument/2006/relationships/hyperlink" Target="https://dzen.ru/media/id/63dd27aac30ab522dcce48b3/68cf3d5fee218233f6e3cd77" TargetMode="External"/><Relationship Id="rId140" Type="http://schemas.openxmlformats.org/officeDocument/2006/relationships/hyperlink" Target="https://dzen.ru/media/id/63dd27aac30ab522dcce48b3/653508f2900e124de9e97735" TargetMode="External"/><Relationship Id="rId261" Type="http://schemas.openxmlformats.org/officeDocument/2006/relationships/hyperlink" Target="https://dzen.ru/media/id/63dd27aac30ab522dcce48b3/68cf3d3f90b25a0ab3c50d3b" TargetMode="External"/><Relationship Id="rId5" Type="http://schemas.openxmlformats.org/officeDocument/2006/relationships/hyperlink" Target="https://dzen.ru/media/id/63dd27aac30ab522dcce48b3/641e15ab3720404be67132d7" TargetMode="External"/><Relationship Id="rId147" Type="http://schemas.openxmlformats.org/officeDocument/2006/relationships/hyperlink" Target="https://dzen.ru/media/id/63dd27aac30ab522dcce48b3/680ec46e3e3ca00ba07804df" TargetMode="External"/><Relationship Id="rId268" Type="http://schemas.openxmlformats.org/officeDocument/2006/relationships/hyperlink" Target="https://dzen.ru/media/id/63dd27aac30ab522dcce48b3/6904b161e3f4ad741b8baa34" TargetMode="External"/><Relationship Id="rId6" Type="http://schemas.openxmlformats.org/officeDocument/2006/relationships/hyperlink" Target="https://dzen.ru/media/id/63dd27aac30ab522dcce48b3/6440ae95e751c96d1eb5d882" TargetMode="External"/><Relationship Id="rId146" Type="http://schemas.openxmlformats.org/officeDocument/2006/relationships/hyperlink" Target="https://dzen.ru/media/id/63dd27aac30ab522dcce48b3/680ec315cbb89444e2c48d62" TargetMode="External"/><Relationship Id="rId267" Type="http://schemas.openxmlformats.org/officeDocument/2006/relationships/hyperlink" Target="https://dzen.ru/media/id/63dd27aac30ab522dcce48b3/68cf3e0d10bc4b12269b6485" TargetMode="External"/><Relationship Id="rId7" Type="http://schemas.openxmlformats.org/officeDocument/2006/relationships/hyperlink" Target="https://dzen.ru/media/id/63dd27aac30ab522dcce48b3/644239017d0ee052d40546e7" TargetMode="External"/><Relationship Id="rId145" Type="http://schemas.openxmlformats.org/officeDocument/2006/relationships/hyperlink" Target="https://dzen.ru/media/id/63dd27aac30ab522dcce48b3/680ec43a3e3ca00ba077e524" TargetMode="External"/><Relationship Id="rId266" Type="http://schemas.openxmlformats.org/officeDocument/2006/relationships/hyperlink" Target="https://dzen.ru/media/id/63dd27aac30ab522dcce48b3/68cf3ded9091fc28b662911c" TargetMode="External"/><Relationship Id="rId8" Type="http://schemas.openxmlformats.org/officeDocument/2006/relationships/hyperlink" Target="https://dzen.ru/media/id/63dd27aac30ab522dcce48b3/6446250c6195f63c2e841167" TargetMode="External"/><Relationship Id="rId144" Type="http://schemas.openxmlformats.org/officeDocument/2006/relationships/hyperlink" Target="https://dzen.ru/media/id/63dd27aac30ab522dcce48b3/680ec2e185ba84013201fc97" TargetMode="External"/><Relationship Id="rId265" Type="http://schemas.openxmlformats.org/officeDocument/2006/relationships/hyperlink" Target="https://dzen.ru/media/id/63dd27aac30ab522dcce48b3/68cf3dc83f692457da30991c" TargetMode="External"/><Relationship Id="rId260" Type="http://schemas.openxmlformats.org/officeDocument/2006/relationships/hyperlink" Target="https://dzen.ru/media/id/63dd27aac30ab522dcce48b3/68cf3d144f779e33f551641f" TargetMode="External"/><Relationship Id="rId139" Type="http://schemas.openxmlformats.org/officeDocument/2006/relationships/hyperlink" Target="https://dzen.ru/media/id/63dd27aac30ab522dcce48b3/6523c20a80bf663a7f142037" TargetMode="External"/><Relationship Id="rId138" Type="http://schemas.openxmlformats.org/officeDocument/2006/relationships/hyperlink" Target="https://dzen.ru/media/id/63dd27aac30ab522dcce48b3/65226cd2795c3e54b77a318b" TargetMode="External"/><Relationship Id="rId259" Type="http://schemas.openxmlformats.org/officeDocument/2006/relationships/hyperlink" Target="https://dzen.ru/media/id/63dd27aac30ab522dcce48b3/68cf3cf4b1808e0427ec9723" TargetMode="External"/><Relationship Id="rId137" Type="http://schemas.openxmlformats.org/officeDocument/2006/relationships/hyperlink" Target="https://dzen.ru/media/id/63dd27aac30ab522dcce48b3/6521290a82c9f0244503af33" TargetMode="External"/><Relationship Id="rId258" Type="http://schemas.openxmlformats.org/officeDocument/2006/relationships/hyperlink" Target="https://dzen.ru/media/id/63dd27aac30ab522dcce48b3/68cf3cd0e2917800907dbb58" TargetMode="External"/><Relationship Id="rId132" Type="http://schemas.openxmlformats.org/officeDocument/2006/relationships/hyperlink" Target="https://dzen.ru/media/id/63dd27aac30ab522dcce48b3/651a8d0b6d3e1f56ca32a1b2" TargetMode="External"/><Relationship Id="rId253" Type="http://schemas.openxmlformats.org/officeDocument/2006/relationships/hyperlink" Target="https://dzen.ru/media/id/63dd27aac30ab522dcce48b3/68cf3bdf90b25a0ab3c48e09" TargetMode="External"/><Relationship Id="rId131" Type="http://schemas.openxmlformats.org/officeDocument/2006/relationships/hyperlink" Target="https://dzen.ru/media/id/63dd27aac30ab522dcce48b3/65192e052c7e7e447d1847d1" TargetMode="External"/><Relationship Id="rId252" Type="http://schemas.openxmlformats.org/officeDocument/2006/relationships/hyperlink" Target="https://dzen.ru/media/id/63dd27aac30ab522dcce48b3/68cf3badc7cf380a13c870a7" TargetMode="External"/><Relationship Id="rId130" Type="http://schemas.openxmlformats.org/officeDocument/2006/relationships/hyperlink" Target="https://dzen.ru/media/id/63dd27aac30ab522dcce48b3/6517e92c136d3a1c81d01a3c" TargetMode="External"/><Relationship Id="rId251" Type="http://schemas.openxmlformats.org/officeDocument/2006/relationships/hyperlink" Target="https://dzen.ru/media/id/63dd27aac30ab522dcce48b3/6881094e11d5b2389524d261" TargetMode="External"/><Relationship Id="rId250" Type="http://schemas.openxmlformats.org/officeDocument/2006/relationships/hyperlink" Target="https://dzen.ru/media/id/63dd27aac30ab522dcce48b3/6881091e2d585408fd0ef070" TargetMode="External"/><Relationship Id="rId136" Type="http://schemas.openxmlformats.org/officeDocument/2006/relationships/hyperlink" Target="https://dzen.ru/media/id/63dd27aac30ab522dcce48b3/651fcf3bc385843dfe489921" TargetMode="External"/><Relationship Id="rId257" Type="http://schemas.openxmlformats.org/officeDocument/2006/relationships/hyperlink" Target="https://dzen.ru/media/id/63dd27aac30ab522dcce48b3/68cf3caa90b25a0ab3c4d39b" TargetMode="External"/><Relationship Id="rId135" Type="http://schemas.openxmlformats.org/officeDocument/2006/relationships/hyperlink" Target="https://dzen.ru/media/id/63dd27aac30ab522dcce48b3/651e7bb68f1af14fe35eb507" TargetMode="External"/><Relationship Id="rId256" Type="http://schemas.openxmlformats.org/officeDocument/2006/relationships/hyperlink" Target="https://dzen.ru/media/id/63dd27aac30ab522dcce48b3/68cf3c8c374d7b55b4737252" TargetMode="External"/><Relationship Id="rId134" Type="http://schemas.openxmlformats.org/officeDocument/2006/relationships/hyperlink" Target="https://dzen.ru/media/id/63dd27aac30ab522dcce48b3/651d2bbe1cf2387b254228ab" TargetMode="External"/><Relationship Id="rId255" Type="http://schemas.openxmlformats.org/officeDocument/2006/relationships/hyperlink" Target="https://dzen.ru/media/id/63dd27aac30ab522dcce48b3/68cf3c59e73c4076d4facaa5" TargetMode="External"/><Relationship Id="rId133" Type="http://schemas.openxmlformats.org/officeDocument/2006/relationships/hyperlink" Target="https://dzen.ru/media/id/63dd27aac30ab522dcce48b3/651be9fbc42cd16fead55fc0" TargetMode="External"/><Relationship Id="rId254" Type="http://schemas.openxmlformats.org/officeDocument/2006/relationships/hyperlink" Target="https://dzen.ru/media/id/63dd27aac30ab522dcce48b3/68cf3c22ca5aca73203f7a48" TargetMode="External"/><Relationship Id="rId172" Type="http://schemas.openxmlformats.org/officeDocument/2006/relationships/hyperlink" Target="https://dzen.ru/media/id/63dd27aac30ab522dcce48b3/681cda19e1a3d303325bd137" TargetMode="External"/><Relationship Id="rId293" Type="http://schemas.openxmlformats.org/officeDocument/2006/relationships/hyperlink" Target="https://dzen.ru/media/id/63dd27aac30ab522dcce48b3/6904b5ac2317255bf3382a33" TargetMode="External"/><Relationship Id="rId171" Type="http://schemas.openxmlformats.org/officeDocument/2006/relationships/hyperlink" Target="https://dzen.ru/media/id/63dd27aac30ab522dcce48b3/681cdc95e5686b5ff04bdb31" TargetMode="External"/><Relationship Id="rId292" Type="http://schemas.openxmlformats.org/officeDocument/2006/relationships/hyperlink" Target="https://dzen.ru/media/id/63dd27aac30ab522dcce48b3/6904b58f19d76106dec87c74" TargetMode="External"/><Relationship Id="rId170" Type="http://schemas.openxmlformats.org/officeDocument/2006/relationships/hyperlink" Target="https://dzen.ru/media/id/63dd27aac30ab522dcce48b3/681cd9fafeea8a091db76400" TargetMode="External"/><Relationship Id="rId291" Type="http://schemas.openxmlformats.org/officeDocument/2006/relationships/hyperlink" Target="https://dzen.ru/media/id/63dd27aac30ab522dcce48b3/6904b574548acf6c5b84eb4d" TargetMode="External"/><Relationship Id="rId290" Type="http://schemas.openxmlformats.org/officeDocument/2006/relationships/hyperlink" Target="https://dzen.ru/media/id/63dd27aac30ab522dcce48b3/6904b54e8fbc6a38a8057442" TargetMode="External"/><Relationship Id="rId165" Type="http://schemas.openxmlformats.org/officeDocument/2006/relationships/hyperlink" Target="https://dzen.ru/media/id/63dd27aac30ab522dcce48b3/681cd996de94cb1cf54ac58a" TargetMode="External"/><Relationship Id="rId286" Type="http://schemas.openxmlformats.org/officeDocument/2006/relationships/hyperlink" Target="https://dzen.ru/media/id/63dd27aac30ab522dcce48b3/6904b4d5ca24586098d38ee3" TargetMode="External"/><Relationship Id="rId164" Type="http://schemas.openxmlformats.org/officeDocument/2006/relationships/hyperlink" Target="https://dzen.ru/media/id/63dd27aac30ab522dcce48b3/681cdbc2e5686b5ff04ac691" TargetMode="External"/><Relationship Id="rId285" Type="http://schemas.openxmlformats.org/officeDocument/2006/relationships/hyperlink" Target="https://dzen.ru/media/id/63dd27aac30ab522dcce48b3/6904b4362317255bf334f9e8" TargetMode="External"/><Relationship Id="rId163" Type="http://schemas.openxmlformats.org/officeDocument/2006/relationships/hyperlink" Target="https://dzen.ru/media/id/63dd27aac30ab522dcce48b3/681cd96a7d335f0d5db14103" TargetMode="External"/><Relationship Id="rId284" Type="http://schemas.openxmlformats.org/officeDocument/2006/relationships/hyperlink" Target="https://dzen.ru/media/id/63dd27aac30ab522dcce48b3/6904b4829834884e10d99a9f" TargetMode="External"/><Relationship Id="rId162" Type="http://schemas.openxmlformats.org/officeDocument/2006/relationships/hyperlink" Target="https://dzen.ru/media/id/63dd27aac30ab522dcce48b3/681cdb4bc5d774122c2ade8c" TargetMode="External"/><Relationship Id="rId283" Type="http://schemas.openxmlformats.org/officeDocument/2006/relationships/hyperlink" Target="https://dzen.ru/media/id/63dd27aac30ab522dcce48b3/6904b413e3f4ad741b8f44b2" TargetMode="External"/><Relationship Id="rId169" Type="http://schemas.openxmlformats.org/officeDocument/2006/relationships/hyperlink" Target="https://dzen.ru/media/id/63dd27aac30ab522dcce48b3/681cdc68a35d207dcd99e8a2" TargetMode="External"/><Relationship Id="rId168" Type="http://schemas.openxmlformats.org/officeDocument/2006/relationships/hyperlink" Target="https://dzen.ru/media/id/63dd27aac30ab522dcce48b3/681cdc20f95c6a564745b7f0" TargetMode="External"/><Relationship Id="rId289" Type="http://schemas.openxmlformats.org/officeDocument/2006/relationships/hyperlink" Target="https://dzen.ru/media/id/63dd27aac30ab522dcce48b3/6904b533e0d30a4d23665e3d" TargetMode="External"/><Relationship Id="rId167" Type="http://schemas.openxmlformats.org/officeDocument/2006/relationships/hyperlink" Target="https://dzen.ru/media/id/63dd27aac30ab522dcce48b3/681cd9bbd591cc05630978b1" TargetMode="External"/><Relationship Id="rId288" Type="http://schemas.openxmlformats.org/officeDocument/2006/relationships/hyperlink" Target="https://dzen.ru/media/id/63dd27aac30ab522dcce48b3/6904b517aa1cda1cc19847dd" TargetMode="External"/><Relationship Id="rId166" Type="http://schemas.openxmlformats.org/officeDocument/2006/relationships/hyperlink" Target="https://dzen.ru/media/id/63dd27aac30ab522dcce48b3/681cdbf7a358da2cc0c06586" TargetMode="External"/><Relationship Id="rId287" Type="http://schemas.openxmlformats.org/officeDocument/2006/relationships/hyperlink" Target="https://dzen.ru/media/id/63dd27aac30ab522dcce48b3/6904b4f3024cd672bb3678f8" TargetMode="External"/><Relationship Id="rId161" Type="http://schemas.openxmlformats.org/officeDocument/2006/relationships/hyperlink" Target="https://dzen.ru/media/id/63dd27aac30ab522dcce48b3/681cdb2b327559527275040b" TargetMode="External"/><Relationship Id="rId282" Type="http://schemas.openxmlformats.org/officeDocument/2006/relationships/hyperlink" Target="https://dzen.ru/media/id/63dd27aac30ab522dcce48b3/6904b3f36c1a137a0728d20c" TargetMode="External"/><Relationship Id="rId160" Type="http://schemas.openxmlformats.org/officeDocument/2006/relationships/hyperlink" Target="https://dzen.ru/media/id/63dd27aac30ab522dcce48b3/681cd93b7d335f0d5db100cb" TargetMode="External"/><Relationship Id="rId281" Type="http://schemas.openxmlformats.org/officeDocument/2006/relationships/hyperlink" Target="https://dzen.ru/media/id/63dd27aac30ab522dcce48b3/6904b3d4024cd672bb350c10" TargetMode="External"/><Relationship Id="rId280" Type="http://schemas.openxmlformats.org/officeDocument/2006/relationships/hyperlink" Target="https://dzen.ru/media/id/63dd27aac30ab522dcce48b3/6904b3b76ff13e38331f20ef" TargetMode="External"/><Relationship Id="rId159" Type="http://schemas.openxmlformats.org/officeDocument/2006/relationships/hyperlink" Target="https://dzen.ru/media/id/63dd27aac30ab522dcce48b3/681cdb03956287149704d222" TargetMode="External"/><Relationship Id="rId154" Type="http://schemas.openxmlformats.org/officeDocument/2006/relationships/hyperlink" Target="https://dzen.ru/media/id/63dd27aac30ab522dcce48b3/680ec5778e7f922adc3a4486" TargetMode="External"/><Relationship Id="rId275" Type="http://schemas.openxmlformats.org/officeDocument/2006/relationships/hyperlink" Target="https://dzen.ru/media/id/63dd27aac30ab522dcce48b3/6904b2d6123bca62f455134b" TargetMode="External"/><Relationship Id="rId153" Type="http://schemas.openxmlformats.org/officeDocument/2006/relationships/hyperlink" Target="https://dzen.ru/media/id/63dd27aac30ab522dcce48b3/680ec3c0c11f387ebfef8dfe" TargetMode="External"/><Relationship Id="rId274" Type="http://schemas.openxmlformats.org/officeDocument/2006/relationships/hyperlink" Target="https://dzen.ru/media/id/63dd27aac30ab522dcce48b3/6904b2ad63c1542864be5a7b" TargetMode="External"/><Relationship Id="rId152" Type="http://schemas.openxmlformats.org/officeDocument/2006/relationships/hyperlink" Target="https://dzen.ru/media/id/63dd27aac30ab522dcce48b3/680ec52405dc266c297a193e" TargetMode="External"/><Relationship Id="rId273" Type="http://schemas.openxmlformats.org/officeDocument/2006/relationships/hyperlink" Target="https://dzen.ru/media/id/63dd27aac30ab522dcce48b3/6904b28d024cd672bb334c89" TargetMode="External"/><Relationship Id="rId151" Type="http://schemas.openxmlformats.org/officeDocument/2006/relationships/hyperlink" Target="https://dzen.ru/media/id/63dd27aac30ab522dcce48b3/680ec3987535b749add7590c" TargetMode="External"/><Relationship Id="rId272" Type="http://schemas.openxmlformats.org/officeDocument/2006/relationships/hyperlink" Target="https://dzen.ru/media/id/63dd27aac30ab522dcce48b3/6904b26b6cf4fc74bfb5ef29" TargetMode="External"/><Relationship Id="rId158" Type="http://schemas.openxmlformats.org/officeDocument/2006/relationships/hyperlink" Target="https://dzen.ru/media/id/63dd27aac30ab522dcce48b3/681cd911d591cc0563089df4" TargetMode="External"/><Relationship Id="rId279" Type="http://schemas.openxmlformats.org/officeDocument/2006/relationships/hyperlink" Target="https://dzen.ru/media/id/63dd27aac30ab522dcce48b3/6904b38eca24586098d1fedd" TargetMode="External"/><Relationship Id="rId157" Type="http://schemas.openxmlformats.org/officeDocument/2006/relationships/hyperlink" Target="https://dzen.ru/media/id/63dd27aac30ab522dcce48b3/680ec6776a4c6418ea9d404d" TargetMode="External"/><Relationship Id="rId278" Type="http://schemas.openxmlformats.org/officeDocument/2006/relationships/hyperlink" Target="https://dzen.ru/media/id/63dd27aac30ab522dcce48b3/6904b33c24ac9a0692bf813a" TargetMode="External"/><Relationship Id="rId156" Type="http://schemas.openxmlformats.org/officeDocument/2006/relationships/hyperlink" Target="https://dzen.ru/media/id/63dd27aac30ab522dcce48b3/681cd8b2e1a3d3033259ec19" TargetMode="External"/><Relationship Id="rId277" Type="http://schemas.openxmlformats.org/officeDocument/2006/relationships/hyperlink" Target="https://dzen.ru/media/id/63dd27aac30ab522dcce48b3/6904b31619d76106dec5274b" TargetMode="External"/><Relationship Id="rId155" Type="http://schemas.openxmlformats.org/officeDocument/2006/relationships/hyperlink" Target="https://dzen.ru/media/id/63dd27aac30ab522dcce48b3/680ec5e125aa725f3bf92407" TargetMode="External"/><Relationship Id="rId276" Type="http://schemas.openxmlformats.org/officeDocument/2006/relationships/hyperlink" Target="https://dzen.ru/media/id/63dd27aac30ab522dcce48b3/6904b2fa2e906c2a4ad60951" TargetMode="External"/><Relationship Id="rId40" Type="http://schemas.openxmlformats.org/officeDocument/2006/relationships/hyperlink" Target="https://dzen.ru/media/id/63dd27aac30ab522dcce48b3/64a0046c0d384d3575999028" TargetMode="External"/><Relationship Id="rId42" Type="http://schemas.openxmlformats.org/officeDocument/2006/relationships/hyperlink" Target="https://dzen.ru/media/id/63dd27aac30ab522dcce48b3/64a2a0c3d7aa5d585097e1b9" TargetMode="External"/><Relationship Id="rId41" Type="http://schemas.openxmlformats.org/officeDocument/2006/relationships/hyperlink" Target="https://dzen.ru/media/id/63dd27aac30ab522dcce48b3/64a13aa66eed5102b0fe8333" TargetMode="External"/><Relationship Id="rId44" Type="http://schemas.openxmlformats.org/officeDocument/2006/relationships/hyperlink" Target="https://dzen.ru/media/id/63dd27aac30ab522dcce48b3/64a5404832bb3c038bc6cc7d" TargetMode="External"/><Relationship Id="rId43" Type="http://schemas.openxmlformats.org/officeDocument/2006/relationships/hyperlink" Target="https://dzen.ru/media/id/63dd27aac30ab522dcce48b3/64a3e64732bb3c038b6a588f" TargetMode="External"/><Relationship Id="rId46" Type="http://schemas.openxmlformats.org/officeDocument/2006/relationships/hyperlink" Target="https://dzen.ru/media/id/63dd27aac30ab522dcce48b3/64a7d7f52d93cb3d5e380a64" TargetMode="External"/><Relationship Id="rId45" Type="http://schemas.openxmlformats.org/officeDocument/2006/relationships/hyperlink" Target="https://dzen.ru/media/id/63dd27aac30ab522dcce48b3/64a678a507997e1f052c3c08" TargetMode="External"/><Relationship Id="rId48" Type="http://schemas.openxmlformats.org/officeDocument/2006/relationships/hyperlink" Target="https://dzen.ru/media/id/63dd27aac30ab522dcce48b3/64aa74cb03ddb86a9bdd0fa4" TargetMode="External"/><Relationship Id="rId47" Type="http://schemas.openxmlformats.org/officeDocument/2006/relationships/hyperlink" Target="https://dzen.ru/media/id/63dd27aac30ab522dcce48b3/64a97a152531b624fe2dcc23" TargetMode="External"/><Relationship Id="rId49" Type="http://schemas.openxmlformats.org/officeDocument/2006/relationships/hyperlink" Target="https://dzen.ru/media/id/63dd27aac30ab522dcce48b3/64abb19b6b91d965cf85c88e" TargetMode="External"/><Relationship Id="rId31" Type="http://schemas.openxmlformats.org/officeDocument/2006/relationships/hyperlink" Target="https://dzen.ru/media/id/63dd27aac30ab522dcce48b3/649401dfe7ff98692026b9d4" TargetMode="External"/><Relationship Id="rId30" Type="http://schemas.openxmlformats.org/officeDocument/2006/relationships/hyperlink" Target="https://dzen.ru/media/id/63dd27aac30ab522dcce48b3/6492d0f5970b3c13362582e8" TargetMode="External"/><Relationship Id="rId33" Type="http://schemas.openxmlformats.org/officeDocument/2006/relationships/hyperlink" Target="https://dzen.ru/media/id/63dd27aac30ab522dcce48b3/6496c2493899bc664a3c8621" TargetMode="External"/><Relationship Id="rId32" Type="http://schemas.openxmlformats.org/officeDocument/2006/relationships/hyperlink" Target="https://dzen.ru/media/id/63dd27aac30ab522dcce48b3/64958a01f233107ba4605017" TargetMode="External"/><Relationship Id="rId35" Type="http://schemas.openxmlformats.org/officeDocument/2006/relationships/hyperlink" Target="https://dzen.ru/media/id/63dd27aac30ab522dcce48b3/64999978d3edc357ce0a7e10" TargetMode="External"/><Relationship Id="rId34" Type="http://schemas.openxmlformats.org/officeDocument/2006/relationships/hyperlink" Target="https://dzen.ru/media/id/63dd27aac30ab522dcce48b3/649810dd791c8560ba8337dc" TargetMode="External"/><Relationship Id="rId37" Type="http://schemas.openxmlformats.org/officeDocument/2006/relationships/hyperlink" Target="https://dzen.ru/media/id/63dd27aac30ab522dcce48b3/649bf0350d74bf7b02a7af88" TargetMode="External"/><Relationship Id="rId36" Type="http://schemas.openxmlformats.org/officeDocument/2006/relationships/hyperlink" Target="https://dzen.ru/media/id/63dd27aac30ab522dcce48b3/649aa93114d2890c3da36f4c" TargetMode="External"/><Relationship Id="rId39" Type="http://schemas.openxmlformats.org/officeDocument/2006/relationships/hyperlink" Target="https://dzen.ru/media/id/63dd27aac30ab522dcce48b3/649eb120c0908348eb4b1132" TargetMode="External"/><Relationship Id="rId38" Type="http://schemas.openxmlformats.org/officeDocument/2006/relationships/hyperlink" Target="https://dzen.ru/media/id/63dd27aac30ab522dcce48b3/649d58858a478710699d1658" TargetMode="External"/><Relationship Id="rId20" Type="http://schemas.openxmlformats.org/officeDocument/2006/relationships/hyperlink" Target="https://dzen.ru/media/id/63dd27aac30ab522dcce48b3/647d00611104316e38baf54d" TargetMode="External"/><Relationship Id="rId22" Type="http://schemas.openxmlformats.org/officeDocument/2006/relationships/hyperlink" Target="https://dzen.ru/media/id/63dd27aac30ab522dcce48b3/64823bc259b6ef474c1a9051" TargetMode="External"/><Relationship Id="rId21" Type="http://schemas.openxmlformats.org/officeDocument/2006/relationships/hyperlink" Target="https://dzen.ru/media/id/63dd27aac30ab522dcce48b3/6482378dab84146e66526fb6" TargetMode="External"/><Relationship Id="rId24" Type="http://schemas.openxmlformats.org/officeDocument/2006/relationships/hyperlink" Target="https://dzen.ru/media/id/63dd27aac30ab522dcce48b3/6488734edfaba6448dae8ad2" TargetMode="External"/><Relationship Id="rId23" Type="http://schemas.openxmlformats.org/officeDocument/2006/relationships/hyperlink" Target="https://dzen.ru/media/id/63dd27aac30ab522dcce48b3/64823c33f205df6eb751347d" TargetMode="External"/><Relationship Id="rId26" Type="http://schemas.openxmlformats.org/officeDocument/2006/relationships/hyperlink" Target="https://dzen.ru/media/id/63dd27aac30ab522dcce48b3/648873e985c3654e55046554" TargetMode="External"/><Relationship Id="rId25" Type="http://schemas.openxmlformats.org/officeDocument/2006/relationships/hyperlink" Target="https://dzen.ru/media/id/63dd27aac30ab522dcce48b3/648873a1a696de4231d5ac36" TargetMode="External"/><Relationship Id="rId28" Type="http://schemas.openxmlformats.org/officeDocument/2006/relationships/hyperlink" Target="https://dzen.ru/media/id/63dd27aac30ab522dcce48b3/648eafa5224f471d4e8e75bb" TargetMode="External"/><Relationship Id="rId27" Type="http://schemas.openxmlformats.org/officeDocument/2006/relationships/hyperlink" Target="https://dzen.ru/media/id/63dd27aac30ab522dcce48b3/648ae4d5ff977512751635cc" TargetMode="External"/><Relationship Id="rId29" Type="http://schemas.openxmlformats.org/officeDocument/2006/relationships/hyperlink" Target="https://dzen.ru/media/id/63dd27aac30ab522dcce48b3/648f704648f62c2aa7190d75" TargetMode="External"/><Relationship Id="rId11" Type="http://schemas.openxmlformats.org/officeDocument/2006/relationships/hyperlink" Target="https://dzen.ru/media/id/63dd27aac30ab522dcce48b3/6475984bffa8bf12a632ad71" TargetMode="External"/><Relationship Id="rId10" Type="http://schemas.openxmlformats.org/officeDocument/2006/relationships/hyperlink" Target="https://dzen.ru/media/id/63dd27aac30ab522dcce48b3/64731cfd8294d62b8d8e2d7d" TargetMode="External"/><Relationship Id="rId13" Type="http://schemas.openxmlformats.org/officeDocument/2006/relationships/hyperlink" Target="https://dzen.ru/media/id/63dd27aac30ab522dcce48b3/64759c57ee2dd94751a04d48" TargetMode="External"/><Relationship Id="rId12" Type="http://schemas.openxmlformats.org/officeDocument/2006/relationships/hyperlink" Target="https://dzen.ru/media/id/63dd27aac30ab522dcce48b3/64759935ffa8bf12a6341f1a" TargetMode="External"/><Relationship Id="rId15" Type="http://schemas.openxmlformats.org/officeDocument/2006/relationships/hyperlink" Target="https://dzen.ru/media/id/63dd27aac30ab522dcce48b3/6475a075752a5a6915af8857" TargetMode="External"/><Relationship Id="rId14" Type="http://schemas.openxmlformats.org/officeDocument/2006/relationships/hyperlink" Target="https://dzen.ru/media/id/63dd27aac30ab522dcce48b3/64759eb579fc705940ca65b5" TargetMode="External"/><Relationship Id="rId17" Type="http://schemas.openxmlformats.org/officeDocument/2006/relationships/hyperlink" Target="https://dzen.ru/media/id/63dd27aac30ab522dcce48b3/647cfbb8c2e4d260fc452be3" TargetMode="External"/><Relationship Id="rId16" Type="http://schemas.openxmlformats.org/officeDocument/2006/relationships/hyperlink" Target="https://dzen.ru/media/id/63dd27aac30ab522dcce48b3/647cfaefc2e4d260fc445a66" TargetMode="External"/><Relationship Id="rId19" Type="http://schemas.openxmlformats.org/officeDocument/2006/relationships/hyperlink" Target="https://dzen.ru/media/id/63dd27aac30ab522dcce48b3/647cff8da29d5f26c40a2df0" TargetMode="External"/><Relationship Id="rId18" Type="http://schemas.openxmlformats.org/officeDocument/2006/relationships/hyperlink" Target="https://dzen.ru/media/id/63dd27aac30ab522dcce48b3/647cff13398ee614dceb3d31" TargetMode="External"/><Relationship Id="rId84" Type="http://schemas.openxmlformats.org/officeDocument/2006/relationships/hyperlink" Target="https://dzen.ru/media/id/63dd27aac30ab522dcce48b3/64db42bed5d9f16516a78f8e" TargetMode="External"/><Relationship Id="rId83" Type="http://schemas.openxmlformats.org/officeDocument/2006/relationships/hyperlink" Target="https://dzen.ru/media/id/63dd27aac30ab522dcce48b3/64d9ea1bae41ff4d8115bbad" TargetMode="External"/><Relationship Id="rId86" Type="http://schemas.openxmlformats.org/officeDocument/2006/relationships/hyperlink" Target="https://dzen.ru/media/id/63dd27aac30ab522dcce48b3/64dde2e6df71b80d9e003d2f" TargetMode="External"/><Relationship Id="rId85" Type="http://schemas.openxmlformats.org/officeDocument/2006/relationships/hyperlink" Target="https://dzen.ru/media/id/63dd27aac30ab522dcce48b3/64dc93c3e4ad755a46e7e158" TargetMode="External"/><Relationship Id="rId88" Type="http://schemas.openxmlformats.org/officeDocument/2006/relationships/hyperlink" Target="https://dzen.ru/media/id/63dd27aac30ab522dcce48b3/64e1d64d7a2b0a52f3149ee2" TargetMode="External"/><Relationship Id="rId87" Type="http://schemas.openxmlformats.org/officeDocument/2006/relationships/hyperlink" Target="https://dzen.ru/media/id/63dd27aac30ab522dcce48b3/64df32dda4da304bf0867031" TargetMode="External"/><Relationship Id="rId89" Type="http://schemas.openxmlformats.org/officeDocument/2006/relationships/hyperlink" Target="https://dzen.ru/media/id/63dd27aac30ab522dcce48b3/64e3252cf7de121738425e54" TargetMode="External"/><Relationship Id="rId80" Type="http://schemas.openxmlformats.org/officeDocument/2006/relationships/hyperlink" Target="https://dzen.ru/media/id/63dd27aac30ab522dcce48b3/64d6021f9d644c02284b7a04" TargetMode="External"/><Relationship Id="rId82" Type="http://schemas.openxmlformats.org/officeDocument/2006/relationships/hyperlink" Target="https://dzen.ru/media/id/63dd27aac30ab522dcce48b3/64d89b15b761d411a528f612" TargetMode="External"/><Relationship Id="rId81" Type="http://schemas.openxmlformats.org/officeDocument/2006/relationships/hyperlink" Target="https://dzen.ru/media/id/63dd27aac30ab522dcce48b3/64d74bfd60b16c687f533426" TargetMode="External"/><Relationship Id="rId73" Type="http://schemas.openxmlformats.org/officeDocument/2006/relationships/hyperlink" Target="https://dzen.ru/media/id/63dd27aac30ab522dcce48b3/64cb589855b25f35638bd216" TargetMode="External"/><Relationship Id="rId72" Type="http://schemas.openxmlformats.org/officeDocument/2006/relationships/hyperlink" Target="https://dzen.ru/media/id/63dd27aac30ab522dcce48b3/64c96f7f0d620510298848ab" TargetMode="External"/><Relationship Id="rId75" Type="http://schemas.openxmlformats.org/officeDocument/2006/relationships/hyperlink" Target="https://dzen.ru/media/id/63dd27aac30ab522dcce48b3/64cde54b4a27621bc29ab62e" TargetMode="External"/><Relationship Id="rId74" Type="http://schemas.openxmlformats.org/officeDocument/2006/relationships/hyperlink" Target="https://dzen.ru/media/id/63dd27aac30ab522dcce48b3/64cc0c531971f80dcb6bdbbf" TargetMode="External"/><Relationship Id="rId77" Type="http://schemas.openxmlformats.org/officeDocument/2006/relationships/hyperlink" Target="https://dzen.ru/media/id/63dd27aac30ab522dcce48b3/64d09cfb2f59ab32631b23eb" TargetMode="External"/><Relationship Id="rId76" Type="http://schemas.openxmlformats.org/officeDocument/2006/relationships/hyperlink" Target="https://dzen.ru/media/id/63dd27aac30ab522dcce48b3/64cf56bb2b4a526efe0305f2" TargetMode="External"/><Relationship Id="rId79" Type="http://schemas.openxmlformats.org/officeDocument/2006/relationships/hyperlink" Target="https://dzen.ru/media/id/63dd27aac30ab522dcce48b3/64d35af444a4467cf4d7036a" TargetMode="External"/><Relationship Id="rId78" Type="http://schemas.openxmlformats.org/officeDocument/2006/relationships/hyperlink" Target="https://dzen.ru/media/id/63dd27aac30ab522dcce48b3/64d2071665b8bf655fa22226" TargetMode="External"/><Relationship Id="rId71" Type="http://schemas.openxmlformats.org/officeDocument/2006/relationships/hyperlink" Target="https://dzen.ru/media/id/63dd27aac30ab522dcce48b3/64c8c3b413dc0b3154dab0d0" TargetMode="External"/><Relationship Id="rId70" Type="http://schemas.openxmlformats.org/officeDocument/2006/relationships/hyperlink" Target="https://dzen.ru/media/id/63dd27aac30ab522dcce48b3/64c77513e2687c5d7f1120ce" TargetMode="External"/><Relationship Id="rId62" Type="http://schemas.openxmlformats.org/officeDocument/2006/relationships/hyperlink" Target="https://dzen.ru/media/id/63dd27aac30ab522dcce48b3/64bcebc3953ef56ce2bf2cd5" TargetMode="External"/><Relationship Id="rId61" Type="http://schemas.openxmlformats.org/officeDocument/2006/relationships/hyperlink" Target="https://dzen.ru/media/id/63dd27aac30ab522dcce48b3/64bb9b6d57aa952a34677083" TargetMode="External"/><Relationship Id="rId64" Type="http://schemas.openxmlformats.org/officeDocument/2006/relationships/hyperlink" Target="https://dzen.ru/media/id/63dd27aac30ab522dcce48b3/64bf8752da8d293e7f4d8b04" TargetMode="External"/><Relationship Id="rId63" Type="http://schemas.openxmlformats.org/officeDocument/2006/relationships/hyperlink" Target="https://dzen.ru/media/id/63dd27aac30ab522dcce48b3/64be35c13183b0639d504f6f" TargetMode="External"/><Relationship Id="rId66" Type="http://schemas.openxmlformats.org/officeDocument/2006/relationships/hyperlink" Target="https://dzen.ru/media/id/63dd27aac30ab522dcce48b3/64c21edc0db63957c0953adf" TargetMode="External"/><Relationship Id="rId65" Type="http://schemas.openxmlformats.org/officeDocument/2006/relationships/hyperlink" Target="https://dzen.ru/media/id/63dd27aac30ab522dcce48b3/64c0d2c30db63957c0d12631" TargetMode="External"/><Relationship Id="rId68" Type="http://schemas.openxmlformats.org/officeDocument/2006/relationships/hyperlink" Target="https://dzen.ru/media/id/63dd27aac30ab522dcce48b3/64c4bdbc9ab9276d365e5caf" TargetMode="External"/><Relationship Id="rId67" Type="http://schemas.openxmlformats.org/officeDocument/2006/relationships/hyperlink" Target="https://dzen.ru/media/id/63dd27aac30ab522dcce48b3/64c37a523de597011a2beb64" TargetMode="External"/><Relationship Id="rId60" Type="http://schemas.openxmlformats.org/officeDocument/2006/relationships/hyperlink" Target="https://dzen.ru/media/id/63dd27aac30ab522dcce48b3/64ba5399fecdf84e5abcc77d" TargetMode="External"/><Relationship Id="rId69" Type="http://schemas.openxmlformats.org/officeDocument/2006/relationships/hyperlink" Target="https://dzen.ru/media/id/63dd27aac30ab522dcce48b3/64c625c9c1a61610b1a781d9" TargetMode="External"/><Relationship Id="rId51" Type="http://schemas.openxmlformats.org/officeDocument/2006/relationships/hyperlink" Target="https://dzen.ru/media/id/63dd27aac30ab522dcce48b3/64ae5adddc14f93baaf867b8" TargetMode="External"/><Relationship Id="rId50" Type="http://schemas.openxmlformats.org/officeDocument/2006/relationships/hyperlink" Target="https://dzen.ru/media/id/63dd27aac30ab522dcce48b3/64ad145a91e2d611e9b49540" TargetMode="External"/><Relationship Id="rId53" Type="http://schemas.openxmlformats.org/officeDocument/2006/relationships/hyperlink" Target="https://dzen.ru/media/id/63dd27aac30ab522dcce48b3/64b113d0682d3d25e1bfaed0" TargetMode="External"/><Relationship Id="rId52" Type="http://schemas.openxmlformats.org/officeDocument/2006/relationships/hyperlink" Target="https://dzen.ru/media/id/63dd27aac30ab522dcce48b3/64afb3bfb80020411aaf6b4e" TargetMode="External"/><Relationship Id="rId55" Type="http://schemas.openxmlformats.org/officeDocument/2006/relationships/hyperlink" Target="https://dzen.ru/media/id/63dd27aac30ab522dcce48b3/64b3ad3de2812931d40c756e" TargetMode="External"/><Relationship Id="rId54" Type="http://schemas.openxmlformats.org/officeDocument/2006/relationships/hyperlink" Target="https://dzen.ru/media/id/63dd27aac30ab522dcce48b3/64b25e0c2162ad30eb89b364" TargetMode="External"/><Relationship Id="rId57" Type="http://schemas.openxmlformats.org/officeDocument/2006/relationships/hyperlink" Target="https://dzen.ru/media/id/63dd27aac30ab522dcce48b3/64b6554c1fb1a44c158df181" TargetMode="External"/><Relationship Id="rId56" Type="http://schemas.openxmlformats.org/officeDocument/2006/relationships/hyperlink" Target="https://dzen.ru/media/id/63dd27aac30ab522dcce48b3/64b50cad25e22b78090a8a03" TargetMode="External"/><Relationship Id="rId59" Type="http://schemas.openxmlformats.org/officeDocument/2006/relationships/hyperlink" Target="https://dzen.ru/media/id/63dd27aac30ab522dcce48b3/64b8fa762955d3653142d94d" TargetMode="External"/><Relationship Id="rId58" Type="http://schemas.openxmlformats.org/officeDocument/2006/relationships/hyperlink" Target="https://dzen.ru/media/id/63dd27aac30ab522dcce48b3/64b7a104cd666a6fb1839fd9" TargetMode="External"/><Relationship Id="rId107" Type="http://schemas.openxmlformats.org/officeDocument/2006/relationships/hyperlink" Target="https://dzen.ru/media/id/63dd27aac30ab522dcce48b3/64fae62183912c11ae41ae26" TargetMode="External"/><Relationship Id="rId228" Type="http://schemas.openxmlformats.org/officeDocument/2006/relationships/hyperlink" Target="https://dzen.ru/media/id/63dd27aac30ab522dcce48b3/683bcd7096145b7264f04a19" TargetMode="External"/><Relationship Id="rId349" Type="http://schemas.openxmlformats.org/officeDocument/2006/relationships/hyperlink" Target="https://dzen.ru/media/id/63dd27aac30ab522dcce48b3/6a0982f2208c506aa8645ddb" TargetMode="External"/><Relationship Id="rId106" Type="http://schemas.openxmlformats.org/officeDocument/2006/relationships/hyperlink" Target="https://dzen.ru/media/id/63dd27aac30ab522dcce48b3/64f99243d38fd30539d1bdc3" TargetMode="External"/><Relationship Id="rId227" Type="http://schemas.openxmlformats.org/officeDocument/2006/relationships/hyperlink" Target="https://dzen.ru/media/id/63dd27aac30ab522dcce48b3/683bcd4fe2eb173008ad8994" TargetMode="External"/><Relationship Id="rId348" Type="http://schemas.openxmlformats.org/officeDocument/2006/relationships/hyperlink" Target="https://dzen.ru/media/id/63dd27aac30ab522dcce48b3/6a058e48570c2d44d933524e" TargetMode="External"/><Relationship Id="rId105" Type="http://schemas.openxmlformats.org/officeDocument/2006/relationships/hyperlink" Target="https://dzen.ru/media/id/63dd27aac30ab522dcce48b3/64f84097fd21dc63e331346f" TargetMode="External"/><Relationship Id="rId226" Type="http://schemas.openxmlformats.org/officeDocument/2006/relationships/hyperlink" Target="https://dzen.ru/media/id/63dd27aac30ab522dcce48b3/683bccdf96145b7264eff22a" TargetMode="External"/><Relationship Id="rId347" Type="http://schemas.openxmlformats.org/officeDocument/2006/relationships/hyperlink" Target="https://dzen.ru/media/id/63dd27aac30ab522dcce48b3/6a03050b0547961f67b34980" TargetMode="External"/><Relationship Id="rId104" Type="http://schemas.openxmlformats.org/officeDocument/2006/relationships/hyperlink" Target="https://dzen.ru/media/id/63dd27aac30ab522dcce48b3/64f6ed3531101e7f228a38d1" TargetMode="External"/><Relationship Id="rId225" Type="http://schemas.openxmlformats.org/officeDocument/2006/relationships/hyperlink" Target="https://dzen.ru/media/id/63dd27aac30ab522dcce48b3/683cd685a5a6734bd4f355f0" TargetMode="External"/><Relationship Id="rId346" Type="http://schemas.openxmlformats.org/officeDocument/2006/relationships/hyperlink" Target="https://dzen.ru/media/id/63dd27aac30ab522dcce48b3/6a0062b12de3e96ec57af27c" TargetMode="External"/><Relationship Id="rId109" Type="http://schemas.openxmlformats.org/officeDocument/2006/relationships/hyperlink" Target="https://dzen.ru/media/id/63dd27aac30ab522dcce48b3/64fd95b3f2cb674cb87e13bc" TargetMode="External"/><Relationship Id="rId108" Type="http://schemas.openxmlformats.org/officeDocument/2006/relationships/hyperlink" Target="https://dzen.ru/media/id/63dd27aac30ab522dcce48b3/64fc37ba55dc7e5d7a20c986" TargetMode="External"/><Relationship Id="rId229" Type="http://schemas.openxmlformats.org/officeDocument/2006/relationships/hyperlink" Target="https://dzen.ru/media/id/63dd27aac30ab522dcce48b3/683bcd9c06f2745f3db1d721" TargetMode="External"/><Relationship Id="rId220" Type="http://schemas.openxmlformats.org/officeDocument/2006/relationships/hyperlink" Target="https://dzen.ru/media/id/63dd27aac30ab522dcce48b3/683cd5cb610de85547175034" TargetMode="External"/><Relationship Id="rId341" Type="http://schemas.openxmlformats.org/officeDocument/2006/relationships/hyperlink" Target="https://dzen.ru/media/id/63dd27aac30ab522dcce48b3/69f096128397d7093f5a4c61" TargetMode="External"/><Relationship Id="rId340" Type="http://schemas.openxmlformats.org/officeDocument/2006/relationships/hyperlink" Target="https://dzen.ru/media/id/63dd27aac30ab522dcce48b3/69e9f4098647392ded4a691e" TargetMode="External"/><Relationship Id="rId103" Type="http://schemas.openxmlformats.org/officeDocument/2006/relationships/hyperlink" Target="https://dzen.ru/media/id/63dd27aac30ab522dcce48b3/64f59dacd643ae46b7f9dd9b" TargetMode="External"/><Relationship Id="rId224" Type="http://schemas.openxmlformats.org/officeDocument/2006/relationships/hyperlink" Target="https://dzen.ru/media/id/63dd27aac30ab522dcce48b3/683cd65d6a52081ccfe8688e" TargetMode="External"/><Relationship Id="rId345" Type="http://schemas.openxmlformats.org/officeDocument/2006/relationships/hyperlink" Target="https://dzen.ru/media/id/63dd27aac30ab522dcce48b3/69fc43d7db22e333c4556834" TargetMode="External"/><Relationship Id="rId102" Type="http://schemas.openxmlformats.org/officeDocument/2006/relationships/hyperlink" Target="https://dzen.ru/media/id/63dd27aac30ab522dcce48b3/64f447f6d643ae46b757f3a0" TargetMode="External"/><Relationship Id="rId223" Type="http://schemas.openxmlformats.org/officeDocument/2006/relationships/hyperlink" Target="https://dzen.ru/media/id/63dd27aac30ab522dcce48b3/683bccab6d416c54898add95" TargetMode="External"/><Relationship Id="rId344" Type="http://schemas.openxmlformats.org/officeDocument/2006/relationships/hyperlink" Target="https://dzen.ru/media/id/63dd27aac30ab522dcce48b3/69f9a0a7ef3f37622db74384" TargetMode="External"/><Relationship Id="rId101" Type="http://schemas.openxmlformats.org/officeDocument/2006/relationships/hyperlink" Target="https://dzen.ru/media/id/63dd27aac30ab522dcce48b3/64f2f77c09bb0574c622f143" TargetMode="External"/><Relationship Id="rId222" Type="http://schemas.openxmlformats.org/officeDocument/2006/relationships/hyperlink" Target="https://dzen.ru/media/id/63dd27aac30ab522dcce48b3/683cd5f4e2eb173008e681d5" TargetMode="External"/><Relationship Id="rId343" Type="http://schemas.openxmlformats.org/officeDocument/2006/relationships/hyperlink" Target="https://dzen.ru/media/id/63dd27aac30ab522dcce48b3/69f71620ef3f37622d3d45fb" TargetMode="External"/><Relationship Id="rId100" Type="http://schemas.openxmlformats.org/officeDocument/2006/relationships/hyperlink" Target="https://dzen.ru/media/id/63dd27aac30ab522dcce48b3/64f1a5db712ba465339c9e59" TargetMode="External"/><Relationship Id="rId221" Type="http://schemas.openxmlformats.org/officeDocument/2006/relationships/hyperlink" Target="https://dzen.ru/media/id/63dd27aac30ab522dcce48b3/683bcc78660f913bf6819f60" TargetMode="External"/><Relationship Id="rId342" Type="http://schemas.openxmlformats.org/officeDocument/2006/relationships/hyperlink" Target="https://dzen.ru/media/id/63dd27aac30ab522dcce48b3/69f314211ea6905d078768d9" TargetMode="External"/><Relationship Id="rId217" Type="http://schemas.openxmlformats.org/officeDocument/2006/relationships/hyperlink" Target="https://dzen.ru/media/id/63dd27aac30ab522dcce48b3/683cd5628a59c727c1dcaf9f" TargetMode="External"/><Relationship Id="rId338" Type="http://schemas.openxmlformats.org/officeDocument/2006/relationships/hyperlink" Target="https://dzen.ru/media/id/63dd27aac30ab522dcce48b3/69e0b903fb7866792b9313b1" TargetMode="External"/><Relationship Id="rId216" Type="http://schemas.openxmlformats.org/officeDocument/2006/relationships/hyperlink" Target="https://dzen.ru/media/id/63dd27aac30ab522dcce48b3/683bcbe1e2eb173008acba30" TargetMode="External"/><Relationship Id="rId337" Type="http://schemas.openxmlformats.org/officeDocument/2006/relationships/hyperlink" Target="https://dzen.ru/media/id/63dd27aac30ab522dcce48b3/69de2a55bda1c0290345a4b9" TargetMode="External"/><Relationship Id="rId215" Type="http://schemas.openxmlformats.org/officeDocument/2006/relationships/hyperlink" Target="https://dzen.ru/media/id/63dd27aac30ab522dcce48b3/683cd52b15e49e5225ea8239" TargetMode="External"/><Relationship Id="rId336" Type="http://schemas.openxmlformats.org/officeDocument/2006/relationships/hyperlink" Target="https://dzen.ru/media/id/63dd27aac30ab522dcce48b3/69dc3344d1f9754398fd3260" TargetMode="External"/><Relationship Id="rId214" Type="http://schemas.openxmlformats.org/officeDocument/2006/relationships/hyperlink" Target="https://dzen.ru/media/id/63dd27aac30ab522dcce48b3/683bcb1493d34b02e81542d6" TargetMode="External"/><Relationship Id="rId335" Type="http://schemas.openxmlformats.org/officeDocument/2006/relationships/hyperlink" Target="https://dzen.ru/media/id/63dd27aac30ab522dcce48b3/69d77edb08c3724d83e04a7a" TargetMode="External"/><Relationship Id="rId219" Type="http://schemas.openxmlformats.org/officeDocument/2006/relationships/hyperlink" Target="https://dzen.ru/media/id/63dd27aac30ab522dcce48b3/683bcc4f610de85547de2d99" TargetMode="External"/><Relationship Id="rId218" Type="http://schemas.openxmlformats.org/officeDocument/2006/relationships/hyperlink" Target="https://dzen.ru/media/id/63dd27aac30ab522dcce48b3/683cd5a50d1aca2006bea73a" TargetMode="External"/><Relationship Id="rId339" Type="http://schemas.openxmlformats.org/officeDocument/2006/relationships/hyperlink" Target="https://dzen.ru/media/id/63dd27aac30ab522dcce48b3/69e750e2823b066ea19eca6e" TargetMode="External"/><Relationship Id="rId330" Type="http://schemas.openxmlformats.org/officeDocument/2006/relationships/hyperlink" Target="https://dzen.ru/media/id/63dd27aac30ab522dcce48b3/69c50529f8d5ac7dcbd65bdc" TargetMode="External"/><Relationship Id="rId213" Type="http://schemas.openxmlformats.org/officeDocument/2006/relationships/hyperlink" Target="https://dzen.ru/media/id/63dd27aac30ab522dcce48b3/683cd4ed0d1aca2006be332c" TargetMode="External"/><Relationship Id="rId334" Type="http://schemas.openxmlformats.org/officeDocument/2006/relationships/hyperlink" Target="https://dzen.ru/media/id/63dd27aac30ab522dcce48b3/69d235474180aa4d14f052b8" TargetMode="External"/><Relationship Id="rId212" Type="http://schemas.openxmlformats.org/officeDocument/2006/relationships/hyperlink" Target="https://dzen.ru/media/id/63dd27aac30ab522dcce48b3/683bcaeb97651c0a16a54613" TargetMode="External"/><Relationship Id="rId333" Type="http://schemas.openxmlformats.org/officeDocument/2006/relationships/hyperlink" Target="https://dzen.ru/media/id/63dd27aac30ab522dcce48b3/69cfd8cd185afb3db372f220" TargetMode="External"/><Relationship Id="rId211" Type="http://schemas.openxmlformats.org/officeDocument/2006/relationships/hyperlink" Target="https://dzen.ru/media/id/63dd27aac30ab522dcce48b3/683cd49cb6edec095bf4b7ec" TargetMode="External"/><Relationship Id="rId332" Type="http://schemas.openxmlformats.org/officeDocument/2006/relationships/hyperlink" Target="https://dzen.ru/media/id/63dd27aac30ab522dcce48b3/69cb8a827d40780dfe6ca57f" TargetMode="External"/><Relationship Id="rId210" Type="http://schemas.openxmlformats.org/officeDocument/2006/relationships/hyperlink" Target="https://dzen.ru/media/id/63dd27aac30ab522dcce48b3/683cd46e4c6efb6089beed90" TargetMode="External"/><Relationship Id="rId331" Type="http://schemas.openxmlformats.org/officeDocument/2006/relationships/hyperlink" Target="https://dzen.ru/media/id/63dd27aac30ab522dcce48b3/69c8feaad0adae769c3c01c1" TargetMode="External"/><Relationship Id="rId370" Type="http://schemas.openxmlformats.org/officeDocument/2006/relationships/drawing" Target="../drawings/drawing5.xml"/><Relationship Id="rId129" Type="http://schemas.openxmlformats.org/officeDocument/2006/relationships/hyperlink" Target="https://dzen.ru/media/id/63dd27aac30ab522dcce48b3/65168e8e8f456913c063a118" TargetMode="External"/><Relationship Id="rId128" Type="http://schemas.openxmlformats.org/officeDocument/2006/relationships/hyperlink" Target="https://dzen.ru/media/id/63dd27aac30ab522dcce48b3/651527406ac4a614f7799eb3" TargetMode="External"/><Relationship Id="rId249" Type="http://schemas.openxmlformats.org/officeDocument/2006/relationships/hyperlink" Target="https://dzen.ru/media/id/63dd27aac30ab522dcce48b3/688108d6bdfd25299662437b" TargetMode="External"/><Relationship Id="rId127" Type="http://schemas.openxmlformats.org/officeDocument/2006/relationships/hyperlink" Target="https://dzen.ru/media/id/63dd27aac30ab522dcce48b3/6513f71fefae0f352fb86dc7" TargetMode="External"/><Relationship Id="rId248" Type="http://schemas.openxmlformats.org/officeDocument/2006/relationships/hyperlink" Target="https://dzen.ru/media/id/63dd27aac30ab522dcce48b3/688108b04c9cc30092a44dcb" TargetMode="External"/><Relationship Id="rId369" Type="http://schemas.openxmlformats.org/officeDocument/2006/relationships/hyperlink" Target="https://dzen.ru/media/id/63dd27aac30ab522dcce48b3/6a535e50012b75611d2fee95" TargetMode="External"/><Relationship Id="rId126" Type="http://schemas.openxmlformats.org/officeDocument/2006/relationships/hyperlink" Target="https://dzen.ru/media/id/63dd27aac30ab522dcce48b3/651292b49cc80e392b1fca74" TargetMode="External"/><Relationship Id="rId247" Type="http://schemas.openxmlformats.org/officeDocument/2006/relationships/hyperlink" Target="https://dzen.ru/media/id/63dd27aac30ab522dcce48b3/6881088906a06523c5b5c044" TargetMode="External"/><Relationship Id="rId368" Type="http://schemas.openxmlformats.org/officeDocument/2006/relationships/hyperlink" Target="https://dzen.ru/media/id/63dd27aac30ab522dcce48b3/6a4f688a98fe8b6afee639d0" TargetMode="External"/><Relationship Id="rId121" Type="http://schemas.openxmlformats.org/officeDocument/2006/relationships/hyperlink" Target="https://dzen.ru/media/id/63dd27aac30ab522dcce48b3/650d327c983b547919d9edce" TargetMode="External"/><Relationship Id="rId242" Type="http://schemas.openxmlformats.org/officeDocument/2006/relationships/hyperlink" Target="https://dzen.ru/media/id/63dd27aac30ab522dcce48b3/688107a511d5b2389522be8d" TargetMode="External"/><Relationship Id="rId363" Type="http://schemas.openxmlformats.org/officeDocument/2006/relationships/hyperlink" Target="https://dzen.ru/media/id/63dd27aac30ab522dcce48b3/6a40e0fc97a40b07bfd68992" TargetMode="External"/><Relationship Id="rId120" Type="http://schemas.openxmlformats.org/officeDocument/2006/relationships/hyperlink" Target="https://dzen.ru/media/id/63dd27aac30ab522dcce48b3/650c01ba983b547919b00010" TargetMode="External"/><Relationship Id="rId241" Type="http://schemas.openxmlformats.org/officeDocument/2006/relationships/hyperlink" Target="https://dzen.ru/media/id/63dd27aac30ab522dcce48b3/688107512d585408fd0caf88" TargetMode="External"/><Relationship Id="rId362" Type="http://schemas.openxmlformats.org/officeDocument/2006/relationships/hyperlink" Target="https://dzen.ru/media/id/63dd27aac30ab522dcce48b3/6a3cf3915526c776bc89d2fd" TargetMode="External"/><Relationship Id="rId240" Type="http://schemas.openxmlformats.org/officeDocument/2006/relationships/hyperlink" Target="https://dzen.ru/media/id/63dd27aac30ab522dcce48b3/68810726cc660b6d18963195" TargetMode="External"/><Relationship Id="rId361" Type="http://schemas.openxmlformats.org/officeDocument/2006/relationships/hyperlink" Target="https://dzen.ru/media/id/63dd27aac30ab522dcce48b3/6a3a6048665bf6072b478d32" TargetMode="External"/><Relationship Id="rId360" Type="http://schemas.openxmlformats.org/officeDocument/2006/relationships/hyperlink" Target="https://dzen.ru/media/id/63dd27aac30ab522dcce48b3/6a379da2556d2031226f52fb" TargetMode="External"/><Relationship Id="rId125" Type="http://schemas.openxmlformats.org/officeDocument/2006/relationships/hyperlink" Target="https://dzen.ru/media/id/63dd27aac30ab522dcce48b3/6511543d0292430a0493f13b" TargetMode="External"/><Relationship Id="rId246" Type="http://schemas.openxmlformats.org/officeDocument/2006/relationships/hyperlink" Target="https://dzen.ru/media/id/63dd27aac30ab522dcce48b3/68810852aa91dc6c328841cb" TargetMode="External"/><Relationship Id="rId367" Type="http://schemas.openxmlformats.org/officeDocument/2006/relationships/hyperlink" Target="https://dzen.ru/media/id/63dd27aac30ab522dcce48b3/6a4cf276f134a535fdad3d22" TargetMode="External"/><Relationship Id="rId124" Type="http://schemas.openxmlformats.org/officeDocument/2006/relationships/hyperlink" Target="https://dzen.ru/media/id/63dd27aac30ab522dcce48b3/650ffd4e1c1c9016402836dc" TargetMode="External"/><Relationship Id="rId245" Type="http://schemas.openxmlformats.org/officeDocument/2006/relationships/hyperlink" Target="https://dzen.ru/media/id/63dd27aac30ab522dcce48b3/688108368c5df05227d3cc6b" TargetMode="External"/><Relationship Id="rId366" Type="http://schemas.openxmlformats.org/officeDocument/2006/relationships/hyperlink" Target="https://dzen.ru/media/id/63dd27aac30ab522dcce48b3/6a4a4883b912b9327f63a244" TargetMode="External"/><Relationship Id="rId123" Type="http://schemas.openxmlformats.org/officeDocument/2006/relationships/hyperlink" Target="https://dzen.ru/media/id/63dd27aac30ab522dcce48b3/650e822af9f7c76a23b9a420" TargetMode="External"/><Relationship Id="rId244" Type="http://schemas.openxmlformats.org/officeDocument/2006/relationships/hyperlink" Target="https://dzen.ru/media/id/63dd27aac30ab522dcce48b3/6881080daa91dc6c3287ea8e" TargetMode="External"/><Relationship Id="rId365" Type="http://schemas.openxmlformats.org/officeDocument/2006/relationships/hyperlink" Target="https://dzen.ru/media/id/63dd27aac30ab522dcce48b3/6a4611aa3b71c42b8bdf782e" TargetMode="External"/><Relationship Id="rId122" Type="http://schemas.openxmlformats.org/officeDocument/2006/relationships/hyperlink" Target="https://dzen.ru/media/id/63dd27aac30ab522dcce48b3/650a163f052eb173c4520a22" TargetMode="External"/><Relationship Id="rId243" Type="http://schemas.openxmlformats.org/officeDocument/2006/relationships/hyperlink" Target="https://dzen.ru/media/id/63dd27aac30ab522dcce48b3/688107cacc660b6d1896fc86" TargetMode="External"/><Relationship Id="rId364" Type="http://schemas.openxmlformats.org/officeDocument/2006/relationships/hyperlink" Target="https://dzen.ru/media/id/63dd27aac30ab522dcce48b3/6a43a4ac67311d429529556b" TargetMode="External"/><Relationship Id="rId95" Type="http://schemas.openxmlformats.org/officeDocument/2006/relationships/hyperlink" Target="https://dzen.ru/media/id/63dd27aac30ab522dcce48b3/64eb489039814150a4f5bbfb" TargetMode="External"/><Relationship Id="rId94" Type="http://schemas.openxmlformats.org/officeDocument/2006/relationships/hyperlink" Target="https://dzen.ru/media/id/63dd27aac30ab522dcce48b3/64e9c1982c60877b301112d1" TargetMode="External"/><Relationship Id="rId97" Type="http://schemas.openxmlformats.org/officeDocument/2006/relationships/hyperlink" Target="https://dzen.ru/media/id/63dd27aac30ab522dcce48b3/64edbdb440c6e93d6880a593" TargetMode="External"/><Relationship Id="rId96" Type="http://schemas.openxmlformats.org/officeDocument/2006/relationships/hyperlink" Target="https://dzen.ru/media/id/63dd27aac30ab522dcce48b3/64ec5b772c60877b30c76604" TargetMode="External"/><Relationship Id="rId99" Type="http://schemas.openxmlformats.org/officeDocument/2006/relationships/hyperlink" Target="https://dzen.ru/media/id/63dd27aac30ab522dcce48b3/64ef7cf3f3fccc3f8be25704" TargetMode="External"/><Relationship Id="rId98" Type="http://schemas.openxmlformats.org/officeDocument/2006/relationships/hyperlink" Target="https://dzen.ru/media/id/63dd27aac30ab522dcce48b3/64ef05548db65b09823f852c" TargetMode="External"/><Relationship Id="rId91" Type="http://schemas.openxmlformats.org/officeDocument/2006/relationships/hyperlink" Target="https://dzen.ru/media/id/63dd27aac30ab522dcce48b3/64e5c7938d114068e8518cee" TargetMode="External"/><Relationship Id="rId90" Type="http://schemas.openxmlformats.org/officeDocument/2006/relationships/hyperlink" Target="https://dzen.ru/media/id/63dd27aac30ab522dcce48b3/64e4837583d1d11bd5b198fb" TargetMode="External"/><Relationship Id="rId93" Type="http://schemas.openxmlformats.org/officeDocument/2006/relationships/hyperlink" Target="https://dzen.ru/media/id/63dd27aac30ab522dcce48b3/64e868473cce081d2417a571" TargetMode="External"/><Relationship Id="rId92" Type="http://schemas.openxmlformats.org/officeDocument/2006/relationships/hyperlink" Target="https://dzen.ru/media/id/63dd27aac30ab522dcce48b3/64e7193026b31e380a6f2f18" TargetMode="External"/><Relationship Id="rId118" Type="http://schemas.openxmlformats.org/officeDocument/2006/relationships/hyperlink" Target="https://dzen.ru/media/id/63dd27aac30ab522dcce48b3/65096047fa2e4009b0199709" TargetMode="External"/><Relationship Id="rId239" Type="http://schemas.openxmlformats.org/officeDocument/2006/relationships/hyperlink" Target="https://dzen.ru/media/id/63dd27aac30ab522dcce48b3/6881070551cdab32176ba8fc" TargetMode="External"/><Relationship Id="rId117" Type="http://schemas.openxmlformats.org/officeDocument/2006/relationships/hyperlink" Target="https://dzen.ru/media/id/63dd27aac30ab522dcce48b3/65080e74c4ab58039ae82e4d" TargetMode="External"/><Relationship Id="rId238" Type="http://schemas.openxmlformats.org/officeDocument/2006/relationships/hyperlink" Target="https://dzen.ru/media/id/63dd27aac30ab522dcce48b3/688106b1ac422d50dbf79858" TargetMode="External"/><Relationship Id="rId359" Type="http://schemas.openxmlformats.org/officeDocument/2006/relationships/hyperlink" Target="https://dzen.ru/media/id/63dd27aac30ab522dcce48b3/6a33afaf5ebf3519ec7f7305" TargetMode="External"/><Relationship Id="rId116" Type="http://schemas.openxmlformats.org/officeDocument/2006/relationships/hyperlink" Target="https://dzen.ru/media/id/63dd27aac30ab522dcce48b3/6506cc6aa8d00e387ffe771a" TargetMode="External"/><Relationship Id="rId237" Type="http://schemas.openxmlformats.org/officeDocument/2006/relationships/hyperlink" Target="https://dzen.ru/media/id/63dd27aac30ab522dcce48b3/688106848c5df05227d1b6c8" TargetMode="External"/><Relationship Id="rId358" Type="http://schemas.openxmlformats.org/officeDocument/2006/relationships/hyperlink" Target="https://dzen.ru/media/id/63dd27aac30ab522dcce48b3/6a2a8ae02f5ff92a02cfe0e8" TargetMode="External"/><Relationship Id="rId115" Type="http://schemas.openxmlformats.org/officeDocument/2006/relationships/hyperlink" Target="https://dzen.ru/media/id/63dd27aac30ab522dcce48b3/6505730aa798d0165fcf26b5" TargetMode="External"/><Relationship Id="rId236" Type="http://schemas.openxmlformats.org/officeDocument/2006/relationships/hyperlink" Target="https://dzen.ru/media/id/63dd27aac30ab522dcce48b3/6881065fff15683da713ca01" TargetMode="External"/><Relationship Id="rId357" Type="http://schemas.openxmlformats.org/officeDocument/2006/relationships/hyperlink" Target="https://dzen.ru/media/id/63dd27aac30ab522dcce48b3/6a27f9d1e8f787617076a5bf" TargetMode="External"/><Relationship Id="rId119" Type="http://schemas.openxmlformats.org/officeDocument/2006/relationships/hyperlink" Target="https://dzen.ru/media/id/63dd27aac30ab522dcce48b3/6509e9b86843aa59248e4a13" TargetMode="External"/><Relationship Id="rId110" Type="http://schemas.openxmlformats.org/officeDocument/2006/relationships/hyperlink" Target="https://dzen.ru/media/id/63dd27aac30ab522dcce48b3/64fed92add27200ea92eb8a9" TargetMode="External"/><Relationship Id="rId231" Type="http://schemas.openxmlformats.org/officeDocument/2006/relationships/hyperlink" Target="https://dzen.ru/media/id/63dd27aac30ab522dcce48b3/6881053b8d1c2d59102fc418" TargetMode="External"/><Relationship Id="rId352" Type="http://schemas.openxmlformats.org/officeDocument/2006/relationships/hyperlink" Target="https://dzen.ru/media/id/63dd27aac30ab522dcce48b3/6a157988d34c44374f48ca55" TargetMode="External"/><Relationship Id="rId230" Type="http://schemas.openxmlformats.org/officeDocument/2006/relationships/hyperlink" Target="https://dzen.ru/media/id/63dd27aac30ab522dcce48b3/688107ec5c2e7921efdbcbd9" TargetMode="External"/><Relationship Id="rId351" Type="http://schemas.openxmlformats.org/officeDocument/2006/relationships/hyperlink" Target="https://dzen.ru/media/id/63dd27aac30ab522dcce48b3/6a12d98b151aa43afccc1b77" TargetMode="External"/><Relationship Id="rId350" Type="http://schemas.openxmlformats.org/officeDocument/2006/relationships/hyperlink" Target="https://dzen.ru/media/id/63dd27aac30ab522dcce48b3/6a0eca9085386764292b76f0" TargetMode="External"/><Relationship Id="rId114" Type="http://schemas.openxmlformats.org/officeDocument/2006/relationships/hyperlink" Target="https://dzen.ru/media/id/63dd27aac30ab522dcce48b3/65041b4745c7425c8d48b198" TargetMode="External"/><Relationship Id="rId235" Type="http://schemas.openxmlformats.org/officeDocument/2006/relationships/hyperlink" Target="https://dzen.ru/media/id/63dd27aac30ab522dcce48b3/688106378d1c2d591030fac0" TargetMode="External"/><Relationship Id="rId356" Type="http://schemas.openxmlformats.org/officeDocument/2006/relationships/hyperlink" Target="https://dzen.ru/media/id/63dd27aac30ab522dcce48b3/6a254ca3e5acfd1a99fdab3e" TargetMode="External"/><Relationship Id="rId113" Type="http://schemas.openxmlformats.org/officeDocument/2006/relationships/hyperlink" Target="https://dzen.ru/media/id/63dd27aac30ab522dcce48b3/6502d1aeffb3f010e7df2f04" TargetMode="External"/><Relationship Id="rId234" Type="http://schemas.openxmlformats.org/officeDocument/2006/relationships/hyperlink" Target="https://dzen.ru/media/id/63dd27aac30ab522dcce48b3/688105b311d5b238952043e5" TargetMode="External"/><Relationship Id="rId355" Type="http://schemas.openxmlformats.org/officeDocument/2006/relationships/hyperlink" Target="https://dzen.ru/media/id/63dd27aac30ab522dcce48b3/6a1eaa143dd46c7a182688bb" TargetMode="External"/><Relationship Id="rId112" Type="http://schemas.openxmlformats.org/officeDocument/2006/relationships/hyperlink" Target="https://dzen.ru/media/id/63dd27aac30ab522dcce48b3/65017f56defc0363a6e6e111" TargetMode="External"/><Relationship Id="rId233" Type="http://schemas.openxmlformats.org/officeDocument/2006/relationships/hyperlink" Target="https://dzen.ru/media/id/63dd27aac30ab522dcce48b3/6881058d11d5b23895200d68" TargetMode="External"/><Relationship Id="rId354" Type="http://schemas.openxmlformats.org/officeDocument/2006/relationships/hyperlink" Target="https://dzen.ru/media/id/63dd27aac30ab522dcce48b3/6a1c18f23e1fbd3eea3a0584" TargetMode="External"/><Relationship Id="rId111" Type="http://schemas.openxmlformats.org/officeDocument/2006/relationships/hyperlink" Target="https://dzen.ru/media/id/63dd27aac30ab522dcce48b3/6500206f5cdf5375118fb342" TargetMode="External"/><Relationship Id="rId232" Type="http://schemas.openxmlformats.org/officeDocument/2006/relationships/hyperlink" Target="https://dzen.ru/media/id/63dd27aac30ab522dcce48b3/6881056d51cdab3217699ed6" TargetMode="External"/><Relationship Id="rId353" Type="http://schemas.openxmlformats.org/officeDocument/2006/relationships/hyperlink" Target="https://dzen.ru/media/id/63dd27aac30ab522dcce48b3/6a181b2013059a59703b6883" TargetMode="External"/><Relationship Id="rId305" Type="http://schemas.openxmlformats.org/officeDocument/2006/relationships/hyperlink" Target="https://dzen.ru/media/id/63dd27aac30ab522dcce48b3/696e0e6dbb9ec867fe84e4ea" TargetMode="External"/><Relationship Id="rId304" Type="http://schemas.openxmlformats.org/officeDocument/2006/relationships/hyperlink" Target="https://dzen.ru/media/id/63dd27aac30ab522dcce48b3/696e0e3e400a107e967e9a6e" TargetMode="External"/><Relationship Id="rId303" Type="http://schemas.openxmlformats.org/officeDocument/2006/relationships/hyperlink" Target="https://dzen.ru/media/id/63dd27aac30ab522dcce48b3/696e0e10b632f679a79c8168" TargetMode="External"/><Relationship Id="rId302" Type="http://schemas.openxmlformats.org/officeDocument/2006/relationships/hyperlink" Target="https://dzen.ru/media/id/63dd27aac30ab522dcce48b3/696e0dc40a1aed76303cd366" TargetMode="External"/><Relationship Id="rId309" Type="http://schemas.openxmlformats.org/officeDocument/2006/relationships/hyperlink" Target="https://dzen.ru/media/id/63dd27aac30ab522dcce48b3/696e0ee6b632f679a79ddd1d" TargetMode="External"/><Relationship Id="rId308" Type="http://schemas.openxmlformats.org/officeDocument/2006/relationships/hyperlink" Target="https://dzen.ru/media/id/63dd27aac30ab522dcce48b3/696e0ec3f09bc01c098d71d5" TargetMode="External"/><Relationship Id="rId307" Type="http://schemas.openxmlformats.org/officeDocument/2006/relationships/hyperlink" Target="https://dzen.ru/media/id/63dd27aac30ab522dcce48b3/696e0ea23d68b13fe6b8aca1" TargetMode="External"/><Relationship Id="rId306" Type="http://schemas.openxmlformats.org/officeDocument/2006/relationships/hyperlink" Target="https://dzen.ru/media/id/63dd27aac30ab522dcce48b3/696e0e89bb9ec867fe8510ef" TargetMode="External"/><Relationship Id="rId301" Type="http://schemas.openxmlformats.org/officeDocument/2006/relationships/hyperlink" Target="https://dzen.ru/media/id/63dd27aac30ab522dcce48b3/6964b2d8d2c782440cb351c6" TargetMode="External"/><Relationship Id="rId300" Type="http://schemas.openxmlformats.org/officeDocument/2006/relationships/hyperlink" Target="https://dzen.ru/media/id/63dd27aac30ab522dcce48b3/6964b2be179b5741ac3f6fd7" TargetMode="External"/><Relationship Id="rId206" Type="http://schemas.openxmlformats.org/officeDocument/2006/relationships/hyperlink" Target="https://dzen.ru/media/id/63dd27aac30ab522dcce48b3/683cd4074a232500bbb4e188" TargetMode="External"/><Relationship Id="rId327" Type="http://schemas.openxmlformats.org/officeDocument/2006/relationships/hyperlink" Target="https://dzen.ru/media/id/63dd27aac30ab522dcce48b3/69b96ba5d4fb5a00b19db17a" TargetMode="External"/><Relationship Id="rId205" Type="http://schemas.openxmlformats.org/officeDocument/2006/relationships/hyperlink" Target="https://dzen.ru/media/id/63dd27aac30ab522dcce48b3/683bca85ad897966ace85f0d" TargetMode="External"/><Relationship Id="rId326" Type="http://schemas.openxmlformats.org/officeDocument/2006/relationships/hyperlink" Target="https://dzen.ru/media/id/63dd27aac30ab522dcce48b3/69b6c523aaaac8519b5b68e2" TargetMode="External"/><Relationship Id="rId204" Type="http://schemas.openxmlformats.org/officeDocument/2006/relationships/hyperlink" Target="https://dzen.ru/media/id/63dd27aac30ab522dcce48b3/683cd3d2b6edec095bf43a7e" TargetMode="External"/><Relationship Id="rId325" Type="http://schemas.openxmlformats.org/officeDocument/2006/relationships/hyperlink" Target="https://dzen.ru/media/id/63dd27aac30ab522dcce48b3/69b2d6e325b6be7de42686e1" TargetMode="External"/><Relationship Id="rId203" Type="http://schemas.openxmlformats.org/officeDocument/2006/relationships/hyperlink" Target="https://dzen.ru/media/id/63dd27aac30ab522dcce48b3/683cd3940d1aca2006bd5c39" TargetMode="External"/><Relationship Id="rId324" Type="http://schemas.openxmlformats.org/officeDocument/2006/relationships/hyperlink" Target="https://dzen.ru/media/id/63dd27aac30ab522dcce48b3/69b058dd88f7be6f168160a2" TargetMode="External"/><Relationship Id="rId209" Type="http://schemas.openxmlformats.org/officeDocument/2006/relationships/hyperlink" Target="https://dzen.ru/media/id/63dd27aac30ab522dcce48b3/683bcac84a232500bb7d2269" TargetMode="External"/><Relationship Id="rId208" Type="http://schemas.openxmlformats.org/officeDocument/2006/relationships/hyperlink" Target="https://dzen.ru/media/id/63dd27aac30ab522dcce48b3/683cd43a5e872744ad950770" TargetMode="External"/><Relationship Id="rId329" Type="http://schemas.openxmlformats.org/officeDocument/2006/relationships/hyperlink" Target="https://dzen.ru/media/id/63dd27aac30ab522dcce48b3/69c29aa2f6bc5b6e4bb06178" TargetMode="External"/><Relationship Id="rId207" Type="http://schemas.openxmlformats.org/officeDocument/2006/relationships/hyperlink" Target="https://dzen.ru/media/id/63dd27aac30ab522dcce48b3/683bcaa7e305007b6a77bbea" TargetMode="External"/><Relationship Id="rId328" Type="http://schemas.openxmlformats.org/officeDocument/2006/relationships/hyperlink" Target="https://dzen.ru/media/id/63dd27aac30ab522dcce48b3/69c034eeb0b692716e70fca7" TargetMode="External"/><Relationship Id="rId202" Type="http://schemas.openxmlformats.org/officeDocument/2006/relationships/hyperlink" Target="https://dzen.ru/media/id/63dd27aac30ab522dcce48b3/683bca6195eee80f6c47a1a1" TargetMode="External"/><Relationship Id="rId323" Type="http://schemas.openxmlformats.org/officeDocument/2006/relationships/hyperlink" Target="https://dzen.ru/media/id/63dd27aac30ab522dcce48b3/69ad801077454b59acf1ecb7" TargetMode="External"/><Relationship Id="rId201" Type="http://schemas.openxmlformats.org/officeDocument/2006/relationships/hyperlink" Target="https://dzen.ru/media/id/63dd27aac30ab522dcce48b3/683cd3720d1aca2006bd459e" TargetMode="External"/><Relationship Id="rId322" Type="http://schemas.openxmlformats.org/officeDocument/2006/relationships/hyperlink" Target="https://dzen.ru/media/id/63dd27aac30ab522dcce48b3/69a97d80ba9d78754a6aa89b" TargetMode="External"/><Relationship Id="rId200" Type="http://schemas.openxmlformats.org/officeDocument/2006/relationships/hyperlink" Target="https://dzen.ru/media/id/63dd27aac30ab522dcce48b3/683bca3c7d244b470176fea6" TargetMode="External"/><Relationship Id="rId321" Type="http://schemas.openxmlformats.org/officeDocument/2006/relationships/hyperlink" Target="https://dzen.ru/media/id/63dd27aac30ab522dcce48b3/69a6d90560ec9a474d04aa61" TargetMode="External"/><Relationship Id="rId320" Type="http://schemas.openxmlformats.org/officeDocument/2006/relationships/hyperlink" Target="https://dzen.ru/media/id/63dd27aac30ab522dcce48b3/698c5c34f3d91d439b2e1dc5" TargetMode="External"/><Relationship Id="rId316" Type="http://schemas.openxmlformats.org/officeDocument/2006/relationships/hyperlink" Target="https://dzen.ru/media/id/63dd27aac30ab522dcce48b3/699721a514e0ee0d5d9ef97e" TargetMode="External"/><Relationship Id="rId315" Type="http://schemas.openxmlformats.org/officeDocument/2006/relationships/hyperlink" Target="https://dzen.ru/media/id/63dd27aac30ab522dcce48b3/698c5bb1d389c17d75b3223a" TargetMode="External"/><Relationship Id="rId314" Type="http://schemas.openxmlformats.org/officeDocument/2006/relationships/hyperlink" Target="https://dzen.ru/media/id/63dd27aac30ab522dcce48b3/698c5b864763ed4721152382" TargetMode="External"/><Relationship Id="rId313" Type="http://schemas.openxmlformats.org/officeDocument/2006/relationships/hyperlink" Target="https://dzen.ru/media/id/63dd27aac30ab522dcce48b3/698c5b544763ed472114cb08" TargetMode="External"/><Relationship Id="rId319" Type="http://schemas.openxmlformats.org/officeDocument/2006/relationships/hyperlink" Target="https://dzen.ru/media/id/63dd27aac30ab522dcce48b3/698c5c19f7e3821023e2d328" TargetMode="External"/><Relationship Id="rId318" Type="http://schemas.openxmlformats.org/officeDocument/2006/relationships/hyperlink" Target="https://dzen.ru/media/id/63dd27aac30ab522dcce48b3/698c5bf22205cc4a1d98a17f" TargetMode="External"/><Relationship Id="rId317" Type="http://schemas.openxmlformats.org/officeDocument/2006/relationships/hyperlink" Target="https://dzen.ru/media/id/63dd27aac30ab522dcce48b3/698c5bd06c1dd34f5348b496" TargetMode="External"/><Relationship Id="rId312" Type="http://schemas.openxmlformats.org/officeDocument/2006/relationships/hyperlink" Target="https://dzen.ru/media/id/63dd27aac30ab522dcce48b3/698c5b21107fca43014671e1" TargetMode="External"/><Relationship Id="rId311" Type="http://schemas.openxmlformats.org/officeDocument/2006/relationships/hyperlink" Target="https://dzen.ru/media/id/63dd27aac30ab522dcce48b3/696e0f2f3d3d4e360bdfd7d0" TargetMode="External"/><Relationship Id="rId310" Type="http://schemas.openxmlformats.org/officeDocument/2006/relationships/hyperlink" Target="https://dzen.ru/media/id/63dd27aac30ab522dcce48b3/696e0f019b84530cdb9d1d0c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zen.ru/media/id/63dd27aac30ab522dcce48b3/648f78d03923b316d6df706a" TargetMode="External"/><Relationship Id="rId2" Type="http://schemas.openxmlformats.org/officeDocument/2006/relationships/hyperlink" Target="https://dzen.ru/media/id/63dd27aac30ab522dcce48b3/64908e91bbd7002cb5fe2603" TargetMode="External"/><Relationship Id="rId3" Type="http://schemas.openxmlformats.org/officeDocument/2006/relationships/hyperlink" Target="https://dzen.ru/media/id/63dd27aac30ab522dcce48b3/64c974cfd21c8d352caad12a" TargetMode="External"/><Relationship Id="rId4" Type="http://schemas.openxmlformats.org/officeDocument/2006/relationships/hyperlink" Target="https://dzen.ru/media/id/63dd27aac30ab522dcce48b3/651c4b1068e47d3a58a9dc7b" TargetMode="External"/><Relationship Id="rId5" Type="http://schemas.openxmlformats.org/officeDocument/2006/relationships/hyperlink" Target="https://dzen.ru/media/id/63dd27aac30ab522dcce48b3/652ee2ea8378885611da99aa" TargetMode="External"/><Relationship Id="rId6" Type="http://schemas.openxmlformats.org/officeDocument/2006/relationships/hyperlink" Target="https://dzen.ru/media/id/63dd27aac30ab522dcce48b3/654686832469372a53552037" TargetMode="External"/><Relationship Id="rId7" Type="http://schemas.openxmlformats.org/officeDocument/2006/relationships/hyperlink" Target="https://dzen.ru/media/id/63dd27aac30ab522dcce48b3/65746b262f3b64165194ce00" TargetMode="External"/><Relationship Id="rId8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96.0"/>
    <col customWidth="1" min="3" max="26" width="8.71"/>
  </cols>
  <sheetData>
    <row r="1">
      <c r="A1" s="1" t="s">
        <v>0</v>
      </c>
    </row>
    <row r="3">
      <c r="A3" s="2" t="s">
        <v>3</v>
      </c>
      <c r="B3" s="4" t="s">
        <v>6</v>
      </c>
    </row>
    <row r="4">
      <c r="A4" s="2" t="s">
        <v>9</v>
      </c>
      <c r="B4" s="4" t="s">
        <v>10</v>
      </c>
    </row>
    <row r="5">
      <c r="A5" s="5"/>
      <c r="B5" s="4"/>
    </row>
    <row r="6">
      <c r="A6" s="2" t="s">
        <v>13</v>
      </c>
      <c r="B6" s="4" t="s">
        <v>14</v>
      </c>
    </row>
    <row r="7">
      <c r="A7" s="2" t="s">
        <v>15</v>
      </c>
      <c r="B7" s="4" t="s">
        <v>16</v>
      </c>
    </row>
    <row r="8">
      <c r="A8" s="2" t="s">
        <v>17</v>
      </c>
      <c r="B8" s="4" t="s">
        <v>18</v>
      </c>
    </row>
    <row r="9">
      <c r="A9" s="2" t="s">
        <v>19</v>
      </c>
      <c r="B9" s="4" t="s">
        <v>20</v>
      </c>
    </row>
    <row r="10">
      <c r="A10" s="2" t="s">
        <v>21</v>
      </c>
      <c r="B10" s="4" t="s">
        <v>23</v>
      </c>
    </row>
    <row r="11">
      <c r="A11" s="2" t="s">
        <v>24</v>
      </c>
      <c r="B11" s="4" t="s">
        <v>26</v>
      </c>
    </row>
    <row r="12">
      <c r="A12" s="2" t="s">
        <v>28</v>
      </c>
      <c r="B12" s="4" t="s">
        <v>29</v>
      </c>
    </row>
    <row r="13">
      <c r="A13" s="5"/>
      <c r="B13" s="4"/>
    </row>
    <row r="14">
      <c r="A14" s="2" t="s">
        <v>32</v>
      </c>
      <c r="B14" s="4" t="s">
        <v>33</v>
      </c>
    </row>
    <row r="15">
      <c r="A15" s="2" t="s">
        <v>34</v>
      </c>
      <c r="B15" s="4" t="s">
        <v>35</v>
      </c>
    </row>
    <row r="16">
      <c r="A16" s="2" t="s">
        <v>37</v>
      </c>
      <c r="B16" s="4" t="s">
        <v>39</v>
      </c>
    </row>
    <row r="17">
      <c r="A17" s="2" t="s">
        <v>42</v>
      </c>
      <c r="B17" s="4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11" width="13.0"/>
    <col customWidth="1" min="12" max="26" width="8.71"/>
  </cols>
  <sheetData>
    <row r="1">
      <c r="A1" s="1" t="s">
        <v>1</v>
      </c>
    </row>
    <row r="2">
      <c r="A2" s="3" t="s">
        <v>4</v>
      </c>
    </row>
    <row r="4">
      <c r="A4" s="7" t="s">
        <v>11</v>
      </c>
      <c r="B4" s="7" t="s">
        <v>30</v>
      </c>
      <c r="C4" s="7" t="s">
        <v>13</v>
      </c>
      <c r="D4" s="7" t="s">
        <v>15</v>
      </c>
      <c r="E4" s="7" t="s">
        <v>17</v>
      </c>
      <c r="F4" s="7" t="s">
        <v>36</v>
      </c>
      <c r="G4" s="7" t="s">
        <v>40</v>
      </c>
      <c r="H4" s="7" t="s">
        <v>45</v>
      </c>
      <c r="I4" s="7" t="s">
        <v>47</v>
      </c>
      <c r="J4" s="7" t="s">
        <v>48</v>
      </c>
      <c r="K4" s="7" t="s">
        <v>50</v>
      </c>
    </row>
    <row r="5">
      <c r="A5" s="8" t="s">
        <v>51</v>
      </c>
      <c r="B5" s="10">
        <f>COUNT('Статьи'!$F$5:$F$627)</f>
        <v>623</v>
      </c>
      <c r="C5" s="11">
        <f>IFERROR(MEDIAN('Статьи'!$F$5:$F$627),"")</f>
        <v>140440</v>
      </c>
      <c r="D5" s="11">
        <f>IFERROR(MEDIAN('Статьи'!$G$5:$G$627),"")</f>
        <v>10787</v>
      </c>
      <c r="E5" s="11">
        <f>IFERROR(MEDIAN('Статьи'!$H$5:$H$627),"")</f>
        <v>5339</v>
      </c>
      <c r="F5" s="13">
        <f>IFERROR(MEDIAN('Статьи'!$M$5:$M$627),"")</f>
        <v>0.05444256251</v>
      </c>
      <c r="G5" s="13">
        <f>IFERROR(MEDIAN('Статьи'!$N$5:$N$627),"")</f>
        <v>0.5361351578</v>
      </c>
      <c r="H5" s="14">
        <f>IFERROR(MEDIAN('Статьи'!$O$5:$O$627),"")</f>
        <v>0.9732014623</v>
      </c>
      <c r="I5" s="13">
        <f>IFERROR(MEDIAN('Статьи'!$P$5:$P$627),"")</f>
        <v>0.0552045122</v>
      </c>
      <c r="J5" s="13">
        <f>IFERROR(MEDIAN('Статьи'!$Q$5:$Q$627),"")</f>
        <v>0.01017964456</v>
      </c>
      <c r="K5" s="13">
        <f>IFERROR(MEDIAN('Статьи'!$R$5:$R$627),"")</f>
        <v>0.004003138255</v>
      </c>
    </row>
    <row r="6">
      <c r="A6" s="8" t="s">
        <v>64</v>
      </c>
      <c r="B6" s="10">
        <f>COUNT('Ролики'!$F$5:$F$665)</f>
        <v>661</v>
      </c>
      <c r="C6" s="11">
        <f>IFERROR(MEDIAN('Ролики'!$F$5:$F$665),"")</f>
        <v>46418</v>
      </c>
      <c r="D6" s="11">
        <f>IFERROR(MEDIAN('Ролики'!$G$5:$G$665),"")</f>
        <v>14153</v>
      </c>
      <c r="E6" s="11">
        <f>IFERROR(MEDIAN('Ролики'!$H$5:$H$665),"")</f>
        <v>12724</v>
      </c>
      <c r="F6" s="13">
        <f>IFERROR(MEDIAN('Ролики'!$M$5:$M$665),"")</f>
        <v>0.2970280994</v>
      </c>
      <c r="G6" s="13">
        <f>IFERROR(MEDIAN('Ролики'!$N$5:$N$665),"")</f>
        <v>0.9999135679</v>
      </c>
      <c r="H6" s="14">
        <f>IFERROR(MEDIAN('Ролики'!$O$5:$O$665),"")</f>
        <v>0.004054876712</v>
      </c>
      <c r="I6" s="13">
        <f>IFERROR(MEDIAN('Ролики'!$P$5:$P$665),"")</f>
        <v>0.01260650386</v>
      </c>
      <c r="J6" s="13">
        <f>IFERROR(MEDIAN('Ролики'!$Q$5:$Q$665),"")</f>
        <v>0.0006724961728</v>
      </c>
      <c r="K6" s="13">
        <f>IFERROR(MEDIAN('Ролики'!$R$5:$R$665),"")</f>
        <v>0.000687296625</v>
      </c>
    </row>
    <row r="7">
      <c r="A7" s="8" t="s">
        <v>67</v>
      </c>
      <c r="B7" s="10">
        <f>COUNT('Посты'!$F$5:$F$373)</f>
        <v>369</v>
      </c>
      <c r="C7" s="11">
        <f>IFERROR(MEDIAN('Посты'!$F$5:$F$373),"")</f>
        <v>3102</v>
      </c>
      <c r="D7" s="11">
        <f>IFERROR(MEDIAN('Посты'!$G$5:$G$373),"")</f>
        <v>222</v>
      </c>
      <c r="E7" s="11">
        <f>IFERROR(MEDIAN('Посты'!$H$5:$H$373),"")</f>
        <v>233</v>
      </c>
      <c r="F7" s="13">
        <f>IFERROR(MEDIAN('Посты'!$M$5:$M$373),"")</f>
        <v>0.06963103122</v>
      </c>
      <c r="G7" s="13">
        <f>IFERROR(MEDIAN('Посты'!$N$5:$N$373),"")</f>
        <v>0.9964664311</v>
      </c>
      <c r="H7" s="14">
        <f>IFERROR(MEDIAN('Посты'!$O$5:$O$373),"")</f>
        <v>0.5441176471</v>
      </c>
      <c r="I7" s="13">
        <f>IFERROR(MEDIAN('Посты'!$P$5:$P$373),"")</f>
        <v>0.1336633663</v>
      </c>
      <c r="J7" s="13">
        <f>IFERROR(MEDIAN('Посты'!$Q$5:$Q$373),"")</f>
        <v>0.02013422819</v>
      </c>
      <c r="K7" s="13">
        <f>IFERROR(MEDIAN('Посты'!$R$5:$R$373),"")</f>
        <v>0</v>
      </c>
    </row>
    <row r="8">
      <c r="A8" s="10" t="s">
        <v>75</v>
      </c>
      <c r="B8" s="10">
        <f>COUNT('Статьи'!$F$5:$F$56)</f>
        <v>52</v>
      </c>
      <c r="C8" s="11">
        <f>IFERROR(MEDIAN('Статьи'!$F$5:$F$56),"")</f>
        <v>74706.5</v>
      </c>
      <c r="D8" s="11">
        <f>IFERROR(MEDIAN('Статьи'!$G$5:$G$56),"")</f>
        <v>3369.5</v>
      </c>
      <c r="E8" s="11">
        <f>IFERROR(MEDIAN('Статьи'!$H$5:$H$56),"")</f>
        <v>1915</v>
      </c>
      <c r="F8" s="13">
        <f>IFERROR(MEDIAN('Статьи'!$M$5:$M$56),"")</f>
        <v>0.04027235507</v>
      </c>
      <c r="G8" s="13">
        <f>IFERROR(MEDIAN('Статьи'!$N$5:$N$56),"")</f>
        <v>0.5862068966</v>
      </c>
      <c r="H8" s="14">
        <f>IFERROR(MEDIAN('Статьи'!$O$5:$O$56),"")</f>
        <v>0.9694072658</v>
      </c>
      <c r="I8" s="13">
        <f>IFERROR(MEDIAN('Статьи'!$P$5:$P$56),"")</f>
        <v>0.05358150028</v>
      </c>
      <c r="J8" s="13">
        <f>IFERROR(MEDIAN('Статьи'!$Q$5:$Q$56),"")</f>
        <v>0.0062215478</v>
      </c>
      <c r="K8" s="13">
        <f>IFERROR(MEDIAN('Статьи'!$R$5:$R$56),"")</f>
        <v>0.006267487409</v>
      </c>
    </row>
    <row r="9">
      <c r="A9" s="10" t="s">
        <v>79</v>
      </c>
      <c r="B9" s="10">
        <f>COUNT('Статьи'!$F$57:$F$225)</f>
        <v>169</v>
      </c>
      <c r="C9" s="11">
        <f>IFERROR(MEDIAN('Статьи'!$F$57:$F$225),"")</f>
        <v>166341</v>
      </c>
      <c r="D9" s="11">
        <f>IFERROR(MEDIAN('Статьи'!$G$57:$G$225),"")</f>
        <v>11208</v>
      </c>
      <c r="E9" s="11">
        <f>IFERROR(MEDIAN('Статьи'!$H$57:$H$225),"")</f>
        <v>6076</v>
      </c>
      <c r="F9" s="13">
        <f>IFERROR(MEDIAN('Статьи'!$M$57:$M$225),"")</f>
        <v>0.04770124686</v>
      </c>
      <c r="G9" s="13">
        <f>IFERROR(MEDIAN('Статьи'!$N$57:$N$225),"")</f>
        <v>0.5470072776</v>
      </c>
      <c r="H9" s="14">
        <f>IFERROR(MEDIAN('Статьи'!$O$57:$O$225),"")</f>
        <v>0.9380952381</v>
      </c>
      <c r="I9" s="13">
        <f>IFERROR(MEDIAN('Статьи'!$P$57:$P$225),"")</f>
        <v>0.04943502825</v>
      </c>
      <c r="J9" s="13">
        <f>IFERROR(MEDIAN('Статьи'!$Q$57:$Q$225),"")</f>
        <v>0.009855951478</v>
      </c>
      <c r="K9" s="13">
        <f>IFERROR(MEDIAN('Статьи'!$R$57:$R$225),"")</f>
        <v>0.004502660663</v>
      </c>
    </row>
    <row r="10">
      <c r="A10" s="10" t="s">
        <v>86</v>
      </c>
      <c r="B10" s="10">
        <f>COUNT('Статьи'!$F$226:$F$465)</f>
        <v>240</v>
      </c>
      <c r="C10" s="11">
        <f>IFERROR(MEDIAN('Статьи'!$F$226:$F$465),"")</f>
        <v>327575</v>
      </c>
      <c r="D10" s="11">
        <f>IFERROR(MEDIAN('Статьи'!$G$226:$G$465),"")</f>
        <v>25099</v>
      </c>
      <c r="E10" s="11">
        <f>IFERROR(MEDIAN('Статьи'!$H$226:$H$465),"")</f>
        <v>12304.5</v>
      </c>
      <c r="F10" s="13">
        <f>IFERROR(MEDIAN('Статьи'!$M$226:$M$465),"")</f>
        <v>0.06356311184</v>
      </c>
      <c r="G10" s="13">
        <f>IFERROR(MEDIAN('Статьи'!$N$226:$N$465),"")</f>
        <v>0.5348764854</v>
      </c>
      <c r="H10" s="14">
        <f>IFERROR(MEDIAN('Статьи'!$O$226:$O$465),"")</f>
        <v>1.019082609</v>
      </c>
      <c r="I10" s="13">
        <f>IFERROR(MEDIAN('Статьи'!$P$226:$P$465),"")</f>
        <v>0.04811191236</v>
      </c>
      <c r="J10" s="13">
        <f>IFERROR(MEDIAN('Статьи'!$Q$226:$Q$465),"")</f>
        <v>0.009880419984</v>
      </c>
      <c r="K10" s="13">
        <f>IFERROR(MEDIAN('Статьи'!$R$226:$R$465),"")</f>
        <v>0.003853567451</v>
      </c>
    </row>
    <row r="11">
      <c r="A11" s="10" t="s">
        <v>89</v>
      </c>
      <c r="B11" s="10">
        <f>COUNT('Статьи'!$F$466:$F$627)</f>
        <v>162</v>
      </c>
      <c r="C11" s="11">
        <f>IFERROR(MEDIAN('Статьи'!$F$466:$F$627),"")</f>
        <v>53200.5</v>
      </c>
      <c r="D11" s="11">
        <f>IFERROR(MEDIAN('Статьи'!$G$466:$G$627),"")</f>
        <v>2069.5</v>
      </c>
      <c r="E11" s="11">
        <f>IFERROR(MEDIAN('Статьи'!$H$466:$H$627),"")</f>
        <v>954.5</v>
      </c>
      <c r="F11" s="13">
        <f>IFERROR(MEDIAN('Статьи'!$M$466:$M$627),"")</f>
        <v>0.05657884635</v>
      </c>
      <c r="G11" s="13">
        <f>IFERROR(MEDIAN('Статьи'!$N$466:$N$627),"")</f>
        <v>0.5184884833</v>
      </c>
      <c r="H11" s="14">
        <f>IFERROR(MEDIAN('Статьи'!$O$466:$O$627),"")</f>
        <v>0.9713349713</v>
      </c>
      <c r="I11" s="13">
        <f>IFERROR(MEDIAN('Статьи'!$P$466:$P$627),"")</f>
        <v>0.07545013477</v>
      </c>
      <c r="J11" s="13">
        <f>IFERROR(MEDIAN('Статьи'!$Q$466:$Q$627),"")</f>
        <v>0.01784370659</v>
      </c>
      <c r="K11" s="13">
        <f>IFERROR(MEDIAN('Статьи'!$R$466:$R$627),"")</f>
        <v>0.003732471022</v>
      </c>
    </row>
    <row r="13">
      <c r="A13" s="3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14.0"/>
    <col customWidth="1" min="2" max="2" width="6.0"/>
    <col customWidth="1" min="3" max="3" width="11.0"/>
    <col customWidth="1" min="4" max="4" width="52.0"/>
    <col customWidth="1" min="5" max="5" width="16.0"/>
    <col customWidth="1" min="6" max="6" width="12.0"/>
    <col customWidth="1" min="7" max="7" width="11.0"/>
    <col customWidth="1" min="8" max="8" width="12.0"/>
    <col customWidth="1" min="9" max="9" width="13.0"/>
    <col customWidth="1" min="10" max="10" width="9.0"/>
    <col customWidth="1" min="11" max="11" width="12.0"/>
    <col customWidth="1" min="12" max="12" width="10.0"/>
    <col customWidth="1" min="13" max="19" width="13.0"/>
    <col customWidth="1" min="20" max="21" width="15.0"/>
    <col customWidth="1" min="22" max="26" width="8.71"/>
  </cols>
  <sheetData>
    <row r="1">
      <c r="A1" s="1" t="s">
        <v>2</v>
      </c>
    </row>
    <row r="2">
      <c r="A2" s="3" t="s">
        <v>5</v>
      </c>
    </row>
    <row r="4">
      <c r="A4" s="6" t="s">
        <v>12</v>
      </c>
      <c r="B4" s="6" t="s">
        <v>22</v>
      </c>
      <c r="C4" s="6" t="s">
        <v>25</v>
      </c>
      <c r="D4" s="6" t="s">
        <v>27</v>
      </c>
      <c r="E4" s="6" t="s">
        <v>31</v>
      </c>
      <c r="F4" s="6" t="s">
        <v>13</v>
      </c>
      <c r="G4" s="6" t="s">
        <v>15</v>
      </c>
      <c r="H4" s="6" t="s">
        <v>17</v>
      </c>
      <c r="I4" s="6" t="s">
        <v>38</v>
      </c>
      <c r="J4" s="6" t="s">
        <v>41</v>
      </c>
      <c r="K4" s="6" t="s">
        <v>44</v>
      </c>
      <c r="L4" s="6" t="s">
        <v>46</v>
      </c>
      <c r="M4" s="6" t="s">
        <v>49</v>
      </c>
      <c r="N4" s="6" t="s">
        <v>40</v>
      </c>
      <c r="O4" s="6" t="s">
        <v>52</v>
      </c>
      <c r="P4" s="6" t="s">
        <v>53</v>
      </c>
      <c r="Q4" s="6" t="s">
        <v>54</v>
      </c>
      <c r="R4" s="6" t="s">
        <v>55</v>
      </c>
      <c r="S4" s="6" t="s">
        <v>56</v>
      </c>
      <c r="T4" s="6" t="s">
        <v>57</v>
      </c>
      <c r="U4" s="6" t="s">
        <v>58</v>
      </c>
    </row>
    <row r="5">
      <c r="A5" s="9">
        <v>45013.5007059144</v>
      </c>
      <c r="B5" s="10">
        <v>12.0</v>
      </c>
      <c r="C5" s="10" t="s">
        <v>59</v>
      </c>
      <c r="D5" s="10" t="s">
        <v>63</v>
      </c>
      <c r="E5" s="12" t="s">
        <v>62</v>
      </c>
      <c r="F5" s="11">
        <v>10922.0</v>
      </c>
      <c r="G5" s="11">
        <v>215.0</v>
      </c>
      <c r="H5" s="11">
        <v>154.0</v>
      </c>
      <c r="I5" s="11">
        <v>10.0</v>
      </c>
      <c r="J5" s="11">
        <v>25.0</v>
      </c>
      <c r="K5" s="11">
        <v>2.0</v>
      </c>
      <c r="L5" s="11">
        <v>1.0</v>
      </c>
      <c r="M5" s="13">
        <f t="shared" ref="M5:O5" si="1">IFERROR(G5/F5,"")</f>
        <v>0.01968503937</v>
      </c>
      <c r="N5" s="13">
        <f t="shared" si="1"/>
        <v>0.7162790698</v>
      </c>
      <c r="O5" s="14">
        <f t="shared" si="1"/>
        <v>0.06493506494</v>
      </c>
      <c r="P5" s="13">
        <f t="shared" ref="P5:P627" si="3">IFERROR(J5/H5,"")</f>
        <v>0.1623376623</v>
      </c>
      <c r="Q5" s="13">
        <f t="shared" ref="Q5:Q627" si="4">IFERROR(K5/H5,"")</f>
        <v>0.01298701299</v>
      </c>
      <c r="R5" s="13">
        <f t="shared" ref="R5:R627" si="5">IFERROR(L5/H5,"")</f>
        <v>0.006493506494</v>
      </c>
      <c r="S5" s="14" t="str">
        <f t="shared" ref="S5:S627" si="6">IFERROR(M5/MEDIAN(INDEX($M$5:$M$627,MATCH($A5-90,$A$5:$A$627,1)):INDEX($M$5:$M$627,MATCH($A5+90,$A$5:$A$627,1))),"")</f>
        <v/>
      </c>
      <c r="T5" s="14" t="str">
        <f t="shared" ref="T5:T627" si="7">IFERROR(N5/MEDIAN(INDEX($N$5:$N$627,MATCH($A5-90,$A$5:$A$627,1)):INDEX($N$5:$N$627,MATCH($A5+90,$A$5:$A$627,1))),"")</f>
        <v/>
      </c>
      <c r="U5" s="14" t="str">
        <f t="shared" ref="U5:U627" si="8">IFERROR(Q5/MEDIAN(INDEX($Q$5:$Q$627,MATCH($A5-90,$A$5:$A$627,1)):INDEX($Q$5:$Q$627,MATCH($A5+90,$A$5:$A$627,1))),"")</f>
        <v/>
      </c>
    </row>
    <row r="6">
      <c r="A6" s="9">
        <v>45020.7498284028</v>
      </c>
      <c r="B6" s="10">
        <v>17.0</v>
      </c>
      <c r="C6" s="10" t="s">
        <v>59</v>
      </c>
      <c r="D6" s="10" t="s">
        <v>68</v>
      </c>
      <c r="E6" s="12" t="s">
        <v>62</v>
      </c>
      <c r="F6" s="11">
        <v>371572.0</v>
      </c>
      <c r="G6" s="11">
        <v>22787.0</v>
      </c>
      <c r="H6" s="11">
        <v>13180.0</v>
      </c>
      <c r="I6" s="11">
        <v>7251.0</v>
      </c>
      <c r="J6" s="11">
        <v>1029.0</v>
      </c>
      <c r="K6" s="11">
        <v>82.0</v>
      </c>
      <c r="L6" s="11">
        <v>210.0</v>
      </c>
      <c r="M6" s="13">
        <f t="shared" ref="M6:O6" si="2">IFERROR(G6/F6,"")</f>
        <v>0.06132593414</v>
      </c>
      <c r="N6" s="13">
        <f t="shared" si="2"/>
        <v>0.5783999649</v>
      </c>
      <c r="O6" s="14">
        <f t="shared" si="2"/>
        <v>0.5501517451</v>
      </c>
      <c r="P6" s="13">
        <f t="shared" si="3"/>
        <v>0.07807283763</v>
      </c>
      <c r="Q6" s="13">
        <f t="shared" si="4"/>
        <v>0.0062215478</v>
      </c>
      <c r="R6" s="13">
        <f t="shared" si="5"/>
        <v>0.01593323217</v>
      </c>
      <c r="S6" s="14" t="str">
        <f t="shared" si="6"/>
        <v/>
      </c>
      <c r="T6" s="14" t="str">
        <f t="shared" si="7"/>
        <v/>
      </c>
      <c r="U6" s="14" t="str">
        <f t="shared" si="8"/>
        <v/>
      </c>
    </row>
    <row r="7">
      <c r="A7" s="9">
        <v>45038.4805319329</v>
      </c>
      <c r="B7" s="10">
        <v>11.0</v>
      </c>
      <c r="C7" s="10" t="s">
        <v>69</v>
      </c>
      <c r="D7" s="10" t="s">
        <v>73</v>
      </c>
      <c r="E7" s="12" t="s">
        <v>62</v>
      </c>
      <c r="F7" s="11">
        <v>40126.0</v>
      </c>
      <c r="G7" s="11">
        <v>1754.0</v>
      </c>
      <c r="H7" s="11">
        <v>1205.0</v>
      </c>
      <c r="I7" s="11">
        <v>495.0</v>
      </c>
      <c r="J7" s="11">
        <v>183.0</v>
      </c>
      <c r="K7" s="11">
        <v>3.0</v>
      </c>
      <c r="L7" s="11">
        <v>13.0</v>
      </c>
      <c r="M7" s="13">
        <f t="shared" ref="M7:O7" si="9">IFERROR(G7/F7,"")</f>
        <v>0.04371230624</v>
      </c>
      <c r="N7" s="13">
        <f t="shared" si="9"/>
        <v>0.6870011403</v>
      </c>
      <c r="O7" s="14">
        <f t="shared" si="9"/>
        <v>0.4107883817</v>
      </c>
      <c r="P7" s="13">
        <f t="shared" si="3"/>
        <v>0.1518672199</v>
      </c>
      <c r="Q7" s="13">
        <f t="shared" si="4"/>
        <v>0.002489626556</v>
      </c>
      <c r="R7" s="13">
        <f t="shared" si="5"/>
        <v>0.01078838174</v>
      </c>
      <c r="S7" s="14" t="str">
        <f t="shared" si="6"/>
        <v/>
      </c>
      <c r="T7" s="14" t="str">
        <f t="shared" si="7"/>
        <v/>
      </c>
      <c r="U7" s="14" t="str">
        <f t="shared" si="8"/>
        <v/>
      </c>
    </row>
    <row r="8">
      <c r="A8" s="9">
        <v>45073.7231473032</v>
      </c>
      <c r="B8" s="10">
        <v>17.0</v>
      </c>
      <c r="C8" s="10" t="s">
        <v>69</v>
      </c>
      <c r="D8" s="10" t="s">
        <v>76</v>
      </c>
      <c r="E8" s="12" t="s">
        <v>62</v>
      </c>
      <c r="F8" s="11">
        <v>219296.0</v>
      </c>
      <c r="G8" s="11">
        <v>9471.0</v>
      </c>
      <c r="H8" s="11">
        <v>5271.0</v>
      </c>
      <c r="I8" s="11">
        <v>5471.0</v>
      </c>
      <c r="J8" s="11">
        <v>164.0</v>
      </c>
      <c r="K8" s="11">
        <v>15.0</v>
      </c>
      <c r="L8" s="11">
        <v>37.0</v>
      </c>
      <c r="M8" s="13">
        <f t="shared" ref="M8:O8" si="10">IFERROR(G8/F8,"")</f>
        <v>0.04318820225</v>
      </c>
      <c r="N8" s="13">
        <f t="shared" si="10"/>
        <v>0.55654102</v>
      </c>
      <c r="O8" s="14">
        <f t="shared" si="10"/>
        <v>1.037943464</v>
      </c>
      <c r="P8" s="13">
        <f t="shared" si="3"/>
        <v>0.03111364068</v>
      </c>
      <c r="Q8" s="13">
        <f t="shared" si="4"/>
        <v>0.002845759818</v>
      </c>
      <c r="R8" s="13">
        <f t="shared" si="5"/>
        <v>0.007019540884</v>
      </c>
      <c r="S8" s="14" t="str">
        <f t="shared" si="6"/>
        <v/>
      </c>
      <c r="T8" s="14" t="str">
        <f t="shared" si="7"/>
        <v/>
      </c>
      <c r="U8" s="14" t="str">
        <f t="shared" si="8"/>
        <v/>
      </c>
    </row>
    <row r="9">
      <c r="A9" s="9">
        <v>45147.6643445949</v>
      </c>
      <c r="B9" s="10">
        <v>15.0</v>
      </c>
      <c r="C9" s="10" t="s">
        <v>80</v>
      </c>
      <c r="D9" s="10" t="s">
        <v>81</v>
      </c>
      <c r="E9" s="12" t="s">
        <v>62</v>
      </c>
      <c r="F9" s="11">
        <v>12515.0</v>
      </c>
      <c r="G9" s="11">
        <v>451.0</v>
      </c>
      <c r="H9" s="11">
        <v>288.0</v>
      </c>
      <c r="I9" s="11">
        <v>315.0</v>
      </c>
      <c r="J9" s="11">
        <v>77.0</v>
      </c>
      <c r="K9" s="11">
        <v>3.0</v>
      </c>
      <c r="L9" s="11">
        <v>5.0</v>
      </c>
      <c r="M9" s="13">
        <f t="shared" ref="M9:O9" si="11">IFERROR(G9/F9,"")</f>
        <v>0.03603675589</v>
      </c>
      <c r="N9" s="13">
        <f t="shared" si="11"/>
        <v>0.6385809313</v>
      </c>
      <c r="O9" s="14">
        <f t="shared" si="11"/>
        <v>1.09375</v>
      </c>
      <c r="P9" s="13">
        <f t="shared" si="3"/>
        <v>0.2673611111</v>
      </c>
      <c r="Q9" s="13">
        <f t="shared" si="4"/>
        <v>0.01041666667</v>
      </c>
      <c r="R9" s="13">
        <f t="shared" si="5"/>
        <v>0.01736111111</v>
      </c>
      <c r="S9" s="14">
        <f t="shared" si="6"/>
        <v>0.8932756074</v>
      </c>
      <c r="T9" s="14">
        <f t="shared" si="7"/>
        <v>1.194601267</v>
      </c>
      <c r="U9" s="14">
        <f t="shared" si="8"/>
        <v>3.632397343</v>
      </c>
    </row>
    <row r="10">
      <c r="A10" s="9">
        <v>45148.4815271644</v>
      </c>
      <c r="B10" s="10">
        <v>11.0</v>
      </c>
      <c r="C10" s="10" t="s">
        <v>84</v>
      </c>
      <c r="D10" s="10" t="s">
        <v>85</v>
      </c>
      <c r="E10" s="12" t="s">
        <v>62</v>
      </c>
      <c r="F10" s="11">
        <v>199045.0</v>
      </c>
      <c r="G10" s="11">
        <v>11970.0</v>
      </c>
      <c r="H10" s="11">
        <v>5406.0</v>
      </c>
      <c r="I10" s="11">
        <v>6001.0</v>
      </c>
      <c r="J10" s="11">
        <v>281.0</v>
      </c>
      <c r="K10" s="11">
        <v>21.0</v>
      </c>
      <c r="L10" s="11">
        <v>33.0</v>
      </c>
      <c r="M10" s="13">
        <f t="shared" ref="M10:O10" si="12">IFERROR(G10/F10,"")</f>
        <v>0.06013715491</v>
      </c>
      <c r="N10" s="13">
        <f t="shared" si="12"/>
        <v>0.4516290727</v>
      </c>
      <c r="O10" s="14">
        <f t="shared" si="12"/>
        <v>1.110062893</v>
      </c>
      <c r="P10" s="13">
        <f t="shared" si="3"/>
        <v>0.05197928228</v>
      </c>
      <c r="Q10" s="13">
        <f t="shared" si="4"/>
        <v>0.003884572697</v>
      </c>
      <c r="R10" s="13">
        <f t="shared" si="5"/>
        <v>0.006104328524</v>
      </c>
      <c r="S10" s="14">
        <f t="shared" si="6"/>
        <v>1.493801741</v>
      </c>
      <c r="T10" s="14">
        <f t="shared" si="7"/>
        <v>0.8372042225</v>
      </c>
      <c r="U10" s="14">
        <f t="shared" si="8"/>
        <v>1.150595187</v>
      </c>
    </row>
    <row r="11">
      <c r="A11" s="9">
        <v>45154.5700393171</v>
      </c>
      <c r="B11" s="10">
        <v>13.0</v>
      </c>
      <c r="C11" s="10" t="s">
        <v>80</v>
      </c>
      <c r="D11" s="10" t="s">
        <v>88</v>
      </c>
      <c r="E11" s="12" t="s">
        <v>62</v>
      </c>
      <c r="F11" s="11">
        <v>132789.0</v>
      </c>
      <c r="G11" s="11">
        <v>4838.0</v>
      </c>
      <c r="H11" s="11">
        <v>2057.0</v>
      </c>
      <c r="I11" s="11">
        <v>2047.0</v>
      </c>
      <c r="J11" s="11">
        <v>118.0</v>
      </c>
      <c r="K11" s="11">
        <v>5.0</v>
      </c>
      <c r="L11" s="11">
        <v>18.0</v>
      </c>
      <c r="M11" s="13">
        <f t="shared" ref="M11:O11" si="13">IFERROR(G11/F11,"")</f>
        <v>0.03643374075</v>
      </c>
      <c r="N11" s="13">
        <f t="shared" si="13"/>
        <v>0.4251756924</v>
      </c>
      <c r="O11" s="14">
        <f t="shared" si="13"/>
        <v>0.9951385513</v>
      </c>
      <c r="P11" s="13">
        <f t="shared" si="3"/>
        <v>0.0573650948</v>
      </c>
      <c r="Q11" s="13">
        <f t="shared" si="4"/>
        <v>0.002430724356</v>
      </c>
      <c r="R11" s="13">
        <f t="shared" si="5"/>
        <v>0.008750607681</v>
      </c>
      <c r="S11" s="14">
        <f t="shared" si="6"/>
        <v>0.9069138949</v>
      </c>
      <c r="T11" s="14">
        <f t="shared" si="7"/>
        <v>0.7810811878</v>
      </c>
      <c r="U11" s="14">
        <f t="shared" si="8"/>
        <v>0.6257378985</v>
      </c>
    </row>
    <row r="12">
      <c r="A12" s="9">
        <v>45157.5376681366</v>
      </c>
      <c r="B12" s="10">
        <v>12.0</v>
      </c>
      <c r="C12" s="10" t="s">
        <v>69</v>
      </c>
      <c r="D12" s="10" t="s">
        <v>91</v>
      </c>
      <c r="E12" s="12" t="s">
        <v>62</v>
      </c>
      <c r="F12" s="11">
        <v>19075.0</v>
      </c>
      <c r="G12" s="11">
        <v>709.0</v>
      </c>
      <c r="H12" s="11">
        <v>379.0</v>
      </c>
      <c r="I12" s="11">
        <v>347.0</v>
      </c>
      <c r="J12" s="11">
        <v>98.0</v>
      </c>
      <c r="K12" s="11">
        <v>16.0</v>
      </c>
      <c r="L12" s="11">
        <v>4.0</v>
      </c>
      <c r="M12" s="13">
        <f t="shared" ref="M12:O12" si="14">IFERROR(G12/F12,"")</f>
        <v>0.03716906946</v>
      </c>
      <c r="N12" s="13">
        <f t="shared" si="14"/>
        <v>0.5345557123</v>
      </c>
      <c r="O12" s="14">
        <f t="shared" si="14"/>
        <v>0.9155672823</v>
      </c>
      <c r="P12" s="13">
        <f t="shared" si="3"/>
        <v>0.2585751979</v>
      </c>
      <c r="Q12" s="13">
        <f t="shared" si="4"/>
        <v>0.04221635884</v>
      </c>
      <c r="R12" s="13">
        <f t="shared" si="5"/>
        <v>0.01055408971</v>
      </c>
      <c r="S12" s="14">
        <f t="shared" si="6"/>
        <v>0.9579194309</v>
      </c>
      <c r="T12" s="14">
        <f t="shared" si="7"/>
        <v>0.9909288984</v>
      </c>
      <c r="U12" s="14">
        <f t="shared" si="8"/>
        <v>10.66131262</v>
      </c>
    </row>
    <row r="13">
      <c r="A13" s="9">
        <v>45209.697251794</v>
      </c>
      <c r="B13" s="10">
        <v>16.0</v>
      </c>
      <c r="C13" s="10" t="s">
        <v>59</v>
      </c>
      <c r="D13" s="10" t="s">
        <v>94</v>
      </c>
      <c r="E13" s="12" t="s">
        <v>62</v>
      </c>
      <c r="F13" s="11">
        <v>279905.0</v>
      </c>
      <c r="G13" s="11">
        <v>11292.0</v>
      </c>
      <c r="H13" s="11">
        <v>4480.0</v>
      </c>
      <c r="I13" s="11">
        <v>6461.0</v>
      </c>
      <c r="J13" s="11">
        <v>122.0</v>
      </c>
      <c r="K13" s="11">
        <v>32.0</v>
      </c>
      <c r="L13" s="11">
        <v>83.0</v>
      </c>
      <c r="M13" s="13">
        <f t="shared" ref="M13:O13" si="15">IFERROR(G13/F13,"")</f>
        <v>0.04034225898</v>
      </c>
      <c r="N13" s="13">
        <f t="shared" si="15"/>
        <v>0.3967410556</v>
      </c>
      <c r="O13" s="14">
        <f t="shared" si="15"/>
        <v>1.4421875</v>
      </c>
      <c r="P13" s="13">
        <f t="shared" si="3"/>
        <v>0.02723214286</v>
      </c>
      <c r="Q13" s="13">
        <f t="shared" si="4"/>
        <v>0.007142857143</v>
      </c>
      <c r="R13" s="13">
        <f t="shared" si="5"/>
        <v>0.01852678571</v>
      </c>
      <c r="S13" s="14">
        <f t="shared" si="6"/>
        <v>1.002969015</v>
      </c>
      <c r="T13" s="14">
        <f t="shared" si="7"/>
        <v>0.6751820284</v>
      </c>
      <c r="U13" s="14">
        <f t="shared" si="8"/>
        <v>1.100519686</v>
      </c>
    </row>
    <row r="14">
      <c r="A14" s="9">
        <v>45211.736469213</v>
      </c>
      <c r="B14" s="10">
        <v>17.0</v>
      </c>
      <c r="C14" s="10" t="s">
        <v>84</v>
      </c>
      <c r="D14" s="10" t="s">
        <v>97</v>
      </c>
      <c r="E14" s="12" t="s">
        <v>62</v>
      </c>
      <c r="F14" s="11">
        <v>761072.0</v>
      </c>
      <c r="G14" s="11">
        <v>21093.0</v>
      </c>
      <c r="H14" s="11">
        <v>8935.0</v>
      </c>
      <c r="I14" s="11">
        <v>5393.0</v>
      </c>
      <c r="J14" s="11">
        <v>334.0</v>
      </c>
      <c r="K14" s="11">
        <v>75.0</v>
      </c>
      <c r="L14" s="11">
        <v>56.0</v>
      </c>
      <c r="M14" s="13">
        <f t="shared" ref="M14:O14" si="16">IFERROR(G14/F14,"")</f>
        <v>0.02771485484</v>
      </c>
      <c r="N14" s="13">
        <f t="shared" si="16"/>
        <v>0.4236002465</v>
      </c>
      <c r="O14" s="14">
        <f t="shared" si="16"/>
        <v>0.6035814214</v>
      </c>
      <c r="P14" s="13">
        <f t="shared" si="3"/>
        <v>0.03738108562</v>
      </c>
      <c r="Q14" s="13">
        <f t="shared" si="4"/>
        <v>0.008393956351</v>
      </c>
      <c r="R14" s="13">
        <f t="shared" si="5"/>
        <v>0.006267487409</v>
      </c>
      <c r="S14" s="14">
        <f t="shared" si="6"/>
        <v>0.6881856</v>
      </c>
      <c r="T14" s="14">
        <f t="shared" si="7"/>
        <v>0.7191790852</v>
      </c>
      <c r="U14" s="14">
        <f t="shared" si="8"/>
        <v>1.308588851</v>
      </c>
    </row>
    <row r="15">
      <c r="A15" s="9">
        <v>45213.8266036458</v>
      </c>
      <c r="B15" s="10">
        <v>19.0</v>
      </c>
      <c r="C15" s="10" t="s">
        <v>69</v>
      </c>
      <c r="D15" s="10" t="s">
        <v>100</v>
      </c>
      <c r="E15" s="12" t="s">
        <v>62</v>
      </c>
      <c r="F15" s="11">
        <v>1359452.0</v>
      </c>
      <c r="G15" s="11">
        <v>91932.0</v>
      </c>
      <c r="H15" s="11">
        <v>68014.0</v>
      </c>
      <c r="I15" s="11">
        <v>47005.0</v>
      </c>
      <c r="J15" s="11">
        <v>2202.0</v>
      </c>
      <c r="K15" s="11">
        <v>150.0</v>
      </c>
      <c r="L15" s="11">
        <v>243.0</v>
      </c>
      <c r="M15" s="13">
        <f t="shared" ref="M15:O15" si="17">IFERROR(G15/F15,"")</f>
        <v>0.06762430744</v>
      </c>
      <c r="N15" s="13">
        <f t="shared" si="17"/>
        <v>0.7398294392</v>
      </c>
      <c r="O15" s="14">
        <f t="shared" si="17"/>
        <v>0.6911077131</v>
      </c>
      <c r="P15" s="13">
        <f t="shared" si="3"/>
        <v>0.03237568736</v>
      </c>
      <c r="Q15" s="13">
        <f t="shared" si="4"/>
        <v>0.002205428294</v>
      </c>
      <c r="R15" s="13">
        <f t="shared" si="5"/>
        <v>0.003572793837</v>
      </c>
      <c r="S15" s="14">
        <f t="shared" si="6"/>
        <v>1.681241624</v>
      </c>
      <c r="T15" s="14">
        <f t="shared" si="7"/>
        <v>1.259056844</v>
      </c>
      <c r="U15" s="14">
        <f t="shared" si="8"/>
        <v>0.3528631172</v>
      </c>
    </row>
    <row r="16">
      <c r="A16" s="9">
        <v>45215.858457581</v>
      </c>
      <c r="B16" s="10">
        <v>20.0</v>
      </c>
      <c r="C16" s="10" t="s">
        <v>71</v>
      </c>
      <c r="D16" s="10" t="s">
        <v>102</v>
      </c>
      <c r="E16" s="12" t="s">
        <v>62</v>
      </c>
      <c r="F16" s="11">
        <v>0.0</v>
      </c>
      <c r="G16" s="11">
        <v>0.0</v>
      </c>
      <c r="H16" s="11">
        <v>0.0</v>
      </c>
      <c r="I16" s="11">
        <v>4.0</v>
      </c>
      <c r="J16" s="11">
        <v>0.0</v>
      </c>
      <c r="K16" s="11">
        <v>0.0</v>
      </c>
      <c r="L16" s="11">
        <v>0.0</v>
      </c>
      <c r="M16" s="13" t="str">
        <f t="shared" ref="M16:O16" si="18">IFERROR(G16/F16,"")</f>
        <v/>
      </c>
      <c r="N16" s="13" t="str">
        <f t="shared" si="18"/>
        <v/>
      </c>
      <c r="O16" s="14" t="str">
        <f t="shared" si="18"/>
        <v/>
      </c>
      <c r="P16" s="13" t="str">
        <f t="shared" si="3"/>
        <v/>
      </c>
      <c r="Q16" s="13" t="str">
        <f t="shared" si="4"/>
        <v/>
      </c>
      <c r="R16" s="13" t="str">
        <f t="shared" si="5"/>
        <v/>
      </c>
      <c r="S16" s="14">
        <f t="shared" si="6"/>
        <v>0</v>
      </c>
      <c r="T16" s="14">
        <f t="shared" si="7"/>
        <v>0</v>
      </c>
      <c r="U16" s="14">
        <f t="shared" si="8"/>
        <v>0</v>
      </c>
    </row>
    <row r="17">
      <c r="A17" s="9">
        <v>45215.9518122685</v>
      </c>
      <c r="B17" s="10">
        <v>22.0</v>
      </c>
      <c r="C17" s="10" t="s">
        <v>71</v>
      </c>
      <c r="D17" s="10" t="s">
        <v>102</v>
      </c>
      <c r="E17" s="12" t="s">
        <v>62</v>
      </c>
      <c r="F17" s="11">
        <v>86586.0</v>
      </c>
      <c r="G17" s="11">
        <v>5435.0</v>
      </c>
      <c r="H17" s="11">
        <v>3364.0</v>
      </c>
      <c r="I17" s="11">
        <v>3118.0</v>
      </c>
      <c r="J17" s="11">
        <v>167.0</v>
      </c>
      <c r="K17" s="11">
        <v>15.0</v>
      </c>
      <c r="L17" s="11">
        <v>14.0</v>
      </c>
      <c r="M17" s="13">
        <f t="shared" ref="M17:O17" si="19">IFERROR(G17/F17,"")</f>
        <v>0.06276996281</v>
      </c>
      <c r="N17" s="13">
        <f t="shared" si="19"/>
        <v>0.618951242</v>
      </c>
      <c r="O17" s="14">
        <f t="shared" si="19"/>
        <v>0.9268727705</v>
      </c>
      <c r="P17" s="13">
        <f t="shared" si="3"/>
        <v>0.04964328181</v>
      </c>
      <c r="Q17" s="13">
        <f t="shared" si="4"/>
        <v>0.004458977408</v>
      </c>
      <c r="R17" s="13">
        <f t="shared" si="5"/>
        <v>0.004161712247</v>
      </c>
      <c r="S17" s="14">
        <f t="shared" si="6"/>
        <v>1.558636507</v>
      </c>
      <c r="T17" s="14">
        <f t="shared" si="7"/>
        <v>1.050841664</v>
      </c>
      <c r="U17" s="14">
        <f t="shared" si="8"/>
        <v>0.7326997563</v>
      </c>
    </row>
    <row r="18">
      <c r="A18" s="9">
        <v>45216.7988566551</v>
      </c>
      <c r="B18" s="10">
        <v>19.0</v>
      </c>
      <c r="C18" s="10" t="s">
        <v>59</v>
      </c>
      <c r="D18" s="10" t="s">
        <v>106</v>
      </c>
      <c r="E18" s="12" t="s">
        <v>62</v>
      </c>
      <c r="F18" s="11">
        <v>152171.0</v>
      </c>
      <c r="G18" s="11">
        <v>7857.0</v>
      </c>
      <c r="H18" s="11">
        <v>2974.0</v>
      </c>
      <c r="I18" s="11">
        <v>1955.0</v>
      </c>
      <c r="J18" s="11">
        <v>55.0</v>
      </c>
      <c r="K18" s="11">
        <v>12.0</v>
      </c>
      <c r="L18" s="11">
        <v>16.0</v>
      </c>
      <c r="M18" s="13">
        <f t="shared" ref="M18:O18" si="20">IFERROR(G18/F18,"")</f>
        <v>0.05163270268</v>
      </c>
      <c r="N18" s="13">
        <f t="shared" si="20"/>
        <v>0.378515973</v>
      </c>
      <c r="O18" s="14">
        <f t="shared" si="20"/>
        <v>0.6573638198</v>
      </c>
      <c r="P18" s="13">
        <f t="shared" si="3"/>
        <v>0.0184936113</v>
      </c>
      <c r="Q18" s="13">
        <f t="shared" si="4"/>
        <v>0.004034969738</v>
      </c>
      <c r="R18" s="13">
        <f t="shared" si="5"/>
        <v>0.00537995965</v>
      </c>
      <c r="S18" s="14">
        <f t="shared" si="6"/>
        <v>1.282087988</v>
      </c>
      <c r="T18" s="14">
        <f t="shared" si="7"/>
        <v>0.6426360075</v>
      </c>
      <c r="U18" s="14">
        <f t="shared" si="8"/>
        <v>0.66302676</v>
      </c>
    </row>
    <row r="19">
      <c r="A19" s="9">
        <v>45217.869985162</v>
      </c>
      <c r="B19" s="10">
        <v>20.0</v>
      </c>
      <c r="C19" s="10" t="s">
        <v>80</v>
      </c>
      <c r="D19" s="10" t="s">
        <v>111</v>
      </c>
      <c r="E19" s="12" t="s">
        <v>62</v>
      </c>
      <c r="F19" s="11">
        <v>11383.0</v>
      </c>
      <c r="G19" s="11">
        <v>185.0</v>
      </c>
      <c r="H19" s="11">
        <v>74.0</v>
      </c>
      <c r="I19" s="11">
        <v>139.0</v>
      </c>
      <c r="J19" s="11">
        <v>14.0</v>
      </c>
      <c r="K19" s="11">
        <v>0.0</v>
      </c>
      <c r="L19" s="11">
        <v>0.0</v>
      </c>
      <c r="M19" s="13">
        <f t="shared" ref="M19:O19" si="21">IFERROR(G19/F19,"")</f>
        <v>0.01625230607</v>
      </c>
      <c r="N19" s="13">
        <f t="shared" si="21"/>
        <v>0.4</v>
      </c>
      <c r="O19" s="14">
        <f t="shared" si="21"/>
        <v>1.878378378</v>
      </c>
      <c r="P19" s="13">
        <f t="shared" si="3"/>
        <v>0.1891891892</v>
      </c>
      <c r="Q19" s="13">
        <f t="shared" si="4"/>
        <v>0</v>
      </c>
      <c r="R19" s="13">
        <f t="shared" si="5"/>
        <v>0</v>
      </c>
      <c r="S19" s="14">
        <f t="shared" si="6"/>
        <v>0.4032099207</v>
      </c>
      <c r="T19" s="14">
        <f t="shared" si="7"/>
        <v>0.6807281665</v>
      </c>
      <c r="U19" s="14">
        <f t="shared" si="8"/>
        <v>0</v>
      </c>
    </row>
    <row r="20">
      <c r="A20" s="9">
        <v>45219.5243008565</v>
      </c>
      <c r="B20" s="10">
        <v>12.0</v>
      </c>
      <c r="C20" s="10" t="s">
        <v>60</v>
      </c>
      <c r="D20" s="10" t="s">
        <v>114</v>
      </c>
      <c r="E20" s="12" t="s">
        <v>62</v>
      </c>
      <c r="F20" s="11">
        <v>125780.0</v>
      </c>
      <c r="G20" s="11">
        <v>5053.0</v>
      </c>
      <c r="H20" s="11">
        <v>2328.0</v>
      </c>
      <c r="I20" s="11">
        <v>1932.0</v>
      </c>
      <c r="J20" s="11">
        <v>34.0</v>
      </c>
      <c r="K20" s="11">
        <v>4.0</v>
      </c>
      <c r="L20" s="11">
        <v>9.0</v>
      </c>
      <c r="M20" s="13">
        <f t="shared" ref="M20:O20" si="22">IFERROR(G20/F20,"")</f>
        <v>0.04017331849</v>
      </c>
      <c r="N20" s="13">
        <f t="shared" si="22"/>
        <v>0.4607164061</v>
      </c>
      <c r="O20" s="14">
        <f t="shared" si="22"/>
        <v>0.8298969072</v>
      </c>
      <c r="P20" s="13">
        <f t="shared" si="3"/>
        <v>0.014604811</v>
      </c>
      <c r="Q20" s="13">
        <f t="shared" si="4"/>
        <v>0.001718213058</v>
      </c>
      <c r="R20" s="13">
        <f t="shared" si="5"/>
        <v>0.003865979381</v>
      </c>
      <c r="S20" s="14">
        <f t="shared" si="6"/>
        <v>0.9966758253</v>
      </c>
      <c r="T20" s="14">
        <f t="shared" si="7"/>
        <v>0.784056586</v>
      </c>
      <c r="U20" s="14">
        <f t="shared" si="8"/>
        <v>0.2749098746</v>
      </c>
    </row>
    <row r="21" ht="15.75" customHeight="1">
      <c r="A21" s="9">
        <v>45221.4759122222</v>
      </c>
      <c r="B21" s="10">
        <v>11.0</v>
      </c>
      <c r="C21" s="10" t="s">
        <v>77</v>
      </c>
      <c r="D21" s="10" t="s">
        <v>117</v>
      </c>
      <c r="E21" s="12" t="s">
        <v>62</v>
      </c>
      <c r="F21" s="11">
        <v>354144.0</v>
      </c>
      <c r="G21" s="11">
        <v>21688.0</v>
      </c>
      <c r="H21" s="11">
        <v>8695.0</v>
      </c>
      <c r="I21" s="11">
        <v>5764.0</v>
      </c>
      <c r="J21" s="11">
        <v>218.0</v>
      </c>
      <c r="K21" s="11">
        <v>47.0</v>
      </c>
      <c r="L21" s="11">
        <v>48.0</v>
      </c>
      <c r="M21" s="13">
        <f t="shared" ref="M21:O21" si="23">IFERROR(G21/F21,"")</f>
        <v>0.06124062528</v>
      </c>
      <c r="N21" s="13">
        <f t="shared" si="23"/>
        <v>0.4009129473</v>
      </c>
      <c r="O21" s="14">
        <f t="shared" si="23"/>
        <v>0.6629097182</v>
      </c>
      <c r="P21" s="13">
        <f t="shared" si="3"/>
        <v>0.02507188039</v>
      </c>
      <c r="Q21" s="13">
        <f t="shared" si="4"/>
        <v>0.005405405405</v>
      </c>
      <c r="R21" s="13">
        <f t="shared" si="5"/>
        <v>0.005520414031</v>
      </c>
      <c r="S21" s="14">
        <f t="shared" si="6"/>
        <v>1.518026675</v>
      </c>
      <c r="T21" s="14">
        <f t="shared" si="7"/>
        <v>0.6806610927</v>
      </c>
      <c r="U21" s="14">
        <f t="shared" si="8"/>
        <v>0.8426840634</v>
      </c>
    </row>
    <row r="22" ht="15.75" customHeight="1">
      <c r="A22" s="9">
        <v>45223.6492350579</v>
      </c>
      <c r="B22" s="10">
        <v>15.0</v>
      </c>
      <c r="C22" s="10" t="s">
        <v>59</v>
      </c>
      <c r="D22" s="10" t="s">
        <v>120</v>
      </c>
      <c r="E22" s="12" t="s">
        <v>62</v>
      </c>
      <c r="F22" s="11">
        <v>40375.0</v>
      </c>
      <c r="G22" s="11">
        <v>2732.0</v>
      </c>
      <c r="H22" s="11">
        <v>1773.0</v>
      </c>
      <c r="I22" s="11">
        <v>1989.0</v>
      </c>
      <c r="J22" s="11">
        <v>95.0</v>
      </c>
      <c r="K22" s="11">
        <v>4.0</v>
      </c>
      <c r="L22" s="11">
        <v>19.0</v>
      </c>
      <c r="M22" s="13">
        <f t="shared" ref="M22:O22" si="24">IFERROR(G22/F22,"")</f>
        <v>0.06766563467</v>
      </c>
      <c r="N22" s="13">
        <f t="shared" si="24"/>
        <v>0.6489751098</v>
      </c>
      <c r="O22" s="14">
        <f t="shared" si="24"/>
        <v>1.121827411</v>
      </c>
      <c r="P22" s="13">
        <f t="shared" si="3"/>
        <v>0.05358150028</v>
      </c>
      <c r="Q22" s="13">
        <f t="shared" si="4"/>
        <v>0.00225606317</v>
      </c>
      <c r="R22" s="13">
        <f t="shared" si="5"/>
        <v>0.01071630006</v>
      </c>
      <c r="S22" s="14">
        <f t="shared" si="6"/>
        <v>1.677289185</v>
      </c>
      <c r="T22" s="14">
        <f t="shared" si="7"/>
        <v>1.10181552</v>
      </c>
      <c r="U22" s="14">
        <f t="shared" si="8"/>
        <v>0.3517124686</v>
      </c>
    </row>
    <row r="23" ht="15.75" customHeight="1">
      <c r="A23" s="9">
        <v>45225.4330009259</v>
      </c>
      <c r="B23" s="10">
        <v>10.0</v>
      </c>
      <c r="C23" s="10" t="s">
        <v>84</v>
      </c>
      <c r="D23" s="10" t="s">
        <v>122</v>
      </c>
      <c r="E23" s="12" t="s">
        <v>62</v>
      </c>
      <c r="F23" s="11">
        <v>605326.0</v>
      </c>
      <c r="G23" s="11">
        <v>31962.0</v>
      </c>
      <c r="H23" s="11">
        <v>24061.0</v>
      </c>
      <c r="I23" s="11">
        <v>26062.0</v>
      </c>
      <c r="J23" s="11">
        <v>416.0</v>
      </c>
      <c r="K23" s="11">
        <v>69.0</v>
      </c>
      <c r="L23" s="11">
        <v>97.0</v>
      </c>
      <c r="M23" s="13">
        <f t="shared" ref="M23:O23" si="25">IFERROR(G23/F23,"")</f>
        <v>0.05280130046</v>
      </c>
      <c r="N23" s="13">
        <f t="shared" si="25"/>
        <v>0.7528002002</v>
      </c>
      <c r="O23" s="14">
        <f t="shared" si="25"/>
        <v>1.083163626</v>
      </c>
      <c r="P23" s="13">
        <f t="shared" si="3"/>
        <v>0.01728938947</v>
      </c>
      <c r="Q23" s="13">
        <f t="shared" si="4"/>
        <v>0.002867711234</v>
      </c>
      <c r="R23" s="13">
        <f t="shared" si="5"/>
        <v>0.00403142014</v>
      </c>
      <c r="S23" s="14">
        <f t="shared" si="6"/>
        <v>1.308833511</v>
      </c>
      <c r="T23" s="14">
        <f t="shared" si="7"/>
        <v>1.278087451</v>
      </c>
      <c r="U23" s="14">
        <f t="shared" si="8"/>
        <v>0.4470662927</v>
      </c>
    </row>
    <row r="24" ht="15.75" customHeight="1">
      <c r="A24" s="9">
        <v>45227.4435240046</v>
      </c>
      <c r="B24" s="10">
        <v>10.0</v>
      </c>
      <c r="C24" s="10" t="s">
        <v>69</v>
      </c>
      <c r="D24" s="10" t="s">
        <v>126</v>
      </c>
      <c r="E24" s="12" t="s">
        <v>62</v>
      </c>
      <c r="F24" s="11">
        <v>18268.0</v>
      </c>
      <c r="G24" s="11">
        <v>327.0</v>
      </c>
      <c r="H24" s="11">
        <v>178.0</v>
      </c>
      <c r="I24" s="11">
        <v>215.0</v>
      </c>
      <c r="J24" s="11">
        <v>38.0</v>
      </c>
      <c r="K24" s="11">
        <v>5.0</v>
      </c>
      <c r="L24" s="11">
        <v>4.0</v>
      </c>
      <c r="M24" s="13">
        <f t="shared" ref="M24:O24" si="26">IFERROR(G24/F24,"")</f>
        <v>0.01790015327</v>
      </c>
      <c r="N24" s="13">
        <f t="shared" si="26"/>
        <v>0.5443425076</v>
      </c>
      <c r="O24" s="14">
        <f t="shared" si="26"/>
        <v>1.207865169</v>
      </c>
      <c r="P24" s="13">
        <f t="shared" si="3"/>
        <v>0.2134831461</v>
      </c>
      <c r="Q24" s="13">
        <f t="shared" si="4"/>
        <v>0.02808988764</v>
      </c>
      <c r="R24" s="13">
        <f t="shared" si="5"/>
        <v>0.02247191011</v>
      </c>
      <c r="S24" s="14">
        <f t="shared" si="6"/>
        <v>0.4440920169</v>
      </c>
      <c r="T24" s="14">
        <f t="shared" si="7"/>
        <v>0.9204651838</v>
      </c>
      <c r="U24" s="14">
        <f t="shared" si="8"/>
        <v>4.327886406</v>
      </c>
    </row>
    <row r="25" ht="15.75" customHeight="1">
      <c r="A25" s="9">
        <v>45229.6489516667</v>
      </c>
      <c r="B25" s="10">
        <v>15.0</v>
      </c>
      <c r="C25" s="10" t="s">
        <v>71</v>
      </c>
      <c r="D25" s="10" t="s">
        <v>130</v>
      </c>
      <c r="E25" s="12" t="s">
        <v>62</v>
      </c>
      <c r="F25" s="11">
        <v>62827.0</v>
      </c>
      <c r="G25" s="11">
        <v>2110.0</v>
      </c>
      <c r="H25" s="11">
        <v>1170.0</v>
      </c>
      <c r="I25" s="11">
        <v>1065.0</v>
      </c>
      <c r="J25" s="11">
        <v>73.0</v>
      </c>
      <c r="K25" s="11">
        <v>5.0</v>
      </c>
      <c r="L25" s="11">
        <v>13.0</v>
      </c>
      <c r="M25" s="13">
        <f t="shared" ref="M25:O25" si="27">IFERROR(G25/F25,"")</f>
        <v>0.03358428701</v>
      </c>
      <c r="N25" s="13">
        <f t="shared" si="27"/>
        <v>0.5545023697</v>
      </c>
      <c r="O25" s="14">
        <f t="shared" si="27"/>
        <v>0.9102564103</v>
      </c>
      <c r="P25" s="13">
        <f t="shared" si="3"/>
        <v>0.06239316239</v>
      </c>
      <c r="Q25" s="13">
        <f t="shared" si="4"/>
        <v>0.004273504274</v>
      </c>
      <c r="R25" s="13">
        <f t="shared" si="5"/>
        <v>0.01111111111</v>
      </c>
      <c r="S25" s="14">
        <f t="shared" si="6"/>
        <v>0.8332059244</v>
      </c>
      <c r="T25" s="14">
        <f t="shared" si="7"/>
        <v>0.9436634536</v>
      </c>
      <c r="U25" s="14">
        <f t="shared" si="8"/>
        <v>0.6326049735</v>
      </c>
    </row>
    <row r="26" ht="15.75" customHeight="1">
      <c r="A26" s="9">
        <v>45231.6195698727</v>
      </c>
      <c r="B26" s="10">
        <v>14.0</v>
      </c>
      <c r="C26" s="10" t="s">
        <v>80</v>
      </c>
      <c r="D26" s="10" t="s">
        <v>134</v>
      </c>
      <c r="E26" s="12" t="s">
        <v>62</v>
      </c>
      <c r="F26" s="11">
        <v>1835986.0</v>
      </c>
      <c r="G26" s="11">
        <v>58001.0</v>
      </c>
      <c r="H26" s="11">
        <v>44271.0</v>
      </c>
      <c r="I26" s="11">
        <v>48079.0</v>
      </c>
      <c r="J26" s="11">
        <v>904.0</v>
      </c>
      <c r="K26" s="11">
        <v>48.0</v>
      </c>
      <c r="L26" s="11">
        <v>194.0</v>
      </c>
      <c r="M26" s="13">
        <f t="shared" ref="M26:O26" si="28">IFERROR(G26/F26,"")</f>
        <v>0.0315911995</v>
      </c>
      <c r="N26" s="13">
        <f t="shared" si="28"/>
        <v>0.7632799434</v>
      </c>
      <c r="O26" s="14">
        <f t="shared" si="28"/>
        <v>1.086015676</v>
      </c>
      <c r="P26" s="13">
        <f t="shared" si="3"/>
        <v>0.02041968783</v>
      </c>
      <c r="Q26" s="13">
        <f t="shared" si="4"/>
        <v>0.001084231212</v>
      </c>
      <c r="R26" s="13">
        <f t="shared" si="5"/>
        <v>0.00438210115</v>
      </c>
      <c r="S26" s="14">
        <f t="shared" si="6"/>
        <v>0.7844388401</v>
      </c>
      <c r="T26" s="14">
        <f t="shared" si="7"/>
        <v>1.302065786</v>
      </c>
      <c r="U26" s="14">
        <f t="shared" si="8"/>
        <v>0.1651188065</v>
      </c>
    </row>
    <row r="27" ht="15.75" customHeight="1">
      <c r="A27" s="9">
        <v>45233.8050419213</v>
      </c>
      <c r="B27" s="10">
        <v>19.0</v>
      </c>
      <c r="C27" s="10" t="s">
        <v>60</v>
      </c>
      <c r="D27" s="10" t="s">
        <v>138</v>
      </c>
      <c r="E27" s="12" t="s">
        <v>62</v>
      </c>
      <c r="F27" s="11">
        <v>51028.0</v>
      </c>
      <c r="G27" s="11">
        <v>1910.0</v>
      </c>
      <c r="H27" s="11">
        <v>591.0</v>
      </c>
      <c r="I27" s="11">
        <v>571.0</v>
      </c>
      <c r="J27" s="11">
        <v>38.0</v>
      </c>
      <c r="K27" s="11">
        <v>1.0</v>
      </c>
      <c r="L27" s="11">
        <v>6.0</v>
      </c>
      <c r="M27" s="13">
        <f t="shared" ref="M27:O27" si="29">IFERROR(G27/F27,"")</f>
        <v>0.03743043035</v>
      </c>
      <c r="N27" s="13">
        <f t="shared" si="29"/>
        <v>0.3094240838</v>
      </c>
      <c r="O27" s="14">
        <f t="shared" si="29"/>
        <v>0.9661590525</v>
      </c>
      <c r="P27" s="13">
        <f t="shared" si="3"/>
        <v>0.06429780034</v>
      </c>
      <c r="Q27" s="13">
        <f t="shared" si="4"/>
        <v>0.001692047377</v>
      </c>
      <c r="R27" s="13">
        <f t="shared" si="5"/>
        <v>0.01015228426</v>
      </c>
      <c r="S27" s="14">
        <f t="shared" si="6"/>
        <v>0.9305765915</v>
      </c>
      <c r="T27" s="14">
        <f t="shared" si="7"/>
        <v>0.5265842231</v>
      </c>
      <c r="U27" s="14">
        <f t="shared" si="8"/>
        <v>0.2504730352</v>
      </c>
    </row>
    <row r="28" ht="15.75" customHeight="1">
      <c r="A28" s="9">
        <v>45235.7947047917</v>
      </c>
      <c r="B28" s="10">
        <v>19.0</v>
      </c>
      <c r="C28" s="10" t="s">
        <v>77</v>
      </c>
      <c r="D28" s="10" t="s">
        <v>141</v>
      </c>
      <c r="E28" s="12" t="s">
        <v>62</v>
      </c>
      <c r="F28" s="11">
        <v>15139.0</v>
      </c>
      <c r="G28" s="11">
        <v>834.0</v>
      </c>
      <c r="H28" s="11">
        <v>396.0</v>
      </c>
      <c r="I28" s="11">
        <v>165.0</v>
      </c>
      <c r="J28" s="11">
        <v>25.0</v>
      </c>
      <c r="K28" s="11">
        <v>1.0</v>
      </c>
      <c r="L28" s="11">
        <v>3.0</v>
      </c>
      <c r="M28" s="13">
        <f t="shared" ref="M28:O28" si="30">IFERROR(G28/F28,"")</f>
        <v>0.05508950393</v>
      </c>
      <c r="N28" s="13">
        <f t="shared" si="30"/>
        <v>0.4748201439</v>
      </c>
      <c r="O28" s="14">
        <f t="shared" si="30"/>
        <v>0.4166666667</v>
      </c>
      <c r="P28" s="13">
        <f t="shared" si="3"/>
        <v>0.06313131313</v>
      </c>
      <c r="Q28" s="13">
        <f t="shared" si="4"/>
        <v>0.002525252525</v>
      </c>
      <c r="R28" s="13">
        <f t="shared" si="5"/>
        <v>0.007575757576</v>
      </c>
      <c r="S28" s="14">
        <f t="shared" si="6"/>
        <v>1.371295825</v>
      </c>
      <c r="T28" s="14">
        <f t="shared" si="7"/>
        <v>0.8099873043</v>
      </c>
      <c r="U28" s="14">
        <f t="shared" si="8"/>
        <v>0.3636363636</v>
      </c>
    </row>
    <row r="29" ht="15.75" customHeight="1">
      <c r="A29" s="9">
        <v>45237.7386498495</v>
      </c>
      <c r="B29" s="10">
        <v>17.0</v>
      </c>
      <c r="C29" s="10" t="s">
        <v>59</v>
      </c>
      <c r="D29" s="10" t="s">
        <v>144</v>
      </c>
      <c r="E29" s="12" t="s">
        <v>62</v>
      </c>
      <c r="F29" s="11">
        <v>7646.0</v>
      </c>
      <c r="G29" s="11">
        <v>237.0</v>
      </c>
      <c r="H29" s="11">
        <v>144.0</v>
      </c>
      <c r="I29" s="11">
        <v>165.0</v>
      </c>
      <c r="J29" s="11">
        <v>32.0</v>
      </c>
      <c r="K29" s="11">
        <v>1.0</v>
      </c>
      <c r="L29" s="11">
        <v>2.0</v>
      </c>
      <c r="M29" s="13">
        <f t="shared" ref="M29:O29" si="31">IFERROR(G29/F29,"")</f>
        <v>0.03099659953</v>
      </c>
      <c r="N29" s="13">
        <f t="shared" si="31"/>
        <v>0.6075949367</v>
      </c>
      <c r="O29" s="14">
        <f t="shared" si="31"/>
        <v>1.145833333</v>
      </c>
      <c r="P29" s="13">
        <f t="shared" si="3"/>
        <v>0.2222222222</v>
      </c>
      <c r="Q29" s="13">
        <f t="shared" si="4"/>
        <v>0.006944444444</v>
      </c>
      <c r="R29" s="13">
        <f t="shared" si="5"/>
        <v>0.01388888889</v>
      </c>
      <c r="S29" s="14">
        <f t="shared" si="6"/>
        <v>0.7715717967</v>
      </c>
      <c r="T29" s="14">
        <f t="shared" si="7"/>
        <v>1.031561181</v>
      </c>
      <c r="U29" s="14">
        <f t="shared" si="8"/>
        <v>1</v>
      </c>
    </row>
    <row r="30" ht="15.75" customHeight="1">
      <c r="A30" s="9">
        <v>45239.7665113773</v>
      </c>
      <c r="B30" s="10">
        <v>18.0</v>
      </c>
      <c r="C30" s="10" t="s">
        <v>84</v>
      </c>
      <c r="D30" s="10" t="s">
        <v>146</v>
      </c>
      <c r="E30" s="12" t="s">
        <v>62</v>
      </c>
      <c r="F30" s="11">
        <v>9154.0</v>
      </c>
      <c r="G30" s="11">
        <v>288.0</v>
      </c>
      <c r="H30" s="11">
        <v>125.0</v>
      </c>
      <c r="I30" s="11">
        <v>93.0</v>
      </c>
      <c r="J30" s="11">
        <v>39.0</v>
      </c>
      <c r="K30" s="11">
        <v>4.0</v>
      </c>
      <c r="L30" s="11">
        <v>1.0</v>
      </c>
      <c r="M30" s="13">
        <f t="shared" ref="M30:O30" si="32">IFERROR(G30/F30,"")</f>
        <v>0.03146165611</v>
      </c>
      <c r="N30" s="13">
        <f t="shared" si="32"/>
        <v>0.4340277778</v>
      </c>
      <c r="O30" s="14">
        <f t="shared" si="32"/>
        <v>0.744</v>
      </c>
      <c r="P30" s="13">
        <f t="shared" si="3"/>
        <v>0.312</v>
      </c>
      <c r="Q30" s="13">
        <f t="shared" si="4"/>
        <v>0.032</v>
      </c>
      <c r="R30" s="13">
        <f t="shared" si="5"/>
        <v>0.008</v>
      </c>
      <c r="S30" s="14">
        <f t="shared" si="6"/>
        <v>0.7812221573</v>
      </c>
      <c r="T30" s="14">
        <f t="shared" si="7"/>
        <v>0.7404003268</v>
      </c>
      <c r="U30" s="14">
        <f t="shared" si="8"/>
        <v>4.608</v>
      </c>
    </row>
    <row r="31" ht="15.75" customHeight="1">
      <c r="A31" s="9">
        <v>45241.6591602315</v>
      </c>
      <c r="B31" s="10">
        <v>15.0</v>
      </c>
      <c r="C31" s="10" t="s">
        <v>69</v>
      </c>
      <c r="D31" s="10" t="s">
        <v>149</v>
      </c>
      <c r="E31" s="12" t="s">
        <v>62</v>
      </c>
      <c r="F31" s="11">
        <v>1099976.0</v>
      </c>
      <c r="G31" s="11">
        <v>73652.0</v>
      </c>
      <c r="H31" s="11">
        <v>49789.0</v>
      </c>
      <c r="I31" s="11">
        <v>54679.0</v>
      </c>
      <c r="J31" s="11">
        <v>1262.0</v>
      </c>
      <c r="K31" s="11">
        <v>303.0</v>
      </c>
      <c r="L31" s="11">
        <v>194.0</v>
      </c>
      <c r="M31" s="13">
        <f t="shared" ref="M31:O31" si="33">IFERROR(G31/F31,"")</f>
        <v>0.06695782453</v>
      </c>
      <c r="N31" s="13">
        <f t="shared" si="33"/>
        <v>0.6760033672</v>
      </c>
      <c r="O31" s="14">
        <f t="shared" si="33"/>
        <v>1.098214465</v>
      </c>
      <c r="P31" s="13">
        <f t="shared" si="3"/>
        <v>0.02534696419</v>
      </c>
      <c r="Q31" s="13">
        <f t="shared" si="4"/>
        <v>0.006085681576</v>
      </c>
      <c r="R31" s="13">
        <f t="shared" si="5"/>
        <v>0.003896442989</v>
      </c>
      <c r="S31" s="14">
        <f t="shared" si="6"/>
        <v>1.66467186</v>
      </c>
      <c r="T31" s="14">
        <f t="shared" si="7"/>
        <v>1.153824762</v>
      </c>
      <c r="U31" s="14">
        <f t="shared" si="8"/>
        <v>0.8639953562</v>
      </c>
    </row>
    <row r="32" ht="15.75" customHeight="1">
      <c r="A32" s="9">
        <v>45243.799935544</v>
      </c>
      <c r="B32" s="10">
        <v>19.0</v>
      </c>
      <c r="C32" s="10" t="s">
        <v>71</v>
      </c>
      <c r="D32" s="10" t="s">
        <v>152</v>
      </c>
      <c r="E32" s="12" t="s">
        <v>62</v>
      </c>
      <c r="F32" s="11">
        <v>117444.0</v>
      </c>
      <c r="G32" s="11">
        <v>1426.0</v>
      </c>
      <c r="H32" s="11">
        <v>835.0</v>
      </c>
      <c r="I32" s="11">
        <v>462.0</v>
      </c>
      <c r="J32" s="11">
        <v>37.0</v>
      </c>
      <c r="K32" s="11">
        <v>2.0</v>
      </c>
      <c r="L32" s="11">
        <v>5.0</v>
      </c>
      <c r="M32" s="13">
        <f t="shared" ref="M32:O32" si="34">IFERROR(G32/F32,"")</f>
        <v>0.01214195702</v>
      </c>
      <c r="N32" s="13">
        <f t="shared" si="34"/>
        <v>0.5855539972</v>
      </c>
      <c r="O32" s="14">
        <f t="shared" si="34"/>
        <v>0.5532934132</v>
      </c>
      <c r="P32" s="13">
        <f t="shared" si="3"/>
        <v>0.04431137725</v>
      </c>
      <c r="Q32" s="13">
        <f t="shared" si="4"/>
        <v>0.002395209581</v>
      </c>
      <c r="R32" s="13">
        <f t="shared" si="5"/>
        <v>0.005988023952</v>
      </c>
      <c r="S32" s="14">
        <f t="shared" si="6"/>
        <v>0.3014960758</v>
      </c>
      <c r="T32" s="14">
        <f t="shared" si="7"/>
        <v>1</v>
      </c>
      <c r="U32" s="14">
        <f t="shared" si="8"/>
        <v>0.3353293413</v>
      </c>
    </row>
    <row r="33" ht="15.75" customHeight="1">
      <c r="A33" s="9">
        <v>45245.8173445718</v>
      </c>
      <c r="B33" s="10">
        <v>19.0</v>
      </c>
      <c r="C33" s="10" t="s">
        <v>80</v>
      </c>
      <c r="D33" s="10" t="s">
        <v>154</v>
      </c>
      <c r="E33" s="12" t="s">
        <v>62</v>
      </c>
      <c r="F33" s="11">
        <v>8239.0</v>
      </c>
      <c r="G33" s="11">
        <v>226.0</v>
      </c>
      <c r="H33" s="11">
        <v>111.0</v>
      </c>
      <c r="I33" s="11">
        <v>91.0</v>
      </c>
      <c r="J33" s="11">
        <v>30.0</v>
      </c>
      <c r="K33" s="11">
        <v>4.0</v>
      </c>
      <c r="L33" s="11">
        <v>1.0</v>
      </c>
      <c r="M33" s="13">
        <f t="shared" ref="M33:O33" si="35">IFERROR(G33/F33,"")</f>
        <v>0.02743051341</v>
      </c>
      <c r="N33" s="13">
        <f t="shared" si="35"/>
        <v>0.4911504425</v>
      </c>
      <c r="O33" s="14">
        <f t="shared" si="35"/>
        <v>0.8198198198</v>
      </c>
      <c r="P33" s="13">
        <f t="shared" si="3"/>
        <v>0.2702702703</v>
      </c>
      <c r="Q33" s="13">
        <f t="shared" si="4"/>
        <v>0.03603603604</v>
      </c>
      <c r="R33" s="13">
        <f t="shared" si="5"/>
        <v>0.009009009009</v>
      </c>
      <c r="S33" s="14">
        <f t="shared" si="6"/>
        <v>0.6828042701</v>
      </c>
      <c r="T33" s="14">
        <f t="shared" si="7"/>
        <v>0.838779079</v>
      </c>
      <c r="U33" s="14">
        <f t="shared" si="8"/>
        <v>4.900900901</v>
      </c>
    </row>
    <row r="34" ht="15.75" customHeight="1">
      <c r="A34" s="9">
        <v>45247.7455730787</v>
      </c>
      <c r="B34" s="10">
        <v>17.0</v>
      </c>
      <c r="C34" s="10" t="s">
        <v>60</v>
      </c>
      <c r="D34" s="10" t="s">
        <v>157</v>
      </c>
      <c r="E34" s="12" t="s">
        <v>62</v>
      </c>
      <c r="F34" s="11">
        <v>22626.0</v>
      </c>
      <c r="G34" s="11">
        <v>4007.0</v>
      </c>
      <c r="H34" s="11">
        <v>2685.0</v>
      </c>
      <c r="I34" s="11">
        <v>2306.0</v>
      </c>
      <c r="J34" s="11">
        <v>112.0</v>
      </c>
      <c r="K34" s="11">
        <v>21.0</v>
      </c>
      <c r="L34" s="11">
        <v>5.0</v>
      </c>
      <c r="M34" s="13">
        <f t="shared" ref="M34:O34" si="36">IFERROR(G34/F34,"")</f>
        <v>0.1770971449</v>
      </c>
      <c r="N34" s="13">
        <f t="shared" si="36"/>
        <v>0.6700773646</v>
      </c>
      <c r="O34" s="14">
        <f t="shared" si="36"/>
        <v>0.8588454376</v>
      </c>
      <c r="P34" s="13">
        <f t="shared" si="3"/>
        <v>0.0417132216</v>
      </c>
      <c r="Q34" s="13">
        <f t="shared" si="4"/>
        <v>0.00782122905</v>
      </c>
      <c r="R34" s="13">
        <f t="shared" si="5"/>
        <v>0.001862197393</v>
      </c>
      <c r="S34" s="14">
        <f t="shared" si="6"/>
        <v>4.397486677</v>
      </c>
      <c r="T34" s="14">
        <f t="shared" si="7"/>
        <v>1.144347691</v>
      </c>
      <c r="U34" s="14">
        <f t="shared" si="8"/>
        <v>1.012915444</v>
      </c>
    </row>
    <row r="35" ht="15.75" customHeight="1">
      <c r="A35" s="9">
        <v>45249.6866221644</v>
      </c>
      <c r="B35" s="10">
        <v>16.0</v>
      </c>
      <c r="C35" s="10" t="s">
        <v>77</v>
      </c>
      <c r="D35" s="10" t="s">
        <v>160</v>
      </c>
      <c r="E35" s="12" t="s">
        <v>62</v>
      </c>
      <c r="F35" s="11">
        <v>21497.0</v>
      </c>
      <c r="G35" s="11">
        <v>859.0</v>
      </c>
      <c r="H35" s="11">
        <v>523.0</v>
      </c>
      <c r="I35" s="11">
        <v>507.0</v>
      </c>
      <c r="J35" s="11">
        <v>69.0</v>
      </c>
      <c r="K35" s="11">
        <v>5.0</v>
      </c>
      <c r="L35" s="11">
        <v>7.0</v>
      </c>
      <c r="M35" s="13">
        <f t="shared" ref="M35:O35" si="37">IFERROR(G35/F35,"")</f>
        <v>0.03995906406</v>
      </c>
      <c r="N35" s="13">
        <f t="shared" si="37"/>
        <v>0.6088474971</v>
      </c>
      <c r="O35" s="14">
        <f t="shared" si="37"/>
        <v>0.9694072658</v>
      </c>
      <c r="P35" s="13">
        <f t="shared" si="3"/>
        <v>0.1319311663</v>
      </c>
      <c r="Q35" s="13">
        <f t="shared" si="4"/>
        <v>0.009560229446</v>
      </c>
      <c r="R35" s="13">
        <f t="shared" si="5"/>
        <v>0.01338432122</v>
      </c>
      <c r="S35" s="14">
        <f t="shared" si="6"/>
        <v>0.9934422148</v>
      </c>
      <c r="T35" s="14">
        <f t="shared" si="7"/>
        <v>1.040595864</v>
      </c>
      <c r="U35" s="14">
        <f t="shared" si="8"/>
        <v>1.23541303</v>
      </c>
    </row>
    <row r="36" ht="15.75" customHeight="1">
      <c r="A36" s="9">
        <v>45251.5613969445</v>
      </c>
      <c r="B36" s="10">
        <v>13.0</v>
      </c>
      <c r="C36" s="10" t="s">
        <v>59</v>
      </c>
      <c r="D36" s="10" t="s">
        <v>161</v>
      </c>
      <c r="E36" s="12" t="s">
        <v>62</v>
      </c>
      <c r="F36" s="11">
        <v>1006263.0</v>
      </c>
      <c r="G36" s="11">
        <v>77588.0</v>
      </c>
      <c r="H36" s="11">
        <v>47089.0</v>
      </c>
      <c r="I36" s="11">
        <v>58070.0</v>
      </c>
      <c r="J36" s="11">
        <v>1247.0</v>
      </c>
      <c r="K36" s="11">
        <v>232.0</v>
      </c>
      <c r="L36" s="11">
        <v>293.0</v>
      </c>
      <c r="M36" s="13">
        <f t="shared" ref="M36:O36" si="38">IFERROR(G36/F36,"")</f>
        <v>0.07710509082</v>
      </c>
      <c r="N36" s="13">
        <f t="shared" si="38"/>
        <v>0.6069108625</v>
      </c>
      <c r="O36" s="14">
        <f t="shared" si="38"/>
        <v>1.233196713</v>
      </c>
      <c r="P36" s="13">
        <f t="shared" si="3"/>
        <v>0.02648176857</v>
      </c>
      <c r="Q36" s="13">
        <f t="shared" si="4"/>
        <v>0.004926840663</v>
      </c>
      <c r="R36" s="13">
        <f t="shared" si="5"/>
        <v>0.006222259976</v>
      </c>
      <c r="S36" s="14">
        <f t="shared" si="6"/>
        <v>1.919310968</v>
      </c>
      <c r="T36" s="14">
        <f t="shared" si="7"/>
        <v>1.038100184</v>
      </c>
      <c r="U36" s="14">
        <f t="shared" si="8"/>
        <v>0.6352726314</v>
      </c>
    </row>
    <row r="37" ht="15.75" customHeight="1">
      <c r="A37" s="9">
        <v>45253.7519781134</v>
      </c>
      <c r="B37" s="10">
        <v>18.0</v>
      </c>
      <c r="C37" s="10" t="s">
        <v>84</v>
      </c>
      <c r="D37" s="10" t="s">
        <v>164</v>
      </c>
      <c r="E37" s="12" t="s">
        <v>62</v>
      </c>
      <c r="F37" s="11">
        <v>2220.0</v>
      </c>
      <c r="G37" s="11">
        <v>108.0</v>
      </c>
      <c r="H37" s="11">
        <v>80.0</v>
      </c>
      <c r="I37" s="11">
        <v>69.0</v>
      </c>
      <c r="J37" s="11">
        <v>21.0</v>
      </c>
      <c r="K37" s="11">
        <v>0.0</v>
      </c>
      <c r="L37" s="11">
        <v>0.0</v>
      </c>
      <c r="M37" s="13">
        <f t="shared" ref="M37:O37" si="39">IFERROR(G37/F37,"")</f>
        <v>0.04864864865</v>
      </c>
      <c r="N37" s="13">
        <f t="shared" si="39"/>
        <v>0.7407407407</v>
      </c>
      <c r="O37" s="14">
        <f t="shared" si="39"/>
        <v>0.8625</v>
      </c>
      <c r="P37" s="13">
        <f t="shared" si="3"/>
        <v>0.2625</v>
      </c>
      <c r="Q37" s="13">
        <f t="shared" si="4"/>
        <v>0</v>
      </c>
      <c r="R37" s="13">
        <f t="shared" si="5"/>
        <v>0</v>
      </c>
      <c r="S37" s="14">
        <f t="shared" si="6"/>
        <v>1.20947831</v>
      </c>
      <c r="T37" s="14">
        <f t="shared" si="7"/>
        <v>1.266017771</v>
      </c>
      <c r="U37" s="14">
        <f t="shared" si="8"/>
        <v>0</v>
      </c>
    </row>
    <row r="38" ht="15.75" customHeight="1">
      <c r="A38" s="9">
        <v>45255.5222126042</v>
      </c>
      <c r="B38" s="10">
        <v>12.0</v>
      </c>
      <c r="C38" s="10" t="s">
        <v>69</v>
      </c>
      <c r="D38" s="10" t="s">
        <v>167</v>
      </c>
      <c r="E38" s="12" t="s">
        <v>62</v>
      </c>
      <c r="F38" s="11">
        <v>22790.0</v>
      </c>
      <c r="G38" s="11">
        <v>650.0</v>
      </c>
      <c r="H38" s="11">
        <v>365.0</v>
      </c>
      <c r="I38" s="11">
        <v>366.0</v>
      </c>
      <c r="J38" s="11">
        <v>60.0</v>
      </c>
      <c r="K38" s="11">
        <v>3.0</v>
      </c>
      <c r="L38" s="11">
        <v>9.0</v>
      </c>
      <c r="M38" s="13">
        <f t="shared" ref="M38:O38" si="40">IFERROR(G38/F38,"")</f>
        <v>0.02852128126</v>
      </c>
      <c r="N38" s="13">
        <f t="shared" si="40"/>
        <v>0.5615384615</v>
      </c>
      <c r="O38" s="14">
        <f t="shared" si="40"/>
        <v>1.002739726</v>
      </c>
      <c r="P38" s="13">
        <f t="shared" si="3"/>
        <v>0.1643835616</v>
      </c>
      <c r="Q38" s="13">
        <f t="shared" si="4"/>
        <v>0.008219178082</v>
      </c>
      <c r="R38" s="13">
        <f t="shared" si="5"/>
        <v>0.02465753425</v>
      </c>
      <c r="S38" s="14">
        <f t="shared" si="6"/>
        <v>0.709081794</v>
      </c>
      <c r="T38" s="14">
        <f t="shared" si="7"/>
        <v>0.959738856</v>
      </c>
      <c r="U38" s="14">
        <f t="shared" si="8"/>
        <v>1.062116736</v>
      </c>
    </row>
    <row r="39" ht="15.75" customHeight="1">
      <c r="A39" s="9">
        <v>45257.5577349306</v>
      </c>
      <c r="B39" s="10">
        <v>13.0</v>
      </c>
      <c r="C39" s="10" t="s">
        <v>71</v>
      </c>
      <c r="D39" s="10" t="s">
        <v>170</v>
      </c>
      <c r="E39" s="12" t="s">
        <v>62</v>
      </c>
      <c r="F39" s="11">
        <v>1125944.0</v>
      </c>
      <c r="G39" s="11">
        <v>99629.0</v>
      </c>
      <c r="H39" s="11">
        <v>66488.0</v>
      </c>
      <c r="I39" s="11">
        <v>57393.0</v>
      </c>
      <c r="J39" s="11">
        <v>1197.0</v>
      </c>
      <c r="K39" s="11">
        <v>665.0</v>
      </c>
      <c r="L39" s="11">
        <v>134.0</v>
      </c>
      <c r="M39" s="13">
        <f t="shared" ref="M39:O39" si="41">IFERROR(G39/F39,"")</f>
        <v>0.08848486248</v>
      </c>
      <c r="N39" s="13">
        <f t="shared" si="41"/>
        <v>0.6673558904</v>
      </c>
      <c r="O39" s="14">
        <f t="shared" si="41"/>
        <v>0.8632083985</v>
      </c>
      <c r="P39" s="13">
        <f t="shared" si="3"/>
        <v>0.01800324871</v>
      </c>
      <c r="Q39" s="13">
        <f t="shared" si="4"/>
        <v>0.01000180484</v>
      </c>
      <c r="R39" s="13">
        <f t="shared" si="5"/>
        <v>0.002015401275</v>
      </c>
      <c r="S39" s="14">
        <f t="shared" si="6"/>
        <v>2.202577875</v>
      </c>
      <c r="T39" s="14">
        <f t="shared" si="7"/>
        <v>1.1397</v>
      </c>
      <c r="U39" s="14">
        <f t="shared" si="8"/>
        <v>1.295318487</v>
      </c>
    </row>
    <row r="40" ht="15.75" customHeight="1">
      <c r="A40" s="9">
        <v>45259.6945616088</v>
      </c>
      <c r="B40" s="10">
        <v>16.0</v>
      </c>
      <c r="C40" s="10" t="s">
        <v>80</v>
      </c>
      <c r="D40" s="10" t="s">
        <v>173</v>
      </c>
      <c r="E40" s="12" t="s">
        <v>62</v>
      </c>
      <c r="F40" s="11">
        <v>4358.0</v>
      </c>
      <c r="G40" s="11">
        <v>102.0</v>
      </c>
      <c r="H40" s="11">
        <v>47.0</v>
      </c>
      <c r="I40" s="11">
        <v>41.0</v>
      </c>
      <c r="J40" s="11">
        <v>15.0</v>
      </c>
      <c r="K40" s="11">
        <v>1.0</v>
      </c>
      <c r="L40" s="11">
        <v>1.0</v>
      </c>
      <c r="M40" s="13">
        <f t="shared" ref="M40:O40" si="42">IFERROR(G40/F40,"")</f>
        <v>0.02340523176</v>
      </c>
      <c r="N40" s="13">
        <f t="shared" si="42"/>
        <v>0.4607843137</v>
      </c>
      <c r="O40" s="14">
        <f t="shared" si="42"/>
        <v>0.8723404255</v>
      </c>
      <c r="P40" s="13">
        <f t="shared" si="3"/>
        <v>0.3191489362</v>
      </c>
      <c r="Q40" s="13">
        <f t="shared" si="4"/>
        <v>0.02127659574</v>
      </c>
      <c r="R40" s="13">
        <f t="shared" si="5"/>
        <v>0.02127659574</v>
      </c>
      <c r="S40" s="14">
        <f t="shared" si="6"/>
        <v>0.5826063824</v>
      </c>
      <c r="T40" s="14">
        <f t="shared" si="7"/>
        <v>0.7869202771</v>
      </c>
      <c r="U40" s="14">
        <f t="shared" si="8"/>
        <v>2.755499459</v>
      </c>
    </row>
    <row r="41" ht="15.75" customHeight="1">
      <c r="A41" s="9">
        <v>45261.8212661574</v>
      </c>
      <c r="B41" s="10">
        <v>19.0</v>
      </c>
      <c r="C41" s="10" t="s">
        <v>60</v>
      </c>
      <c r="D41" s="10" t="s">
        <v>176</v>
      </c>
      <c r="E41" s="12" t="s">
        <v>62</v>
      </c>
      <c r="F41" s="11">
        <v>387211.0</v>
      </c>
      <c r="G41" s="11">
        <v>19516.0</v>
      </c>
      <c r="H41" s="11">
        <v>12031.0</v>
      </c>
      <c r="I41" s="11">
        <v>11245.0</v>
      </c>
      <c r="J41" s="11">
        <v>331.0</v>
      </c>
      <c r="K41" s="11">
        <v>79.0</v>
      </c>
      <c r="L41" s="11">
        <v>25.0</v>
      </c>
      <c r="M41" s="13">
        <f t="shared" ref="M41:O41" si="43">IFERROR(G41/F41,"")</f>
        <v>0.0504014607</v>
      </c>
      <c r="N41" s="13">
        <f t="shared" si="43"/>
        <v>0.6164685386</v>
      </c>
      <c r="O41" s="14">
        <f t="shared" si="43"/>
        <v>0.9346687723</v>
      </c>
      <c r="P41" s="13">
        <f t="shared" si="3"/>
        <v>0.02751226</v>
      </c>
      <c r="Q41" s="13">
        <f t="shared" si="4"/>
        <v>0.00656637021</v>
      </c>
      <c r="R41" s="13">
        <f t="shared" si="5"/>
        <v>0.002077965256</v>
      </c>
      <c r="S41" s="14">
        <f t="shared" si="6"/>
        <v>1.257954877</v>
      </c>
      <c r="T41" s="14">
        <f t="shared" si="7"/>
        <v>1.053621169</v>
      </c>
      <c r="U41" s="14">
        <f t="shared" si="8"/>
        <v>0.8485339565</v>
      </c>
    </row>
    <row r="42" ht="15.75" customHeight="1">
      <c r="A42" s="9">
        <v>45263.7992494445</v>
      </c>
      <c r="B42" s="10">
        <v>19.0</v>
      </c>
      <c r="C42" s="10" t="s">
        <v>77</v>
      </c>
      <c r="D42" s="10" t="s">
        <v>179</v>
      </c>
      <c r="E42" s="12" t="s">
        <v>62</v>
      </c>
      <c r="F42" s="11">
        <v>393040.0</v>
      </c>
      <c r="G42" s="11">
        <v>21787.0</v>
      </c>
      <c r="H42" s="11">
        <v>13967.0</v>
      </c>
      <c r="I42" s="11">
        <v>11581.0</v>
      </c>
      <c r="J42" s="11">
        <v>93.0</v>
      </c>
      <c r="K42" s="11">
        <v>12.0</v>
      </c>
      <c r="L42" s="11">
        <v>27.0</v>
      </c>
      <c r="M42" s="13">
        <f t="shared" ref="M42:O42" si="44">IFERROR(G42/F42,"")</f>
        <v>0.0554320171</v>
      </c>
      <c r="N42" s="13">
        <f t="shared" si="44"/>
        <v>0.6410703631</v>
      </c>
      <c r="O42" s="14">
        <f t="shared" si="44"/>
        <v>0.8291687549</v>
      </c>
      <c r="P42" s="13">
        <f t="shared" si="3"/>
        <v>0.006658552302</v>
      </c>
      <c r="Q42" s="13">
        <f t="shared" si="4"/>
        <v>0.0008591680389</v>
      </c>
      <c r="R42" s="13">
        <f t="shared" si="5"/>
        <v>0.001933128088</v>
      </c>
      <c r="S42" s="14">
        <f t="shared" si="6"/>
        <v>1.379821712</v>
      </c>
      <c r="T42" s="14">
        <f t="shared" si="7"/>
        <v>1.094809985</v>
      </c>
      <c r="U42" s="14">
        <f t="shared" si="8"/>
        <v>0.1112695421</v>
      </c>
    </row>
    <row r="43" ht="15.75" customHeight="1">
      <c r="A43" s="9">
        <v>45265.8368668982</v>
      </c>
      <c r="B43" s="10">
        <v>20.0</v>
      </c>
      <c r="C43" s="10" t="s">
        <v>59</v>
      </c>
      <c r="D43" s="10" t="s">
        <v>182</v>
      </c>
      <c r="E43" s="12" t="s">
        <v>62</v>
      </c>
      <c r="F43" s="11">
        <v>1644192.0</v>
      </c>
      <c r="G43" s="11">
        <v>67905.0</v>
      </c>
      <c r="H43" s="11">
        <v>42225.0</v>
      </c>
      <c r="I43" s="11">
        <v>48636.0</v>
      </c>
      <c r="J43" s="11">
        <v>1512.0</v>
      </c>
      <c r="K43" s="11">
        <v>466.0</v>
      </c>
      <c r="L43" s="11">
        <v>292.0</v>
      </c>
      <c r="M43" s="13">
        <f t="shared" ref="M43:O43" si="45">IFERROR(G43/F43,"")</f>
        <v>0.04129992118</v>
      </c>
      <c r="N43" s="13">
        <f t="shared" si="45"/>
        <v>0.6218246079</v>
      </c>
      <c r="O43" s="14">
        <f t="shared" si="45"/>
        <v>1.151829485</v>
      </c>
      <c r="P43" s="13">
        <f t="shared" si="3"/>
        <v>0.03580817052</v>
      </c>
      <c r="Q43" s="13">
        <f t="shared" si="4"/>
        <v>0.01103611604</v>
      </c>
      <c r="R43" s="13">
        <f t="shared" si="5"/>
        <v>0.006915334517</v>
      </c>
      <c r="S43" s="14">
        <f t="shared" si="6"/>
        <v>1.030792293</v>
      </c>
      <c r="T43" s="14">
        <f t="shared" si="7"/>
        <v>1.062775355</v>
      </c>
      <c r="U43" s="14">
        <f t="shared" si="8"/>
        <v>1.426133299</v>
      </c>
    </row>
    <row r="44" ht="15.75" customHeight="1">
      <c r="A44" s="9">
        <v>45267.8009998611</v>
      </c>
      <c r="B44" s="10">
        <v>19.0</v>
      </c>
      <c r="C44" s="10" t="s">
        <v>84</v>
      </c>
      <c r="D44" s="10" t="s">
        <v>185</v>
      </c>
      <c r="E44" s="12" t="s">
        <v>62</v>
      </c>
      <c r="F44" s="11">
        <v>10091.0</v>
      </c>
      <c r="G44" s="11">
        <v>436.0</v>
      </c>
      <c r="H44" s="11">
        <v>236.0</v>
      </c>
      <c r="I44" s="11">
        <v>341.0</v>
      </c>
      <c r="J44" s="11">
        <v>56.0</v>
      </c>
      <c r="K44" s="11">
        <v>3.0</v>
      </c>
      <c r="L44" s="11">
        <v>3.0</v>
      </c>
      <c r="M44" s="13">
        <f t="shared" ref="M44:O44" si="46">IFERROR(G44/F44,"")</f>
        <v>0.04320681796</v>
      </c>
      <c r="N44" s="13">
        <f t="shared" si="46"/>
        <v>0.5412844037</v>
      </c>
      <c r="O44" s="14">
        <f t="shared" si="46"/>
        <v>1.444915254</v>
      </c>
      <c r="P44" s="13">
        <f t="shared" si="3"/>
        <v>0.2372881356</v>
      </c>
      <c r="Q44" s="13">
        <f t="shared" si="4"/>
        <v>0.01271186441</v>
      </c>
      <c r="R44" s="13">
        <f t="shared" si="5"/>
        <v>0.01271186441</v>
      </c>
      <c r="S44" s="14">
        <f t="shared" si="6"/>
        <v>1.075510303</v>
      </c>
      <c r="T44" s="14">
        <f t="shared" si="7"/>
        <v>0.9243970774</v>
      </c>
      <c r="U44" s="14">
        <f t="shared" si="8"/>
        <v>1.639082752</v>
      </c>
    </row>
    <row r="45" ht="15.75" customHeight="1">
      <c r="A45" s="9">
        <v>45269.7492961227</v>
      </c>
      <c r="B45" s="10">
        <v>17.0</v>
      </c>
      <c r="C45" s="10" t="s">
        <v>69</v>
      </c>
      <c r="D45" s="10" t="s">
        <v>187</v>
      </c>
      <c r="E45" s="12" t="s">
        <v>62</v>
      </c>
      <c r="F45" s="11">
        <v>1714152.0</v>
      </c>
      <c r="G45" s="11">
        <v>62611.0</v>
      </c>
      <c r="H45" s="11">
        <v>44092.0</v>
      </c>
      <c r="I45" s="11">
        <v>66491.0</v>
      </c>
      <c r="J45" s="11">
        <v>1946.0</v>
      </c>
      <c r="K45" s="11">
        <v>609.0</v>
      </c>
      <c r="L45" s="11">
        <v>317.0</v>
      </c>
      <c r="M45" s="13">
        <f t="shared" ref="M45:O45" si="47">IFERROR(G45/F45,"")</f>
        <v>0.03652593236</v>
      </c>
      <c r="N45" s="13">
        <f t="shared" si="47"/>
        <v>0.704221303</v>
      </c>
      <c r="O45" s="14">
        <f t="shared" si="47"/>
        <v>1.508005987</v>
      </c>
      <c r="P45" s="13">
        <f t="shared" si="3"/>
        <v>0.04413499047</v>
      </c>
      <c r="Q45" s="13">
        <f t="shared" si="4"/>
        <v>0.01381202939</v>
      </c>
      <c r="R45" s="13">
        <f t="shared" si="5"/>
        <v>0.007189512837</v>
      </c>
      <c r="S45" s="14">
        <f t="shared" si="6"/>
        <v>0.911639744</v>
      </c>
      <c r="T45" s="14">
        <f t="shared" si="7"/>
        <v>1.201988062</v>
      </c>
      <c r="U45" s="14">
        <f t="shared" si="8"/>
        <v>1.773421365</v>
      </c>
    </row>
    <row r="46" ht="15.75" customHeight="1">
      <c r="A46" s="9">
        <v>45271.8051205903</v>
      </c>
      <c r="B46" s="10">
        <v>19.0</v>
      </c>
      <c r="C46" s="10" t="s">
        <v>71</v>
      </c>
      <c r="D46" s="10" t="s">
        <v>190</v>
      </c>
      <c r="E46" s="12" t="s">
        <v>62</v>
      </c>
      <c r="F46" s="11">
        <v>970562.0</v>
      </c>
      <c r="G46" s="11">
        <v>39773.0</v>
      </c>
      <c r="H46" s="11">
        <v>27868.0</v>
      </c>
      <c r="I46" s="11">
        <v>36840.0</v>
      </c>
      <c r="J46" s="11">
        <v>611.0</v>
      </c>
      <c r="K46" s="11">
        <v>111.0</v>
      </c>
      <c r="L46" s="11">
        <v>96.0</v>
      </c>
      <c r="M46" s="13">
        <f t="shared" ref="M46:O46" si="48">IFERROR(G46/F46,"")</f>
        <v>0.04097935011</v>
      </c>
      <c r="N46" s="13">
        <f t="shared" si="48"/>
        <v>0.7006763382</v>
      </c>
      <c r="O46" s="14">
        <f t="shared" si="48"/>
        <v>1.321946318</v>
      </c>
      <c r="P46" s="13">
        <f t="shared" si="3"/>
        <v>0.02192478829</v>
      </c>
      <c r="Q46" s="13">
        <f t="shared" si="4"/>
        <v>0.003983063011</v>
      </c>
      <c r="R46" s="13">
        <f t="shared" si="5"/>
        <v>0.003444811253</v>
      </c>
      <c r="S46" s="14">
        <f t="shared" si="6"/>
        <v>1.025533282</v>
      </c>
      <c r="T46" s="14">
        <f t="shared" si="7"/>
        <v>1.196604142</v>
      </c>
      <c r="U46" s="14">
        <f t="shared" si="8"/>
        <v>0.5092630564</v>
      </c>
    </row>
    <row r="47" ht="15.75" customHeight="1">
      <c r="A47" s="9">
        <v>45273.5824960764</v>
      </c>
      <c r="B47" s="10">
        <v>13.0</v>
      </c>
      <c r="C47" s="10" t="s">
        <v>80</v>
      </c>
      <c r="D47" s="10" t="s">
        <v>193</v>
      </c>
      <c r="E47" s="12" t="s">
        <v>62</v>
      </c>
      <c r="F47" s="11">
        <v>875035.0</v>
      </c>
      <c r="G47" s="11">
        <v>33209.0</v>
      </c>
      <c r="H47" s="11">
        <v>23110.0</v>
      </c>
      <c r="I47" s="11">
        <v>28651.0</v>
      </c>
      <c r="J47" s="11">
        <v>256.0</v>
      </c>
      <c r="K47" s="11">
        <v>291.0</v>
      </c>
      <c r="L47" s="11">
        <v>79.0</v>
      </c>
      <c r="M47" s="13">
        <f t="shared" ref="M47:O47" si="49">IFERROR(G47/F47,"")</f>
        <v>0.03795162479</v>
      </c>
      <c r="N47" s="13">
        <f t="shared" si="49"/>
        <v>0.6958956909</v>
      </c>
      <c r="O47" s="14">
        <f t="shared" si="49"/>
        <v>1.239766335</v>
      </c>
      <c r="P47" s="13">
        <f t="shared" si="3"/>
        <v>0.01107745565</v>
      </c>
      <c r="Q47" s="13">
        <f t="shared" si="4"/>
        <v>0.01259195154</v>
      </c>
      <c r="R47" s="13">
        <f t="shared" si="5"/>
        <v>0.003418433579</v>
      </c>
      <c r="S47" s="14">
        <f t="shared" si="6"/>
        <v>0.9497626055</v>
      </c>
      <c r="T47" s="14">
        <f t="shared" si="7"/>
        <v>1.188439827</v>
      </c>
      <c r="U47" s="14">
        <f t="shared" si="8"/>
        <v>1.609970946</v>
      </c>
    </row>
    <row r="48" ht="15.75" customHeight="1">
      <c r="A48" s="9">
        <v>45275.5523587732</v>
      </c>
      <c r="B48" s="10">
        <v>13.0</v>
      </c>
      <c r="C48" s="10" t="s">
        <v>60</v>
      </c>
      <c r="D48" s="10" t="s">
        <v>196</v>
      </c>
      <c r="E48" s="12" t="s">
        <v>62</v>
      </c>
      <c r="F48" s="11">
        <v>5490.0</v>
      </c>
      <c r="G48" s="11">
        <v>290.0</v>
      </c>
      <c r="H48" s="11">
        <v>170.0</v>
      </c>
      <c r="I48" s="11">
        <v>133.0</v>
      </c>
      <c r="J48" s="11">
        <v>25.0</v>
      </c>
      <c r="K48" s="11">
        <v>2.0</v>
      </c>
      <c r="L48" s="11">
        <v>0.0</v>
      </c>
      <c r="M48" s="13">
        <f t="shared" ref="M48:O48" si="50">IFERROR(G48/F48,"")</f>
        <v>0.05282331512</v>
      </c>
      <c r="N48" s="13">
        <f t="shared" si="50"/>
        <v>0.5862068966</v>
      </c>
      <c r="O48" s="14">
        <f t="shared" si="50"/>
        <v>0.7823529412</v>
      </c>
      <c r="P48" s="13">
        <f t="shared" si="3"/>
        <v>0.1470588235</v>
      </c>
      <c r="Q48" s="13">
        <f t="shared" si="4"/>
        <v>0.01176470588</v>
      </c>
      <c r="R48" s="13">
        <f t="shared" si="5"/>
        <v>0</v>
      </c>
      <c r="S48" s="14">
        <f t="shared" si="6"/>
        <v>1.355996614</v>
      </c>
      <c r="T48" s="14">
        <f t="shared" si="7"/>
        <v>1.000557195</v>
      </c>
      <c r="U48" s="14">
        <f t="shared" si="8"/>
        <v>1.510551431</v>
      </c>
    </row>
    <row r="49" ht="15.75" customHeight="1">
      <c r="A49" s="9">
        <v>45277.5129404514</v>
      </c>
      <c r="B49" s="10">
        <v>12.0</v>
      </c>
      <c r="C49" s="10" t="s">
        <v>77</v>
      </c>
      <c r="D49" s="10" t="s">
        <v>199</v>
      </c>
      <c r="E49" s="12" t="s">
        <v>62</v>
      </c>
      <c r="F49" s="11">
        <v>358062.0</v>
      </c>
      <c r="G49" s="11">
        <v>14420.0</v>
      </c>
      <c r="H49" s="11">
        <v>10015.0</v>
      </c>
      <c r="I49" s="11">
        <v>7260.0</v>
      </c>
      <c r="J49" s="11">
        <v>190.0</v>
      </c>
      <c r="K49" s="11">
        <v>19.0</v>
      </c>
      <c r="L49" s="11">
        <v>27.0</v>
      </c>
      <c r="M49" s="13">
        <f t="shared" ref="M49:O49" si="51">IFERROR(G49/F49,"")</f>
        <v>0.04027235507</v>
      </c>
      <c r="N49" s="13">
        <f t="shared" si="51"/>
        <v>0.6945214979</v>
      </c>
      <c r="O49" s="14">
        <f t="shared" si="51"/>
        <v>0.7249126311</v>
      </c>
      <c r="P49" s="13">
        <f t="shared" si="3"/>
        <v>0.01897154269</v>
      </c>
      <c r="Q49" s="13">
        <f t="shared" si="4"/>
        <v>0.001897154269</v>
      </c>
      <c r="R49" s="13">
        <f t="shared" si="5"/>
        <v>0.002695956066</v>
      </c>
      <c r="S49" s="14">
        <f t="shared" si="6"/>
        <v>1.061149695</v>
      </c>
      <c r="T49" s="14">
        <f t="shared" si="7"/>
        <v>1.186093001</v>
      </c>
      <c r="U49" s="14">
        <f t="shared" si="8"/>
        <v>0.2425647243</v>
      </c>
    </row>
    <row r="50" ht="15.75" customHeight="1">
      <c r="A50" s="9">
        <v>45279.5650416435</v>
      </c>
      <c r="B50" s="10">
        <v>13.0</v>
      </c>
      <c r="C50" s="10" t="s">
        <v>59</v>
      </c>
      <c r="D50" s="10" t="s">
        <v>202</v>
      </c>
      <c r="E50" s="12" t="s">
        <v>62</v>
      </c>
      <c r="F50" s="11">
        <v>1010120.0</v>
      </c>
      <c r="G50" s="11">
        <v>26263.0</v>
      </c>
      <c r="H50" s="11">
        <v>13563.0</v>
      </c>
      <c r="I50" s="11">
        <v>20496.0</v>
      </c>
      <c r="J50" s="11">
        <v>405.0</v>
      </c>
      <c r="K50" s="11">
        <v>87.0</v>
      </c>
      <c r="L50" s="11">
        <v>142.0</v>
      </c>
      <c r="M50" s="13">
        <f t="shared" ref="M50:O50" si="52">IFERROR(G50/F50,"")</f>
        <v>0.0259998812</v>
      </c>
      <c r="N50" s="13">
        <f t="shared" si="52"/>
        <v>0.5164299585</v>
      </c>
      <c r="O50" s="14">
        <f t="shared" si="52"/>
        <v>1.511170095</v>
      </c>
      <c r="P50" s="13">
        <f t="shared" si="3"/>
        <v>0.0298606503</v>
      </c>
      <c r="Q50" s="13">
        <f t="shared" si="4"/>
        <v>0.006414510064</v>
      </c>
      <c r="R50" s="13">
        <f t="shared" si="5"/>
        <v>0.0104696601</v>
      </c>
      <c r="S50" s="14">
        <f t="shared" si="6"/>
        <v>0.6850795281</v>
      </c>
      <c r="T50" s="14">
        <f t="shared" si="7"/>
        <v>0.8833357059</v>
      </c>
      <c r="U50" s="14">
        <f t="shared" si="8"/>
        <v>0.8201409296</v>
      </c>
    </row>
    <row r="51" ht="15.75" customHeight="1">
      <c r="A51" s="9">
        <v>45281.536012963</v>
      </c>
      <c r="B51" s="10">
        <v>12.0</v>
      </c>
      <c r="C51" s="10" t="s">
        <v>84</v>
      </c>
      <c r="D51" s="10" t="s">
        <v>204</v>
      </c>
      <c r="E51" s="12" t="s">
        <v>62</v>
      </c>
      <c r="F51" s="11">
        <v>4982.0</v>
      </c>
      <c r="G51" s="11">
        <v>160.0</v>
      </c>
      <c r="H51" s="11">
        <v>95.0</v>
      </c>
      <c r="I51" s="11">
        <v>103.0</v>
      </c>
      <c r="J51" s="11">
        <v>18.0</v>
      </c>
      <c r="K51" s="11">
        <v>3.0</v>
      </c>
      <c r="L51" s="11">
        <v>1.0</v>
      </c>
      <c r="M51" s="13">
        <f t="shared" ref="M51:O51" si="53">IFERROR(G51/F51,"")</f>
        <v>0.03211561622</v>
      </c>
      <c r="N51" s="13">
        <f t="shared" si="53"/>
        <v>0.59375</v>
      </c>
      <c r="O51" s="14">
        <f t="shared" si="53"/>
        <v>1.084210526</v>
      </c>
      <c r="P51" s="13">
        <f t="shared" si="3"/>
        <v>0.1894736842</v>
      </c>
      <c r="Q51" s="13">
        <f t="shared" si="4"/>
        <v>0.03157894737</v>
      </c>
      <c r="R51" s="13">
        <f t="shared" si="5"/>
        <v>0.01052631579</v>
      </c>
      <c r="S51" s="14">
        <f t="shared" si="6"/>
        <v>0.8478455829</v>
      </c>
      <c r="T51" s="14">
        <f t="shared" si="7"/>
        <v>1.016219623</v>
      </c>
      <c r="U51" s="14">
        <f t="shared" si="8"/>
        <v>4.024155299</v>
      </c>
    </row>
    <row r="52" ht="15.75" customHeight="1">
      <c r="A52" s="9">
        <v>45283.5409077546</v>
      </c>
      <c r="B52" s="10">
        <v>12.0</v>
      </c>
      <c r="C52" s="10" t="s">
        <v>69</v>
      </c>
      <c r="D52" s="10" t="s">
        <v>207</v>
      </c>
      <c r="E52" s="12" t="s">
        <v>62</v>
      </c>
      <c r="F52" s="11">
        <v>7490.0</v>
      </c>
      <c r="G52" s="11">
        <v>219.0</v>
      </c>
      <c r="H52" s="11">
        <v>145.0</v>
      </c>
      <c r="I52" s="11">
        <v>191.0</v>
      </c>
      <c r="J52" s="11">
        <v>23.0</v>
      </c>
      <c r="K52" s="11">
        <v>9.0</v>
      </c>
      <c r="L52" s="11">
        <v>3.0</v>
      </c>
      <c r="M52" s="13">
        <f t="shared" ref="M52:O52" si="54">IFERROR(G52/F52,"")</f>
        <v>0.02923898531</v>
      </c>
      <c r="N52" s="13">
        <f t="shared" si="54"/>
        <v>0.6621004566</v>
      </c>
      <c r="O52" s="14">
        <f t="shared" si="54"/>
        <v>1.317241379</v>
      </c>
      <c r="P52" s="13">
        <f t="shared" si="3"/>
        <v>0.1586206897</v>
      </c>
      <c r="Q52" s="13">
        <f t="shared" si="4"/>
        <v>0.06206896552</v>
      </c>
      <c r="R52" s="13">
        <f t="shared" si="5"/>
        <v>0.02068965517</v>
      </c>
      <c r="S52" s="14">
        <f t="shared" si="6"/>
        <v>0.7719031259</v>
      </c>
      <c r="T52" s="14">
        <f t="shared" si="7"/>
        <v>1.133203329</v>
      </c>
      <c r="U52" s="14">
        <f t="shared" si="8"/>
        <v>7.909546623</v>
      </c>
    </row>
    <row r="53" ht="15.75" customHeight="1">
      <c r="A53" s="9">
        <v>45285.6446551968</v>
      </c>
      <c r="B53" s="10">
        <v>15.0</v>
      </c>
      <c r="C53" s="10" t="s">
        <v>71</v>
      </c>
      <c r="D53" s="10" t="s">
        <v>210</v>
      </c>
      <c r="E53" s="12" t="s">
        <v>62</v>
      </c>
      <c r="F53" s="11">
        <v>2231.0</v>
      </c>
      <c r="G53" s="11">
        <v>44.0</v>
      </c>
      <c r="H53" s="11">
        <v>21.0</v>
      </c>
      <c r="I53" s="11">
        <v>25.0</v>
      </c>
      <c r="J53" s="11">
        <v>13.0</v>
      </c>
      <c r="K53" s="11">
        <v>8.0</v>
      </c>
      <c r="L53" s="11">
        <v>0.0</v>
      </c>
      <c r="M53" s="13">
        <f t="shared" ref="M53:O53" si="55">IFERROR(G53/F53,"")</f>
        <v>0.01972209771</v>
      </c>
      <c r="N53" s="13">
        <f t="shared" si="55"/>
        <v>0.4772727273</v>
      </c>
      <c r="O53" s="14">
        <f t="shared" si="55"/>
        <v>1.19047619</v>
      </c>
      <c r="P53" s="13">
        <f t="shared" si="3"/>
        <v>0.619047619</v>
      </c>
      <c r="Q53" s="13">
        <f t="shared" si="4"/>
        <v>0.380952381</v>
      </c>
      <c r="R53" s="13">
        <f t="shared" si="5"/>
        <v>0</v>
      </c>
      <c r="S53" s="14">
        <f t="shared" si="6"/>
        <v>0.5242660741</v>
      </c>
      <c r="T53" s="14">
        <f t="shared" si="7"/>
        <v>0.8168655345</v>
      </c>
      <c r="U53" s="14">
        <f t="shared" si="8"/>
        <v>48.91309395</v>
      </c>
    </row>
    <row r="54" ht="15.75" customHeight="1">
      <c r="A54" s="9">
        <v>45287.5469532176</v>
      </c>
      <c r="B54" s="10">
        <v>13.0</v>
      </c>
      <c r="C54" s="10" t="s">
        <v>80</v>
      </c>
      <c r="D54" s="10" t="s">
        <v>213</v>
      </c>
      <c r="E54" s="12" t="s">
        <v>62</v>
      </c>
      <c r="F54" s="11">
        <v>3560.0</v>
      </c>
      <c r="G54" s="11">
        <v>62.0</v>
      </c>
      <c r="H54" s="11">
        <v>33.0</v>
      </c>
      <c r="I54" s="11">
        <v>24.0</v>
      </c>
      <c r="J54" s="11">
        <v>18.0</v>
      </c>
      <c r="K54" s="11">
        <v>0.0</v>
      </c>
      <c r="L54" s="11">
        <v>0.0</v>
      </c>
      <c r="M54" s="13">
        <f t="shared" ref="M54:O54" si="56">IFERROR(G54/F54,"")</f>
        <v>0.01741573034</v>
      </c>
      <c r="N54" s="13">
        <f t="shared" si="56"/>
        <v>0.5322580645</v>
      </c>
      <c r="O54" s="14">
        <f t="shared" si="56"/>
        <v>0.7272727273</v>
      </c>
      <c r="P54" s="13">
        <f t="shared" si="3"/>
        <v>0.5454545455</v>
      </c>
      <c r="Q54" s="13">
        <f t="shared" si="4"/>
        <v>0</v>
      </c>
      <c r="R54" s="13">
        <f t="shared" si="5"/>
        <v>0</v>
      </c>
      <c r="S54" s="14">
        <f t="shared" si="6"/>
        <v>0.4606538051</v>
      </c>
      <c r="T54" s="14">
        <f t="shared" si="7"/>
        <v>0.9115404992</v>
      </c>
      <c r="U54" s="14">
        <f t="shared" si="8"/>
        <v>0</v>
      </c>
    </row>
    <row r="55" ht="15.75" customHeight="1">
      <c r="A55" s="9">
        <v>45289.5229610301</v>
      </c>
      <c r="B55" s="10">
        <v>12.0</v>
      </c>
      <c r="C55" s="10" t="s">
        <v>60</v>
      </c>
      <c r="D55" s="10" t="s">
        <v>216</v>
      </c>
      <c r="E55" s="12" t="s">
        <v>62</v>
      </c>
      <c r="F55" s="11">
        <v>1294592.0</v>
      </c>
      <c r="G55" s="11">
        <v>97308.0</v>
      </c>
      <c r="H55" s="11">
        <v>62133.0</v>
      </c>
      <c r="I55" s="11">
        <v>85501.0</v>
      </c>
      <c r="J55" s="11">
        <v>1113.0</v>
      </c>
      <c r="K55" s="11">
        <v>294.0</v>
      </c>
      <c r="L55" s="11">
        <v>278.0</v>
      </c>
      <c r="M55" s="13">
        <f t="shared" ref="M55:O55" si="57">IFERROR(G55/F55,"")</f>
        <v>0.07516499407</v>
      </c>
      <c r="N55" s="13">
        <f t="shared" si="57"/>
        <v>0.6385189296</v>
      </c>
      <c r="O55" s="14">
        <f t="shared" si="57"/>
        <v>1.376096438</v>
      </c>
      <c r="P55" s="13">
        <f t="shared" si="3"/>
        <v>0.01791318623</v>
      </c>
      <c r="Q55" s="13">
        <f t="shared" si="4"/>
        <v>0.004731785042</v>
      </c>
      <c r="R55" s="13">
        <f t="shared" si="5"/>
        <v>0.004474272931</v>
      </c>
      <c r="S55" s="14">
        <f t="shared" si="6"/>
        <v>1.988147488</v>
      </c>
      <c r="T55" s="14">
        <f t="shared" si="7"/>
        <v>1.093521926</v>
      </c>
      <c r="U55" s="14">
        <f t="shared" si="8"/>
        <v>0.6049925161</v>
      </c>
    </row>
    <row r="56" ht="15.75" customHeight="1">
      <c r="A56" s="9">
        <v>45291.5754837269</v>
      </c>
      <c r="B56" s="10">
        <v>13.0</v>
      </c>
      <c r="C56" s="10" t="s">
        <v>77</v>
      </c>
      <c r="D56" s="10" t="s">
        <v>218</v>
      </c>
      <c r="E56" s="12" t="s">
        <v>62</v>
      </c>
      <c r="F56" s="11">
        <v>10070.0</v>
      </c>
      <c r="G56" s="11">
        <v>507.0</v>
      </c>
      <c r="H56" s="11">
        <v>227.0</v>
      </c>
      <c r="I56" s="11">
        <v>287.0</v>
      </c>
      <c r="J56" s="11">
        <v>34.0</v>
      </c>
      <c r="K56" s="11">
        <v>12.0</v>
      </c>
      <c r="L56" s="11">
        <v>1.0</v>
      </c>
      <c r="M56" s="13">
        <f t="shared" ref="M56:O56" si="58">IFERROR(G56/F56,"")</f>
        <v>0.05034756703</v>
      </c>
      <c r="N56" s="13">
        <f t="shared" si="58"/>
        <v>0.4477317554</v>
      </c>
      <c r="O56" s="14">
        <f t="shared" si="58"/>
        <v>1.264317181</v>
      </c>
      <c r="P56" s="13">
        <f t="shared" si="3"/>
        <v>0.1497797357</v>
      </c>
      <c r="Q56" s="13">
        <f t="shared" si="4"/>
        <v>0.05286343612</v>
      </c>
      <c r="R56" s="13">
        <f t="shared" si="5"/>
        <v>0.004405286344</v>
      </c>
      <c r="S56" s="14">
        <f t="shared" si="6"/>
        <v>1.334196204</v>
      </c>
      <c r="T56" s="14">
        <f t="shared" si="7"/>
        <v>0.7663053404</v>
      </c>
      <c r="U56" s="14">
        <f t="shared" si="8"/>
        <v>6.787499822</v>
      </c>
    </row>
    <row r="57" ht="15.75" customHeight="1">
      <c r="A57" s="9">
        <v>45293.5773819676</v>
      </c>
      <c r="B57" s="10">
        <v>13.0</v>
      </c>
      <c r="C57" s="10" t="s">
        <v>59</v>
      </c>
      <c r="D57" s="10" t="s">
        <v>221</v>
      </c>
      <c r="E57" s="12" t="s">
        <v>62</v>
      </c>
      <c r="F57" s="11">
        <v>13345.0</v>
      </c>
      <c r="G57" s="11">
        <v>410.0</v>
      </c>
      <c r="H57" s="11">
        <v>275.0</v>
      </c>
      <c r="I57" s="11">
        <v>478.0</v>
      </c>
      <c r="J57" s="11">
        <v>55.0</v>
      </c>
      <c r="K57" s="11">
        <v>3.0</v>
      </c>
      <c r="L57" s="11">
        <v>2.0</v>
      </c>
      <c r="M57" s="13">
        <f t="shared" ref="M57:O57" si="59">IFERROR(G57/F57,"")</f>
        <v>0.03072311727</v>
      </c>
      <c r="N57" s="13">
        <f t="shared" si="59"/>
        <v>0.6707317073</v>
      </c>
      <c r="O57" s="14">
        <f t="shared" si="59"/>
        <v>1.738181818</v>
      </c>
      <c r="P57" s="13">
        <f t="shared" si="3"/>
        <v>0.2</v>
      </c>
      <c r="Q57" s="13">
        <f t="shared" si="4"/>
        <v>0.01090909091</v>
      </c>
      <c r="R57" s="13">
        <f t="shared" si="5"/>
        <v>0.007272727273</v>
      </c>
      <c r="S57" s="14">
        <f t="shared" si="6"/>
        <v>0.8141538678</v>
      </c>
      <c r="T57" s="14">
        <f t="shared" si="7"/>
        <v>1.147975954</v>
      </c>
      <c r="U57" s="14">
        <f t="shared" si="8"/>
        <v>1.400693145</v>
      </c>
    </row>
    <row r="58" ht="15.75" customHeight="1">
      <c r="A58" s="9">
        <v>45295.5566806713</v>
      </c>
      <c r="B58" s="10">
        <v>13.0</v>
      </c>
      <c r="C58" s="10" t="s">
        <v>84</v>
      </c>
      <c r="D58" s="10" t="s">
        <v>223</v>
      </c>
      <c r="E58" s="12" t="s">
        <v>62</v>
      </c>
      <c r="F58" s="11">
        <v>26140.0</v>
      </c>
      <c r="G58" s="11">
        <v>1472.0</v>
      </c>
      <c r="H58" s="11">
        <v>353.0</v>
      </c>
      <c r="I58" s="11">
        <v>376.0</v>
      </c>
      <c r="J58" s="11">
        <v>31.0</v>
      </c>
      <c r="K58" s="11">
        <v>4.0</v>
      </c>
      <c r="L58" s="11">
        <v>3.0</v>
      </c>
      <c r="M58" s="13">
        <f t="shared" ref="M58:O58" si="60">IFERROR(G58/F58,"")</f>
        <v>0.05631216526</v>
      </c>
      <c r="N58" s="13">
        <f t="shared" si="60"/>
        <v>0.2398097826</v>
      </c>
      <c r="O58" s="14">
        <f t="shared" si="60"/>
        <v>1.065155807</v>
      </c>
      <c r="P58" s="13">
        <f t="shared" si="3"/>
        <v>0.08781869688</v>
      </c>
      <c r="Q58" s="13">
        <f t="shared" si="4"/>
        <v>0.01133144476</v>
      </c>
      <c r="R58" s="13">
        <f t="shared" si="5"/>
        <v>0.008498583569</v>
      </c>
      <c r="S58" s="14">
        <f t="shared" si="6"/>
        <v>1.48948179</v>
      </c>
      <c r="T58" s="14">
        <f t="shared" si="7"/>
        <v>0.4101863963</v>
      </c>
      <c r="U58" s="14">
        <f t="shared" si="8"/>
        <v>1.448806151</v>
      </c>
    </row>
    <row r="59" ht="15.75" customHeight="1">
      <c r="A59" s="9">
        <v>45297.497830081</v>
      </c>
      <c r="B59" s="10">
        <v>11.0</v>
      </c>
      <c r="C59" s="10" t="s">
        <v>69</v>
      </c>
      <c r="D59" s="10" t="s">
        <v>226</v>
      </c>
      <c r="E59" s="12" t="s">
        <v>62</v>
      </c>
      <c r="F59" s="11">
        <v>14844.0</v>
      </c>
      <c r="G59" s="11">
        <v>382.0</v>
      </c>
      <c r="H59" s="11">
        <v>225.0</v>
      </c>
      <c r="I59" s="11">
        <v>236.0</v>
      </c>
      <c r="J59" s="11">
        <v>29.0</v>
      </c>
      <c r="K59" s="11">
        <v>1.0</v>
      </c>
      <c r="L59" s="11">
        <v>2.0</v>
      </c>
      <c r="M59" s="13">
        <f t="shared" ref="M59:O59" si="61">IFERROR(G59/F59,"")</f>
        <v>0.02573430342</v>
      </c>
      <c r="N59" s="13">
        <f t="shared" si="61"/>
        <v>0.5890052356</v>
      </c>
      <c r="O59" s="14">
        <f t="shared" si="61"/>
        <v>1.048888889</v>
      </c>
      <c r="P59" s="13">
        <f t="shared" si="3"/>
        <v>0.1288888889</v>
      </c>
      <c r="Q59" s="13">
        <f t="shared" si="4"/>
        <v>0.004444444444</v>
      </c>
      <c r="R59" s="13">
        <f t="shared" si="5"/>
        <v>0.008888888889</v>
      </c>
      <c r="S59" s="14">
        <f t="shared" si="6"/>
        <v>0.6806837591</v>
      </c>
      <c r="T59" s="14">
        <f t="shared" si="7"/>
        <v>1.007473225</v>
      </c>
      <c r="U59" s="14">
        <f t="shared" si="8"/>
        <v>0.5682539683</v>
      </c>
    </row>
    <row r="60" ht="15.75" customHeight="1">
      <c r="A60" s="9">
        <v>45299.4929062153</v>
      </c>
      <c r="B60" s="10">
        <v>11.0</v>
      </c>
      <c r="C60" s="10" t="s">
        <v>71</v>
      </c>
      <c r="D60" s="10" t="s">
        <v>229</v>
      </c>
      <c r="E60" s="12" t="s">
        <v>62</v>
      </c>
      <c r="F60" s="11">
        <v>545516.0</v>
      </c>
      <c r="G60" s="11">
        <v>62401.0</v>
      </c>
      <c r="H60" s="11">
        <v>45846.0</v>
      </c>
      <c r="I60" s="11">
        <v>53647.0</v>
      </c>
      <c r="J60" s="11">
        <v>843.0</v>
      </c>
      <c r="K60" s="11">
        <v>354.0</v>
      </c>
      <c r="L60" s="11">
        <v>169.0</v>
      </c>
      <c r="M60" s="13">
        <f t="shared" ref="M60:O60" si="62">IFERROR(G60/F60,"")</f>
        <v>0.1143889455</v>
      </c>
      <c r="N60" s="13">
        <f t="shared" si="62"/>
        <v>0.7346997644</v>
      </c>
      <c r="O60" s="14">
        <f t="shared" si="62"/>
        <v>1.170156611</v>
      </c>
      <c r="P60" s="13">
        <f t="shared" si="3"/>
        <v>0.0183876456</v>
      </c>
      <c r="Q60" s="13">
        <f t="shared" si="4"/>
        <v>0.007721502421</v>
      </c>
      <c r="R60" s="13">
        <f t="shared" si="5"/>
        <v>0.003686253981</v>
      </c>
      <c r="S60" s="14">
        <f t="shared" si="6"/>
        <v>3.031274515</v>
      </c>
      <c r="T60" s="14">
        <f t="shared" si="7"/>
        <v>1.255692993</v>
      </c>
      <c r="U60" s="14">
        <f t="shared" si="8"/>
        <v>0.9914167551</v>
      </c>
    </row>
    <row r="61" ht="15.75" customHeight="1">
      <c r="A61" s="9">
        <v>45301.5251657292</v>
      </c>
      <c r="B61" s="10">
        <v>12.0</v>
      </c>
      <c r="C61" s="10" t="s">
        <v>80</v>
      </c>
      <c r="D61" s="10" t="s">
        <v>231</v>
      </c>
      <c r="E61" s="12" t="s">
        <v>62</v>
      </c>
      <c r="F61" s="11">
        <v>1649422.0</v>
      </c>
      <c r="G61" s="11">
        <v>123911.0</v>
      </c>
      <c r="H61" s="11">
        <v>87332.0</v>
      </c>
      <c r="I61" s="11">
        <v>130682.0</v>
      </c>
      <c r="J61" s="11">
        <v>2253.0</v>
      </c>
      <c r="K61" s="11">
        <v>348.0</v>
      </c>
      <c r="L61" s="11">
        <v>382.0</v>
      </c>
      <c r="M61" s="13">
        <f t="shared" ref="M61:O61" si="63">IFERROR(G61/F61,"")</f>
        <v>0.07512389188</v>
      </c>
      <c r="N61" s="13">
        <f t="shared" si="63"/>
        <v>0.7047961844</v>
      </c>
      <c r="O61" s="14">
        <f t="shared" si="63"/>
        <v>1.496381624</v>
      </c>
      <c r="P61" s="13">
        <f t="shared" si="3"/>
        <v>0.02579810379</v>
      </c>
      <c r="Q61" s="13">
        <f t="shared" si="4"/>
        <v>0.003984793661</v>
      </c>
      <c r="R61" s="13">
        <f t="shared" si="5"/>
        <v>0.004374112582</v>
      </c>
      <c r="S61" s="14">
        <f t="shared" si="6"/>
        <v>1.983255108</v>
      </c>
      <c r="T61" s="14">
        <f t="shared" si="7"/>
        <v>1.204584067</v>
      </c>
      <c r="U61" s="14">
        <f t="shared" si="8"/>
        <v>0.5149317846</v>
      </c>
    </row>
    <row r="62" ht="15.75" customHeight="1">
      <c r="A62" s="9">
        <v>45303.765682581</v>
      </c>
      <c r="B62" s="10">
        <v>18.0</v>
      </c>
      <c r="C62" s="10" t="s">
        <v>60</v>
      </c>
      <c r="D62" s="10" t="s">
        <v>234</v>
      </c>
      <c r="E62" s="12" t="s">
        <v>62</v>
      </c>
      <c r="F62" s="11">
        <v>67893.0</v>
      </c>
      <c r="G62" s="11">
        <v>2305.0</v>
      </c>
      <c r="H62" s="11">
        <v>1121.0</v>
      </c>
      <c r="I62" s="11">
        <v>870.0</v>
      </c>
      <c r="J62" s="11">
        <v>69.0</v>
      </c>
      <c r="K62" s="11">
        <v>5.0</v>
      </c>
      <c r="L62" s="11">
        <v>19.0</v>
      </c>
      <c r="M62" s="13">
        <f t="shared" ref="M62:O62" si="64">IFERROR(G62/F62,"")</f>
        <v>0.0339504809</v>
      </c>
      <c r="N62" s="13">
        <f t="shared" si="64"/>
        <v>0.4863340564</v>
      </c>
      <c r="O62" s="14">
        <f t="shared" si="64"/>
        <v>0.7760927743</v>
      </c>
      <c r="P62" s="13">
        <f t="shared" si="3"/>
        <v>0.06155218555</v>
      </c>
      <c r="Q62" s="13">
        <f t="shared" si="4"/>
        <v>0.004460303301</v>
      </c>
      <c r="R62" s="13">
        <f t="shared" si="5"/>
        <v>0.01694915254</v>
      </c>
      <c r="S62" s="14">
        <f t="shared" si="6"/>
        <v>0.8945725273</v>
      </c>
      <c r="T62" s="14">
        <f t="shared" si="7"/>
        <v>0.8318576991</v>
      </c>
      <c r="U62" s="14">
        <f t="shared" si="8"/>
        <v>0.5702816363</v>
      </c>
    </row>
    <row r="63" ht="15.75" customHeight="1">
      <c r="A63" s="9">
        <v>45305.4940514699</v>
      </c>
      <c r="B63" s="10">
        <v>11.0</v>
      </c>
      <c r="C63" s="10" t="s">
        <v>77</v>
      </c>
      <c r="D63" s="10" t="s">
        <v>236</v>
      </c>
      <c r="E63" s="12" t="s">
        <v>62</v>
      </c>
      <c r="F63" s="11">
        <v>3916793.0</v>
      </c>
      <c r="G63" s="11">
        <v>345827.0</v>
      </c>
      <c r="H63" s="11">
        <v>242185.0</v>
      </c>
      <c r="I63" s="11">
        <v>338491.0</v>
      </c>
      <c r="J63" s="11">
        <v>5758.0</v>
      </c>
      <c r="K63" s="11">
        <v>1041.0</v>
      </c>
      <c r="L63" s="11">
        <v>1219.0</v>
      </c>
      <c r="M63" s="13">
        <f t="shared" ref="M63:O63" si="65">IFERROR(G63/F63,"")</f>
        <v>0.08829340739</v>
      </c>
      <c r="N63" s="13">
        <f t="shared" si="65"/>
        <v>0.7003068008</v>
      </c>
      <c r="O63" s="14">
        <f t="shared" si="65"/>
        <v>1.397654685</v>
      </c>
      <c r="P63" s="13">
        <f t="shared" si="3"/>
        <v>0.02377521316</v>
      </c>
      <c r="Q63" s="13">
        <f t="shared" si="4"/>
        <v>0.004298366951</v>
      </c>
      <c r="R63" s="13">
        <f t="shared" si="5"/>
        <v>0.00503334228</v>
      </c>
      <c r="S63" s="14">
        <f t="shared" si="6"/>
        <v>2.267650862</v>
      </c>
      <c r="T63" s="14">
        <f t="shared" si="7"/>
        <v>1.196911154</v>
      </c>
      <c r="U63" s="14">
        <f t="shared" si="8"/>
        <v>0.5518968696</v>
      </c>
    </row>
    <row r="64" ht="15.75" customHeight="1">
      <c r="A64" s="9">
        <v>45307.525285787</v>
      </c>
      <c r="B64" s="10">
        <v>12.0</v>
      </c>
      <c r="C64" s="10" t="s">
        <v>59</v>
      </c>
      <c r="D64" s="10" t="s">
        <v>239</v>
      </c>
      <c r="E64" s="12" t="s">
        <v>62</v>
      </c>
      <c r="F64" s="11">
        <v>8878.0</v>
      </c>
      <c r="G64" s="11">
        <v>449.0</v>
      </c>
      <c r="H64" s="11">
        <v>195.0</v>
      </c>
      <c r="I64" s="11">
        <v>174.0</v>
      </c>
      <c r="J64" s="11">
        <v>41.0</v>
      </c>
      <c r="K64" s="11">
        <v>3.0</v>
      </c>
      <c r="L64" s="11">
        <v>2.0</v>
      </c>
      <c r="M64" s="13">
        <f t="shared" ref="M64:O64" si="66">IFERROR(G64/F64,"")</f>
        <v>0.05057445371</v>
      </c>
      <c r="N64" s="13">
        <f t="shared" si="66"/>
        <v>0.434298441</v>
      </c>
      <c r="O64" s="14">
        <f t="shared" si="66"/>
        <v>0.8923076923</v>
      </c>
      <c r="P64" s="13">
        <f t="shared" si="3"/>
        <v>0.2102564103</v>
      </c>
      <c r="Q64" s="13">
        <f t="shared" si="4"/>
        <v>0.01538461538</v>
      </c>
      <c r="R64" s="13">
        <f t="shared" si="5"/>
        <v>0.01025641026</v>
      </c>
      <c r="S64" s="14">
        <f t="shared" si="6"/>
        <v>1.298910156</v>
      </c>
      <c r="T64" s="14">
        <f t="shared" si="7"/>
        <v>0.7433138494</v>
      </c>
      <c r="U64" s="14">
        <f t="shared" si="8"/>
        <v>1.960485915</v>
      </c>
    </row>
    <row r="65" ht="15.75" customHeight="1">
      <c r="A65" s="9">
        <v>45309.6019166667</v>
      </c>
      <c r="B65" s="10">
        <v>14.0</v>
      </c>
      <c r="C65" s="10" t="s">
        <v>84</v>
      </c>
      <c r="D65" s="10" t="s">
        <v>242</v>
      </c>
      <c r="E65" s="12" t="s">
        <v>62</v>
      </c>
      <c r="F65" s="11">
        <v>8709.0</v>
      </c>
      <c r="G65" s="11">
        <v>504.0</v>
      </c>
      <c r="H65" s="11">
        <v>324.0</v>
      </c>
      <c r="I65" s="11">
        <v>275.0</v>
      </c>
      <c r="J65" s="11">
        <v>49.0</v>
      </c>
      <c r="K65" s="11">
        <v>7.0</v>
      </c>
      <c r="L65" s="11">
        <v>2.0</v>
      </c>
      <c r="M65" s="13">
        <f t="shared" ref="M65:O65" si="67">IFERROR(G65/F65,"")</f>
        <v>0.05787116776</v>
      </c>
      <c r="N65" s="13">
        <f t="shared" si="67"/>
        <v>0.6428571429</v>
      </c>
      <c r="O65" s="14">
        <f t="shared" si="67"/>
        <v>0.8487654321</v>
      </c>
      <c r="P65" s="13">
        <f t="shared" si="3"/>
        <v>0.1512345679</v>
      </c>
      <c r="Q65" s="13">
        <f t="shared" si="4"/>
        <v>0.02160493827</v>
      </c>
      <c r="R65" s="13">
        <f t="shared" si="5"/>
        <v>0.006172839506</v>
      </c>
      <c r="S65" s="14">
        <f t="shared" si="6"/>
        <v>1.524866671</v>
      </c>
      <c r="T65" s="14">
        <f t="shared" si="7"/>
        <v>1.09786142</v>
      </c>
      <c r="U65" s="14">
        <f t="shared" si="8"/>
        <v>2.628600823</v>
      </c>
    </row>
    <row r="66" ht="15.75" customHeight="1">
      <c r="A66" s="9">
        <v>45311.5195589815</v>
      </c>
      <c r="B66" s="10">
        <v>12.0</v>
      </c>
      <c r="C66" s="10" t="s">
        <v>69</v>
      </c>
      <c r="D66" s="10" t="s">
        <v>245</v>
      </c>
      <c r="E66" s="12" t="s">
        <v>62</v>
      </c>
      <c r="F66" s="11">
        <v>48184.0</v>
      </c>
      <c r="G66" s="11">
        <v>882.0</v>
      </c>
      <c r="H66" s="11">
        <v>500.0</v>
      </c>
      <c r="I66" s="11">
        <v>393.0</v>
      </c>
      <c r="J66" s="11">
        <v>93.0</v>
      </c>
      <c r="K66" s="11">
        <v>6.0</v>
      </c>
      <c r="L66" s="11">
        <v>8.0</v>
      </c>
      <c r="M66" s="13">
        <f t="shared" ref="M66:O66" si="68">IFERROR(G66/F66,"")</f>
        <v>0.01830483148</v>
      </c>
      <c r="N66" s="13">
        <f t="shared" si="68"/>
        <v>0.566893424</v>
      </c>
      <c r="O66" s="14">
        <f t="shared" si="68"/>
        <v>0.786</v>
      </c>
      <c r="P66" s="13">
        <f t="shared" si="3"/>
        <v>0.186</v>
      </c>
      <c r="Q66" s="13">
        <f t="shared" si="4"/>
        <v>0.012</v>
      </c>
      <c r="R66" s="13">
        <f t="shared" si="5"/>
        <v>0.016</v>
      </c>
      <c r="S66" s="14">
        <f t="shared" si="6"/>
        <v>0.4832437407</v>
      </c>
      <c r="T66" s="14">
        <f t="shared" si="7"/>
        <v>0.9675923255</v>
      </c>
      <c r="U66" s="14">
        <f t="shared" si="8"/>
        <v>1.443822715</v>
      </c>
    </row>
    <row r="67" ht="15.75" customHeight="1">
      <c r="A67" s="9">
        <v>45313.5287210764</v>
      </c>
      <c r="B67" s="10">
        <v>12.0</v>
      </c>
      <c r="C67" s="10" t="s">
        <v>71</v>
      </c>
      <c r="D67" s="10" t="s">
        <v>248</v>
      </c>
      <c r="E67" s="12" t="s">
        <v>62</v>
      </c>
      <c r="F67" s="11">
        <v>560608.0</v>
      </c>
      <c r="G67" s="11">
        <v>31452.0</v>
      </c>
      <c r="H67" s="11">
        <v>22072.0</v>
      </c>
      <c r="I67" s="11">
        <v>26342.0</v>
      </c>
      <c r="J67" s="11">
        <v>285.0</v>
      </c>
      <c r="K67" s="11">
        <v>131.0</v>
      </c>
      <c r="L67" s="11">
        <v>58.0</v>
      </c>
      <c r="M67" s="13">
        <f t="shared" ref="M67:O67" si="69">IFERROR(G67/F67,"")</f>
        <v>0.05610337348</v>
      </c>
      <c r="N67" s="13">
        <f t="shared" si="69"/>
        <v>0.7017677731</v>
      </c>
      <c r="O67" s="14">
        <f t="shared" si="69"/>
        <v>1.193457775</v>
      </c>
      <c r="P67" s="13">
        <f t="shared" si="3"/>
        <v>0.01291228706</v>
      </c>
      <c r="Q67" s="13">
        <f t="shared" si="4"/>
        <v>0.005935121421</v>
      </c>
      <c r="R67" s="13">
        <f t="shared" si="5"/>
        <v>0.002627763682</v>
      </c>
      <c r="S67" s="14">
        <f t="shared" si="6"/>
        <v>1.481117381</v>
      </c>
      <c r="T67" s="14">
        <f t="shared" si="7"/>
        <v>1.199408137</v>
      </c>
      <c r="U67" s="14">
        <f t="shared" si="8"/>
        <v>0.7141052601</v>
      </c>
    </row>
    <row r="68" ht="15.75" customHeight="1">
      <c r="A68" s="9">
        <v>45315.5079436227</v>
      </c>
      <c r="B68" s="10">
        <v>12.0</v>
      </c>
      <c r="C68" s="10" t="s">
        <v>80</v>
      </c>
      <c r="D68" s="10" t="s">
        <v>251</v>
      </c>
      <c r="E68" s="12" t="s">
        <v>62</v>
      </c>
      <c r="F68" s="11">
        <v>17921.0</v>
      </c>
      <c r="G68" s="11">
        <v>358.0</v>
      </c>
      <c r="H68" s="11">
        <v>245.0</v>
      </c>
      <c r="I68" s="11">
        <v>178.0</v>
      </c>
      <c r="J68" s="11">
        <v>33.0</v>
      </c>
      <c r="K68" s="11">
        <v>11.0</v>
      </c>
      <c r="L68" s="11">
        <v>3.0</v>
      </c>
      <c r="M68" s="13">
        <f t="shared" ref="M68:O68" si="70">IFERROR(G68/F68,"")</f>
        <v>0.01997656381</v>
      </c>
      <c r="N68" s="13">
        <f t="shared" si="70"/>
        <v>0.6843575419</v>
      </c>
      <c r="O68" s="14">
        <f t="shared" si="70"/>
        <v>0.7265306122</v>
      </c>
      <c r="P68" s="13">
        <f t="shared" si="3"/>
        <v>0.1346938776</v>
      </c>
      <c r="Q68" s="13">
        <f t="shared" si="4"/>
        <v>0.04489795918</v>
      </c>
      <c r="R68" s="13">
        <f t="shared" si="5"/>
        <v>0.01224489796</v>
      </c>
      <c r="S68" s="14">
        <f t="shared" si="6"/>
        <v>0.5293732581</v>
      </c>
      <c r="T68" s="14">
        <f t="shared" si="7"/>
        <v>1.169651893</v>
      </c>
      <c r="U68" s="14">
        <f t="shared" si="8"/>
        <v>4.99877332</v>
      </c>
    </row>
    <row r="69" ht="15.75" customHeight="1">
      <c r="A69" s="9">
        <v>45317.5907890162</v>
      </c>
      <c r="B69" s="10">
        <v>14.0</v>
      </c>
      <c r="C69" s="10" t="s">
        <v>60</v>
      </c>
      <c r="D69" s="10" t="s">
        <v>254</v>
      </c>
      <c r="E69" s="12" t="s">
        <v>62</v>
      </c>
      <c r="F69" s="11">
        <v>130552.0</v>
      </c>
      <c r="G69" s="11">
        <v>1102.0</v>
      </c>
      <c r="H69" s="11">
        <v>630.0</v>
      </c>
      <c r="I69" s="11">
        <v>591.0</v>
      </c>
      <c r="J69" s="11">
        <v>72.0</v>
      </c>
      <c r="K69" s="11">
        <v>15.0</v>
      </c>
      <c r="L69" s="11">
        <v>1.0</v>
      </c>
      <c r="M69" s="13">
        <f t="shared" ref="M69:O69" si="71">IFERROR(G69/F69,"")</f>
        <v>0.008441080949</v>
      </c>
      <c r="N69" s="13">
        <f t="shared" si="71"/>
        <v>0.5716878403</v>
      </c>
      <c r="O69" s="14">
        <f t="shared" si="71"/>
        <v>0.9380952381</v>
      </c>
      <c r="P69" s="13">
        <f t="shared" si="3"/>
        <v>0.1142857143</v>
      </c>
      <c r="Q69" s="13">
        <f t="shared" si="4"/>
        <v>0.02380952381</v>
      </c>
      <c r="R69" s="13">
        <f t="shared" si="5"/>
        <v>0.001587301587</v>
      </c>
      <c r="S69" s="14">
        <f t="shared" si="6"/>
        <v>0.2232703414</v>
      </c>
      <c r="T69" s="14">
        <f t="shared" si="7"/>
        <v>0.9778524147</v>
      </c>
      <c r="U69" s="14">
        <f t="shared" si="8"/>
        <v>2.49047619</v>
      </c>
    </row>
    <row r="70" ht="15.75" customHeight="1">
      <c r="A70" s="9">
        <v>45319.5322464931</v>
      </c>
      <c r="B70" s="10">
        <v>12.0</v>
      </c>
      <c r="C70" s="10" t="s">
        <v>77</v>
      </c>
      <c r="D70" s="10" t="s">
        <v>257</v>
      </c>
      <c r="E70" s="12" t="s">
        <v>62</v>
      </c>
      <c r="F70" s="11">
        <v>12248.0</v>
      </c>
      <c r="G70" s="11">
        <v>865.0</v>
      </c>
      <c r="H70" s="11">
        <v>390.0</v>
      </c>
      <c r="I70" s="11">
        <v>325.0</v>
      </c>
      <c r="J70" s="11">
        <v>105.0</v>
      </c>
      <c r="K70" s="11">
        <v>7.0</v>
      </c>
      <c r="L70" s="11">
        <v>14.0</v>
      </c>
      <c r="M70" s="13">
        <f t="shared" ref="M70:O70" si="72">IFERROR(G70/F70,"")</f>
        <v>0.07062377531</v>
      </c>
      <c r="N70" s="13">
        <f t="shared" si="72"/>
        <v>0.450867052</v>
      </c>
      <c r="O70" s="14">
        <f t="shared" si="72"/>
        <v>0.8333333333</v>
      </c>
      <c r="P70" s="13">
        <f t="shared" si="3"/>
        <v>0.2692307692</v>
      </c>
      <c r="Q70" s="13">
        <f t="shared" si="4"/>
        <v>0.01794871795</v>
      </c>
      <c r="R70" s="13">
        <f t="shared" si="5"/>
        <v>0.0358974359</v>
      </c>
      <c r="S70" s="14">
        <f t="shared" si="6"/>
        <v>1.868030235</v>
      </c>
      <c r="T70" s="14">
        <f t="shared" si="7"/>
        <v>0.7711926063</v>
      </c>
      <c r="U70" s="14">
        <f t="shared" si="8"/>
        <v>1.877435897</v>
      </c>
    </row>
    <row r="71" ht="15.75" customHeight="1">
      <c r="A71" s="9">
        <v>45321.5001144213</v>
      </c>
      <c r="B71" s="10">
        <v>12.0</v>
      </c>
      <c r="C71" s="10" t="s">
        <v>59</v>
      </c>
      <c r="D71" s="10" t="s">
        <v>259</v>
      </c>
      <c r="E71" s="12" t="s">
        <v>62</v>
      </c>
      <c r="F71" s="11">
        <v>624285.0</v>
      </c>
      <c r="G71" s="11">
        <v>12484.0</v>
      </c>
      <c r="H71" s="11">
        <v>7066.0</v>
      </c>
      <c r="I71" s="11">
        <v>6535.0</v>
      </c>
      <c r="J71" s="11">
        <v>161.0</v>
      </c>
      <c r="K71" s="11">
        <v>15.0</v>
      </c>
      <c r="L71" s="11">
        <v>94.0</v>
      </c>
      <c r="M71" s="13">
        <f t="shared" ref="M71:O71" si="73">IFERROR(G71/F71,"")</f>
        <v>0.01999727688</v>
      </c>
      <c r="N71" s="13">
        <f t="shared" si="73"/>
        <v>0.5660044857</v>
      </c>
      <c r="O71" s="14">
        <f t="shared" si="73"/>
        <v>0.9248514011</v>
      </c>
      <c r="P71" s="13">
        <f t="shared" si="3"/>
        <v>0.02278516841</v>
      </c>
      <c r="Q71" s="13">
        <f t="shared" si="4"/>
        <v>0.002122841778</v>
      </c>
      <c r="R71" s="13">
        <f t="shared" si="5"/>
        <v>0.01330314181</v>
      </c>
      <c r="S71" s="14">
        <f t="shared" si="6"/>
        <v>0.5279239471</v>
      </c>
      <c r="T71" s="14">
        <f t="shared" si="7"/>
        <v>0.9660750564</v>
      </c>
      <c r="U71" s="14">
        <f t="shared" si="8"/>
        <v>0.2509609623</v>
      </c>
    </row>
    <row r="72" ht="15.75" customHeight="1">
      <c r="A72" s="9">
        <v>45323.5389930903</v>
      </c>
      <c r="B72" s="10">
        <v>12.0</v>
      </c>
      <c r="C72" s="10" t="s">
        <v>84</v>
      </c>
      <c r="D72" s="10" t="s">
        <v>262</v>
      </c>
      <c r="E72" s="12" t="s">
        <v>62</v>
      </c>
      <c r="F72" s="11">
        <v>17288.0</v>
      </c>
      <c r="G72" s="11">
        <v>574.0</v>
      </c>
      <c r="H72" s="11">
        <v>359.0</v>
      </c>
      <c r="I72" s="11">
        <v>404.0</v>
      </c>
      <c r="J72" s="11">
        <v>60.0</v>
      </c>
      <c r="K72" s="11">
        <v>4.0</v>
      </c>
      <c r="L72" s="11">
        <v>8.0</v>
      </c>
      <c r="M72" s="13">
        <f t="shared" ref="M72:O72" si="74">IFERROR(G72/F72,"")</f>
        <v>0.03320222119</v>
      </c>
      <c r="N72" s="13">
        <f t="shared" si="74"/>
        <v>0.6254355401</v>
      </c>
      <c r="O72" s="14">
        <f t="shared" si="74"/>
        <v>1.125348189</v>
      </c>
      <c r="P72" s="13">
        <f t="shared" si="3"/>
        <v>0.1671309192</v>
      </c>
      <c r="Q72" s="13">
        <f t="shared" si="4"/>
        <v>0.01114206128</v>
      </c>
      <c r="R72" s="13">
        <f t="shared" si="5"/>
        <v>0.02228412256</v>
      </c>
      <c r="S72" s="14">
        <f t="shared" si="6"/>
        <v>0.8765317281</v>
      </c>
      <c r="T72" s="14">
        <f t="shared" si="7"/>
        <v>1.067513933</v>
      </c>
      <c r="U72" s="14">
        <f t="shared" si="8"/>
        <v>1.232898963</v>
      </c>
    </row>
    <row r="73" ht="15.75" customHeight="1">
      <c r="A73" s="9">
        <v>45325.5281693634</v>
      </c>
      <c r="B73" s="10">
        <v>12.0</v>
      </c>
      <c r="C73" s="10" t="s">
        <v>69</v>
      </c>
      <c r="D73" s="10" t="s">
        <v>264</v>
      </c>
      <c r="E73" s="12" t="s">
        <v>62</v>
      </c>
      <c r="F73" s="11">
        <v>248614.0</v>
      </c>
      <c r="G73" s="11">
        <v>6136.0</v>
      </c>
      <c r="H73" s="11">
        <v>1866.0</v>
      </c>
      <c r="I73" s="11">
        <v>1588.0</v>
      </c>
      <c r="J73" s="11">
        <v>64.0</v>
      </c>
      <c r="K73" s="11">
        <v>18.0</v>
      </c>
      <c r="L73" s="11">
        <v>16.0</v>
      </c>
      <c r="M73" s="13">
        <f t="shared" ref="M73:O73" si="75">IFERROR(G73/F73,"")</f>
        <v>0.02468083052</v>
      </c>
      <c r="N73" s="13">
        <f t="shared" si="75"/>
        <v>0.30410691</v>
      </c>
      <c r="O73" s="14">
        <f t="shared" si="75"/>
        <v>0.8510182208</v>
      </c>
      <c r="P73" s="13">
        <f t="shared" si="3"/>
        <v>0.03429796356</v>
      </c>
      <c r="Q73" s="13">
        <f t="shared" si="4"/>
        <v>0.009646302251</v>
      </c>
      <c r="R73" s="13">
        <f t="shared" si="5"/>
        <v>0.00857449089</v>
      </c>
      <c r="S73" s="14">
        <f t="shared" si="6"/>
        <v>0.6515687882</v>
      </c>
      <c r="T73" s="14">
        <f t="shared" si="7"/>
        <v>0.5190596677</v>
      </c>
      <c r="U73" s="14">
        <f t="shared" si="8"/>
        <v>1.004481434</v>
      </c>
    </row>
    <row r="74" ht="15.75" customHeight="1">
      <c r="A74" s="9">
        <v>45327.5466619097</v>
      </c>
      <c r="B74" s="10">
        <v>13.0</v>
      </c>
      <c r="C74" s="10" t="s">
        <v>71</v>
      </c>
      <c r="D74" s="10" t="s">
        <v>266</v>
      </c>
      <c r="E74" s="12" t="s">
        <v>62</v>
      </c>
      <c r="F74" s="11">
        <v>1.4250473E7</v>
      </c>
      <c r="G74" s="11">
        <v>1139298.0</v>
      </c>
      <c r="H74" s="11">
        <v>744473.0</v>
      </c>
      <c r="I74" s="11">
        <v>728963.0</v>
      </c>
      <c r="J74" s="11">
        <v>16198.0</v>
      </c>
      <c r="K74" s="11">
        <v>3262.0</v>
      </c>
      <c r="L74" s="11">
        <v>2494.0</v>
      </c>
      <c r="M74" s="13">
        <f t="shared" ref="M74:O74" si="76">IFERROR(G74/F74,"")</f>
        <v>0.07994808313</v>
      </c>
      <c r="N74" s="13">
        <f t="shared" si="76"/>
        <v>0.6534488782</v>
      </c>
      <c r="O74" s="14">
        <f t="shared" si="76"/>
        <v>0.9791664708</v>
      </c>
      <c r="P74" s="13">
        <f t="shared" si="3"/>
        <v>0.02175767288</v>
      </c>
      <c r="Q74" s="13">
        <f t="shared" si="4"/>
        <v>0.004381622974</v>
      </c>
      <c r="R74" s="13">
        <f t="shared" si="5"/>
        <v>0.003350020753</v>
      </c>
      <c r="S74" s="14">
        <f t="shared" si="6"/>
        <v>2.053316833</v>
      </c>
      <c r="T74" s="14">
        <f t="shared" si="7"/>
        <v>1.115328019</v>
      </c>
      <c r="U74" s="14">
        <f t="shared" si="8"/>
        <v>0.4486843722</v>
      </c>
    </row>
    <row r="75" ht="15.75" customHeight="1">
      <c r="A75" s="9">
        <v>45329.5545685301</v>
      </c>
      <c r="B75" s="10">
        <v>13.0</v>
      </c>
      <c r="C75" s="10" t="s">
        <v>80</v>
      </c>
      <c r="D75" s="10" t="s">
        <v>269</v>
      </c>
      <c r="E75" s="12" t="s">
        <v>62</v>
      </c>
      <c r="F75" s="11">
        <v>88097.0</v>
      </c>
      <c r="G75" s="11">
        <v>7420.0</v>
      </c>
      <c r="H75" s="11">
        <v>4338.0</v>
      </c>
      <c r="I75" s="11">
        <v>3510.0</v>
      </c>
      <c r="J75" s="11">
        <v>188.0</v>
      </c>
      <c r="K75" s="11">
        <v>64.0</v>
      </c>
      <c r="L75" s="11">
        <v>23.0</v>
      </c>
      <c r="M75" s="13">
        <f t="shared" ref="M75:O75" si="77">IFERROR(G75/F75,"")</f>
        <v>0.08422534252</v>
      </c>
      <c r="N75" s="13">
        <f t="shared" si="77"/>
        <v>0.5846361186</v>
      </c>
      <c r="O75" s="14">
        <f t="shared" si="77"/>
        <v>0.8091286307</v>
      </c>
      <c r="P75" s="13">
        <f t="shared" si="3"/>
        <v>0.04333794375</v>
      </c>
      <c r="Q75" s="13">
        <f t="shared" si="4"/>
        <v>0.01475334255</v>
      </c>
      <c r="R75" s="13">
        <f t="shared" si="5"/>
        <v>0.00530198248</v>
      </c>
      <c r="S75" s="14">
        <f t="shared" si="6"/>
        <v>2.163170233</v>
      </c>
      <c r="T75" s="14">
        <f t="shared" si="7"/>
        <v>0.9978761396</v>
      </c>
      <c r="U75" s="14">
        <f t="shared" si="8"/>
        <v>1.492370833</v>
      </c>
    </row>
    <row r="76" ht="15.75" customHeight="1">
      <c r="A76" s="9">
        <v>45331.5801862732</v>
      </c>
      <c r="B76" s="10">
        <v>13.0</v>
      </c>
      <c r="C76" s="10" t="s">
        <v>60</v>
      </c>
      <c r="D76" s="10" t="s">
        <v>272</v>
      </c>
      <c r="E76" s="12" t="s">
        <v>62</v>
      </c>
      <c r="F76" s="11">
        <v>63455.0</v>
      </c>
      <c r="G76" s="11">
        <v>497.0</v>
      </c>
      <c r="H76" s="11">
        <v>227.0</v>
      </c>
      <c r="I76" s="11">
        <v>264.0</v>
      </c>
      <c r="J76" s="11">
        <v>34.0</v>
      </c>
      <c r="K76" s="11">
        <v>5.0</v>
      </c>
      <c r="L76" s="11">
        <v>0.0</v>
      </c>
      <c r="M76" s="13">
        <f t="shared" ref="M76:O76" si="78">IFERROR(G76/F76,"")</f>
        <v>0.007832322118</v>
      </c>
      <c r="N76" s="13">
        <f t="shared" si="78"/>
        <v>0.4567404427</v>
      </c>
      <c r="O76" s="14">
        <f t="shared" si="78"/>
        <v>1.162995595</v>
      </c>
      <c r="P76" s="13">
        <f t="shared" si="3"/>
        <v>0.1497797357</v>
      </c>
      <c r="Q76" s="13">
        <f t="shared" si="4"/>
        <v>0.02202643172</v>
      </c>
      <c r="R76" s="13">
        <f t="shared" si="5"/>
        <v>0</v>
      </c>
      <c r="S76" s="14">
        <f t="shared" si="6"/>
        <v>0.1961032507</v>
      </c>
      <c r="T76" s="14">
        <f t="shared" si="7"/>
        <v>0.779579597</v>
      </c>
      <c r="U76" s="14">
        <f t="shared" si="8"/>
        <v>2.228078425</v>
      </c>
    </row>
    <row r="77" ht="15.75" customHeight="1">
      <c r="A77" s="9">
        <v>45333.4808910995</v>
      </c>
      <c r="B77" s="10">
        <v>11.0</v>
      </c>
      <c r="C77" s="10" t="s">
        <v>77</v>
      </c>
      <c r="D77" s="10" t="s">
        <v>276</v>
      </c>
      <c r="E77" s="12" t="s">
        <v>62</v>
      </c>
      <c r="F77" s="11">
        <v>17994.0</v>
      </c>
      <c r="G77" s="11">
        <v>766.0</v>
      </c>
      <c r="H77" s="11">
        <v>311.0</v>
      </c>
      <c r="I77" s="11">
        <v>314.0</v>
      </c>
      <c r="J77" s="11">
        <v>41.0</v>
      </c>
      <c r="K77" s="11">
        <v>9.0</v>
      </c>
      <c r="L77" s="11">
        <v>0.0</v>
      </c>
      <c r="M77" s="13">
        <f t="shared" ref="M77:O77" si="79">IFERROR(G77/F77,"")</f>
        <v>0.04256974547</v>
      </c>
      <c r="N77" s="13">
        <f t="shared" si="79"/>
        <v>0.4060052219</v>
      </c>
      <c r="O77" s="14">
        <f t="shared" si="79"/>
        <v>1.009646302</v>
      </c>
      <c r="P77" s="13">
        <f t="shared" si="3"/>
        <v>0.1318327974</v>
      </c>
      <c r="Q77" s="13">
        <f t="shared" si="4"/>
        <v>0.02893890675</v>
      </c>
      <c r="R77" s="13">
        <f t="shared" si="5"/>
        <v>0</v>
      </c>
      <c r="S77" s="14">
        <f t="shared" si="6"/>
        <v>1.065333898</v>
      </c>
      <c r="T77" s="14">
        <f t="shared" si="7"/>
        <v>0.6925971433</v>
      </c>
      <c r="U77" s="14">
        <f t="shared" si="8"/>
        <v>2.927652733</v>
      </c>
    </row>
    <row r="78" ht="15.75" customHeight="1">
      <c r="A78" s="9">
        <v>45335.5017551389</v>
      </c>
      <c r="B78" s="10">
        <v>12.0</v>
      </c>
      <c r="C78" s="10" t="s">
        <v>59</v>
      </c>
      <c r="D78" s="10" t="s">
        <v>279</v>
      </c>
      <c r="E78" s="12" t="s">
        <v>62</v>
      </c>
      <c r="F78" s="11">
        <v>84863.0</v>
      </c>
      <c r="G78" s="11">
        <v>2858.0</v>
      </c>
      <c r="H78" s="11">
        <v>1632.0</v>
      </c>
      <c r="I78" s="11">
        <v>1649.0</v>
      </c>
      <c r="J78" s="11">
        <v>132.0</v>
      </c>
      <c r="K78" s="11">
        <v>12.0</v>
      </c>
      <c r="L78" s="11">
        <v>12.0</v>
      </c>
      <c r="M78" s="13">
        <f t="shared" ref="M78:O78" si="80">IFERROR(G78/F78,"")</f>
        <v>0.03367781012</v>
      </c>
      <c r="N78" s="13">
        <f t="shared" si="80"/>
        <v>0.5710286914</v>
      </c>
      <c r="O78" s="14">
        <f t="shared" si="80"/>
        <v>1.010416667</v>
      </c>
      <c r="P78" s="13">
        <f t="shared" si="3"/>
        <v>0.08088235294</v>
      </c>
      <c r="Q78" s="13">
        <f t="shared" si="4"/>
        <v>0.007352941176</v>
      </c>
      <c r="R78" s="13">
        <f t="shared" si="5"/>
        <v>0.007352941176</v>
      </c>
      <c r="S78" s="14">
        <f t="shared" si="6"/>
        <v>0.8436217294</v>
      </c>
      <c r="T78" s="14">
        <f t="shared" si="7"/>
        <v>0.9751939089</v>
      </c>
      <c r="U78" s="14">
        <f t="shared" si="8"/>
        <v>0.743697479</v>
      </c>
    </row>
    <row r="79" ht="15.75" customHeight="1">
      <c r="A79" s="9">
        <v>45337.522055081</v>
      </c>
      <c r="B79" s="10">
        <v>12.0</v>
      </c>
      <c r="C79" s="10" t="s">
        <v>84</v>
      </c>
      <c r="D79" s="10" t="s">
        <v>281</v>
      </c>
      <c r="E79" s="12" t="s">
        <v>62</v>
      </c>
      <c r="F79" s="11">
        <v>77640.0</v>
      </c>
      <c r="G79" s="11">
        <v>3754.0</v>
      </c>
      <c r="H79" s="11">
        <v>2192.0</v>
      </c>
      <c r="I79" s="11">
        <v>2124.0</v>
      </c>
      <c r="J79" s="11">
        <v>169.0</v>
      </c>
      <c r="K79" s="11">
        <v>17.0</v>
      </c>
      <c r="L79" s="11">
        <v>42.0</v>
      </c>
      <c r="M79" s="13">
        <f t="shared" ref="M79:O79" si="81">IFERROR(G79/F79,"")</f>
        <v>0.04835136528</v>
      </c>
      <c r="N79" s="13">
        <f t="shared" si="81"/>
        <v>0.5839104955</v>
      </c>
      <c r="O79" s="14">
        <f t="shared" si="81"/>
        <v>0.9689781022</v>
      </c>
      <c r="P79" s="13">
        <f t="shared" si="3"/>
        <v>0.07709854015</v>
      </c>
      <c r="Q79" s="13">
        <f t="shared" si="4"/>
        <v>0.007755474453</v>
      </c>
      <c r="R79" s="13">
        <f t="shared" si="5"/>
        <v>0.01916058394</v>
      </c>
      <c r="S79" s="14">
        <f t="shared" si="6"/>
        <v>1.210022467</v>
      </c>
      <c r="T79" s="14">
        <f t="shared" si="7"/>
        <v>0.9987588466</v>
      </c>
      <c r="U79" s="14">
        <f t="shared" si="8"/>
        <v>0.782996206</v>
      </c>
    </row>
    <row r="80" ht="15.75" customHeight="1">
      <c r="A80" s="9">
        <v>45339.5568816204</v>
      </c>
      <c r="B80" s="10">
        <v>13.0</v>
      </c>
      <c r="C80" s="10" t="s">
        <v>69</v>
      </c>
      <c r="D80" s="10" t="s">
        <v>284</v>
      </c>
      <c r="E80" s="12" t="s">
        <v>62</v>
      </c>
      <c r="F80" s="11">
        <v>12623.0</v>
      </c>
      <c r="G80" s="11">
        <v>388.0</v>
      </c>
      <c r="H80" s="11">
        <v>223.0</v>
      </c>
      <c r="I80" s="11">
        <v>239.0</v>
      </c>
      <c r="J80" s="11">
        <v>40.0</v>
      </c>
      <c r="K80" s="11">
        <v>7.0</v>
      </c>
      <c r="L80" s="11">
        <v>0.0</v>
      </c>
      <c r="M80" s="13">
        <f t="shared" ref="M80:O80" si="82">IFERROR(G80/F80,"")</f>
        <v>0.03073754258</v>
      </c>
      <c r="N80" s="13">
        <f t="shared" si="82"/>
        <v>0.574742268</v>
      </c>
      <c r="O80" s="14">
        <f t="shared" si="82"/>
        <v>1.071748879</v>
      </c>
      <c r="P80" s="13">
        <f t="shared" si="3"/>
        <v>0.1793721973</v>
      </c>
      <c r="Q80" s="13">
        <f t="shared" si="4"/>
        <v>0.03139013453</v>
      </c>
      <c r="R80" s="13">
        <f t="shared" si="5"/>
        <v>0</v>
      </c>
      <c r="S80" s="14">
        <f t="shared" si="6"/>
        <v>0.7695970528</v>
      </c>
      <c r="T80" s="14">
        <f t="shared" si="7"/>
        <v>0.9836873619</v>
      </c>
      <c r="U80" s="14">
        <f t="shared" si="8"/>
        <v>3.153729808</v>
      </c>
    </row>
    <row r="81" ht="15.75" customHeight="1">
      <c r="A81" s="9">
        <v>45341.5235271181</v>
      </c>
      <c r="B81" s="10">
        <v>12.0</v>
      </c>
      <c r="C81" s="10" t="s">
        <v>71</v>
      </c>
      <c r="D81" s="10" t="s">
        <v>287</v>
      </c>
      <c r="E81" s="12" t="s">
        <v>62</v>
      </c>
      <c r="F81" s="11">
        <v>10128.0</v>
      </c>
      <c r="G81" s="11">
        <v>369.0</v>
      </c>
      <c r="H81" s="11">
        <v>119.0</v>
      </c>
      <c r="I81" s="11">
        <v>122.0</v>
      </c>
      <c r="J81" s="11">
        <v>46.0</v>
      </c>
      <c r="K81" s="11">
        <v>1.0</v>
      </c>
      <c r="L81" s="11">
        <v>3.0</v>
      </c>
      <c r="M81" s="13">
        <f t="shared" ref="M81:O81" si="83">IFERROR(G81/F81,"")</f>
        <v>0.03643364929</v>
      </c>
      <c r="N81" s="13">
        <f t="shared" si="83"/>
        <v>0.3224932249</v>
      </c>
      <c r="O81" s="14">
        <f t="shared" si="83"/>
        <v>1.025210084</v>
      </c>
      <c r="P81" s="13">
        <f t="shared" si="3"/>
        <v>0.3865546218</v>
      </c>
      <c r="Q81" s="13">
        <f t="shared" si="4"/>
        <v>0.008403361345</v>
      </c>
      <c r="R81" s="13">
        <f t="shared" si="5"/>
        <v>0.02521008403</v>
      </c>
      <c r="S81" s="14">
        <f t="shared" si="6"/>
        <v>0.9122144049</v>
      </c>
      <c r="T81" s="14">
        <f t="shared" si="7"/>
        <v>0.5544739612</v>
      </c>
      <c r="U81" s="14">
        <f t="shared" si="8"/>
        <v>0.8360382733</v>
      </c>
    </row>
    <row r="82" ht="15.75" customHeight="1">
      <c r="A82" s="9">
        <v>45343.5544870602</v>
      </c>
      <c r="B82" s="10">
        <v>13.0</v>
      </c>
      <c r="C82" s="10" t="s">
        <v>80</v>
      </c>
      <c r="D82" s="10" t="s">
        <v>290</v>
      </c>
      <c r="E82" s="12" t="s">
        <v>62</v>
      </c>
      <c r="F82" s="11">
        <v>1894933.0</v>
      </c>
      <c r="G82" s="11">
        <v>123986.0</v>
      </c>
      <c r="H82" s="11">
        <v>99831.0</v>
      </c>
      <c r="I82" s="11">
        <v>152144.0</v>
      </c>
      <c r="J82" s="11">
        <v>2028.0</v>
      </c>
      <c r="K82" s="11">
        <v>505.0</v>
      </c>
      <c r="L82" s="11">
        <v>348.0</v>
      </c>
      <c r="M82" s="13">
        <f t="shared" ref="M82:O82" si="84">IFERROR(G82/F82,"")</f>
        <v>0.0654302817</v>
      </c>
      <c r="N82" s="13">
        <f t="shared" si="84"/>
        <v>0.8051796171</v>
      </c>
      <c r="O82" s="14">
        <f t="shared" si="84"/>
        <v>1.524015586</v>
      </c>
      <c r="P82" s="13">
        <f t="shared" si="3"/>
        <v>0.02031433122</v>
      </c>
      <c r="Q82" s="13">
        <f t="shared" si="4"/>
        <v>0.005058548948</v>
      </c>
      <c r="R82" s="13">
        <f t="shared" si="5"/>
        <v>0.003485891156</v>
      </c>
      <c r="S82" s="14">
        <f t="shared" si="6"/>
        <v>1.680454284</v>
      </c>
      <c r="T82" s="14">
        <f t="shared" si="7"/>
        <v>1.390450967</v>
      </c>
      <c r="U82" s="14">
        <f t="shared" si="8"/>
        <v>0.490470648</v>
      </c>
    </row>
    <row r="83" ht="15.75" customHeight="1">
      <c r="A83" s="9">
        <v>45345.5734555208</v>
      </c>
      <c r="B83" s="10">
        <v>13.0</v>
      </c>
      <c r="C83" s="10" t="s">
        <v>60</v>
      </c>
      <c r="D83" s="10" t="s">
        <v>293</v>
      </c>
      <c r="E83" s="12" t="s">
        <v>62</v>
      </c>
      <c r="F83" s="11">
        <v>67062.0</v>
      </c>
      <c r="G83" s="11">
        <v>2165.0</v>
      </c>
      <c r="H83" s="11">
        <v>1353.0</v>
      </c>
      <c r="I83" s="11">
        <v>1808.0</v>
      </c>
      <c r="J83" s="11">
        <v>112.0</v>
      </c>
      <c r="K83" s="11">
        <v>6.0</v>
      </c>
      <c r="L83" s="11">
        <v>16.0</v>
      </c>
      <c r="M83" s="13">
        <f t="shared" ref="M83:O83" si="85">IFERROR(G83/F83,"")</f>
        <v>0.0322835585</v>
      </c>
      <c r="N83" s="13">
        <f t="shared" si="85"/>
        <v>0.6249422633</v>
      </c>
      <c r="O83" s="14">
        <f t="shared" si="85"/>
        <v>1.336289727</v>
      </c>
      <c r="P83" s="13">
        <f t="shared" si="3"/>
        <v>0.08277900961</v>
      </c>
      <c r="Q83" s="13">
        <f t="shared" si="4"/>
        <v>0.0044345898</v>
      </c>
      <c r="R83" s="13">
        <f t="shared" si="5"/>
        <v>0.0118255728</v>
      </c>
      <c r="S83" s="14">
        <f t="shared" si="6"/>
        <v>0.8506502337</v>
      </c>
      <c r="T83" s="14">
        <f t="shared" si="7"/>
        <v>1.08098793</v>
      </c>
      <c r="U83" s="14">
        <f t="shared" si="8"/>
        <v>0.406504065</v>
      </c>
    </row>
    <row r="84" ht="15.75" customHeight="1">
      <c r="A84" s="9">
        <v>45347.5713366088</v>
      </c>
      <c r="B84" s="10">
        <v>13.0</v>
      </c>
      <c r="C84" s="10" t="s">
        <v>77</v>
      </c>
      <c r="D84" s="10" t="s">
        <v>296</v>
      </c>
      <c r="E84" s="12" t="s">
        <v>62</v>
      </c>
      <c r="F84" s="11">
        <v>12243.0</v>
      </c>
      <c r="G84" s="11">
        <v>227.0</v>
      </c>
      <c r="H84" s="11">
        <v>136.0</v>
      </c>
      <c r="I84" s="11">
        <v>129.0</v>
      </c>
      <c r="J84" s="11">
        <v>40.0</v>
      </c>
      <c r="K84" s="11">
        <v>2.0</v>
      </c>
      <c r="L84" s="11">
        <v>0.0</v>
      </c>
      <c r="M84" s="13">
        <f t="shared" ref="M84:O84" si="86">IFERROR(G84/F84,"")</f>
        <v>0.01854120722</v>
      </c>
      <c r="N84" s="13">
        <f t="shared" si="86"/>
        <v>0.5991189427</v>
      </c>
      <c r="O84" s="14">
        <f t="shared" si="86"/>
        <v>0.9485294118</v>
      </c>
      <c r="P84" s="13">
        <f t="shared" si="3"/>
        <v>0.2941176471</v>
      </c>
      <c r="Q84" s="13">
        <f t="shared" si="4"/>
        <v>0.01470588235</v>
      </c>
      <c r="R84" s="13">
        <f t="shared" si="5"/>
        <v>0</v>
      </c>
      <c r="S84" s="14">
        <f t="shared" si="6"/>
        <v>0.4644531591</v>
      </c>
      <c r="T84" s="14">
        <f t="shared" si="7"/>
        <v>1.03505829</v>
      </c>
      <c r="U84" s="14">
        <f t="shared" si="8"/>
        <v>1.348039216</v>
      </c>
    </row>
    <row r="85" ht="15.75" customHeight="1">
      <c r="A85" s="9">
        <v>45349.6336098958</v>
      </c>
      <c r="B85" s="10">
        <v>15.0</v>
      </c>
      <c r="C85" s="10" t="s">
        <v>59</v>
      </c>
      <c r="D85" s="10" t="s">
        <v>299</v>
      </c>
      <c r="E85" s="12" t="s">
        <v>62</v>
      </c>
      <c r="F85" s="11">
        <v>27224.0</v>
      </c>
      <c r="G85" s="11">
        <v>3273.0</v>
      </c>
      <c r="H85" s="11">
        <v>1568.0</v>
      </c>
      <c r="I85" s="11">
        <v>3354.0</v>
      </c>
      <c r="J85" s="11">
        <v>45.0</v>
      </c>
      <c r="K85" s="11">
        <v>1.0</v>
      </c>
      <c r="L85" s="11">
        <v>0.0</v>
      </c>
      <c r="M85" s="13">
        <f t="shared" ref="M85:O85" si="87">IFERROR(G85/F85,"")</f>
        <v>0.1202248016</v>
      </c>
      <c r="N85" s="13">
        <f t="shared" si="87"/>
        <v>0.4790711885</v>
      </c>
      <c r="O85" s="14">
        <f t="shared" si="87"/>
        <v>2.139030612</v>
      </c>
      <c r="P85" s="13">
        <f t="shared" si="3"/>
        <v>0.02869897959</v>
      </c>
      <c r="Q85" s="13">
        <f t="shared" si="4"/>
        <v>0.000637755102</v>
      </c>
      <c r="R85" s="13">
        <f t="shared" si="5"/>
        <v>0</v>
      </c>
      <c r="S85" s="14">
        <f t="shared" si="6"/>
        <v>3.001359741</v>
      </c>
      <c r="T85" s="14">
        <f t="shared" si="7"/>
        <v>0.827299876</v>
      </c>
      <c r="U85" s="14">
        <f t="shared" si="8"/>
        <v>0.05843961812</v>
      </c>
    </row>
    <row r="86" ht="15.75" customHeight="1">
      <c r="A86" s="9">
        <v>45351.7006378935</v>
      </c>
      <c r="B86" s="10">
        <v>16.0</v>
      </c>
      <c r="C86" s="10" t="s">
        <v>84</v>
      </c>
      <c r="D86" s="10" t="s">
        <v>302</v>
      </c>
      <c r="E86" s="12" t="s">
        <v>62</v>
      </c>
      <c r="F86" s="11">
        <v>7259.0</v>
      </c>
      <c r="G86" s="11">
        <v>220.0</v>
      </c>
      <c r="H86" s="11">
        <v>95.0</v>
      </c>
      <c r="I86" s="11">
        <v>125.0</v>
      </c>
      <c r="J86" s="11">
        <v>29.0</v>
      </c>
      <c r="K86" s="11">
        <v>1.0</v>
      </c>
      <c r="L86" s="11">
        <v>0.0</v>
      </c>
      <c r="M86" s="13">
        <f t="shared" ref="M86:O86" si="88">IFERROR(G86/F86,"")</f>
        <v>0.03030720485</v>
      </c>
      <c r="N86" s="13">
        <f t="shared" si="88"/>
        <v>0.4318181818</v>
      </c>
      <c r="O86" s="14">
        <f t="shared" si="88"/>
        <v>1.315789474</v>
      </c>
      <c r="P86" s="13">
        <f t="shared" si="3"/>
        <v>0.3052631579</v>
      </c>
      <c r="Q86" s="13">
        <f t="shared" si="4"/>
        <v>0.01052631579</v>
      </c>
      <c r="R86" s="13">
        <f t="shared" si="5"/>
        <v>0</v>
      </c>
      <c r="S86" s="14">
        <f t="shared" si="6"/>
        <v>0.7566061515</v>
      </c>
      <c r="T86" s="14">
        <f t="shared" si="7"/>
        <v>0.7464783161</v>
      </c>
      <c r="U86" s="14">
        <f t="shared" si="8"/>
        <v>0.9645612759</v>
      </c>
    </row>
    <row r="87" ht="15.75" customHeight="1">
      <c r="A87" s="9">
        <v>45353.5034439815</v>
      </c>
      <c r="B87" s="10">
        <v>12.0</v>
      </c>
      <c r="C87" s="10" t="s">
        <v>69</v>
      </c>
      <c r="D87" s="10" t="s">
        <v>304</v>
      </c>
      <c r="E87" s="12" t="s">
        <v>62</v>
      </c>
      <c r="F87" s="11">
        <v>306720.0</v>
      </c>
      <c r="G87" s="11">
        <v>21070.0</v>
      </c>
      <c r="H87" s="11">
        <v>15881.0</v>
      </c>
      <c r="I87" s="11">
        <v>12548.0</v>
      </c>
      <c r="J87" s="11">
        <v>208.0</v>
      </c>
      <c r="K87" s="11">
        <v>102.0</v>
      </c>
      <c r="L87" s="11">
        <v>26.0</v>
      </c>
      <c r="M87" s="13">
        <f t="shared" ref="M87:O87" si="89">IFERROR(G87/F87,"")</f>
        <v>0.06869457486</v>
      </c>
      <c r="N87" s="13">
        <f t="shared" si="89"/>
        <v>0.7537256763</v>
      </c>
      <c r="O87" s="14">
        <f t="shared" si="89"/>
        <v>0.7901265663</v>
      </c>
      <c r="P87" s="13">
        <f t="shared" si="3"/>
        <v>0.013097412</v>
      </c>
      <c r="Q87" s="13">
        <f t="shared" si="4"/>
        <v>0.006422769347</v>
      </c>
      <c r="R87" s="13">
        <f t="shared" si="5"/>
        <v>0.0016371765</v>
      </c>
      <c r="S87" s="14">
        <f t="shared" si="6"/>
        <v>1.70911592</v>
      </c>
      <c r="T87" s="14">
        <f t="shared" si="7"/>
        <v>1.302162149</v>
      </c>
      <c r="U87" s="14">
        <f t="shared" si="8"/>
        <v>0.5887538568</v>
      </c>
    </row>
    <row r="88" ht="15.75" customHeight="1">
      <c r="A88" s="9">
        <v>45355.5128910648</v>
      </c>
      <c r="B88" s="10">
        <v>12.0</v>
      </c>
      <c r="C88" s="10" t="s">
        <v>71</v>
      </c>
      <c r="D88" s="10" t="s">
        <v>307</v>
      </c>
      <c r="E88" s="12" t="s">
        <v>62</v>
      </c>
      <c r="F88" s="11">
        <v>38697.0</v>
      </c>
      <c r="G88" s="11">
        <v>1463.0</v>
      </c>
      <c r="H88" s="11">
        <v>708.0</v>
      </c>
      <c r="I88" s="11">
        <v>533.0</v>
      </c>
      <c r="J88" s="11">
        <v>35.0</v>
      </c>
      <c r="K88" s="11">
        <v>7.0</v>
      </c>
      <c r="L88" s="11">
        <v>3.0</v>
      </c>
      <c r="M88" s="13">
        <f t="shared" ref="M88:O88" si="90">IFERROR(G88/F88,"")</f>
        <v>0.03780654831</v>
      </c>
      <c r="N88" s="13">
        <f t="shared" si="90"/>
        <v>0.4839371155</v>
      </c>
      <c r="O88" s="14">
        <f t="shared" si="90"/>
        <v>0.7528248588</v>
      </c>
      <c r="P88" s="13">
        <f t="shared" si="3"/>
        <v>0.04943502825</v>
      </c>
      <c r="Q88" s="13">
        <f t="shared" si="4"/>
        <v>0.00988700565</v>
      </c>
      <c r="R88" s="13">
        <f t="shared" si="5"/>
        <v>0.004237288136</v>
      </c>
      <c r="S88" s="14">
        <f t="shared" si="6"/>
        <v>0.9438239904</v>
      </c>
      <c r="T88" s="14">
        <f t="shared" si="7"/>
        <v>0.8365756198</v>
      </c>
      <c r="U88" s="14">
        <f t="shared" si="8"/>
        <v>0.9059791645</v>
      </c>
    </row>
    <row r="89" ht="15.75" customHeight="1">
      <c r="A89" s="9">
        <v>45357.4549886343</v>
      </c>
      <c r="B89" s="10">
        <v>10.0</v>
      </c>
      <c r="C89" s="10" t="s">
        <v>80</v>
      </c>
      <c r="D89" s="10" t="s">
        <v>310</v>
      </c>
      <c r="E89" s="12" t="s">
        <v>62</v>
      </c>
      <c r="F89" s="11">
        <v>602965.0</v>
      </c>
      <c r="G89" s="11">
        <v>24235.0</v>
      </c>
      <c r="H89" s="11">
        <v>14352.0</v>
      </c>
      <c r="I89" s="11">
        <v>9862.0</v>
      </c>
      <c r="J89" s="11">
        <v>570.0</v>
      </c>
      <c r="K89" s="11">
        <v>113.0</v>
      </c>
      <c r="L89" s="11">
        <v>39.0</v>
      </c>
      <c r="M89" s="13">
        <f t="shared" ref="M89:O89" si="91">IFERROR(G89/F89,"")</f>
        <v>0.04019304603</v>
      </c>
      <c r="N89" s="13">
        <f t="shared" si="91"/>
        <v>0.5922013617</v>
      </c>
      <c r="O89" s="14">
        <f t="shared" si="91"/>
        <v>0.6871516165</v>
      </c>
      <c r="P89" s="13">
        <f t="shared" si="3"/>
        <v>0.03971571906</v>
      </c>
      <c r="Q89" s="13">
        <f t="shared" si="4"/>
        <v>0.007873467113</v>
      </c>
      <c r="R89" s="13">
        <f t="shared" si="5"/>
        <v>0.002717391304</v>
      </c>
      <c r="S89" s="14">
        <f t="shared" si="6"/>
        <v>1.006826955</v>
      </c>
      <c r="T89" s="14">
        <f t="shared" si="7"/>
        <v>1.024354667</v>
      </c>
      <c r="U89" s="14">
        <f t="shared" si="8"/>
        <v>0.7212095875</v>
      </c>
    </row>
    <row r="90" ht="15.75" customHeight="1">
      <c r="A90" s="9">
        <v>45359.5847541667</v>
      </c>
      <c r="B90" s="10">
        <v>14.0</v>
      </c>
      <c r="C90" s="10" t="s">
        <v>60</v>
      </c>
      <c r="D90" s="10" t="s">
        <v>313</v>
      </c>
      <c r="E90" s="12" t="s">
        <v>62</v>
      </c>
      <c r="F90" s="11">
        <v>13986.0</v>
      </c>
      <c r="G90" s="11">
        <v>263.0</v>
      </c>
      <c r="H90" s="11">
        <v>189.0</v>
      </c>
      <c r="I90" s="11">
        <v>193.0</v>
      </c>
      <c r="J90" s="11">
        <v>32.0</v>
      </c>
      <c r="K90" s="11">
        <v>4.0</v>
      </c>
      <c r="L90" s="11">
        <v>0.0</v>
      </c>
      <c r="M90" s="13">
        <f t="shared" ref="M90:O90" si="92">IFERROR(G90/F90,"")</f>
        <v>0.0188045188</v>
      </c>
      <c r="N90" s="13">
        <f t="shared" si="92"/>
        <v>0.7186311787</v>
      </c>
      <c r="O90" s="14">
        <f t="shared" si="92"/>
        <v>1.021164021</v>
      </c>
      <c r="P90" s="13">
        <f t="shared" si="3"/>
        <v>0.1693121693</v>
      </c>
      <c r="Q90" s="13">
        <f t="shared" si="4"/>
        <v>0.02116402116</v>
      </c>
      <c r="R90" s="13">
        <f t="shared" si="5"/>
        <v>0</v>
      </c>
      <c r="S90" s="14">
        <f t="shared" si="6"/>
        <v>0.4829588589</v>
      </c>
      <c r="T90" s="14">
        <f t="shared" si="7"/>
        <v>1.246688909</v>
      </c>
      <c r="U90" s="14">
        <f t="shared" si="8"/>
        <v>1.939329549</v>
      </c>
    </row>
    <row r="91" ht="15.75" customHeight="1">
      <c r="A91" s="9">
        <v>45361.486636875</v>
      </c>
      <c r="B91" s="10">
        <v>11.0</v>
      </c>
      <c r="C91" s="10" t="s">
        <v>77</v>
      </c>
      <c r="D91" s="10" t="s">
        <v>315</v>
      </c>
      <c r="E91" s="12" t="s">
        <v>62</v>
      </c>
      <c r="F91" s="11">
        <v>52138.0</v>
      </c>
      <c r="G91" s="11">
        <v>1730.0</v>
      </c>
      <c r="H91" s="11">
        <v>748.0</v>
      </c>
      <c r="I91" s="11">
        <v>649.0</v>
      </c>
      <c r="J91" s="11">
        <v>70.0</v>
      </c>
      <c r="K91" s="11">
        <v>12.0</v>
      </c>
      <c r="L91" s="11">
        <v>4.0</v>
      </c>
      <c r="M91" s="13">
        <f t="shared" ref="M91:O91" si="93">IFERROR(G91/F91,"")</f>
        <v>0.03318117304</v>
      </c>
      <c r="N91" s="13">
        <f t="shared" si="93"/>
        <v>0.4323699422</v>
      </c>
      <c r="O91" s="14">
        <f t="shared" si="93"/>
        <v>0.8676470588</v>
      </c>
      <c r="P91" s="13">
        <f t="shared" si="3"/>
        <v>0.0935828877</v>
      </c>
      <c r="Q91" s="13">
        <f t="shared" si="4"/>
        <v>0.01604278075</v>
      </c>
      <c r="R91" s="13">
        <f t="shared" si="5"/>
        <v>0.005347593583</v>
      </c>
      <c r="S91" s="14">
        <f t="shared" si="6"/>
        <v>0.8743017782</v>
      </c>
      <c r="T91" s="14">
        <f t="shared" si="7"/>
        <v>0.747887791</v>
      </c>
      <c r="U91" s="14">
        <f t="shared" si="8"/>
        <v>1.470588235</v>
      </c>
    </row>
    <row r="92" ht="15.75" customHeight="1">
      <c r="A92" s="9">
        <v>45363.5835305556</v>
      </c>
      <c r="B92" s="10">
        <v>14.0</v>
      </c>
      <c r="C92" s="10" t="s">
        <v>59</v>
      </c>
      <c r="D92" s="10" t="s">
        <v>318</v>
      </c>
      <c r="E92" s="12" t="s">
        <v>62</v>
      </c>
      <c r="F92" s="11">
        <v>3276.0</v>
      </c>
      <c r="G92" s="11">
        <v>97.0</v>
      </c>
      <c r="H92" s="11">
        <v>60.0</v>
      </c>
      <c r="I92" s="11">
        <v>54.0</v>
      </c>
      <c r="J92" s="11">
        <v>17.0</v>
      </c>
      <c r="K92" s="11">
        <v>0.0</v>
      </c>
      <c r="L92" s="11">
        <v>0.0</v>
      </c>
      <c r="M92" s="13">
        <f t="shared" ref="M92:O92" si="94">IFERROR(G92/F92,"")</f>
        <v>0.02960927961</v>
      </c>
      <c r="N92" s="13">
        <f t="shared" si="94"/>
        <v>0.618556701</v>
      </c>
      <c r="O92" s="14">
        <f t="shared" si="94"/>
        <v>0.9</v>
      </c>
      <c r="P92" s="13">
        <f t="shared" si="3"/>
        <v>0.2833333333</v>
      </c>
      <c r="Q92" s="13">
        <f t="shared" si="4"/>
        <v>0</v>
      </c>
      <c r="R92" s="13">
        <f t="shared" si="5"/>
        <v>0</v>
      </c>
      <c r="S92" s="14">
        <f t="shared" si="6"/>
        <v>0.7831786008</v>
      </c>
      <c r="T92" s="14">
        <f t="shared" si="7"/>
        <v>1.076233184</v>
      </c>
      <c r="U92" s="14">
        <f t="shared" si="8"/>
        <v>0</v>
      </c>
    </row>
    <row r="93" ht="15.75" customHeight="1">
      <c r="A93" s="9">
        <v>45365.8649829167</v>
      </c>
      <c r="B93" s="10">
        <v>20.0</v>
      </c>
      <c r="C93" s="10" t="s">
        <v>84</v>
      </c>
      <c r="D93" s="10" t="s">
        <v>321</v>
      </c>
      <c r="E93" s="12" t="s">
        <v>62</v>
      </c>
      <c r="F93" s="11">
        <v>15211.0</v>
      </c>
      <c r="G93" s="11">
        <v>484.0</v>
      </c>
      <c r="H93" s="11">
        <v>248.0</v>
      </c>
      <c r="I93" s="11">
        <v>216.0</v>
      </c>
      <c r="J93" s="11">
        <v>38.0</v>
      </c>
      <c r="K93" s="11">
        <v>5.0</v>
      </c>
      <c r="L93" s="11">
        <v>5.0</v>
      </c>
      <c r="M93" s="13">
        <f t="shared" ref="M93:O93" si="95">IFERROR(G93/F93,"")</f>
        <v>0.0318190783</v>
      </c>
      <c r="N93" s="13">
        <f t="shared" si="95"/>
        <v>0.5123966942</v>
      </c>
      <c r="O93" s="14">
        <f t="shared" si="95"/>
        <v>0.8709677419</v>
      </c>
      <c r="P93" s="13">
        <f t="shared" si="3"/>
        <v>0.1532258065</v>
      </c>
      <c r="Q93" s="13">
        <f t="shared" si="4"/>
        <v>0.02016129032</v>
      </c>
      <c r="R93" s="13">
        <f t="shared" si="5"/>
        <v>0.02016129032</v>
      </c>
      <c r="S93" s="14">
        <f t="shared" si="6"/>
        <v>0.841628758</v>
      </c>
      <c r="T93" s="14">
        <f t="shared" si="7"/>
        <v>0.8962875508</v>
      </c>
      <c r="U93" s="14">
        <f t="shared" si="8"/>
        <v>1.995967742</v>
      </c>
    </row>
    <row r="94" ht="15.75" customHeight="1">
      <c r="A94" s="9">
        <v>45367.5239064352</v>
      </c>
      <c r="B94" s="10">
        <v>12.0</v>
      </c>
      <c r="C94" s="10" t="s">
        <v>69</v>
      </c>
      <c r="D94" s="10" t="s">
        <v>324</v>
      </c>
      <c r="E94" s="12" t="s">
        <v>62</v>
      </c>
      <c r="F94" s="11">
        <v>6331.0</v>
      </c>
      <c r="G94" s="11">
        <v>232.0</v>
      </c>
      <c r="H94" s="11">
        <v>76.0</v>
      </c>
      <c r="I94" s="11">
        <v>74.0</v>
      </c>
      <c r="J94" s="11">
        <v>21.0</v>
      </c>
      <c r="K94" s="11">
        <v>1.0</v>
      </c>
      <c r="L94" s="11">
        <v>2.0</v>
      </c>
      <c r="M94" s="13">
        <f t="shared" ref="M94:O94" si="96">IFERROR(G94/F94,"")</f>
        <v>0.03664507977</v>
      </c>
      <c r="N94" s="13">
        <f t="shared" si="96"/>
        <v>0.3275862069</v>
      </c>
      <c r="O94" s="14">
        <f t="shared" si="96"/>
        <v>0.9736842105</v>
      </c>
      <c r="P94" s="13">
        <f t="shared" si="3"/>
        <v>0.2763157895</v>
      </c>
      <c r="Q94" s="13">
        <f t="shared" si="4"/>
        <v>0.01315789474</v>
      </c>
      <c r="R94" s="13">
        <f t="shared" si="5"/>
        <v>0.02631578947</v>
      </c>
      <c r="S94" s="14">
        <f t="shared" si="6"/>
        <v>0.9710841892</v>
      </c>
      <c r="T94" s="14">
        <f t="shared" si="7"/>
        <v>0.5733464036</v>
      </c>
      <c r="U94" s="14">
        <f t="shared" si="8"/>
        <v>1.314043871</v>
      </c>
    </row>
    <row r="95" ht="15.75" customHeight="1">
      <c r="A95" s="9">
        <v>45369.4955711458</v>
      </c>
      <c r="B95" s="10">
        <v>11.0</v>
      </c>
      <c r="C95" s="10" t="s">
        <v>71</v>
      </c>
      <c r="D95" s="10" t="s">
        <v>327</v>
      </c>
      <c r="E95" s="12" t="s">
        <v>62</v>
      </c>
      <c r="F95" s="11">
        <v>99336.0</v>
      </c>
      <c r="G95" s="11">
        <v>6350.0</v>
      </c>
      <c r="H95" s="11">
        <v>3239.0</v>
      </c>
      <c r="I95" s="11">
        <v>2733.0</v>
      </c>
      <c r="J95" s="11">
        <v>153.0</v>
      </c>
      <c r="K95" s="11">
        <v>4.0</v>
      </c>
      <c r="L95" s="11">
        <v>19.0</v>
      </c>
      <c r="M95" s="13">
        <f t="shared" ref="M95:O95" si="97">IFERROR(G95/F95,"")</f>
        <v>0.0639244584</v>
      </c>
      <c r="N95" s="13">
        <f t="shared" si="97"/>
        <v>0.5100787402</v>
      </c>
      <c r="O95" s="14">
        <f t="shared" si="97"/>
        <v>0.8437789441</v>
      </c>
      <c r="P95" s="13">
        <f t="shared" si="3"/>
        <v>0.04723680148</v>
      </c>
      <c r="Q95" s="13">
        <f t="shared" si="4"/>
        <v>0.001234949058</v>
      </c>
      <c r="R95" s="13">
        <f t="shared" si="5"/>
        <v>0.005866008027</v>
      </c>
      <c r="S95" s="14">
        <f t="shared" si="6"/>
        <v>1.697141356</v>
      </c>
      <c r="T95" s="14">
        <f t="shared" si="7"/>
        <v>0.8932628918</v>
      </c>
      <c r="U95" s="14">
        <f t="shared" si="8"/>
        <v>0.1222599568</v>
      </c>
    </row>
    <row r="96" ht="15.75" customHeight="1">
      <c r="A96" s="9">
        <v>45371.5126555556</v>
      </c>
      <c r="B96" s="10">
        <v>12.0</v>
      </c>
      <c r="C96" s="10" t="s">
        <v>80</v>
      </c>
      <c r="D96" s="10" t="s">
        <v>330</v>
      </c>
      <c r="E96" s="12" t="s">
        <v>62</v>
      </c>
      <c r="F96" s="11">
        <v>8930.0</v>
      </c>
      <c r="G96" s="11">
        <v>284.0</v>
      </c>
      <c r="H96" s="11">
        <v>144.0</v>
      </c>
      <c r="I96" s="11">
        <v>147.0</v>
      </c>
      <c r="J96" s="11">
        <v>32.0</v>
      </c>
      <c r="K96" s="11">
        <v>3.0</v>
      </c>
      <c r="L96" s="11">
        <v>4.0</v>
      </c>
      <c r="M96" s="13">
        <f t="shared" ref="M96:O96" si="98">IFERROR(G96/F96,"")</f>
        <v>0.03180291153</v>
      </c>
      <c r="N96" s="13">
        <f t="shared" si="98"/>
        <v>0.5070422535</v>
      </c>
      <c r="O96" s="14">
        <f t="shared" si="98"/>
        <v>1.020833333</v>
      </c>
      <c r="P96" s="13">
        <f t="shared" si="3"/>
        <v>0.2222222222</v>
      </c>
      <c r="Q96" s="13">
        <f t="shared" si="4"/>
        <v>0.02083333333</v>
      </c>
      <c r="R96" s="13">
        <f t="shared" si="5"/>
        <v>0.02777777778</v>
      </c>
      <c r="S96" s="14">
        <f t="shared" si="6"/>
        <v>0.8443409259</v>
      </c>
      <c r="T96" s="14">
        <f t="shared" si="7"/>
        <v>0.8944225352</v>
      </c>
      <c r="U96" s="14">
        <f t="shared" si="8"/>
        <v>1.979166667</v>
      </c>
    </row>
    <row r="97" ht="15.75" customHeight="1">
      <c r="A97" s="9">
        <v>45373.5882896412</v>
      </c>
      <c r="B97" s="10">
        <v>14.0</v>
      </c>
      <c r="C97" s="10" t="s">
        <v>60</v>
      </c>
      <c r="D97" s="10" t="s">
        <v>333</v>
      </c>
      <c r="E97" s="12" t="s">
        <v>62</v>
      </c>
      <c r="F97" s="11">
        <v>19457.0</v>
      </c>
      <c r="G97" s="11">
        <v>509.0</v>
      </c>
      <c r="H97" s="11">
        <v>328.0</v>
      </c>
      <c r="I97" s="11">
        <v>383.0</v>
      </c>
      <c r="J97" s="11">
        <v>46.0</v>
      </c>
      <c r="K97" s="11">
        <v>2.0</v>
      </c>
      <c r="L97" s="11">
        <v>5.0</v>
      </c>
      <c r="M97" s="13">
        <f t="shared" ref="M97:O97" si="99">IFERROR(G97/F97,"")</f>
        <v>0.02616025081</v>
      </c>
      <c r="N97" s="13">
        <f t="shared" si="99"/>
        <v>0.6444007859</v>
      </c>
      <c r="O97" s="14">
        <f t="shared" si="99"/>
        <v>1.167682927</v>
      </c>
      <c r="P97" s="13">
        <f t="shared" si="3"/>
        <v>0.1402439024</v>
      </c>
      <c r="Q97" s="13">
        <f t="shared" si="4"/>
        <v>0.006097560976</v>
      </c>
      <c r="R97" s="13">
        <f t="shared" si="5"/>
        <v>0.01524390244</v>
      </c>
      <c r="S97" s="14">
        <f t="shared" si="6"/>
        <v>0.673131113</v>
      </c>
      <c r="T97" s="14">
        <f t="shared" si="7"/>
        <v>1.137614926</v>
      </c>
      <c r="U97" s="14">
        <f t="shared" si="8"/>
        <v>0.5912119688</v>
      </c>
    </row>
    <row r="98" ht="15.75" customHeight="1">
      <c r="A98" s="9">
        <v>45375.532966794</v>
      </c>
      <c r="B98" s="10">
        <v>12.0</v>
      </c>
      <c r="C98" s="10" t="s">
        <v>77</v>
      </c>
      <c r="D98" s="10" t="s">
        <v>336</v>
      </c>
      <c r="E98" s="12" t="s">
        <v>62</v>
      </c>
      <c r="F98" s="11">
        <v>43239.0</v>
      </c>
      <c r="G98" s="11">
        <v>1452.0</v>
      </c>
      <c r="H98" s="11">
        <v>769.0</v>
      </c>
      <c r="I98" s="11">
        <v>790.0</v>
      </c>
      <c r="J98" s="11">
        <v>62.0</v>
      </c>
      <c r="K98" s="11">
        <v>5.0</v>
      </c>
      <c r="L98" s="11">
        <v>8.0</v>
      </c>
      <c r="M98" s="13">
        <f t="shared" ref="M98:O98" si="100">IFERROR(G98/F98,"")</f>
        <v>0.03358079512</v>
      </c>
      <c r="N98" s="13">
        <f t="shared" si="100"/>
        <v>0.5296143251</v>
      </c>
      <c r="O98" s="14">
        <f t="shared" si="100"/>
        <v>1.027308192</v>
      </c>
      <c r="P98" s="13">
        <f t="shared" si="3"/>
        <v>0.08062418726</v>
      </c>
      <c r="Q98" s="13">
        <f t="shared" si="4"/>
        <v>0.006501950585</v>
      </c>
      <c r="R98" s="13">
        <f t="shared" si="5"/>
        <v>0.01040312094</v>
      </c>
      <c r="S98" s="14">
        <f t="shared" si="6"/>
        <v>0.841191525</v>
      </c>
      <c r="T98" s="14">
        <f t="shared" si="7"/>
        <v>0.9357069395</v>
      </c>
      <c r="U98" s="14">
        <f t="shared" si="8"/>
        <v>0.6436931079</v>
      </c>
    </row>
    <row r="99" ht="15.75" customHeight="1">
      <c r="A99" s="9">
        <v>45377.5267465625</v>
      </c>
      <c r="B99" s="10">
        <v>12.0</v>
      </c>
      <c r="C99" s="10" t="s">
        <v>59</v>
      </c>
      <c r="D99" s="10" t="s">
        <v>338</v>
      </c>
      <c r="E99" s="12" t="s">
        <v>62</v>
      </c>
      <c r="F99" s="11">
        <v>1154896.0</v>
      </c>
      <c r="G99" s="11">
        <v>159124.0</v>
      </c>
      <c r="H99" s="11">
        <v>71480.0</v>
      </c>
      <c r="I99" s="11">
        <v>46467.0</v>
      </c>
      <c r="J99" s="11">
        <v>1135.0</v>
      </c>
      <c r="K99" s="11">
        <v>708.0</v>
      </c>
      <c r="L99" s="11">
        <v>215.0</v>
      </c>
      <c r="M99" s="13">
        <f t="shared" ref="M99:O99" si="101">IFERROR(G99/F99,"")</f>
        <v>0.1377821033</v>
      </c>
      <c r="N99" s="13">
        <f t="shared" si="101"/>
        <v>0.4492094216</v>
      </c>
      <c r="O99" s="14">
        <f t="shared" si="101"/>
        <v>0.6500699496</v>
      </c>
      <c r="P99" s="13">
        <f t="shared" si="3"/>
        <v>0.01587856743</v>
      </c>
      <c r="Q99" s="13">
        <f t="shared" si="4"/>
        <v>0.009904868495</v>
      </c>
      <c r="R99" s="13">
        <f t="shared" si="5"/>
        <v>0.003007834359</v>
      </c>
      <c r="S99" s="14">
        <f t="shared" si="6"/>
        <v>3.428008497</v>
      </c>
      <c r="T99" s="14">
        <f t="shared" si="7"/>
        <v>0.8118331721</v>
      </c>
      <c r="U99" s="14">
        <f t="shared" si="8"/>
        <v>0.980581981</v>
      </c>
    </row>
    <row r="100" ht="15.75" customHeight="1">
      <c r="A100" s="9">
        <v>45379.6985556829</v>
      </c>
      <c r="B100" s="10">
        <v>16.0</v>
      </c>
      <c r="C100" s="10" t="s">
        <v>84</v>
      </c>
      <c r="D100" s="10" t="s">
        <v>341</v>
      </c>
      <c r="E100" s="12" t="s">
        <v>62</v>
      </c>
      <c r="F100" s="11">
        <v>1013196.0</v>
      </c>
      <c r="G100" s="11">
        <v>38163.0</v>
      </c>
      <c r="H100" s="11">
        <v>30193.0</v>
      </c>
      <c r="I100" s="11">
        <v>21337.0</v>
      </c>
      <c r="J100" s="11">
        <v>860.0</v>
      </c>
      <c r="K100" s="11">
        <v>212.0</v>
      </c>
      <c r="L100" s="11">
        <v>97.0</v>
      </c>
      <c r="M100" s="13">
        <f t="shared" ref="M100:O100" si="102">IFERROR(G100/F100,"")</f>
        <v>0.03766595999</v>
      </c>
      <c r="N100" s="13">
        <f t="shared" si="102"/>
        <v>0.791158976</v>
      </c>
      <c r="O100" s="14">
        <f t="shared" si="102"/>
        <v>0.7066869804</v>
      </c>
      <c r="P100" s="13">
        <f t="shared" si="3"/>
        <v>0.02848342331</v>
      </c>
      <c r="Q100" s="13">
        <f t="shared" si="4"/>
        <v>0.007021495049</v>
      </c>
      <c r="R100" s="13">
        <f t="shared" si="5"/>
        <v>0.003212665187</v>
      </c>
      <c r="S100" s="14">
        <f t="shared" si="6"/>
        <v>0.9314466472</v>
      </c>
      <c r="T100" s="14">
        <f t="shared" si="7"/>
        <v>1.413627339</v>
      </c>
      <c r="U100" s="14">
        <f t="shared" si="8"/>
        <v>0.7012179924</v>
      </c>
    </row>
    <row r="101" ht="15.75" customHeight="1">
      <c r="A101" s="9">
        <v>45381.6375436574</v>
      </c>
      <c r="B101" s="10">
        <v>15.0</v>
      </c>
      <c r="C101" s="10" t="s">
        <v>69</v>
      </c>
      <c r="D101" s="10" t="s">
        <v>344</v>
      </c>
      <c r="E101" s="12" t="s">
        <v>62</v>
      </c>
      <c r="F101" s="11">
        <v>119592.0</v>
      </c>
      <c r="G101" s="11">
        <v>8711.0</v>
      </c>
      <c r="H101" s="11">
        <v>6076.0</v>
      </c>
      <c r="I101" s="11">
        <v>4716.0</v>
      </c>
      <c r="J101" s="11">
        <v>520.0</v>
      </c>
      <c r="K101" s="11">
        <v>21.0</v>
      </c>
      <c r="L101" s="11">
        <v>67.0</v>
      </c>
      <c r="M101" s="13">
        <f t="shared" ref="M101:O101" si="103">IFERROR(G101/F101,"")</f>
        <v>0.07283932036</v>
      </c>
      <c r="N101" s="13">
        <f t="shared" si="103"/>
        <v>0.6975088968</v>
      </c>
      <c r="O101" s="14">
        <f t="shared" si="103"/>
        <v>0.7761685319</v>
      </c>
      <c r="P101" s="13">
        <f t="shared" si="3"/>
        <v>0.08558262014</v>
      </c>
      <c r="Q101" s="13">
        <f t="shared" si="4"/>
        <v>0.003456221198</v>
      </c>
      <c r="R101" s="13">
        <f t="shared" si="5"/>
        <v>0.01102699144</v>
      </c>
      <c r="S101" s="14">
        <f t="shared" si="6"/>
        <v>1.818401866</v>
      </c>
      <c r="T101" s="14">
        <f t="shared" si="7"/>
        <v>1.246295215</v>
      </c>
      <c r="U101" s="14">
        <f t="shared" si="8"/>
        <v>0.3451635974</v>
      </c>
    </row>
    <row r="102" ht="15.75" customHeight="1">
      <c r="A102" s="9">
        <v>45383.5540325695</v>
      </c>
      <c r="B102" s="10">
        <v>13.0</v>
      </c>
      <c r="C102" s="10" t="s">
        <v>71</v>
      </c>
      <c r="D102" s="10" t="s">
        <v>347</v>
      </c>
      <c r="E102" s="12" t="s">
        <v>62</v>
      </c>
      <c r="F102" s="11">
        <v>659607.0</v>
      </c>
      <c r="G102" s="11">
        <v>17396.0</v>
      </c>
      <c r="H102" s="11">
        <v>10057.0</v>
      </c>
      <c r="I102" s="11">
        <v>3631.0</v>
      </c>
      <c r="J102" s="11">
        <v>379.0</v>
      </c>
      <c r="K102" s="11">
        <v>205.0</v>
      </c>
      <c r="L102" s="11">
        <v>35.0</v>
      </c>
      <c r="M102" s="13">
        <f t="shared" ref="M102:O102" si="104">IFERROR(G102/F102,"")</f>
        <v>0.02637327985</v>
      </c>
      <c r="N102" s="13">
        <f t="shared" si="104"/>
        <v>0.5781214072</v>
      </c>
      <c r="O102" s="14">
        <f t="shared" si="104"/>
        <v>0.3610420603</v>
      </c>
      <c r="P102" s="13">
        <f t="shared" si="3"/>
        <v>0.03768519439</v>
      </c>
      <c r="Q102" s="13">
        <f t="shared" si="4"/>
        <v>0.02038381227</v>
      </c>
      <c r="R102" s="13">
        <f t="shared" si="5"/>
        <v>0.00348016307</v>
      </c>
      <c r="S102" s="14">
        <f t="shared" si="6"/>
        <v>0.6606448542</v>
      </c>
      <c r="T102" s="14">
        <f t="shared" si="7"/>
        <v>1.044809199</v>
      </c>
      <c r="U102" s="14">
        <f t="shared" si="8"/>
        <v>2.017997415</v>
      </c>
    </row>
    <row r="103" ht="15.75" customHeight="1">
      <c r="A103" s="9">
        <v>45385.4760577894</v>
      </c>
      <c r="B103" s="10">
        <v>11.0</v>
      </c>
      <c r="C103" s="10" t="s">
        <v>80</v>
      </c>
      <c r="D103" s="10" t="s">
        <v>350</v>
      </c>
      <c r="E103" s="12" t="s">
        <v>62</v>
      </c>
      <c r="F103" s="11">
        <v>278779.0</v>
      </c>
      <c r="G103" s="11">
        <v>11129.0</v>
      </c>
      <c r="H103" s="11">
        <v>6618.0</v>
      </c>
      <c r="I103" s="11">
        <v>5554.0</v>
      </c>
      <c r="J103" s="11">
        <v>362.0</v>
      </c>
      <c r="K103" s="11">
        <v>224.0</v>
      </c>
      <c r="L103" s="11">
        <v>22.0</v>
      </c>
      <c r="M103" s="13">
        <f t="shared" ref="M103:O103" si="105">IFERROR(G103/F103,"")</f>
        <v>0.03992051051</v>
      </c>
      <c r="N103" s="13">
        <f t="shared" si="105"/>
        <v>0.5946625932</v>
      </c>
      <c r="O103" s="14">
        <f t="shared" si="105"/>
        <v>0.8392263524</v>
      </c>
      <c r="P103" s="13">
        <f t="shared" si="3"/>
        <v>0.05469930493</v>
      </c>
      <c r="Q103" s="13">
        <f t="shared" si="4"/>
        <v>0.03384708371</v>
      </c>
      <c r="R103" s="13">
        <f t="shared" si="5"/>
        <v>0.00332426715</v>
      </c>
      <c r="S103" s="14">
        <f t="shared" si="6"/>
        <v>1</v>
      </c>
      <c r="T103" s="14">
        <f t="shared" si="7"/>
        <v>1.050632297</v>
      </c>
      <c r="U103" s="14">
        <f t="shared" si="8"/>
        <v>3.350861287</v>
      </c>
    </row>
    <row r="104" ht="15.75" customHeight="1">
      <c r="A104" s="9">
        <v>45387.56053125</v>
      </c>
      <c r="B104" s="10">
        <v>13.0</v>
      </c>
      <c r="C104" s="10" t="s">
        <v>60</v>
      </c>
      <c r="D104" s="10" t="s">
        <v>353</v>
      </c>
      <c r="E104" s="12" t="s">
        <v>62</v>
      </c>
      <c r="F104" s="11">
        <v>46436.0</v>
      </c>
      <c r="G104" s="11">
        <v>720.0</v>
      </c>
      <c r="H104" s="11">
        <v>428.0</v>
      </c>
      <c r="I104" s="11">
        <v>514.0</v>
      </c>
      <c r="J104" s="11">
        <v>57.0</v>
      </c>
      <c r="K104" s="11">
        <v>1.0</v>
      </c>
      <c r="L104" s="11">
        <v>3.0</v>
      </c>
      <c r="M104" s="13">
        <f t="shared" ref="M104:O104" si="106">IFERROR(G104/F104,"")</f>
        <v>0.01550521147</v>
      </c>
      <c r="N104" s="13">
        <f t="shared" si="106"/>
        <v>0.5944444444</v>
      </c>
      <c r="O104" s="14">
        <f t="shared" si="106"/>
        <v>1.200934579</v>
      </c>
      <c r="P104" s="13">
        <f t="shared" si="3"/>
        <v>0.1331775701</v>
      </c>
      <c r="Q104" s="13">
        <f t="shared" si="4"/>
        <v>0.002336448598</v>
      </c>
      <c r="R104" s="13">
        <f t="shared" si="5"/>
        <v>0.007009345794</v>
      </c>
      <c r="S104" s="14">
        <f t="shared" si="6"/>
        <v>0.3870808423</v>
      </c>
      <c r="T104" s="14">
        <f t="shared" si="7"/>
        <v>1.062141673</v>
      </c>
      <c r="U104" s="14">
        <f t="shared" si="8"/>
        <v>0.2356427949</v>
      </c>
    </row>
    <row r="105" ht="15.75" customHeight="1">
      <c r="A105" s="9">
        <v>45389.4936276968</v>
      </c>
      <c r="B105" s="10">
        <v>11.0</v>
      </c>
      <c r="C105" s="10" t="s">
        <v>77</v>
      </c>
      <c r="D105" s="10" t="s">
        <v>356</v>
      </c>
      <c r="E105" s="12" t="s">
        <v>62</v>
      </c>
      <c r="F105" s="11">
        <v>79592.0</v>
      </c>
      <c r="G105" s="11">
        <v>6682.0</v>
      </c>
      <c r="H105" s="11">
        <v>2443.0</v>
      </c>
      <c r="I105" s="11">
        <v>1740.0</v>
      </c>
      <c r="J105" s="11">
        <v>209.0</v>
      </c>
      <c r="K105" s="11">
        <v>11.0</v>
      </c>
      <c r="L105" s="11">
        <v>11.0</v>
      </c>
      <c r="M105" s="13">
        <f t="shared" ref="M105:O105" si="107">IFERROR(G105/F105,"")</f>
        <v>0.08395316112</v>
      </c>
      <c r="N105" s="13">
        <f t="shared" si="107"/>
        <v>0.3656090991</v>
      </c>
      <c r="O105" s="14">
        <f t="shared" si="107"/>
        <v>0.7122390503</v>
      </c>
      <c r="P105" s="13">
        <f t="shared" si="3"/>
        <v>0.0855505526</v>
      </c>
      <c r="Q105" s="13">
        <f t="shared" si="4"/>
        <v>0.004502660663</v>
      </c>
      <c r="R105" s="13">
        <f t="shared" si="5"/>
        <v>0.004502660663</v>
      </c>
      <c r="S105" s="14">
        <f t="shared" si="6"/>
        <v>2.095854054</v>
      </c>
      <c r="T105" s="14">
        <f t="shared" si="7"/>
        <v>0.6645409484</v>
      </c>
      <c r="U105" s="14">
        <f t="shared" si="8"/>
        <v>0.4496687171</v>
      </c>
    </row>
    <row r="106" ht="15.75" customHeight="1">
      <c r="A106" s="9">
        <v>45391.5295122338</v>
      </c>
      <c r="B106" s="10">
        <v>12.0</v>
      </c>
      <c r="C106" s="10" t="s">
        <v>59</v>
      </c>
      <c r="D106" s="10" t="s">
        <v>359</v>
      </c>
      <c r="E106" s="12" t="s">
        <v>62</v>
      </c>
      <c r="F106" s="11">
        <v>7651.0</v>
      </c>
      <c r="G106" s="11">
        <v>1353.0</v>
      </c>
      <c r="H106" s="11">
        <v>594.0</v>
      </c>
      <c r="I106" s="11">
        <v>369.0</v>
      </c>
      <c r="J106" s="11">
        <v>81.0</v>
      </c>
      <c r="K106" s="11">
        <v>6.0</v>
      </c>
      <c r="L106" s="11">
        <v>3.0</v>
      </c>
      <c r="M106" s="13">
        <f t="shared" ref="M106:O106" si="108">IFERROR(G106/F106,"")</f>
        <v>0.1768396288</v>
      </c>
      <c r="N106" s="13">
        <f t="shared" si="108"/>
        <v>0.4390243902</v>
      </c>
      <c r="O106" s="14">
        <f t="shared" si="108"/>
        <v>0.6212121212</v>
      </c>
      <c r="P106" s="13">
        <f t="shared" si="3"/>
        <v>0.1363636364</v>
      </c>
      <c r="Q106" s="13">
        <f t="shared" si="4"/>
        <v>0.0101010101</v>
      </c>
      <c r="R106" s="13">
        <f t="shared" si="5"/>
        <v>0.005050505051</v>
      </c>
      <c r="S106" s="14">
        <f t="shared" si="6"/>
        <v>4.41472421</v>
      </c>
      <c r="T106" s="14">
        <f t="shared" si="7"/>
        <v>0.8107496316</v>
      </c>
      <c r="U106" s="14">
        <f t="shared" si="8"/>
        <v>0.9793814433</v>
      </c>
    </row>
    <row r="107" ht="15.75" customHeight="1">
      <c r="A107" s="9">
        <v>45393.5459450579</v>
      </c>
      <c r="B107" s="10">
        <v>13.0</v>
      </c>
      <c r="C107" s="10" t="s">
        <v>84</v>
      </c>
      <c r="D107" s="10" t="s">
        <v>362</v>
      </c>
      <c r="E107" s="12" t="s">
        <v>62</v>
      </c>
      <c r="F107" s="11">
        <v>26793.0</v>
      </c>
      <c r="G107" s="11">
        <v>1097.0</v>
      </c>
      <c r="H107" s="11">
        <v>607.0</v>
      </c>
      <c r="I107" s="11">
        <v>698.0</v>
      </c>
      <c r="J107" s="11">
        <v>83.0</v>
      </c>
      <c r="K107" s="11">
        <v>6.0</v>
      </c>
      <c r="L107" s="11">
        <v>4.0</v>
      </c>
      <c r="M107" s="13">
        <f t="shared" ref="M107:O107" si="109">IFERROR(G107/F107,"")</f>
        <v>0.04094353003</v>
      </c>
      <c r="N107" s="13">
        <f t="shared" si="109"/>
        <v>0.5533272562</v>
      </c>
      <c r="O107" s="14">
        <f t="shared" si="109"/>
        <v>1.149917628</v>
      </c>
      <c r="P107" s="13">
        <f t="shared" si="3"/>
        <v>0.136738056</v>
      </c>
      <c r="Q107" s="13">
        <f t="shared" si="4"/>
        <v>0.009884678748</v>
      </c>
      <c r="R107" s="13">
        <f t="shared" si="5"/>
        <v>0.006589785832</v>
      </c>
      <c r="S107" s="14">
        <f t="shared" si="6"/>
        <v>1.018671986</v>
      </c>
      <c r="T107" s="14">
        <f t="shared" si="7"/>
        <v>1.03232697</v>
      </c>
      <c r="U107" s="14">
        <f t="shared" si="8"/>
        <v>0.9390444811</v>
      </c>
    </row>
    <row r="108" ht="15.75" customHeight="1">
      <c r="A108" s="9">
        <v>45395.5118520023</v>
      </c>
      <c r="B108" s="10">
        <v>12.0</v>
      </c>
      <c r="C108" s="10" t="s">
        <v>69</v>
      </c>
      <c r="D108" s="10" t="s">
        <v>365</v>
      </c>
      <c r="E108" s="12" t="s">
        <v>62</v>
      </c>
      <c r="F108" s="11">
        <v>4376348.0</v>
      </c>
      <c r="G108" s="11">
        <v>266256.0</v>
      </c>
      <c r="H108" s="11">
        <v>188726.0</v>
      </c>
      <c r="I108" s="11">
        <v>141890.0</v>
      </c>
      <c r="J108" s="11">
        <v>3918.0</v>
      </c>
      <c r="K108" s="11">
        <v>1064.0</v>
      </c>
      <c r="L108" s="11">
        <v>826.0</v>
      </c>
      <c r="M108" s="13">
        <f t="shared" ref="M108:O108" si="110">IFERROR(G108/F108,"")</f>
        <v>0.06083976868</v>
      </c>
      <c r="N108" s="13">
        <f t="shared" si="110"/>
        <v>0.7088140737</v>
      </c>
      <c r="O108" s="14">
        <f t="shared" si="110"/>
        <v>0.7518306964</v>
      </c>
      <c r="P108" s="13">
        <f t="shared" si="3"/>
        <v>0.02076025561</v>
      </c>
      <c r="Q108" s="13">
        <f t="shared" si="4"/>
        <v>0.005637802952</v>
      </c>
      <c r="R108" s="13">
        <f t="shared" si="5"/>
        <v>0.00437671545</v>
      </c>
      <c r="S108" s="14">
        <f t="shared" si="6"/>
        <v>1.504514914</v>
      </c>
      <c r="T108" s="14">
        <f t="shared" si="7"/>
        <v>1.308972262</v>
      </c>
      <c r="U108" s="14">
        <f t="shared" si="8"/>
        <v>0.5114700494</v>
      </c>
    </row>
    <row r="109" ht="15.75" customHeight="1">
      <c r="A109" s="9">
        <v>45397.4854395602</v>
      </c>
      <c r="B109" s="10">
        <v>11.0</v>
      </c>
      <c r="C109" s="10" t="s">
        <v>71</v>
      </c>
      <c r="D109" s="10" t="s">
        <v>367</v>
      </c>
      <c r="E109" s="12" t="s">
        <v>62</v>
      </c>
      <c r="F109" s="11">
        <v>19414.0</v>
      </c>
      <c r="G109" s="11">
        <v>883.0</v>
      </c>
      <c r="H109" s="11">
        <v>414.0</v>
      </c>
      <c r="I109" s="11">
        <v>403.0</v>
      </c>
      <c r="J109" s="11">
        <v>29.0</v>
      </c>
      <c r="K109" s="11">
        <v>7.0</v>
      </c>
      <c r="L109" s="11">
        <v>5.0</v>
      </c>
      <c r="M109" s="13">
        <f t="shared" ref="M109:O109" si="111">IFERROR(G109/F109,"")</f>
        <v>0.04548264139</v>
      </c>
      <c r="N109" s="13">
        <f t="shared" si="111"/>
        <v>0.4688561721</v>
      </c>
      <c r="O109" s="14">
        <f t="shared" si="111"/>
        <v>0.9734299517</v>
      </c>
      <c r="P109" s="13">
        <f t="shared" si="3"/>
        <v>0.07004830918</v>
      </c>
      <c r="Q109" s="13">
        <f t="shared" si="4"/>
        <v>0.01690821256</v>
      </c>
      <c r="R109" s="13">
        <f t="shared" si="5"/>
        <v>0.01207729469</v>
      </c>
      <c r="S109" s="14">
        <f t="shared" si="6"/>
        <v>1.13160474</v>
      </c>
      <c r="T109" s="14">
        <f t="shared" si="7"/>
        <v>0.8628151922</v>
      </c>
      <c r="U109" s="14">
        <f t="shared" si="8"/>
        <v>1.548792271</v>
      </c>
    </row>
    <row r="110" ht="15.75" customHeight="1">
      <c r="A110" s="9">
        <v>45399.5152545255</v>
      </c>
      <c r="B110" s="10">
        <v>12.0</v>
      </c>
      <c r="C110" s="10" t="s">
        <v>80</v>
      </c>
      <c r="D110" s="10" t="s">
        <v>370</v>
      </c>
      <c r="E110" s="12" t="s">
        <v>62</v>
      </c>
      <c r="F110" s="11">
        <v>123454.0</v>
      </c>
      <c r="G110" s="11">
        <v>3330.0</v>
      </c>
      <c r="H110" s="11">
        <v>2053.0</v>
      </c>
      <c r="I110" s="11">
        <v>2136.0</v>
      </c>
      <c r="J110" s="11">
        <v>231.0</v>
      </c>
      <c r="K110" s="11">
        <v>49.0</v>
      </c>
      <c r="L110" s="11">
        <v>16.0</v>
      </c>
      <c r="M110" s="13">
        <f t="shared" ref="M110:O110" si="112">IFERROR(G110/F110,"")</f>
        <v>0.0269736096</v>
      </c>
      <c r="N110" s="13">
        <f t="shared" si="112"/>
        <v>0.6165165165</v>
      </c>
      <c r="O110" s="14">
        <f t="shared" si="112"/>
        <v>1.040428641</v>
      </c>
      <c r="P110" s="13">
        <f t="shared" si="3"/>
        <v>0.112518266</v>
      </c>
      <c r="Q110" s="13">
        <f t="shared" si="4"/>
        <v>0.02386751096</v>
      </c>
      <c r="R110" s="13">
        <f t="shared" si="5"/>
        <v>0.007793472966</v>
      </c>
      <c r="S110" s="14">
        <f t="shared" si="6"/>
        <v>0.6711014035</v>
      </c>
      <c r="T110" s="14">
        <f t="shared" si="7"/>
        <v>1.150217382</v>
      </c>
      <c r="U110" s="14">
        <f t="shared" si="8"/>
        <v>2.186264004</v>
      </c>
    </row>
    <row r="111" ht="15.75" customHeight="1">
      <c r="A111" s="9">
        <v>45401.5997426505</v>
      </c>
      <c r="B111" s="10">
        <v>14.0</v>
      </c>
      <c r="C111" s="10" t="s">
        <v>60</v>
      </c>
      <c r="D111" s="10" t="s">
        <v>372</v>
      </c>
      <c r="E111" s="12" t="s">
        <v>62</v>
      </c>
      <c r="F111" s="11">
        <v>85181.0</v>
      </c>
      <c r="G111" s="11">
        <v>996.0</v>
      </c>
      <c r="H111" s="11">
        <v>503.0</v>
      </c>
      <c r="I111" s="11">
        <v>353.0</v>
      </c>
      <c r="J111" s="11">
        <v>52.0</v>
      </c>
      <c r="K111" s="11">
        <v>2.0</v>
      </c>
      <c r="L111" s="11">
        <v>12.0</v>
      </c>
      <c r="M111" s="13">
        <f t="shared" ref="M111:O111" si="113">IFERROR(G111/F111,"")</f>
        <v>0.01169274838</v>
      </c>
      <c r="N111" s="13">
        <f t="shared" si="113"/>
        <v>0.5050200803</v>
      </c>
      <c r="O111" s="14">
        <f t="shared" si="113"/>
        <v>0.7017892644</v>
      </c>
      <c r="P111" s="13">
        <f t="shared" si="3"/>
        <v>0.1033797217</v>
      </c>
      <c r="Q111" s="13">
        <f t="shared" si="4"/>
        <v>0.003976143141</v>
      </c>
      <c r="R111" s="13">
        <f t="shared" si="5"/>
        <v>0.02385685885</v>
      </c>
      <c r="S111" s="14">
        <f t="shared" si="6"/>
        <v>0.2919043639</v>
      </c>
      <c r="T111" s="14">
        <f t="shared" si="7"/>
        <v>0.947847769</v>
      </c>
      <c r="U111" s="14">
        <f t="shared" si="8"/>
        <v>0.3708509927</v>
      </c>
    </row>
    <row r="112" ht="15.75" customHeight="1">
      <c r="A112" s="9">
        <v>45403.4940294676</v>
      </c>
      <c r="B112" s="10">
        <v>11.0</v>
      </c>
      <c r="C112" s="10" t="s">
        <v>77</v>
      </c>
      <c r="D112" s="10" t="s">
        <v>375</v>
      </c>
      <c r="E112" s="12" t="s">
        <v>62</v>
      </c>
      <c r="F112" s="11">
        <v>167044.0</v>
      </c>
      <c r="G112" s="11">
        <v>14359.0</v>
      </c>
      <c r="H112" s="11">
        <v>4350.0</v>
      </c>
      <c r="I112" s="11">
        <v>3657.0</v>
      </c>
      <c r="J112" s="11">
        <v>239.0</v>
      </c>
      <c r="K112" s="11">
        <v>81.0</v>
      </c>
      <c r="L112" s="11">
        <v>18.0</v>
      </c>
      <c r="M112" s="13">
        <f t="shared" ref="M112:O112" si="114">IFERROR(G112/F112,"")</f>
        <v>0.08595938795</v>
      </c>
      <c r="N112" s="13">
        <f t="shared" si="114"/>
        <v>0.3029458876</v>
      </c>
      <c r="O112" s="14">
        <f t="shared" si="114"/>
        <v>0.8406896552</v>
      </c>
      <c r="P112" s="13">
        <f t="shared" si="3"/>
        <v>0.05494252874</v>
      </c>
      <c r="Q112" s="13">
        <f t="shared" si="4"/>
        <v>0.01862068966</v>
      </c>
      <c r="R112" s="13">
        <f t="shared" si="5"/>
        <v>0.004137931034</v>
      </c>
      <c r="S112" s="14">
        <f t="shared" si="6"/>
        <v>2.138663188</v>
      </c>
      <c r="T112" s="14">
        <f t="shared" si="7"/>
        <v>0.5720122611</v>
      </c>
      <c r="U112" s="14">
        <f t="shared" si="8"/>
        <v>1.768965517</v>
      </c>
    </row>
    <row r="113" ht="15.75" customHeight="1">
      <c r="A113" s="9">
        <v>45405.5103885995</v>
      </c>
      <c r="B113" s="10">
        <v>12.0</v>
      </c>
      <c r="C113" s="10" t="s">
        <v>59</v>
      </c>
      <c r="D113" s="10" t="s">
        <v>377</v>
      </c>
      <c r="E113" s="12" t="s">
        <v>62</v>
      </c>
      <c r="F113" s="11">
        <v>54273.0</v>
      </c>
      <c r="G113" s="11">
        <v>2208.0</v>
      </c>
      <c r="H113" s="11">
        <v>1483.0</v>
      </c>
      <c r="I113" s="11">
        <v>1372.0</v>
      </c>
      <c r="J113" s="11">
        <v>157.0</v>
      </c>
      <c r="K113" s="11">
        <v>36.0</v>
      </c>
      <c r="L113" s="11">
        <v>11.0</v>
      </c>
      <c r="M113" s="13">
        <f t="shared" ref="M113:O113" si="115">IFERROR(G113/F113,"")</f>
        <v>0.04068321265</v>
      </c>
      <c r="N113" s="13">
        <f t="shared" si="115"/>
        <v>0.6716485507</v>
      </c>
      <c r="O113" s="14">
        <f t="shared" si="115"/>
        <v>0.9251517195</v>
      </c>
      <c r="P113" s="13">
        <f t="shared" si="3"/>
        <v>0.1058664869</v>
      </c>
      <c r="Q113" s="13">
        <f t="shared" si="4"/>
        <v>0.024275118</v>
      </c>
      <c r="R113" s="13">
        <f t="shared" si="5"/>
        <v>0.007417397168</v>
      </c>
      <c r="S113" s="14">
        <f t="shared" si="6"/>
        <v>1.006060698</v>
      </c>
      <c r="T113" s="14">
        <f t="shared" si="7"/>
        <v>1.274047633</v>
      </c>
      <c r="U113" s="14">
        <f t="shared" si="8"/>
        <v>2.26411658</v>
      </c>
    </row>
    <row r="114" ht="15.75" customHeight="1">
      <c r="A114" s="9">
        <v>45407.5116113079</v>
      </c>
      <c r="B114" s="10">
        <v>12.0</v>
      </c>
      <c r="C114" s="10" t="s">
        <v>84</v>
      </c>
      <c r="D114" s="10" t="s">
        <v>380</v>
      </c>
      <c r="E114" s="12" t="s">
        <v>62</v>
      </c>
      <c r="F114" s="11">
        <v>5970893.0</v>
      </c>
      <c r="G114" s="11">
        <v>325564.0</v>
      </c>
      <c r="H114" s="11">
        <v>188445.0</v>
      </c>
      <c r="I114" s="11">
        <v>154010.0</v>
      </c>
      <c r="J114" s="11">
        <v>5172.0</v>
      </c>
      <c r="K114" s="11">
        <v>1225.0</v>
      </c>
      <c r="L114" s="11">
        <v>888.0</v>
      </c>
      <c r="M114" s="13">
        <f t="shared" ref="M114:O114" si="116">IFERROR(G114/F114,"")</f>
        <v>0.05452517739</v>
      </c>
      <c r="N114" s="13">
        <f t="shared" si="116"/>
        <v>0.578826283</v>
      </c>
      <c r="O114" s="14">
        <f t="shared" si="116"/>
        <v>0.8172676378</v>
      </c>
      <c r="P114" s="13">
        <f t="shared" si="3"/>
        <v>0.0274456738</v>
      </c>
      <c r="Q114" s="13">
        <f t="shared" si="4"/>
        <v>0.006500570458</v>
      </c>
      <c r="R114" s="13">
        <f t="shared" si="5"/>
        <v>0.004712250259</v>
      </c>
      <c r="S114" s="14">
        <f t="shared" si="6"/>
        <v>1.34023775</v>
      </c>
      <c r="T114" s="14">
        <f t="shared" si="7"/>
        <v>1.092920368</v>
      </c>
      <c r="U114" s="14">
        <f t="shared" si="8"/>
        <v>0.6175541935</v>
      </c>
    </row>
    <row r="115" ht="15.75" customHeight="1">
      <c r="A115" s="9">
        <v>45409.5469170718</v>
      </c>
      <c r="B115" s="10">
        <v>13.0</v>
      </c>
      <c r="C115" s="10" t="s">
        <v>69</v>
      </c>
      <c r="D115" s="10" t="s">
        <v>383</v>
      </c>
      <c r="E115" s="12" t="s">
        <v>62</v>
      </c>
      <c r="F115" s="11">
        <v>683697.0</v>
      </c>
      <c r="G115" s="11">
        <v>35246.0</v>
      </c>
      <c r="H115" s="11">
        <v>20671.0</v>
      </c>
      <c r="I115" s="11">
        <v>22489.0</v>
      </c>
      <c r="J115" s="11">
        <v>350.0</v>
      </c>
      <c r="K115" s="11">
        <v>176.0</v>
      </c>
      <c r="L115" s="11">
        <v>67.0</v>
      </c>
      <c r="M115" s="13">
        <f t="shared" ref="M115:O115" si="117">IFERROR(G115/F115,"")</f>
        <v>0.05155207643</v>
      </c>
      <c r="N115" s="13">
        <f t="shared" si="117"/>
        <v>0.5864778982</v>
      </c>
      <c r="O115" s="14">
        <f t="shared" si="117"/>
        <v>1.087949301</v>
      </c>
      <c r="P115" s="13">
        <f t="shared" si="3"/>
        <v>0.01693193363</v>
      </c>
      <c r="Q115" s="13">
        <f t="shared" si="4"/>
        <v>0.008514343767</v>
      </c>
      <c r="R115" s="13">
        <f t="shared" si="5"/>
        <v>0.003241255866</v>
      </c>
      <c r="S115" s="14">
        <f t="shared" si="6"/>
        <v>1.239471329</v>
      </c>
      <c r="T115" s="14">
        <f t="shared" si="7"/>
        <v>1.11248774</v>
      </c>
      <c r="U115" s="14">
        <f t="shared" si="8"/>
        <v>0.8255402384</v>
      </c>
    </row>
    <row r="116" ht="15.75" customHeight="1">
      <c r="A116" s="9">
        <v>45411.4926340972</v>
      </c>
      <c r="B116" s="10">
        <v>11.0</v>
      </c>
      <c r="C116" s="10" t="s">
        <v>71</v>
      </c>
      <c r="D116" s="10" t="s">
        <v>385</v>
      </c>
      <c r="E116" s="12" t="s">
        <v>62</v>
      </c>
      <c r="F116" s="11">
        <v>601539.0</v>
      </c>
      <c r="G116" s="11">
        <v>18623.0</v>
      </c>
      <c r="H116" s="11">
        <v>13263.0</v>
      </c>
      <c r="I116" s="11">
        <v>16326.0</v>
      </c>
      <c r="J116" s="11">
        <v>388.0</v>
      </c>
      <c r="K116" s="11">
        <v>105.0</v>
      </c>
      <c r="L116" s="11">
        <v>73.0</v>
      </c>
      <c r="M116" s="13">
        <f t="shared" ref="M116:O116" si="118">IFERROR(G116/F116,"")</f>
        <v>0.03095892369</v>
      </c>
      <c r="N116" s="13">
        <f t="shared" si="118"/>
        <v>0.7121838587</v>
      </c>
      <c r="O116" s="14">
        <f t="shared" si="118"/>
        <v>1.230943226</v>
      </c>
      <c r="P116" s="13">
        <f t="shared" si="3"/>
        <v>0.02925431652</v>
      </c>
      <c r="Q116" s="13">
        <f t="shared" si="4"/>
        <v>0.007916760914</v>
      </c>
      <c r="R116" s="13">
        <f t="shared" si="5"/>
        <v>0.005504033778</v>
      </c>
      <c r="S116" s="14">
        <f t="shared" si="6"/>
        <v>0.7329213327</v>
      </c>
      <c r="T116" s="14">
        <f t="shared" si="7"/>
        <v>1.357213904</v>
      </c>
      <c r="U116" s="14">
        <f t="shared" si="8"/>
        <v>0.7520922868</v>
      </c>
    </row>
    <row r="117" ht="15.75" customHeight="1">
      <c r="A117" s="9">
        <v>45413.4874966551</v>
      </c>
      <c r="B117" s="10">
        <v>11.0</v>
      </c>
      <c r="C117" s="10" t="s">
        <v>80</v>
      </c>
      <c r="D117" s="10" t="s">
        <v>388</v>
      </c>
      <c r="E117" s="12" t="s">
        <v>62</v>
      </c>
      <c r="F117" s="11">
        <v>6474.0</v>
      </c>
      <c r="G117" s="11">
        <v>117.0</v>
      </c>
      <c r="H117" s="11">
        <v>64.0</v>
      </c>
      <c r="I117" s="11">
        <v>51.0</v>
      </c>
      <c r="J117" s="11">
        <v>18.0</v>
      </c>
      <c r="K117" s="11">
        <v>2.0</v>
      </c>
      <c r="L117" s="11">
        <v>0.0</v>
      </c>
      <c r="M117" s="13">
        <f t="shared" ref="M117:O117" si="119">IFERROR(G117/F117,"")</f>
        <v>0.01807228916</v>
      </c>
      <c r="N117" s="13">
        <f t="shared" si="119"/>
        <v>0.547008547</v>
      </c>
      <c r="O117" s="14">
        <f t="shared" si="119"/>
        <v>0.796875</v>
      </c>
      <c r="P117" s="13">
        <f t="shared" si="3"/>
        <v>0.28125</v>
      </c>
      <c r="Q117" s="13">
        <f t="shared" si="4"/>
        <v>0.03125</v>
      </c>
      <c r="R117" s="13">
        <f t="shared" si="5"/>
        <v>0</v>
      </c>
      <c r="S117" s="14">
        <f t="shared" si="6"/>
        <v>0.4413954817</v>
      </c>
      <c r="T117" s="14">
        <f t="shared" si="7"/>
        <v>1.042438124</v>
      </c>
      <c r="U117" s="14">
        <f t="shared" si="8"/>
        <v>3.09375</v>
      </c>
    </row>
    <row r="118" ht="15.75" customHeight="1">
      <c r="A118" s="9">
        <v>45415.5099972917</v>
      </c>
      <c r="B118" s="10">
        <v>12.0</v>
      </c>
      <c r="C118" s="10" t="s">
        <v>60</v>
      </c>
      <c r="D118" s="10" t="s">
        <v>391</v>
      </c>
      <c r="E118" s="12" t="s">
        <v>62</v>
      </c>
      <c r="F118" s="11">
        <v>936111.0</v>
      </c>
      <c r="G118" s="11">
        <v>31966.0</v>
      </c>
      <c r="H118" s="11">
        <v>19859.0</v>
      </c>
      <c r="I118" s="11">
        <v>19496.0</v>
      </c>
      <c r="J118" s="11">
        <v>725.0</v>
      </c>
      <c r="K118" s="11">
        <v>221.0</v>
      </c>
      <c r="L118" s="11">
        <v>103.0</v>
      </c>
      <c r="M118" s="13">
        <f t="shared" ref="M118:O118" si="120">IFERROR(G118/F118,"")</f>
        <v>0.03414765984</v>
      </c>
      <c r="N118" s="13">
        <f t="shared" si="120"/>
        <v>0.6212538322</v>
      </c>
      <c r="O118" s="14">
        <f t="shared" si="120"/>
        <v>0.981721134</v>
      </c>
      <c r="P118" s="13">
        <f t="shared" si="3"/>
        <v>0.03650737701</v>
      </c>
      <c r="Q118" s="13">
        <f t="shared" si="4"/>
        <v>0.01112845561</v>
      </c>
      <c r="R118" s="13">
        <f t="shared" si="5"/>
        <v>0.005186565285</v>
      </c>
      <c r="S118" s="14">
        <f t="shared" si="6"/>
        <v>0.8084114489</v>
      </c>
      <c r="T118" s="14">
        <f t="shared" si="7"/>
        <v>1.183927899</v>
      </c>
      <c r="U118" s="14">
        <f t="shared" si="8"/>
        <v>1.057203283</v>
      </c>
    </row>
    <row r="119" ht="15.75" customHeight="1">
      <c r="A119" s="9">
        <v>45417.5246195602</v>
      </c>
      <c r="B119" s="10">
        <v>12.0</v>
      </c>
      <c r="C119" s="10" t="s">
        <v>77</v>
      </c>
      <c r="D119" s="10" t="s">
        <v>393</v>
      </c>
      <c r="E119" s="12" t="s">
        <v>62</v>
      </c>
      <c r="F119" s="11">
        <v>17229.0</v>
      </c>
      <c r="G119" s="11">
        <v>875.0</v>
      </c>
      <c r="H119" s="11">
        <v>469.0</v>
      </c>
      <c r="I119" s="11">
        <v>495.0</v>
      </c>
      <c r="J119" s="11">
        <v>57.0</v>
      </c>
      <c r="K119" s="11">
        <v>23.0</v>
      </c>
      <c r="L119" s="11">
        <v>3.0</v>
      </c>
      <c r="M119" s="13">
        <f t="shared" ref="M119:O119" si="121">IFERROR(G119/F119,"")</f>
        <v>0.05078646468</v>
      </c>
      <c r="N119" s="13">
        <f t="shared" si="121"/>
        <v>0.536</v>
      </c>
      <c r="O119" s="14">
        <f t="shared" si="121"/>
        <v>1.0554371</v>
      </c>
      <c r="P119" s="13">
        <f t="shared" si="3"/>
        <v>0.1215351812</v>
      </c>
      <c r="Q119" s="13">
        <f t="shared" si="4"/>
        <v>0.04904051173</v>
      </c>
      <c r="R119" s="13">
        <f t="shared" si="5"/>
        <v>0.006396588486</v>
      </c>
      <c r="S119" s="14">
        <f t="shared" si="6"/>
        <v>1.193017814</v>
      </c>
      <c r="T119" s="14">
        <f t="shared" si="7"/>
        <v>1.032925988</v>
      </c>
      <c r="U119" s="14">
        <f t="shared" si="8"/>
        <v>4.658848614</v>
      </c>
    </row>
    <row r="120" ht="15.75" customHeight="1">
      <c r="A120" s="9">
        <v>45419.507957037</v>
      </c>
      <c r="B120" s="10">
        <v>12.0</v>
      </c>
      <c r="C120" s="10" t="s">
        <v>59</v>
      </c>
      <c r="D120" s="10" t="s">
        <v>396</v>
      </c>
      <c r="E120" s="12" t="s">
        <v>62</v>
      </c>
      <c r="F120" s="11">
        <v>37867.0</v>
      </c>
      <c r="G120" s="11">
        <v>2910.0</v>
      </c>
      <c r="H120" s="11">
        <v>645.0</v>
      </c>
      <c r="I120" s="11">
        <v>585.0</v>
      </c>
      <c r="J120" s="11">
        <v>122.0</v>
      </c>
      <c r="K120" s="11">
        <v>14.0</v>
      </c>
      <c r="L120" s="11">
        <v>7.0</v>
      </c>
      <c r="M120" s="13">
        <f t="shared" ref="M120:O120" si="122">IFERROR(G120/F120,"")</f>
        <v>0.07684791507</v>
      </c>
      <c r="N120" s="13">
        <f t="shared" si="122"/>
        <v>0.2216494845</v>
      </c>
      <c r="O120" s="14">
        <f t="shared" si="122"/>
        <v>0.9069767442</v>
      </c>
      <c r="P120" s="13">
        <f t="shared" si="3"/>
        <v>0.1891472868</v>
      </c>
      <c r="Q120" s="13">
        <f t="shared" si="4"/>
        <v>0.02170542636</v>
      </c>
      <c r="R120" s="13">
        <f t="shared" si="5"/>
        <v>0.01085271318</v>
      </c>
      <c r="S120" s="14">
        <f t="shared" si="6"/>
        <v>1.75088424</v>
      </c>
      <c r="T120" s="14">
        <f t="shared" si="7"/>
        <v>0.4223990177</v>
      </c>
      <c r="U120" s="14">
        <f t="shared" si="8"/>
        <v>2.062015504</v>
      </c>
    </row>
    <row r="121" ht="15.75" customHeight="1">
      <c r="A121" s="9">
        <v>45421.4905445023</v>
      </c>
      <c r="B121" s="10">
        <v>11.0</v>
      </c>
      <c r="C121" s="10" t="s">
        <v>84</v>
      </c>
      <c r="D121" s="10" t="s">
        <v>399</v>
      </c>
      <c r="E121" s="12" t="s">
        <v>62</v>
      </c>
      <c r="F121" s="11">
        <v>280841.0</v>
      </c>
      <c r="G121" s="11">
        <v>21373.0</v>
      </c>
      <c r="H121" s="11">
        <v>12916.0</v>
      </c>
      <c r="I121" s="11">
        <v>12608.0</v>
      </c>
      <c r="J121" s="11">
        <v>467.0</v>
      </c>
      <c r="K121" s="11">
        <v>27.0</v>
      </c>
      <c r="L121" s="11">
        <v>42.0</v>
      </c>
      <c r="M121" s="13">
        <f t="shared" ref="M121:O121" si="123">IFERROR(G121/F121,"")</f>
        <v>0.07610356038</v>
      </c>
      <c r="N121" s="13">
        <f t="shared" si="123"/>
        <v>0.6043138539</v>
      </c>
      <c r="O121" s="14">
        <f t="shared" si="123"/>
        <v>0.9761536079</v>
      </c>
      <c r="P121" s="13">
        <f t="shared" si="3"/>
        <v>0.03615670486</v>
      </c>
      <c r="Q121" s="13">
        <f t="shared" si="4"/>
        <v>0.002090430474</v>
      </c>
      <c r="R121" s="13">
        <f t="shared" si="5"/>
        <v>0.003251780737</v>
      </c>
      <c r="S121" s="14">
        <f t="shared" si="6"/>
        <v>1.733925044</v>
      </c>
      <c r="T121" s="14">
        <f t="shared" si="7"/>
        <v>1.15164526</v>
      </c>
      <c r="U121" s="14">
        <f t="shared" si="8"/>
        <v>0.1914834314</v>
      </c>
    </row>
    <row r="122" ht="15.75" customHeight="1">
      <c r="A122" s="9">
        <v>45423.4968106482</v>
      </c>
      <c r="B122" s="10">
        <v>11.0</v>
      </c>
      <c r="C122" s="10" t="s">
        <v>69</v>
      </c>
      <c r="D122" s="10" t="s">
        <v>402</v>
      </c>
      <c r="E122" s="12" t="s">
        <v>62</v>
      </c>
      <c r="F122" s="11">
        <v>766568.0</v>
      </c>
      <c r="G122" s="11">
        <v>16667.0</v>
      </c>
      <c r="H122" s="11">
        <v>7609.0</v>
      </c>
      <c r="I122" s="11">
        <v>9223.0</v>
      </c>
      <c r="J122" s="11">
        <v>313.0</v>
      </c>
      <c r="K122" s="11">
        <v>101.0</v>
      </c>
      <c r="L122" s="11">
        <v>40.0</v>
      </c>
      <c r="M122" s="13">
        <f t="shared" ref="M122:O122" si="124">IFERROR(G122/F122,"")</f>
        <v>0.02174236337</v>
      </c>
      <c r="N122" s="13">
        <f t="shared" si="124"/>
        <v>0.4565308694</v>
      </c>
      <c r="O122" s="14">
        <f t="shared" si="124"/>
        <v>1.21211723</v>
      </c>
      <c r="P122" s="13">
        <f t="shared" si="3"/>
        <v>0.04113549744</v>
      </c>
      <c r="Q122" s="13">
        <f t="shared" si="4"/>
        <v>0.01327375476</v>
      </c>
      <c r="R122" s="13">
        <f t="shared" si="5"/>
        <v>0.00525693258</v>
      </c>
      <c r="S122" s="14">
        <f t="shared" si="6"/>
        <v>0.4933866685</v>
      </c>
      <c r="T122" s="14">
        <f t="shared" si="7"/>
        <v>0.865991705</v>
      </c>
      <c r="U122" s="14">
        <f t="shared" si="8"/>
        <v>1.287006841</v>
      </c>
    </row>
    <row r="123" ht="15.75" customHeight="1">
      <c r="A123" s="9">
        <v>45425.5163296991</v>
      </c>
      <c r="B123" s="10">
        <v>12.0</v>
      </c>
      <c r="C123" s="10" t="s">
        <v>71</v>
      </c>
      <c r="D123" s="10" t="s">
        <v>405</v>
      </c>
      <c r="E123" s="12" t="s">
        <v>62</v>
      </c>
      <c r="F123" s="11">
        <v>12824.0</v>
      </c>
      <c r="G123" s="11">
        <v>572.0</v>
      </c>
      <c r="H123" s="11">
        <v>272.0</v>
      </c>
      <c r="I123" s="11">
        <v>294.0</v>
      </c>
      <c r="J123" s="11">
        <v>25.0</v>
      </c>
      <c r="K123" s="11">
        <v>4.0</v>
      </c>
      <c r="L123" s="11">
        <v>3.0</v>
      </c>
      <c r="M123" s="13">
        <f t="shared" ref="M123:O123" si="125">IFERROR(G123/F123,"")</f>
        <v>0.04460386775</v>
      </c>
      <c r="N123" s="13">
        <f t="shared" si="125"/>
        <v>0.4755244755</v>
      </c>
      <c r="O123" s="14">
        <f t="shared" si="125"/>
        <v>1.080882353</v>
      </c>
      <c r="P123" s="13">
        <f t="shared" si="3"/>
        <v>0.09191176471</v>
      </c>
      <c r="Q123" s="13">
        <f t="shared" si="4"/>
        <v>0.01470588235</v>
      </c>
      <c r="R123" s="13">
        <f t="shared" si="5"/>
        <v>0.01102941176</v>
      </c>
      <c r="S123" s="14">
        <f t="shared" si="6"/>
        <v>1.004047322</v>
      </c>
      <c r="T123" s="14">
        <f t="shared" si="7"/>
        <v>0.8924888946</v>
      </c>
      <c r="U123" s="14">
        <f t="shared" si="8"/>
        <v>1.42586416</v>
      </c>
    </row>
    <row r="124" ht="15.75" customHeight="1">
      <c r="A124" s="9">
        <v>45427.5359857523</v>
      </c>
      <c r="B124" s="10">
        <v>12.0</v>
      </c>
      <c r="C124" s="10" t="s">
        <v>80</v>
      </c>
      <c r="D124" s="10" t="s">
        <v>408</v>
      </c>
      <c r="E124" s="12" t="s">
        <v>62</v>
      </c>
      <c r="F124" s="11">
        <v>140713.0</v>
      </c>
      <c r="G124" s="11">
        <v>3463.0</v>
      </c>
      <c r="H124" s="11">
        <v>1797.0</v>
      </c>
      <c r="I124" s="11">
        <v>1990.0</v>
      </c>
      <c r="J124" s="11">
        <v>137.0</v>
      </c>
      <c r="K124" s="11">
        <v>31.0</v>
      </c>
      <c r="L124" s="11">
        <v>19.0</v>
      </c>
      <c r="M124" s="13">
        <f t="shared" ref="M124:O124" si="126">IFERROR(G124/F124,"")</f>
        <v>0.02461037715</v>
      </c>
      <c r="N124" s="13">
        <f t="shared" si="126"/>
        <v>0.5189142362</v>
      </c>
      <c r="O124" s="14">
        <f t="shared" si="126"/>
        <v>1.107401224</v>
      </c>
      <c r="P124" s="13">
        <f t="shared" si="3"/>
        <v>0.07623817474</v>
      </c>
      <c r="Q124" s="13">
        <f t="shared" si="4"/>
        <v>0.01725097385</v>
      </c>
      <c r="R124" s="13">
        <f t="shared" si="5"/>
        <v>0.01057317752</v>
      </c>
      <c r="S124" s="14">
        <f t="shared" si="6"/>
        <v>0.5539874569</v>
      </c>
      <c r="T124" s="14">
        <f t="shared" si="7"/>
        <v>0.9739250384</v>
      </c>
      <c r="U124" s="14">
        <f t="shared" si="8"/>
        <v>1.672633083</v>
      </c>
    </row>
    <row r="125" ht="15.75" customHeight="1">
      <c r="A125" s="9">
        <v>45429.4075065625</v>
      </c>
      <c r="B125" s="10">
        <v>9.0</v>
      </c>
      <c r="C125" s="10" t="s">
        <v>60</v>
      </c>
      <c r="D125" s="10" t="s">
        <v>410</v>
      </c>
      <c r="E125" s="12" t="s">
        <v>62</v>
      </c>
      <c r="F125" s="11">
        <v>13302.0</v>
      </c>
      <c r="G125" s="11">
        <v>294.0</v>
      </c>
      <c r="H125" s="11">
        <v>126.0</v>
      </c>
      <c r="I125" s="11">
        <v>83.0</v>
      </c>
      <c r="J125" s="11">
        <v>32.0</v>
      </c>
      <c r="K125" s="11">
        <v>40.0</v>
      </c>
      <c r="L125" s="11">
        <v>3.0</v>
      </c>
      <c r="M125" s="13">
        <f t="shared" ref="M125:O125" si="127">IFERROR(G125/F125,"")</f>
        <v>0.02210193956</v>
      </c>
      <c r="N125" s="13">
        <f t="shared" si="127"/>
        <v>0.4285714286</v>
      </c>
      <c r="O125" s="14">
        <f t="shared" si="127"/>
        <v>0.6587301587</v>
      </c>
      <c r="P125" s="13">
        <f t="shared" si="3"/>
        <v>0.253968254</v>
      </c>
      <c r="Q125" s="13">
        <f t="shared" si="4"/>
        <v>0.3174603175</v>
      </c>
      <c r="R125" s="13">
        <f t="shared" si="5"/>
        <v>0.02380952381</v>
      </c>
      <c r="S125" s="14">
        <f t="shared" si="6"/>
        <v>0.4995435381</v>
      </c>
      <c r="T125" s="14">
        <f t="shared" si="7"/>
        <v>0.8092141928</v>
      </c>
      <c r="U125" s="14">
        <f t="shared" si="8"/>
        <v>31.42857143</v>
      </c>
    </row>
    <row r="126" ht="15.75" customHeight="1">
      <c r="A126" s="9">
        <v>45431.501193044</v>
      </c>
      <c r="B126" s="10">
        <v>12.0</v>
      </c>
      <c r="C126" s="10" t="s">
        <v>77</v>
      </c>
      <c r="D126" s="10" t="s">
        <v>413</v>
      </c>
      <c r="E126" s="12" t="s">
        <v>62</v>
      </c>
      <c r="F126" s="11">
        <v>1.3048326E7</v>
      </c>
      <c r="G126" s="11">
        <v>898288.0</v>
      </c>
      <c r="H126" s="11">
        <v>520405.0</v>
      </c>
      <c r="I126" s="11">
        <v>605594.0</v>
      </c>
      <c r="J126" s="11">
        <v>15267.0</v>
      </c>
      <c r="K126" s="11">
        <v>6173.0</v>
      </c>
      <c r="L126" s="11">
        <v>2376.0</v>
      </c>
      <c r="M126" s="13">
        <f t="shared" ref="M126:O126" si="128">IFERROR(G126/F126,"")</f>
        <v>0.06884316042</v>
      </c>
      <c r="N126" s="13">
        <f t="shared" si="128"/>
        <v>0.5793297918</v>
      </c>
      <c r="O126" s="14">
        <f t="shared" si="128"/>
        <v>1.163697505</v>
      </c>
      <c r="P126" s="13">
        <f t="shared" si="3"/>
        <v>0.02933676656</v>
      </c>
      <c r="Q126" s="13">
        <f t="shared" si="4"/>
        <v>0.01186191524</v>
      </c>
      <c r="R126" s="13">
        <f t="shared" si="5"/>
        <v>0.004565674811</v>
      </c>
      <c r="S126" s="14">
        <f t="shared" si="6"/>
        <v>1.562217363</v>
      </c>
      <c r="T126" s="14">
        <f t="shared" si="7"/>
        <v>1.098928523</v>
      </c>
      <c r="U126" s="14">
        <f t="shared" si="8"/>
        <v>1.150116627</v>
      </c>
    </row>
    <row r="127" ht="15.75" customHeight="1">
      <c r="A127" s="9">
        <v>45433.5426326389</v>
      </c>
      <c r="B127" s="10">
        <v>13.0</v>
      </c>
      <c r="C127" s="10" t="s">
        <v>59</v>
      </c>
      <c r="D127" s="10" t="s">
        <v>416</v>
      </c>
      <c r="E127" s="12" t="s">
        <v>62</v>
      </c>
      <c r="F127" s="11">
        <v>152393.0</v>
      </c>
      <c r="G127" s="11">
        <v>1578.0</v>
      </c>
      <c r="H127" s="11">
        <v>458.0</v>
      </c>
      <c r="I127" s="11">
        <v>315.0</v>
      </c>
      <c r="J127" s="11">
        <v>34.0</v>
      </c>
      <c r="K127" s="11">
        <v>5.0</v>
      </c>
      <c r="L127" s="11">
        <v>7.0</v>
      </c>
      <c r="M127" s="13">
        <f t="shared" ref="M127:O127" si="129">IFERROR(G127/F127,"")</f>
        <v>0.01035480632</v>
      </c>
      <c r="N127" s="13">
        <f t="shared" si="129"/>
        <v>0.2902408112</v>
      </c>
      <c r="O127" s="14">
        <f t="shared" si="129"/>
        <v>0.6877729258</v>
      </c>
      <c r="P127" s="13">
        <f t="shared" si="3"/>
        <v>0.07423580786</v>
      </c>
      <c r="Q127" s="13">
        <f t="shared" si="4"/>
        <v>0.01091703057</v>
      </c>
      <c r="R127" s="13">
        <f t="shared" si="5"/>
        <v>0.01528384279</v>
      </c>
      <c r="S127" s="14">
        <f t="shared" si="6"/>
        <v>0.2340372244</v>
      </c>
      <c r="T127" s="14">
        <f t="shared" si="7"/>
        <v>0.548022962</v>
      </c>
      <c r="U127" s="14">
        <f t="shared" si="8"/>
        <v>1.080786026</v>
      </c>
    </row>
    <row r="128" ht="15.75" customHeight="1">
      <c r="A128" s="9">
        <v>45435.5041312963</v>
      </c>
      <c r="B128" s="10">
        <v>12.0</v>
      </c>
      <c r="C128" s="10" t="s">
        <v>84</v>
      </c>
      <c r="D128" s="10" t="s">
        <v>419</v>
      </c>
      <c r="E128" s="12" t="s">
        <v>62</v>
      </c>
      <c r="F128" s="11">
        <v>1684646.0</v>
      </c>
      <c r="G128" s="11">
        <v>76991.0</v>
      </c>
      <c r="H128" s="11">
        <v>37303.0</v>
      </c>
      <c r="I128" s="11">
        <v>42568.0</v>
      </c>
      <c r="J128" s="11">
        <v>611.0</v>
      </c>
      <c r="K128" s="11">
        <v>550.0</v>
      </c>
      <c r="L128" s="11">
        <v>77.0</v>
      </c>
      <c r="M128" s="13">
        <f t="shared" ref="M128:O128" si="130">IFERROR(G128/F128,"")</f>
        <v>0.04570158953</v>
      </c>
      <c r="N128" s="13">
        <f t="shared" si="130"/>
        <v>0.4845111766</v>
      </c>
      <c r="O128" s="14">
        <f t="shared" si="130"/>
        <v>1.141141463</v>
      </c>
      <c r="P128" s="13">
        <f t="shared" si="3"/>
        <v>0.01637937967</v>
      </c>
      <c r="Q128" s="13">
        <f t="shared" si="4"/>
        <v>0.01474412246</v>
      </c>
      <c r="R128" s="13">
        <f t="shared" si="5"/>
        <v>0.002064177144</v>
      </c>
      <c r="S128" s="14">
        <f t="shared" si="6"/>
        <v>1.032938022</v>
      </c>
      <c r="T128" s="14">
        <f t="shared" si="7"/>
        <v>0.9041872229</v>
      </c>
      <c r="U128" s="14">
        <f t="shared" si="8"/>
        <v>1.400691633</v>
      </c>
    </row>
    <row r="129" ht="15.75" customHeight="1">
      <c r="A129" s="9">
        <v>45437.5248709722</v>
      </c>
      <c r="B129" s="10">
        <v>12.0</v>
      </c>
      <c r="C129" s="10" t="s">
        <v>69</v>
      </c>
      <c r="D129" s="10" t="s">
        <v>422</v>
      </c>
      <c r="E129" s="12" t="s">
        <v>62</v>
      </c>
      <c r="F129" s="11">
        <v>27546.0</v>
      </c>
      <c r="G129" s="11">
        <v>2245.0</v>
      </c>
      <c r="H129" s="11">
        <v>1319.0</v>
      </c>
      <c r="I129" s="11">
        <v>1062.0</v>
      </c>
      <c r="J129" s="11">
        <v>256.0</v>
      </c>
      <c r="K129" s="11">
        <v>13.0</v>
      </c>
      <c r="L129" s="11">
        <v>10.0</v>
      </c>
      <c r="M129" s="13">
        <f t="shared" ref="M129:O129" si="131">IFERROR(G129/F129,"")</f>
        <v>0.0815000363</v>
      </c>
      <c r="N129" s="13">
        <f t="shared" si="131"/>
        <v>0.5875278396</v>
      </c>
      <c r="O129" s="14">
        <f t="shared" si="131"/>
        <v>0.8051554208</v>
      </c>
      <c r="P129" s="13">
        <f t="shared" si="3"/>
        <v>0.1940864291</v>
      </c>
      <c r="Q129" s="13">
        <f t="shared" si="4"/>
        <v>0.009855951478</v>
      </c>
      <c r="R129" s="13">
        <f t="shared" si="5"/>
        <v>0.007581501137</v>
      </c>
      <c r="S129" s="14">
        <f t="shared" si="6"/>
        <v>1.856877041</v>
      </c>
      <c r="T129" s="14">
        <f t="shared" si="7"/>
        <v>1.109350355</v>
      </c>
      <c r="U129" s="14">
        <f t="shared" si="8"/>
        <v>0.9028051554</v>
      </c>
    </row>
    <row r="130" ht="15.75" customHeight="1">
      <c r="A130" s="9">
        <v>45439.5154909838</v>
      </c>
      <c r="B130" s="10">
        <v>12.0</v>
      </c>
      <c r="C130" s="10" t="s">
        <v>71</v>
      </c>
      <c r="D130" s="10" t="s">
        <v>425</v>
      </c>
      <c r="E130" s="12" t="s">
        <v>62</v>
      </c>
      <c r="F130" s="11">
        <v>994777.0</v>
      </c>
      <c r="G130" s="11">
        <v>96073.0</v>
      </c>
      <c r="H130" s="11">
        <v>67844.0</v>
      </c>
      <c r="I130" s="11">
        <v>66764.0</v>
      </c>
      <c r="J130" s="11">
        <v>1507.0</v>
      </c>
      <c r="K130" s="11">
        <v>819.0</v>
      </c>
      <c r="L130" s="11">
        <v>238.0</v>
      </c>
      <c r="M130" s="13">
        <f t="shared" ref="M130:O130" si="132">IFERROR(G130/F130,"")</f>
        <v>0.09657742388</v>
      </c>
      <c r="N130" s="13">
        <f t="shared" si="132"/>
        <v>0.7061713489</v>
      </c>
      <c r="O130" s="14">
        <f t="shared" si="132"/>
        <v>0.9840811273</v>
      </c>
      <c r="P130" s="13">
        <f t="shared" si="3"/>
        <v>0.02221272331</v>
      </c>
      <c r="Q130" s="13">
        <f t="shared" si="4"/>
        <v>0.0120718118</v>
      </c>
      <c r="R130" s="13">
        <f t="shared" si="5"/>
        <v>0.003508047875</v>
      </c>
      <c r="S130" s="14">
        <f t="shared" si="6"/>
        <v>2.191574698</v>
      </c>
      <c r="T130" s="14">
        <f t="shared" si="7"/>
        <v>1.3395338</v>
      </c>
      <c r="U130" s="14">
        <f t="shared" si="8"/>
        <v>1.098798814</v>
      </c>
    </row>
    <row r="131" ht="15.75" customHeight="1">
      <c r="A131" s="9">
        <v>45441.5312397685</v>
      </c>
      <c r="B131" s="10">
        <v>12.0</v>
      </c>
      <c r="C131" s="10" t="s">
        <v>80</v>
      </c>
      <c r="D131" s="10" t="s">
        <v>427</v>
      </c>
      <c r="E131" s="12" t="s">
        <v>62</v>
      </c>
      <c r="F131" s="11">
        <v>97385.0</v>
      </c>
      <c r="G131" s="11">
        <v>12060.0</v>
      </c>
      <c r="H131" s="11">
        <v>6068.0</v>
      </c>
      <c r="I131" s="11">
        <v>3879.0</v>
      </c>
      <c r="J131" s="11">
        <v>130.0</v>
      </c>
      <c r="K131" s="11">
        <v>9.0</v>
      </c>
      <c r="L131" s="11">
        <v>45.0</v>
      </c>
      <c r="M131" s="13">
        <f t="shared" ref="M131:O131" si="133">IFERROR(G131/F131,"")</f>
        <v>0.1238383735</v>
      </c>
      <c r="N131" s="13">
        <f t="shared" si="133"/>
        <v>0.5031509121</v>
      </c>
      <c r="O131" s="14">
        <f t="shared" si="133"/>
        <v>0.6392551088</v>
      </c>
      <c r="P131" s="13">
        <f t="shared" si="3"/>
        <v>0.02142386289</v>
      </c>
      <c r="Q131" s="13">
        <f t="shared" si="4"/>
        <v>0.001483190508</v>
      </c>
      <c r="R131" s="13">
        <f t="shared" si="5"/>
        <v>0.007415952538</v>
      </c>
      <c r="S131" s="14">
        <f t="shared" si="6"/>
        <v>2.787641374</v>
      </c>
      <c r="T131" s="14">
        <f t="shared" si="7"/>
        <v>0.9544250903</v>
      </c>
      <c r="U131" s="14">
        <f t="shared" si="8"/>
        <v>0.138335732</v>
      </c>
    </row>
    <row r="132" ht="15.75" customHeight="1">
      <c r="A132" s="9">
        <v>45443.5274771644</v>
      </c>
      <c r="B132" s="10">
        <v>12.0</v>
      </c>
      <c r="C132" s="10" t="s">
        <v>60</v>
      </c>
      <c r="D132" s="10" t="s">
        <v>429</v>
      </c>
      <c r="E132" s="12" t="s">
        <v>62</v>
      </c>
      <c r="F132" s="11">
        <v>15098.0</v>
      </c>
      <c r="G132" s="11">
        <v>668.0</v>
      </c>
      <c r="H132" s="11">
        <v>426.0</v>
      </c>
      <c r="I132" s="11">
        <v>387.0</v>
      </c>
      <c r="J132" s="11">
        <v>96.0</v>
      </c>
      <c r="K132" s="11">
        <v>9.0</v>
      </c>
      <c r="L132" s="11">
        <v>1.0</v>
      </c>
      <c r="M132" s="13">
        <f t="shared" ref="M132:O132" si="134">IFERROR(G132/F132,"")</f>
        <v>0.04424427076</v>
      </c>
      <c r="N132" s="13">
        <f t="shared" si="134"/>
        <v>0.6377245509</v>
      </c>
      <c r="O132" s="14">
        <f t="shared" si="134"/>
        <v>0.9084507042</v>
      </c>
      <c r="P132" s="13">
        <f t="shared" si="3"/>
        <v>0.2253521127</v>
      </c>
      <c r="Q132" s="13">
        <f t="shared" si="4"/>
        <v>0.02112676056</v>
      </c>
      <c r="R132" s="13">
        <f t="shared" si="5"/>
        <v>0.00234741784</v>
      </c>
      <c r="S132" s="14">
        <f t="shared" si="6"/>
        <v>1</v>
      </c>
      <c r="T132" s="14">
        <f t="shared" si="7"/>
        <v>1.204130101</v>
      </c>
      <c r="U132" s="14">
        <f t="shared" si="8"/>
        <v>1.935211268</v>
      </c>
    </row>
    <row r="133" ht="15.75" customHeight="1">
      <c r="A133" s="9">
        <v>45445.5027752315</v>
      </c>
      <c r="B133" s="10">
        <v>12.0</v>
      </c>
      <c r="C133" s="10" t="s">
        <v>77</v>
      </c>
      <c r="D133" s="10" t="s">
        <v>432</v>
      </c>
      <c r="E133" s="12" t="s">
        <v>62</v>
      </c>
      <c r="F133" s="11">
        <v>101353.0</v>
      </c>
      <c r="G133" s="11">
        <v>1489.0</v>
      </c>
      <c r="H133" s="11">
        <v>713.0</v>
      </c>
      <c r="I133" s="11">
        <v>846.0</v>
      </c>
      <c r="J133" s="11">
        <v>72.0</v>
      </c>
      <c r="K133" s="11">
        <v>6.0</v>
      </c>
      <c r="L133" s="11">
        <v>21.0</v>
      </c>
      <c r="M133" s="13">
        <f t="shared" ref="M133:O133" si="135">IFERROR(G133/F133,"")</f>
        <v>0.01469122769</v>
      </c>
      <c r="N133" s="13">
        <f t="shared" si="135"/>
        <v>0.4788448623</v>
      </c>
      <c r="O133" s="14">
        <f t="shared" si="135"/>
        <v>1.186535764</v>
      </c>
      <c r="P133" s="13">
        <f t="shared" si="3"/>
        <v>0.1009817672</v>
      </c>
      <c r="Q133" s="13">
        <f t="shared" si="4"/>
        <v>0.008415147265</v>
      </c>
      <c r="R133" s="13">
        <f t="shared" si="5"/>
        <v>0.02945301543</v>
      </c>
      <c r="S133" s="14">
        <f t="shared" si="6"/>
        <v>0.3333793923</v>
      </c>
      <c r="T133" s="14">
        <f t="shared" si="7"/>
        <v>0.8988450044</v>
      </c>
      <c r="U133" s="14">
        <f t="shared" si="8"/>
        <v>0.8007546848</v>
      </c>
    </row>
    <row r="134" ht="15.75" customHeight="1">
      <c r="A134" s="9">
        <v>45447.5045156829</v>
      </c>
      <c r="B134" s="10">
        <v>12.0</v>
      </c>
      <c r="C134" s="10" t="s">
        <v>59</v>
      </c>
      <c r="D134" s="10" t="s">
        <v>435</v>
      </c>
      <c r="E134" s="12" t="s">
        <v>62</v>
      </c>
      <c r="F134" s="11">
        <v>1617641.0</v>
      </c>
      <c r="G134" s="11">
        <v>44671.0</v>
      </c>
      <c r="H134" s="11">
        <v>31108.0</v>
      </c>
      <c r="I134" s="11">
        <v>26232.0</v>
      </c>
      <c r="J134" s="11">
        <v>358.0</v>
      </c>
      <c r="K134" s="11">
        <v>100.0</v>
      </c>
      <c r="L134" s="11">
        <v>123.0</v>
      </c>
      <c r="M134" s="13">
        <f t="shared" ref="M134:O134" si="136">IFERROR(G134/F134,"")</f>
        <v>0.02761490343</v>
      </c>
      <c r="N134" s="13">
        <f t="shared" si="136"/>
        <v>0.6963802019</v>
      </c>
      <c r="O134" s="14">
        <f t="shared" si="136"/>
        <v>0.8432557541</v>
      </c>
      <c r="P134" s="13">
        <f t="shared" si="3"/>
        <v>0.01150829369</v>
      </c>
      <c r="Q134" s="13">
        <f t="shared" si="4"/>
        <v>0.003214607175</v>
      </c>
      <c r="R134" s="13">
        <f t="shared" si="5"/>
        <v>0.003953966825</v>
      </c>
      <c r="S134" s="14">
        <f t="shared" si="6"/>
        <v>0.6291712556</v>
      </c>
      <c r="T134" s="14">
        <f t="shared" si="7"/>
        <v>1.299573903</v>
      </c>
      <c r="U134" s="14">
        <f t="shared" si="8"/>
        <v>0.2944580172</v>
      </c>
    </row>
    <row r="135" ht="15.75" customHeight="1">
      <c r="A135" s="9">
        <v>45449.5049687153</v>
      </c>
      <c r="B135" s="10">
        <v>12.0</v>
      </c>
      <c r="C135" s="10" t="s">
        <v>84</v>
      </c>
      <c r="D135" s="10" t="s">
        <v>437</v>
      </c>
      <c r="E135" s="12" t="s">
        <v>62</v>
      </c>
      <c r="F135" s="11">
        <v>19389.0</v>
      </c>
      <c r="G135" s="11">
        <v>819.0</v>
      </c>
      <c r="H135" s="11">
        <v>424.0</v>
      </c>
      <c r="I135" s="11">
        <v>483.0</v>
      </c>
      <c r="J135" s="11">
        <v>101.0</v>
      </c>
      <c r="K135" s="11">
        <v>6.0</v>
      </c>
      <c r="L135" s="11">
        <v>1.0</v>
      </c>
      <c r="M135" s="13">
        <f t="shared" ref="M135:O135" si="137">IFERROR(G135/F135,"")</f>
        <v>0.04224044561</v>
      </c>
      <c r="N135" s="13">
        <f t="shared" si="137"/>
        <v>0.5177045177</v>
      </c>
      <c r="O135" s="14">
        <f t="shared" si="137"/>
        <v>1.139150943</v>
      </c>
      <c r="P135" s="13">
        <f t="shared" si="3"/>
        <v>0.2382075472</v>
      </c>
      <c r="Q135" s="13">
        <f t="shared" si="4"/>
        <v>0.0141509434</v>
      </c>
      <c r="R135" s="13">
        <f t="shared" si="5"/>
        <v>0.002358490566</v>
      </c>
      <c r="S135" s="14">
        <f t="shared" si="6"/>
        <v>0.962396058</v>
      </c>
      <c r="T135" s="14">
        <f t="shared" si="7"/>
        <v>0.9661321198</v>
      </c>
      <c r="U135" s="14">
        <f t="shared" si="8"/>
        <v>1.296226415</v>
      </c>
    </row>
    <row r="136" ht="15.75" customHeight="1">
      <c r="A136" s="9">
        <v>45451.5814199653</v>
      </c>
      <c r="B136" s="10">
        <v>13.0</v>
      </c>
      <c r="C136" s="10" t="s">
        <v>69</v>
      </c>
      <c r="D136" s="10" t="s">
        <v>440</v>
      </c>
      <c r="E136" s="12" t="s">
        <v>62</v>
      </c>
      <c r="F136" s="11">
        <v>1949015.0</v>
      </c>
      <c r="G136" s="11">
        <v>27947.0</v>
      </c>
      <c r="H136" s="11">
        <v>16084.0</v>
      </c>
      <c r="I136" s="11">
        <v>13804.0</v>
      </c>
      <c r="J136" s="11">
        <v>738.0</v>
      </c>
      <c r="K136" s="11">
        <v>80.0</v>
      </c>
      <c r="L136" s="11">
        <v>143.0</v>
      </c>
      <c r="M136" s="13">
        <f t="shared" ref="M136:O136" si="138">IFERROR(G136/F136,"")</f>
        <v>0.01433903792</v>
      </c>
      <c r="N136" s="13">
        <f t="shared" si="138"/>
        <v>0.5755179447</v>
      </c>
      <c r="O136" s="14">
        <f t="shared" si="138"/>
        <v>0.8582442179</v>
      </c>
      <c r="P136" s="13">
        <f t="shared" si="3"/>
        <v>0.04588410843</v>
      </c>
      <c r="Q136" s="13">
        <f t="shared" si="4"/>
        <v>0.004973887093</v>
      </c>
      <c r="R136" s="13">
        <f t="shared" si="5"/>
        <v>0.008890823178</v>
      </c>
      <c r="S136" s="14">
        <f t="shared" si="6"/>
        <v>0.3227763274</v>
      </c>
      <c r="T136" s="14">
        <f t="shared" si="7"/>
        <v>1.091697845</v>
      </c>
      <c r="U136" s="14">
        <f t="shared" si="8"/>
        <v>0.4527324753</v>
      </c>
    </row>
    <row r="137" ht="15.75" customHeight="1">
      <c r="A137" s="9">
        <v>45453.5340741782</v>
      </c>
      <c r="B137" s="10">
        <v>12.0</v>
      </c>
      <c r="C137" s="10" t="s">
        <v>71</v>
      </c>
      <c r="D137" s="10" t="s">
        <v>442</v>
      </c>
      <c r="E137" s="12" t="s">
        <v>62</v>
      </c>
      <c r="F137" s="11">
        <v>23164.0</v>
      </c>
      <c r="G137" s="11">
        <v>768.0</v>
      </c>
      <c r="H137" s="11">
        <v>403.0</v>
      </c>
      <c r="I137" s="11">
        <v>324.0</v>
      </c>
      <c r="J137" s="11">
        <v>75.0</v>
      </c>
      <c r="K137" s="11">
        <v>4.0</v>
      </c>
      <c r="L137" s="11">
        <v>4.0</v>
      </c>
      <c r="M137" s="13">
        <f t="shared" ref="M137:O137" si="139">IFERROR(G137/F137,"")</f>
        <v>0.03315489553</v>
      </c>
      <c r="N137" s="13">
        <f t="shared" si="139"/>
        <v>0.5247395833</v>
      </c>
      <c r="O137" s="14">
        <f t="shared" si="139"/>
        <v>0.8039702233</v>
      </c>
      <c r="P137" s="13">
        <f t="shared" si="3"/>
        <v>0.1861042184</v>
      </c>
      <c r="Q137" s="13">
        <f t="shared" si="4"/>
        <v>0.009925558313</v>
      </c>
      <c r="R137" s="13">
        <f t="shared" si="5"/>
        <v>0.009925558313</v>
      </c>
      <c r="S137" s="14">
        <f t="shared" si="6"/>
        <v>0.7493601986</v>
      </c>
      <c r="T137" s="14">
        <f t="shared" si="7"/>
        <v>1</v>
      </c>
      <c r="U137" s="14">
        <f t="shared" si="8"/>
        <v>0.8977764803</v>
      </c>
    </row>
    <row r="138" ht="15.75" customHeight="1">
      <c r="A138" s="9">
        <v>45455.5297369792</v>
      </c>
      <c r="B138" s="10">
        <v>12.0</v>
      </c>
      <c r="C138" s="10" t="s">
        <v>80</v>
      </c>
      <c r="D138" s="10" t="s">
        <v>444</v>
      </c>
      <c r="E138" s="12" t="s">
        <v>62</v>
      </c>
      <c r="F138" s="11">
        <v>279462.0</v>
      </c>
      <c r="G138" s="11">
        <v>29687.0</v>
      </c>
      <c r="H138" s="11">
        <v>11735.0</v>
      </c>
      <c r="I138" s="11">
        <v>10755.0</v>
      </c>
      <c r="J138" s="11">
        <v>425.0</v>
      </c>
      <c r="K138" s="11">
        <v>45.0</v>
      </c>
      <c r="L138" s="11">
        <v>105.0</v>
      </c>
      <c r="M138" s="13">
        <f t="shared" ref="M138:O138" si="140">IFERROR(G138/F138,"")</f>
        <v>0.1062291117</v>
      </c>
      <c r="N138" s="13">
        <f t="shared" si="140"/>
        <v>0.3952908681</v>
      </c>
      <c r="O138" s="14">
        <f t="shared" si="140"/>
        <v>0.9164891351</v>
      </c>
      <c r="P138" s="13">
        <f t="shared" si="3"/>
        <v>0.03621644653</v>
      </c>
      <c r="Q138" s="13">
        <f t="shared" si="4"/>
        <v>0.003834682573</v>
      </c>
      <c r="R138" s="13">
        <f t="shared" si="5"/>
        <v>0.008947592671</v>
      </c>
      <c r="S138" s="14">
        <f t="shared" si="6"/>
        <v>2.381612112</v>
      </c>
      <c r="T138" s="14">
        <f t="shared" si="7"/>
        <v>0.7533086518</v>
      </c>
      <c r="U138" s="14">
        <f t="shared" si="8"/>
        <v>0.3468507983</v>
      </c>
    </row>
    <row r="139" ht="15.75" customHeight="1">
      <c r="A139" s="9">
        <v>45457.6895720255</v>
      </c>
      <c r="B139" s="10">
        <v>16.0</v>
      </c>
      <c r="C139" s="10" t="s">
        <v>60</v>
      </c>
      <c r="D139" s="10" t="s">
        <v>447</v>
      </c>
      <c r="E139" s="12" t="s">
        <v>62</v>
      </c>
      <c r="F139" s="11">
        <v>158785.0</v>
      </c>
      <c r="G139" s="11">
        <v>458.0</v>
      </c>
      <c r="H139" s="11">
        <v>171.0</v>
      </c>
      <c r="I139" s="11">
        <v>152.0</v>
      </c>
      <c r="J139" s="11">
        <v>30.0</v>
      </c>
      <c r="K139" s="11">
        <v>5.0</v>
      </c>
      <c r="L139" s="11">
        <v>0.0</v>
      </c>
      <c r="M139" s="13">
        <f t="shared" ref="M139:O139" si="141">IFERROR(G139/F139,"")</f>
        <v>0.002884403439</v>
      </c>
      <c r="N139" s="13">
        <f t="shared" si="141"/>
        <v>0.3733624454</v>
      </c>
      <c r="O139" s="14">
        <f t="shared" si="141"/>
        <v>0.8888888889</v>
      </c>
      <c r="P139" s="13">
        <f t="shared" si="3"/>
        <v>0.1754385965</v>
      </c>
      <c r="Q139" s="13">
        <f t="shared" si="4"/>
        <v>0.02923976608</v>
      </c>
      <c r="R139" s="13">
        <f t="shared" si="5"/>
        <v>0</v>
      </c>
      <c r="S139" s="14">
        <f t="shared" si="6"/>
        <v>0.06350132787</v>
      </c>
      <c r="T139" s="14">
        <f t="shared" si="7"/>
        <v>0.7154909768</v>
      </c>
      <c r="U139" s="14">
        <f t="shared" si="8"/>
        <v>2.661458016</v>
      </c>
    </row>
    <row r="140" ht="15.75" customHeight="1">
      <c r="A140" s="9">
        <v>45459.5462343171</v>
      </c>
      <c r="B140" s="10">
        <v>13.0</v>
      </c>
      <c r="C140" s="10" t="s">
        <v>77</v>
      </c>
      <c r="D140" s="10" t="s">
        <v>449</v>
      </c>
      <c r="E140" s="12" t="s">
        <v>62</v>
      </c>
      <c r="F140" s="11">
        <v>21082.0</v>
      </c>
      <c r="G140" s="11">
        <v>1296.0</v>
      </c>
      <c r="H140" s="11">
        <v>569.0</v>
      </c>
      <c r="I140" s="11">
        <v>493.0</v>
      </c>
      <c r="J140" s="11">
        <v>148.0</v>
      </c>
      <c r="K140" s="11">
        <v>11.0</v>
      </c>
      <c r="L140" s="11">
        <v>6.0</v>
      </c>
      <c r="M140" s="13">
        <f t="shared" ref="M140:O140" si="142">IFERROR(G140/F140,"")</f>
        <v>0.06147424343</v>
      </c>
      <c r="N140" s="13">
        <f t="shared" si="142"/>
        <v>0.4390432099</v>
      </c>
      <c r="O140" s="14">
        <f t="shared" si="142"/>
        <v>0.8664323374</v>
      </c>
      <c r="P140" s="13">
        <f t="shared" si="3"/>
        <v>0.2601054482</v>
      </c>
      <c r="Q140" s="13">
        <f t="shared" si="4"/>
        <v>0.01933216169</v>
      </c>
      <c r="R140" s="13">
        <f t="shared" si="5"/>
        <v>0.01054481547</v>
      </c>
      <c r="S140" s="14">
        <f t="shared" si="6"/>
        <v>1.348352512</v>
      </c>
      <c r="T140" s="14">
        <f t="shared" si="7"/>
        <v>0.8328194288</v>
      </c>
      <c r="U140" s="14">
        <f t="shared" si="8"/>
        <v>1.839577912</v>
      </c>
    </row>
    <row r="141" ht="15.75" customHeight="1">
      <c r="A141" s="9">
        <v>45462.5553715278</v>
      </c>
      <c r="B141" s="10">
        <v>13.0</v>
      </c>
      <c r="C141" s="10" t="s">
        <v>80</v>
      </c>
      <c r="D141" s="10" t="s">
        <v>452</v>
      </c>
      <c r="E141" s="12" t="s">
        <v>62</v>
      </c>
      <c r="F141" s="11">
        <v>3942372.0</v>
      </c>
      <c r="G141" s="11">
        <v>556814.0</v>
      </c>
      <c r="H141" s="11">
        <v>169404.0</v>
      </c>
      <c r="I141" s="11">
        <v>113388.0</v>
      </c>
      <c r="J141" s="11">
        <v>3533.0</v>
      </c>
      <c r="K141" s="11">
        <v>693.0</v>
      </c>
      <c r="L141" s="11">
        <v>796.0</v>
      </c>
      <c r="M141" s="13">
        <f t="shared" ref="M141:O141" si="143">IFERROR(G141/F141,"")</f>
        <v>0.1412383205</v>
      </c>
      <c r="N141" s="13">
        <f t="shared" si="143"/>
        <v>0.30423804</v>
      </c>
      <c r="O141" s="14">
        <f t="shared" si="143"/>
        <v>0.6693348445</v>
      </c>
      <c r="P141" s="13">
        <f t="shared" si="3"/>
        <v>0.02085546976</v>
      </c>
      <c r="Q141" s="13">
        <f t="shared" si="4"/>
        <v>0.004090812496</v>
      </c>
      <c r="R141" s="13">
        <f t="shared" si="5"/>
        <v>0.004698826474</v>
      </c>
      <c r="S141" s="14">
        <f t="shared" si="6"/>
        <v>3.097867231</v>
      </c>
      <c r="T141" s="14">
        <f t="shared" si="7"/>
        <v>0.5771080044</v>
      </c>
      <c r="U141" s="14">
        <f t="shared" si="8"/>
        <v>0.3723533793</v>
      </c>
    </row>
    <row r="142" ht="15.75" customHeight="1">
      <c r="A142" s="9">
        <v>45464.5098142361</v>
      </c>
      <c r="B142" s="10">
        <v>12.0</v>
      </c>
      <c r="C142" s="10" t="s">
        <v>60</v>
      </c>
      <c r="D142" s="10" t="s">
        <v>454</v>
      </c>
      <c r="E142" s="12" t="s">
        <v>62</v>
      </c>
      <c r="F142" s="11">
        <v>3552252.0</v>
      </c>
      <c r="G142" s="11">
        <v>180665.0</v>
      </c>
      <c r="H142" s="11">
        <v>82028.0</v>
      </c>
      <c r="I142" s="11">
        <v>119655.0</v>
      </c>
      <c r="J142" s="11">
        <v>1063.0</v>
      </c>
      <c r="K142" s="11">
        <v>677.0</v>
      </c>
      <c r="L142" s="11">
        <v>459.0</v>
      </c>
      <c r="M142" s="13">
        <f t="shared" ref="M142:O142" si="144">IFERROR(G142/F142,"")</f>
        <v>0.05085928588</v>
      </c>
      <c r="N142" s="13">
        <f t="shared" si="144"/>
        <v>0.4540337088</v>
      </c>
      <c r="O142" s="14">
        <f t="shared" si="144"/>
        <v>1.458709221</v>
      </c>
      <c r="P142" s="13">
        <f t="shared" si="3"/>
        <v>0.01295898961</v>
      </c>
      <c r="Q142" s="13">
        <f t="shared" si="4"/>
        <v>0.008253279368</v>
      </c>
      <c r="R142" s="13">
        <f t="shared" si="5"/>
        <v>0.005595650266</v>
      </c>
      <c r="S142" s="14">
        <f t="shared" si="6"/>
        <v>1.09101575</v>
      </c>
      <c r="T142" s="14">
        <f t="shared" si="7"/>
        <v>0.8612548503</v>
      </c>
      <c r="U142" s="14">
        <f t="shared" si="8"/>
        <v>0.7853519268</v>
      </c>
    </row>
    <row r="143" ht="15.75" customHeight="1">
      <c r="A143" s="9">
        <v>45466.520871412</v>
      </c>
      <c r="B143" s="10">
        <v>12.0</v>
      </c>
      <c r="C143" s="10" t="s">
        <v>77</v>
      </c>
      <c r="D143" s="10" t="s">
        <v>456</v>
      </c>
      <c r="E143" s="12" t="s">
        <v>62</v>
      </c>
      <c r="F143" s="11">
        <v>65005.0</v>
      </c>
      <c r="G143" s="11">
        <v>5169.0</v>
      </c>
      <c r="H143" s="11">
        <v>2240.0</v>
      </c>
      <c r="I143" s="11">
        <v>1588.0</v>
      </c>
      <c r="J143" s="11">
        <v>168.0</v>
      </c>
      <c r="K143" s="11">
        <v>77.0</v>
      </c>
      <c r="L143" s="11">
        <v>10.0</v>
      </c>
      <c r="M143" s="13">
        <f t="shared" ref="M143:O143" si="145">IFERROR(G143/F143,"")</f>
        <v>0.07951696023</v>
      </c>
      <c r="N143" s="13">
        <f t="shared" si="145"/>
        <v>0.4333526794</v>
      </c>
      <c r="O143" s="14">
        <f t="shared" si="145"/>
        <v>0.7089285714</v>
      </c>
      <c r="P143" s="13">
        <f t="shared" si="3"/>
        <v>0.075</v>
      </c>
      <c r="Q143" s="13">
        <f t="shared" si="4"/>
        <v>0.034375</v>
      </c>
      <c r="R143" s="13">
        <f t="shared" si="5"/>
        <v>0.004464285714</v>
      </c>
      <c r="S143" s="14">
        <f t="shared" si="6"/>
        <v>1.669953118</v>
      </c>
      <c r="T143" s="14">
        <f t="shared" si="7"/>
        <v>0.8220250828</v>
      </c>
      <c r="U143" s="14">
        <f t="shared" si="8"/>
        <v>3.270999475</v>
      </c>
    </row>
    <row r="144" ht="15.75" customHeight="1">
      <c r="A144" s="9">
        <v>45468.5005232407</v>
      </c>
      <c r="B144" s="10">
        <v>12.0</v>
      </c>
      <c r="C144" s="10" t="s">
        <v>59</v>
      </c>
      <c r="D144" s="10" t="s">
        <v>457</v>
      </c>
      <c r="E144" s="12" t="s">
        <v>62</v>
      </c>
      <c r="F144" s="11">
        <v>997792.0</v>
      </c>
      <c r="G144" s="11">
        <v>29711.0</v>
      </c>
      <c r="H144" s="11">
        <v>14040.0</v>
      </c>
      <c r="I144" s="11">
        <v>11798.0</v>
      </c>
      <c r="J144" s="11">
        <v>330.0</v>
      </c>
      <c r="K144" s="11">
        <v>118.0</v>
      </c>
      <c r="L144" s="11">
        <v>38.0</v>
      </c>
      <c r="M144" s="13">
        <f t="shared" ref="M144:O144" si="146">IFERROR(G144/F144,"")</f>
        <v>0.02977674706</v>
      </c>
      <c r="N144" s="13">
        <f t="shared" si="146"/>
        <v>0.4725522534</v>
      </c>
      <c r="O144" s="14">
        <f t="shared" si="146"/>
        <v>0.8403133903</v>
      </c>
      <c r="P144" s="13">
        <f t="shared" si="3"/>
        <v>0.0235042735</v>
      </c>
      <c r="Q144" s="13">
        <f t="shared" si="4"/>
        <v>0.008404558405</v>
      </c>
      <c r="R144" s="13">
        <f t="shared" si="5"/>
        <v>0.002706552707</v>
      </c>
      <c r="S144" s="14">
        <f t="shared" si="6"/>
        <v>0.6046794385</v>
      </c>
      <c r="T144" s="14">
        <f t="shared" si="7"/>
        <v>0.9055727954</v>
      </c>
      <c r="U144" s="14">
        <f t="shared" si="8"/>
        <v>0.7997470875</v>
      </c>
    </row>
    <row r="145" ht="15.75" customHeight="1">
      <c r="A145" s="9">
        <v>45470.5021076157</v>
      </c>
      <c r="B145" s="10">
        <v>12.0</v>
      </c>
      <c r="C145" s="10" t="s">
        <v>84</v>
      </c>
      <c r="D145" s="10" t="s">
        <v>458</v>
      </c>
      <c r="E145" s="12" t="s">
        <v>62</v>
      </c>
      <c r="F145" s="11">
        <v>844498.0</v>
      </c>
      <c r="G145" s="11">
        <v>33086.0</v>
      </c>
      <c r="H145" s="11">
        <v>21563.0</v>
      </c>
      <c r="I145" s="11">
        <v>13884.0</v>
      </c>
      <c r="J145" s="11">
        <v>748.0</v>
      </c>
      <c r="K145" s="11">
        <v>128.0</v>
      </c>
      <c r="L145" s="11">
        <v>70.0</v>
      </c>
      <c r="M145" s="13">
        <f t="shared" ref="M145:O145" si="147">IFERROR(G145/F145,"")</f>
        <v>0.03917830474</v>
      </c>
      <c r="N145" s="13">
        <f t="shared" si="147"/>
        <v>0.6517258055</v>
      </c>
      <c r="O145" s="14">
        <f t="shared" si="147"/>
        <v>0.6438807216</v>
      </c>
      <c r="P145" s="13">
        <f t="shared" si="3"/>
        <v>0.03468905069</v>
      </c>
      <c r="Q145" s="13">
        <f t="shared" si="4"/>
        <v>0.005936094235</v>
      </c>
      <c r="R145" s="13">
        <f t="shared" si="5"/>
        <v>0.003246301535</v>
      </c>
      <c r="S145" s="14">
        <f t="shared" si="6"/>
        <v>0.8213266387</v>
      </c>
      <c r="T145" s="14">
        <f t="shared" si="7"/>
        <v>1.241998557</v>
      </c>
      <c r="U145" s="14">
        <f t="shared" si="8"/>
        <v>0.543746232</v>
      </c>
    </row>
    <row r="146" ht="15.75" customHeight="1">
      <c r="A146" s="9">
        <v>45472.4794040625</v>
      </c>
      <c r="B146" s="10">
        <v>11.0</v>
      </c>
      <c r="C146" s="10" t="s">
        <v>69</v>
      </c>
      <c r="D146" s="10" t="s">
        <v>461</v>
      </c>
      <c r="E146" s="12" t="s">
        <v>62</v>
      </c>
      <c r="F146" s="11">
        <v>11519.0</v>
      </c>
      <c r="G146" s="11">
        <v>302.0</v>
      </c>
      <c r="H146" s="11">
        <v>140.0</v>
      </c>
      <c r="I146" s="11">
        <v>116.0</v>
      </c>
      <c r="J146" s="11">
        <v>25.0</v>
      </c>
      <c r="K146" s="11">
        <v>11.0</v>
      </c>
      <c r="L146" s="11">
        <v>2.0</v>
      </c>
      <c r="M146" s="13">
        <f t="shared" ref="M146:O146" si="148">IFERROR(G146/F146,"")</f>
        <v>0.02621755361</v>
      </c>
      <c r="N146" s="13">
        <f t="shared" si="148"/>
        <v>0.4635761589</v>
      </c>
      <c r="O146" s="14">
        <f t="shared" si="148"/>
        <v>0.8285714286</v>
      </c>
      <c r="P146" s="13">
        <f t="shared" si="3"/>
        <v>0.1785714286</v>
      </c>
      <c r="Q146" s="13">
        <f t="shared" si="4"/>
        <v>0.07857142857</v>
      </c>
      <c r="R146" s="13">
        <f t="shared" si="5"/>
        <v>0.01428571429</v>
      </c>
      <c r="S146" s="14">
        <f t="shared" si="6"/>
        <v>0.5496198807</v>
      </c>
      <c r="T146" s="14">
        <f t="shared" si="7"/>
        <v>0.883440422</v>
      </c>
      <c r="U146" s="14">
        <f t="shared" si="8"/>
        <v>7.197142857</v>
      </c>
    </row>
    <row r="147" ht="15.75" customHeight="1">
      <c r="A147" s="9">
        <v>45474.500525544</v>
      </c>
      <c r="B147" s="10">
        <v>12.0</v>
      </c>
      <c r="C147" s="10" t="s">
        <v>71</v>
      </c>
      <c r="D147" s="10" t="s">
        <v>463</v>
      </c>
      <c r="E147" s="12" t="s">
        <v>62</v>
      </c>
      <c r="F147" s="11">
        <v>87352.0</v>
      </c>
      <c r="G147" s="11">
        <v>11192.0</v>
      </c>
      <c r="H147" s="11">
        <v>6641.0</v>
      </c>
      <c r="I147" s="11">
        <v>4745.0</v>
      </c>
      <c r="J147" s="11">
        <v>428.0</v>
      </c>
      <c r="K147" s="11">
        <v>106.0</v>
      </c>
      <c r="L147" s="11">
        <v>15.0</v>
      </c>
      <c r="M147" s="13">
        <f t="shared" ref="M147:O147" si="149">IFERROR(G147/F147,"")</f>
        <v>0.1281252862</v>
      </c>
      <c r="N147" s="13">
        <f t="shared" si="149"/>
        <v>0.5933702645</v>
      </c>
      <c r="O147" s="14">
        <f t="shared" si="149"/>
        <v>0.7145008282</v>
      </c>
      <c r="P147" s="13">
        <f t="shared" si="3"/>
        <v>0.06444812528</v>
      </c>
      <c r="Q147" s="13">
        <f t="shared" si="4"/>
        <v>0.01596145159</v>
      </c>
      <c r="R147" s="13">
        <f t="shared" si="5"/>
        <v>0.00225869598</v>
      </c>
      <c r="S147" s="14">
        <f t="shared" si="6"/>
        <v>2.690787231</v>
      </c>
      <c r="T147" s="14">
        <f t="shared" si="7"/>
        <v>1.137101697</v>
      </c>
      <c r="U147" s="14">
        <f t="shared" si="8"/>
        <v>1.452841078</v>
      </c>
    </row>
    <row r="148" ht="15.75" customHeight="1">
      <c r="A148" s="9">
        <v>45476.560135081</v>
      </c>
      <c r="B148" s="10">
        <v>13.0</v>
      </c>
      <c r="C148" s="10" t="s">
        <v>80</v>
      </c>
      <c r="D148" s="10" t="s">
        <v>466</v>
      </c>
      <c r="E148" s="12" t="s">
        <v>62</v>
      </c>
      <c r="F148" s="11">
        <v>499032.0</v>
      </c>
      <c r="G148" s="11">
        <v>43522.0</v>
      </c>
      <c r="H148" s="11">
        <v>22439.0</v>
      </c>
      <c r="I148" s="11">
        <v>24567.0</v>
      </c>
      <c r="J148" s="11">
        <v>1331.0</v>
      </c>
      <c r="K148" s="11">
        <v>164.0</v>
      </c>
      <c r="L148" s="11">
        <v>117.0</v>
      </c>
      <c r="M148" s="13">
        <f t="shared" ref="M148:O148" si="150">IFERROR(G148/F148,"")</f>
        <v>0.08721284407</v>
      </c>
      <c r="N148" s="13">
        <f t="shared" si="150"/>
        <v>0.5155783282</v>
      </c>
      <c r="O148" s="14">
        <f t="shared" si="150"/>
        <v>1.094834886</v>
      </c>
      <c r="P148" s="13">
        <f t="shared" si="3"/>
        <v>0.05931636882</v>
      </c>
      <c r="Q148" s="13">
        <f t="shared" si="4"/>
        <v>0.007308703596</v>
      </c>
      <c r="R148" s="13">
        <f t="shared" si="5"/>
        <v>0.005214136102</v>
      </c>
      <c r="S148" s="14">
        <f t="shared" si="6"/>
        <v>1.831576062</v>
      </c>
      <c r="T148" s="14">
        <f t="shared" si="7"/>
        <v>0.9947308521</v>
      </c>
      <c r="U148" s="14">
        <f t="shared" si="8"/>
        <v>0.6954695456</v>
      </c>
    </row>
    <row r="149" ht="15.75" customHeight="1">
      <c r="A149" s="9">
        <v>45478.5008993982</v>
      </c>
      <c r="B149" s="10">
        <v>12.0</v>
      </c>
      <c r="C149" s="10" t="s">
        <v>60</v>
      </c>
      <c r="D149" s="10" t="s">
        <v>468</v>
      </c>
      <c r="E149" s="12" t="s">
        <v>62</v>
      </c>
      <c r="F149" s="11">
        <v>7758.0</v>
      </c>
      <c r="G149" s="11">
        <v>71.0</v>
      </c>
      <c r="H149" s="11">
        <v>33.0</v>
      </c>
      <c r="I149" s="11">
        <v>33.0</v>
      </c>
      <c r="J149" s="11">
        <v>20.0</v>
      </c>
      <c r="K149" s="11">
        <v>1.0</v>
      </c>
      <c r="L149" s="11">
        <v>0.0</v>
      </c>
      <c r="M149" s="13">
        <f t="shared" ref="M149:O149" si="151">IFERROR(G149/F149,"")</f>
        <v>0.009151843259</v>
      </c>
      <c r="N149" s="13">
        <f t="shared" si="151"/>
        <v>0.4647887324</v>
      </c>
      <c r="O149" s="14">
        <f t="shared" si="151"/>
        <v>1</v>
      </c>
      <c r="P149" s="13">
        <f t="shared" si="3"/>
        <v>0.6060606061</v>
      </c>
      <c r="Q149" s="13">
        <f t="shared" si="4"/>
        <v>0.0303030303</v>
      </c>
      <c r="R149" s="13">
        <f t="shared" si="5"/>
        <v>0</v>
      </c>
      <c r="S149" s="14">
        <f t="shared" si="6"/>
        <v>0.191857527</v>
      </c>
      <c r="T149" s="14">
        <f t="shared" si="7"/>
        <v>0.8977876694</v>
      </c>
      <c r="U149" s="14">
        <f t="shared" si="8"/>
        <v>3</v>
      </c>
    </row>
    <row r="150" ht="15.75" customHeight="1">
      <c r="A150" s="9">
        <v>45480.5092550695</v>
      </c>
      <c r="B150" s="10">
        <v>12.0</v>
      </c>
      <c r="C150" s="10" t="s">
        <v>77</v>
      </c>
      <c r="D150" s="10" t="s">
        <v>471</v>
      </c>
      <c r="E150" s="12" t="s">
        <v>62</v>
      </c>
      <c r="F150" s="11">
        <v>194649.0</v>
      </c>
      <c r="G150" s="11">
        <v>9285.0</v>
      </c>
      <c r="H150" s="11">
        <v>4703.0</v>
      </c>
      <c r="I150" s="11">
        <v>5502.0</v>
      </c>
      <c r="J150" s="11">
        <v>317.0</v>
      </c>
      <c r="K150" s="11">
        <v>63.0</v>
      </c>
      <c r="L150" s="11">
        <v>33.0</v>
      </c>
      <c r="M150" s="13">
        <f t="shared" ref="M150:O150" si="152">IFERROR(G150/F150,"")</f>
        <v>0.04770124686</v>
      </c>
      <c r="N150" s="13">
        <f t="shared" si="152"/>
        <v>0.5065158858</v>
      </c>
      <c r="O150" s="14">
        <f t="shared" si="152"/>
        <v>1.169891559</v>
      </c>
      <c r="P150" s="13">
        <f t="shared" si="3"/>
        <v>0.06740378482</v>
      </c>
      <c r="Q150" s="13">
        <f t="shared" si="4"/>
        <v>0.01339570487</v>
      </c>
      <c r="R150" s="13">
        <f t="shared" si="5"/>
        <v>0.007016797789</v>
      </c>
      <c r="S150" s="14">
        <f t="shared" si="6"/>
        <v>1</v>
      </c>
      <c r="T150" s="14">
        <f t="shared" si="7"/>
        <v>0.9824227632</v>
      </c>
      <c r="U150" s="14">
        <f t="shared" si="8"/>
        <v>1.227046566</v>
      </c>
    </row>
    <row r="151" ht="15.75" customHeight="1">
      <c r="A151" s="9">
        <v>45482.4942296296</v>
      </c>
      <c r="B151" s="10">
        <v>11.0</v>
      </c>
      <c r="C151" s="10" t="s">
        <v>59</v>
      </c>
      <c r="D151" s="10" t="s">
        <v>473</v>
      </c>
      <c r="E151" s="12" t="s">
        <v>62</v>
      </c>
      <c r="F151" s="11">
        <v>2117971.0</v>
      </c>
      <c r="G151" s="11">
        <v>236790.0</v>
      </c>
      <c r="H151" s="11">
        <v>42846.0</v>
      </c>
      <c r="I151" s="11">
        <v>41286.0</v>
      </c>
      <c r="J151" s="11">
        <v>730.0</v>
      </c>
      <c r="K151" s="11">
        <v>741.0</v>
      </c>
      <c r="L151" s="11">
        <v>359.0</v>
      </c>
      <c r="M151" s="13">
        <f t="shared" ref="M151:O151" si="153">IFERROR(G151/F151,"")</f>
        <v>0.1118003976</v>
      </c>
      <c r="N151" s="13">
        <f t="shared" si="153"/>
        <v>0.1809451413</v>
      </c>
      <c r="O151" s="14">
        <f t="shared" si="153"/>
        <v>0.9635905335</v>
      </c>
      <c r="P151" s="13">
        <f t="shared" si="3"/>
        <v>0.01703776315</v>
      </c>
      <c r="Q151" s="13">
        <f t="shared" si="4"/>
        <v>0.01729449657</v>
      </c>
      <c r="R151" s="13">
        <f t="shared" si="5"/>
        <v>0.008378845166</v>
      </c>
      <c r="S151" s="14">
        <f t="shared" si="6"/>
        <v>2.352141699</v>
      </c>
      <c r="T151" s="14">
        <f t="shared" si="7"/>
        <v>0.3509556771</v>
      </c>
      <c r="U151" s="14">
        <f t="shared" si="8"/>
        <v>1.56430417</v>
      </c>
    </row>
    <row r="152" ht="15.75" customHeight="1">
      <c r="A152" s="9">
        <v>45484.5007934491</v>
      </c>
      <c r="B152" s="10">
        <v>12.0</v>
      </c>
      <c r="C152" s="10" t="s">
        <v>84</v>
      </c>
      <c r="D152" s="10" t="s">
        <v>476</v>
      </c>
      <c r="E152" s="12" t="s">
        <v>62</v>
      </c>
      <c r="F152" s="11">
        <v>394159.0</v>
      </c>
      <c r="G152" s="11">
        <v>17300.0</v>
      </c>
      <c r="H152" s="11">
        <v>11127.0</v>
      </c>
      <c r="I152" s="11">
        <v>15408.0</v>
      </c>
      <c r="J152" s="11">
        <v>404.0</v>
      </c>
      <c r="K152" s="11">
        <v>255.0</v>
      </c>
      <c r="L152" s="11">
        <v>57.0</v>
      </c>
      <c r="M152" s="13">
        <f t="shared" ref="M152:O152" si="154">IFERROR(G152/F152,"")</f>
        <v>0.04389091712</v>
      </c>
      <c r="N152" s="13">
        <f t="shared" si="154"/>
        <v>0.6431791908</v>
      </c>
      <c r="O152" s="14">
        <f t="shared" si="154"/>
        <v>1.384739822</v>
      </c>
      <c r="P152" s="13">
        <f t="shared" si="3"/>
        <v>0.03630807945</v>
      </c>
      <c r="Q152" s="13">
        <f t="shared" si="4"/>
        <v>0.02291722836</v>
      </c>
      <c r="R152" s="13">
        <f t="shared" si="5"/>
        <v>0.005122674575</v>
      </c>
      <c r="S152" s="14">
        <f t="shared" si="6"/>
        <v>0.941532722</v>
      </c>
      <c r="T152" s="14">
        <f t="shared" si="7"/>
        <v>1.244923775</v>
      </c>
      <c r="U152" s="14">
        <f t="shared" si="8"/>
        <v>2.066088631</v>
      </c>
    </row>
    <row r="153" ht="15.75" customHeight="1">
      <c r="A153" s="9">
        <v>45486.5282211806</v>
      </c>
      <c r="B153" s="10">
        <v>12.0</v>
      </c>
      <c r="C153" s="10" t="s">
        <v>69</v>
      </c>
      <c r="D153" s="10" t="s">
        <v>480</v>
      </c>
      <c r="E153" s="12" t="s">
        <v>62</v>
      </c>
      <c r="F153" s="11">
        <v>38779.0</v>
      </c>
      <c r="G153" s="11">
        <v>576.0</v>
      </c>
      <c r="H153" s="11">
        <v>313.0</v>
      </c>
      <c r="I153" s="11">
        <v>323.0</v>
      </c>
      <c r="J153" s="11">
        <v>45.0</v>
      </c>
      <c r="K153" s="11">
        <v>3.0</v>
      </c>
      <c r="L153" s="11">
        <v>4.0</v>
      </c>
      <c r="M153" s="13">
        <f t="shared" ref="M153:O153" si="155">IFERROR(G153/F153,"")</f>
        <v>0.01485340004</v>
      </c>
      <c r="N153" s="13">
        <f t="shared" si="155"/>
        <v>0.5434027778</v>
      </c>
      <c r="O153" s="14">
        <f t="shared" si="155"/>
        <v>1.031948882</v>
      </c>
      <c r="P153" s="13">
        <f t="shared" si="3"/>
        <v>0.1437699681</v>
      </c>
      <c r="Q153" s="13">
        <f t="shared" si="4"/>
        <v>0.009584664537</v>
      </c>
      <c r="R153" s="13">
        <f t="shared" si="5"/>
        <v>0.01277955272</v>
      </c>
      <c r="S153" s="14">
        <f t="shared" si="6"/>
        <v>0.32500839</v>
      </c>
      <c r="T153" s="14">
        <f t="shared" si="7"/>
        <v>1.053967454</v>
      </c>
      <c r="U153" s="14">
        <f t="shared" si="8"/>
        <v>0.8612753531</v>
      </c>
    </row>
    <row r="154" ht="15.75" customHeight="1">
      <c r="A154" s="9">
        <v>45488.5680200579</v>
      </c>
      <c r="B154" s="10">
        <v>13.0</v>
      </c>
      <c r="C154" s="10" t="s">
        <v>71</v>
      </c>
      <c r="D154" s="10" t="s">
        <v>482</v>
      </c>
      <c r="E154" s="12" t="s">
        <v>62</v>
      </c>
      <c r="F154" s="11">
        <v>4043613.0</v>
      </c>
      <c r="G154" s="11">
        <v>277168.0</v>
      </c>
      <c r="H154" s="11">
        <v>118620.0</v>
      </c>
      <c r="I154" s="11">
        <v>109628.0</v>
      </c>
      <c r="J154" s="11">
        <v>1721.0</v>
      </c>
      <c r="K154" s="11">
        <v>830.0</v>
      </c>
      <c r="L154" s="11">
        <v>287.0</v>
      </c>
      <c r="M154" s="13">
        <f t="shared" ref="M154:O154" si="156">IFERROR(G154/F154,"")</f>
        <v>0.06854464065</v>
      </c>
      <c r="N154" s="13">
        <f t="shared" si="156"/>
        <v>0.427971483</v>
      </c>
      <c r="O154" s="14">
        <f t="shared" si="156"/>
        <v>0.9241949081</v>
      </c>
      <c r="P154" s="13">
        <f t="shared" si="3"/>
        <v>0.01450851458</v>
      </c>
      <c r="Q154" s="13">
        <f t="shared" si="4"/>
        <v>0.006997133704</v>
      </c>
      <c r="R154" s="13">
        <f t="shared" si="5"/>
        <v>0.002419490811</v>
      </c>
      <c r="S154" s="14">
        <f t="shared" si="6"/>
        <v>1.503431897</v>
      </c>
      <c r="T154" s="14">
        <f t="shared" si="7"/>
        <v>0.837440379</v>
      </c>
      <c r="U154" s="14">
        <f t="shared" si="8"/>
        <v>0.614055975</v>
      </c>
    </row>
    <row r="155" ht="15.75" customHeight="1">
      <c r="A155" s="9">
        <v>45490.5003006945</v>
      </c>
      <c r="B155" s="10">
        <v>12.0</v>
      </c>
      <c r="C155" s="10" t="s">
        <v>80</v>
      </c>
      <c r="D155" s="10" t="s">
        <v>485</v>
      </c>
      <c r="E155" s="12" t="s">
        <v>62</v>
      </c>
      <c r="F155" s="11">
        <v>196044.0</v>
      </c>
      <c r="G155" s="11">
        <v>21862.0</v>
      </c>
      <c r="H155" s="11">
        <v>7095.0</v>
      </c>
      <c r="I155" s="11">
        <v>9189.0</v>
      </c>
      <c r="J155" s="11">
        <v>225.0</v>
      </c>
      <c r="K155" s="11">
        <v>138.0</v>
      </c>
      <c r="L155" s="11">
        <v>20.0</v>
      </c>
      <c r="M155" s="13">
        <f t="shared" ref="M155:O155" si="157">IFERROR(G155/F155,"")</f>
        <v>0.1115157822</v>
      </c>
      <c r="N155" s="13">
        <f t="shared" si="157"/>
        <v>0.3245357241</v>
      </c>
      <c r="O155" s="14">
        <f t="shared" si="157"/>
        <v>1.295137421</v>
      </c>
      <c r="P155" s="13">
        <f t="shared" si="3"/>
        <v>0.03171247357</v>
      </c>
      <c r="Q155" s="13">
        <f t="shared" si="4"/>
        <v>0.01945031712</v>
      </c>
      <c r="R155" s="13">
        <f t="shared" si="5"/>
        <v>0.00281888654</v>
      </c>
      <c r="S155" s="14">
        <f t="shared" si="6"/>
        <v>2.448238922</v>
      </c>
      <c r="T155" s="14">
        <f t="shared" si="7"/>
        <v>0.6281643509</v>
      </c>
      <c r="U155" s="14">
        <f t="shared" si="8"/>
        <v>1.75353138</v>
      </c>
    </row>
    <row r="156" ht="15.75" customHeight="1">
      <c r="A156" s="9">
        <v>45492.5215122107</v>
      </c>
      <c r="B156" s="10">
        <v>12.0</v>
      </c>
      <c r="C156" s="10" t="s">
        <v>60</v>
      </c>
      <c r="D156" s="10" t="s">
        <v>487</v>
      </c>
      <c r="E156" s="12" t="s">
        <v>62</v>
      </c>
      <c r="F156" s="11">
        <v>23247.0</v>
      </c>
      <c r="G156" s="11">
        <v>2233.0</v>
      </c>
      <c r="H156" s="11">
        <v>964.0</v>
      </c>
      <c r="I156" s="11">
        <v>1148.0</v>
      </c>
      <c r="J156" s="11">
        <v>71.0</v>
      </c>
      <c r="K156" s="11">
        <v>7.0</v>
      </c>
      <c r="L156" s="11">
        <v>11.0</v>
      </c>
      <c r="M156" s="13">
        <f t="shared" ref="M156:O156" si="158">IFERROR(G156/F156,"")</f>
        <v>0.096055405</v>
      </c>
      <c r="N156" s="13">
        <f t="shared" si="158"/>
        <v>0.4317062248</v>
      </c>
      <c r="O156" s="14">
        <f t="shared" si="158"/>
        <v>1.190871369</v>
      </c>
      <c r="P156" s="13">
        <f t="shared" si="3"/>
        <v>0.07365145228</v>
      </c>
      <c r="Q156" s="13">
        <f t="shared" si="4"/>
        <v>0.007261410788</v>
      </c>
      <c r="R156" s="13">
        <f t="shared" si="5"/>
        <v>0.01141078838</v>
      </c>
      <c r="S156" s="14">
        <f t="shared" si="6"/>
        <v>2.108818829</v>
      </c>
      <c r="T156" s="14">
        <f t="shared" si="7"/>
        <v>0.8447483977</v>
      </c>
      <c r="U156" s="14">
        <f t="shared" si="8"/>
        <v>0.6546480244</v>
      </c>
    </row>
    <row r="157" ht="15.75" customHeight="1">
      <c r="A157" s="9">
        <v>45494.5385378472</v>
      </c>
      <c r="B157" s="10">
        <v>12.0</v>
      </c>
      <c r="C157" s="10" t="s">
        <v>77</v>
      </c>
      <c r="D157" s="10" t="s">
        <v>490</v>
      </c>
      <c r="E157" s="12" t="s">
        <v>62</v>
      </c>
      <c r="F157" s="11">
        <v>115315.0</v>
      </c>
      <c r="G157" s="11">
        <v>8555.0</v>
      </c>
      <c r="H157" s="11">
        <v>4613.0</v>
      </c>
      <c r="I157" s="11">
        <v>3736.0</v>
      </c>
      <c r="J157" s="11">
        <v>547.0</v>
      </c>
      <c r="K157" s="11">
        <v>51.0</v>
      </c>
      <c r="L157" s="11">
        <v>31.0</v>
      </c>
      <c r="M157" s="13">
        <f t="shared" ref="M157:O157" si="159">IFERROR(G157/F157,"")</f>
        <v>0.07418809348</v>
      </c>
      <c r="N157" s="13">
        <f t="shared" si="159"/>
        <v>0.5392168323</v>
      </c>
      <c r="O157" s="14">
        <f t="shared" si="159"/>
        <v>0.8098851073</v>
      </c>
      <c r="P157" s="13">
        <f t="shared" si="3"/>
        <v>0.1185779319</v>
      </c>
      <c r="Q157" s="13">
        <f t="shared" si="4"/>
        <v>0.01105571212</v>
      </c>
      <c r="R157" s="13">
        <f t="shared" si="5"/>
        <v>0.006720138738</v>
      </c>
      <c r="S157" s="14">
        <f t="shared" si="6"/>
        <v>1.591457235</v>
      </c>
      <c r="T157" s="14">
        <f t="shared" si="7"/>
        <v>1.055121582</v>
      </c>
      <c r="U157" s="14">
        <f t="shared" si="8"/>
        <v>0.9702295783</v>
      </c>
    </row>
    <row r="158" ht="15.75" customHeight="1">
      <c r="A158" s="9">
        <v>45496.5002025116</v>
      </c>
      <c r="B158" s="10">
        <v>12.0</v>
      </c>
      <c r="C158" s="10" t="s">
        <v>59</v>
      </c>
      <c r="D158" s="10" t="s">
        <v>492</v>
      </c>
      <c r="E158" s="12" t="s">
        <v>62</v>
      </c>
      <c r="F158" s="11">
        <v>391489.0</v>
      </c>
      <c r="G158" s="11">
        <v>48810.0</v>
      </c>
      <c r="H158" s="11">
        <v>33376.0</v>
      </c>
      <c r="I158" s="11">
        <v>27367.0</v>
      </c>
      <c r="J158" s="11">
        <v>489.0</v>
      </c>
      <c r="K158" s="11">
        <v>123.0</v>
      </c>
      <c r="L158" s="11">
        <v>51.0</v>
      </c>
      <c r="M158" s="13">
        <f t="shared" ref="M158:O158" si="160">IFERROR(G158/F158,"")</f>
        <v>0.1246778326</v>
      </c>
      <c r="N158" s="13">
        <f t="shared" si="160"/>
        <v>0.6837943044</v>
      </c>
      <c r="O158" s="14">
        <f t="shared" si="160"/>
        <v>0.8199604506</v>
      </c>
      <c r="P158" s="13">
        <f t="shared" si="3"/>
        <v>0.0146512464</v>
      </c>
      <c r="Q158" s="13">
        <f t="shared" si="4"/>
        <v>0.003685282838</v>
      </c>
      <c r="R158" s="13">
        <f t="shared" si="5"/>
        <v>0.001528044104</v>
      </c>
      <c r="S158" s="14">
        <f t="shared" si="6"/>
        <v>2.728085256</v>
      </c>
      <c r="T158" s="14">
        <f t="shared" si="7"/>
        <v>1.326266577</v>
      </c>
      <c r="U158" s="14">
        <f t="shared" si="8"/>
        <v>0.3311585153</v>
      </c>
    </row>
    <row r="159" ht="15.75" customHeight="1">
      <c r="A159" s="9">
        <v>45498.5004852894</v>
      </c>
      <c r="B159" s="10">
        <v>12.0</v>
      </c>
      <c r="C159" s="10" t="s">
        <v>84</v>
      </c>
      <c r="D159" s="10" t="s">
        <v>495</v>
      </c>
      <c r="E159" s="12" t="s">
        <v>62</v>
      </c>
      <c r="F159" s="11">
        <v>7236400.0</v>
      </c>
      <c r="G159" s="11">
        <v>370275.0</v>
      </c>
      <c r="H159" s="11">
        <v>257001.0</v>
      </c>
      <c r="I159" s="11">
        <v>365650.0</v>
      </c>
      <c r="J159" s="11">
        <v>4273.0</v>
      </c>
      <c r="K159" s="11">
        <v>2997.0</v>
      </c>
      <c r="L159" s="11">
        <v>743.0</v>
      </c>
      <c r="M159" s="13">
        <f t="shared" ref="M159:O159" si="161">IFERROR(G159/F159,"")</f>
        <v>0.05116839865</v>
      </c>
      <c r="N159" s="13">
        <f t="shared" si="161"/>
        <v>0.694081426</v>
      </c>
      <c r="O159" s="14">
        <f t="shared" si="161"/>
        <v>1.42275711</v>
      </c>
      <c r="P159" s="13">
        <f t="shared" si="3"/>
        <v>0.01662639445</v>
      </c>
      <c r="Q159" s="13">
        <f t="shared" si="4"/>
        <v>0.01166143322</v>
      </c>
      <c r="R159" s="13">
        <f t="shared" si="5"/>
        <v>0.002891039334</v>
      </c>
      <c r="S159" s="14">
        <f t="shared" si="6"/>
        <v>1.076519643</v>
      </c>
      <c r="T159" s="14">
        <f t="shared" si="7"/>
        <v>1.346219164</v>
      </c>
      <c r="U159" s="14">
        <f t="shared" si="8"/>
        <v>1.047893224</v>
      </c>
    </row>
    <row r="160" ht="15.75" customHeight="1">
      <c r="A160" s="9">
        <v>45500.5260505324</v>
      </c>
      <c r="B160" s="10">
        <v>12.0</v>
      </c>
      <c r="C160" s="10" t="s">
        <v>69</v>
      </c>
      <c r="D160" s="10" t="s">
        <v>497</v>
      </c>
      <c r="E160" s="12" t="s">
        <v>62</v>
      </c>
      <c r="F160" s="11">
        <v>474673.0</v>
      </c>
      <c r="G160" s="11">
        <v>34369.0</v>
      </c>
      <c r="H160" s="11">
        <v>11901.0</v>
      </c>
      <c r="I160" s="11">
        <v>10023.0</v>
      </c>
      <c r="J160" s="11">
        <v>369.0</v>
      </c>
      <c r="K160" s="11">
        <v>179.0</v>
      </c>
      <c r="L160" s="11">
        <v>35.0</v>
      </c>
      <c r="M160" s="13">
        <f t="shared" ref="M160:O160" si="162">IFERROR(G160/F160,"")</f>
        <v>0.07240563504</v>
      </c>
      <c r="N160" s="13">
        <f t="shared" si="162"/>
        <v>0.3462713492</v>
      </c>
      <c r="O160" s="14">
        <f t="shared" si="162"/>
        <v>0.8421981346</v>
      </c>
      <c r="P160" s="13">
        <f t="shared" si="3"/>
        <v>0.03100579783</v>
      </c>
      <c r="Q160" s="13">
        <f t="shared" si="4"/>
        <v>0.01504075288</v>
      </c>
      <c r="R160" s="13">
        <f t="shared" si="5"/>
        <v>0.002940929334</v>
      </c>
      <c r="S160" s="14">
        <f t="shared" si="6"/>
        <v>1.523324756</v>
      </c>
      <c r="T160" s="14">
        <f t="shared" si="7"/>
        <v>0.6716173474</v>
      </c>
      <c r="U160" s="14">
        <f t="shared" si="8"/>
        <v>1.35155797</v>
      </c>
    </row>
    <row r="161" ht="15.75" customHeight="1">
      <c r="A161" s="9">
        <v>45502.5163352662</v>
      </c>
      <c r="B161" s="10">
        <v>12.0</v>
      </c>
      <c r="C161" s="10" t="s">
        <v>71</v>
      </c>
      <c r="D161" s="10" t="s">
        <v>500</v>
      </c>
      <c r="E161" s="12" t="s">
        <v>62</v>
      </c>
      <c r="F161" s="11">
        <v>586564.0</v>
      </c>
      <c r="G161" s="11">
        <v>20083.0</v>
      </c>
      <c r="H161" s="11">
        <v>10028.0</v>
      </c>
      <c r="I161" s="11">
        <v>9415.0</v>
      </c>
      <c r="J161" s="11">
        <v>283.0</v>
      </c>
      <c r="K161" s="11">
        <v>56.0</v>
      </c>
      <c r="L161" s="11">
        <v>42.0</v>
      </c>
      <c r="M161" s="13">
        <f t="shared" ref="M161:O161" si="163">IFERROR(G161/F161,"")</f>
        <v>0.03423837808</v>
      </c>
      <c r="N161" s="13">
        <f t="shared" si="163"/>
        <v>0.4993277897</v>
      </c>
      <c r="O161" s="14">
        <f t="shared" si="163"/>
        <v>0.9388711607</v>
      </c>
      <c r="P161" s="13">
        <f t="shared" si="3"/>
        <v>0.02822098125</v>
      </c>
      <c r="Q161" s="13">
        <f t="shared" si="4"/>
        <v>0.005584363781</v>
      </c>
      <c r="R161" s="13">
        <f t="shared" si="5"/>
        <v>0.004188272836</v>
      </c>
      <c r="S161" s="14">
        <f t="shared" si="6"/>
        <v>0.7344698044</v>
      </c>
      <c r="T161" s="14">
        <f t="shared" si="7"/>
        <v>0.9770680292</v>
      </c>
      <c r="U161" s="14">
        <f t="shared" si="8"/>
        <v>0.4900738061</v>
      </c>
    </row>
    <row r="162" ht="15.75" customHeight="1">
      <c r="A162" s="9">
        <v>45504.548188831</v>
      </c>
      <c r="B162" s="10">
        <v>13.0</v>
      </c>
      <c r="C162" s="10" t="s">
        <v>80</v>
      </c>
      <c r="D162" s="10" t="s">
        <v>503</v>
      </c>
      <c r="E162" s="12" t="s">
        <v>62</v>
      </c>
      <c r="F162" s="11">
        <v>241595.0</v>
      </c>
      <c r="G162" s="11">
        <v>21859.0</v>
      </c>
      <c r="H162" s="11">
        <v>12546.0</v>
      </c>
      <c r="I162" s="11">
        <v>10160.0</v>
      </c>
      <c r="J162" s="11">
        <v>878.0</v>
      </c>
      <c r="K162" s="11">
        <v>184.0</v>
      </c>
      <c r="L162" s="11">
        <v>29.0</v>
      </c>
      <c r="M162" s="13">
        <f t="shared" ref="M162:O162" si="164">IFERROR(G162/F162,"")</f>
        <v>0.09047786585</v>
      </c>
      <c r="N162" s="13">
        <f t="shared" si="164"/>
        <v>0.5739512329</v>
      </c>
      <c r="O162" s="14">
        <f t="shared" si="164"/>
        <v>0.8098198629</v>
      </c>
      <c r="P162" s="13">
        <f t="shared" si="3"/>
        <v>0.06998246453</v>
      </c>
      <c r="Q162" s="13">
        <f t="shared" si="4"/>
        <v>0.01466602901</v>
      </c>
      <c r="R162" s="13">
        <f t="shared" si="5"/>
        <v>0.002311493703</v>
      </c>
      <c r="S162" s="14">
        <f t="shared" si="6"/>
        <v>1.900145501</v>
      </c>
      <c r="T162" s="14">
        <f t="shared" si="7"/>
        <v>1.123088704</v>
      </c>
      <c r="U162" s="14">
        <f t="shared" si="8"/>
        <v>1.28706455</v>
      </c>
    </row>
    <row r="163" ht="15.75" customHeight="1">
      <c r="A163" s="9">
        <v>45506.5138660301</v>
      </c>
      <c r="B163" s="10">
        <v>12.0</v>
      </c>
      <c r="C163" s="10" t="s">
        <v>60</v>
      </c>
      <c r="D163" s="10" t="s">
        <v>506</v>
      </c>
      <c r="E163" s="12" t="s">
        <v>62</v>
      </c>
      <c r="F163" s="11">
        <v>155287.0</v>
      </c>
      <c r="G163" s="11">
        <v>19505.0</v>
      </c>
      <c r="H163" s="11">
        <v>8588.0</v>
      </c>
      <c r="I163" s="11">
        <v>8499.0</v>
      </c>
      <c r="J163" s="11">
        <v>67.0</v>
      </c>
      <c r="K163" s="11">
        <v>143.0</v>
      </c>
      <c r="L163" s="11">
        <v>16.0</v>
      </c>
      <c r="M163" s="13">
        <f t="shared" ref="M163:O163" si="165">IFERROR(G163/F163,"")</f>
        <v>0.1256061357</v>
      </c>
      <c r="N163" s="13">
        <f t="shared" si="165"/>
        <v>0.4402973597</v>
      </c>
      <c r="O163" s="14">
        <f t="shared" si="165"/>
        <v>0.9896367024</v>
      </c>
      <c r="P163" s="13">
        <f t="shared" si="3"/>
        <v>0.007801583605</v>
      </c>
      <c r="Q163" s="13">
        <f t="shared" si="4"/>
        <v>0.01665114113</v>
      </c>
      <c r="R163" s="13">
        <f t="shared" si="5"/>
        <v>0.001863064741</v>
      </c>
      <c r="S163" s="14">
        <f t="shared" si="6"/>
        <v>2.550696605</v>
      </c>
      <c r="T163" s="14">
        <f t="shared" si="7"/>
        <v>0.8696888368</v>
      </c>
      <c r="U163" s="14">
        <f t="shared" si="8"/>
        <v>1.461274449</v>
      </c>
    </row>
    <row r="164" ht="15.75" customHeight="1">
      <c r="A164" s="9">
        <v>45508.5165578472</v>
      </c>
      <c r="B164" s="10">
        <v>12.0</v>
      </c>
      <c r="C164" s="10" t="s">
        <v>77</v>
      </c>
      <c r="D164" s="10" t="s">
        <v>508</v>
      </c>
      <c r="E164" s="12" t="s">
        <v>62</v>
      </c>
      <c r="F164" s="11">
        <v>1017475.0</v>
      </c>
      <c r="G164" s="11">
        <v>61374.0</v>
      </c>
      <c r="H164" s="11">
        <v>41195.0</v>
      </c>
      <c r="I164" s="11">
        <v>38078.0</v>
      </c>
      <c r="J164" s="11">
        <v>1170.0</v>
      </c>
      <c r="K164" s="11">
        <v>150.0</v>
      </c>
      <c r="L164" s="11">
        <v>134.0</v>
      </c>
      <c r="M164" s="13">
        <f t="shared" ref="M164:O164" si="166">IFERROR(G164/F164,"")</f>
        <v>0.06031990958</v>
      </c>
      <c r="N164" s="13">
        <f t="shared" si="166"/>
        <v>0.6712125656</v>
      </c>
      <c r="O164" s="14">
        <f t="shared" si="166"/>
        <v>0.9243354776</v>
      </c>
      <c r="P164" s="13">
        <f t="shared" si="3"/>
        <v>0.02840150504</v>
      </c>
      <c r="Q164" s="13">
        <f t="shared" si="4"/>
        <v>0.003641218594</v>
      </c>
      <c r="R164" s="13">
        <f t="shared" si="5"/>
        <v>0.003252821944</v>
      </c>
      <c r="S164" s="14">
        <f t="shared" si="6"/>
        <v>1.186865348</v>
      </c>
      <c r="T164" s="14">
        <f t="shared" si="7"/>
        <v>1.325799627</v>
      </c>
      <c r="U164" s="14">
        <f t="shared" si="8"/>
        <v>0.3205700839</v>
      </c>
    </row>
    <row r="165" ht="15.75" customHeight="1">
      <c r="A165" s="9">
        <v>45510.4755192245</v>
      </c>
      <c r="B165" s="10">
        <v>11.0</v>
      </c>
      <c r="C165" s="10" t="s">
        <v>59</v>
      </c>
      <c r="D165" s="10" t="s">
        <v>511</v>
      </c>
      <c r="E165" s="12" t="s">
        <v>62</v>
      </c>
      <c r="F165" s="11">
        <v>1421403.0</v>
      </c>
      <c r="G165" s="11">
        <v>75505.0</v>
      </c>
      <c r="H165" s="11">
        <v>46757.0</v>
      </c>
      <c r="I165" s="11">
        <v>52660.0</v>
      </c>
      <c r="J165" s="11">
        <v>711.0</v>
      </c>
      <c r="K165" s="11">
        <v>684.0</v>
      </c>
      <c r="L165" s="11">
        <v>109.0</v>
      </c>
      <c r="M165" s="13">
        <f t="shared" ref="M165:O165" si="167">IFERROR(G165/F165,"")</f>
        <v>0.0531200511</v>
      </c>
      <c r="N165" s="13">
        <f t="shared" si="167"/>
        <v>0.6192570028</v>
      </c>
      <c r="O165" s="14">
        <f t="shared" si="167"/>
        <v>1.126248476</v>
      </c>
      <c r="P165" s="13">
        <f t="shared" si="3"/>
        <v>0.01520627927</v>
      </c>
      <c r="Q165" s="13">
        <f t="shared" si="4"/>
        <v>0.01462882563</v>
      </c>
      <c r="R165" s="13">
        <f t="shared" si="5"/>
        <v>0.002331201745</v>
      </c>
      <c r="S165" s="14">
        <f t="shared" si="6"/>
        <v>1.041287006</v>
      </c>
      <c r="T165" s="14">
        <f t="shared" si="7"/>
        <v>1.223175408</v>
      </c>
      <c r="U165" s="14">
        <f t="shared" si="8"/>
        <v>1.331542979</v>
      </c>
    </row>
    <row r="166" ht="15.75" customHeight="1">
      <c r="A166" s="9">
        <v>45512.4971199884</v>
      </c>
      <c r="B166" s="10">
        <v>11.0</v>
      </c>
      <c r="C166" s="10" t="s">
        <v>84</v>
      </c>
      <c r="D166" s="10" t="s">
        <v>514</v>
      </c>
      <c r="E166" s="12" t="s">
        <v>62</v>
      </c>
      <c r="F166" s="11">
        <v>254493.0</v>
      </c>
      <c r="G166" s="11">
        <v>19871.0</v>
      </c>
      <c r="H166" s="11">
        <v>11744.0</v>
      </c>
      <c r="I166" s="11">
        <v>11134.0</v>
      </c>
      <c r="J166" s="11">
        <v>694.0</v>
      </c>
      <c r="K166" s="11">
        <v>87.0</v>
      </c>
      <c r="L166" s="11">
        <v>44.0</v>
      </c>
      <c r="M166" s="13">
        <f t="shared" ref="M166:O166" si="168">IFERROR(G166/F166,"")</f>
        <v>0.07808073307</v>
      </c>
      <c r="N166" s="13">
        <f t="shared" si="168"/>
        <v>0.5910120276</v>
      </c>
      <c r="O166" s="14">
        <f t="shared" si="168"/>
        <v>0.9480585831</v>
      </c>
      <c r="P166" s="13">
        <f t="shared" si="3"/>
        <v>0.05909400545</v>
      </c>
      <c r="Q166" s="13">
        <f t="shared" si="4"/>
        <v>0.007408038147</v>
      </c>
      <c r="R166" s="13">
        <f t="shared" si="5"/>
        <v>0.003746594005</v>
      </c>
      <c r="S166" s="14">
        <f t="shared" si="6"/>
        <v>1.535230621</v>
      </c>
      <c r="T166" s="14">
        <f t="shared" si="7"/>
        <v>1.166818345</v>
      </c>
      <c r="U166" s="14">
        <f t="shared" si="8"/>
        <v>0.6785762943</v>
      </c>
    </row>
    <row r="167" ht="15.75" customHeight="1">
      <c r="A167" s="9">
        <v>45514.5460362616</v>
      </c>
      <c r="B167" s="10">
        <v>13.0</v>
      </c>
      <c r="C167" s="10" t="s">
        <v>69</v>
      </c>
      <c r="D167" s="10" t="s">
        <v>517</v>
      </c>
      <c r="E167" s="12" t="s">
        <v>62</v>
      </c>
      <c r="F167" s="11">
        <v>102728.0</v>
      </c>
      <c r="G167" s="11">
        <v>6733.0</v>
      </c>
      <c r="H167" s="11">
        <v>3683.0</v>
      </c>
      <c r="I167" s="11">
        <v>3117.0</v>
      </c>
      <c r="J167" s="11">
        <v>277.0</v>
      </c>
      <c r="K167" s="11">
        <v>94.0</v>
      </c>
      <c r="L167" s="11">
        <v>11.0</v>
      </c>
      <c r="M167" s="13">
        <f t="shared" ref="M167:O167" si="169">IFERROR(G167/F167,"")</f>
        <v>0.06554201386</v>
      </c>
      <c r="N167" s="13">
        <f t="shared" si="169"/>
        <v>0.5470072776</v>
      </c>
      <c r="O167" s="14">
        <f t="shared" si="169"/>
        <v>0.846320934</v>
      </c>
      <c r="P167" s="13">
        <f t="shared" si="3"/>
        <v>0.07521042628</v>
      </c>
      <c r="Q167" s="13">
        <f t="shared" si="4"/>
        <v>0.02552267173</v>
      </c>
      <c r="R167" s="13">
        <f t="shared" si="5"/>
        <v>0.002986695629</v>
      </c>
      <c r="S167" s="14">
        <f t="shared" si="6"/>
        <v>1.28869316</v>
      </c>
      <c r="T167" s="14">
        <f t="shared" si="7"/>
        <v>1.080990572</v>
      </c>
      <c r="U167" s="14">
        <f t="shared" si="8"/>
        <v>2.337876731</v>
      </c>
    </row>
    <row r="168" ht="15.75" customHeight="1">
      <c r="A168" s="9">
        <v>45516.4891547222</v>
      </c>
      <c r="B168" s="10">
        <v>11.0</v>
      </c>
      <c r="C168" s="10" t="s">
        <v>71</v>
      </c>
      <c r="D168" s="10" t="s">
        <v>520</v>
      </c>
      <c r="E168" s="12" t="s">
        <v>62</v>
      </c>
      <c r="F168" s="11">
        <v>166341.0</v>
      </c>
      <c r="G168" s="11">
        <v>6109.0</v>
      </c>
      <c r="H168" s="11">
        <v>3620.0</v>
      </c>
      <c r="I168" s="11">
        <v>3718.0</v>
      </c>
      <c r="J168" s="11">
        <v>133.0</v>
      </c>
      <c r="K168" s="11">
        <v>23.0</v>
      </c>
      <c r="L168" s="11">
        <v>15.0</v>
      </c>
      <c r="M168" s="13">
        <f t="shared" ref="M168:O168" si="170">IFERROR(G168/F168,"")</f>
        <v>0.03672576214</v>
      </c>
      <c r="N168" s="13">
        <f t="shared" si="170"/>
        <v>0.5925683418</v>
      </c>
      <c r="O168" s="14">
        <f t="shared" si="170"/>
        <v>1.027071823</v>
      </c>
      <c r="P168" s="13">
        <f t="shared" si="3"/>
        <v>0.03674033149</v>
      </c>
      <c r="Q168" s="13">
        <f t="shared" si="4"/>
        <v>0.00635359116</v>
      </c>
      <c r="R168" s="13">
        <f t="shared" si="5"/>
        <v>0.004143646409</v>
      </c>
      <c r="S168" s="14">
        <f t="shared" si="6"/>
        <v>0.7221053442</v>
      </c>
      <c r="T168" s="14">
        <f t="shared" si="7"/>
        <v>1.169890932</v>
      </c>
      <c r="U168" s="14">
        <f t="shared" si="8"/>
        <v>0.6401243094</v>
      </c>
    </row>
    <row r="169" ht="15.75" customHeight="1">
      <c r="A169" s="9">
        <v>45518.489716331</v>
      </c>
      <c r="B169" s="10">
        <v>11.0</v>
      </c>
      <c r="C169" s="10" t="s">
        <v>80</v>
      </c>
      <c r="D169" s="10" t="s">
        <v>523</v>
      </c>
      <c r="E169" s="12" t="s">
        <v>62</v>
      </c>
      <c r="F169" s="11">
        <v>36501.0</v>
      </c>
      <c r="G169" s="11">
        <v>719.0</v>
      </c>
      <c r="H169" s="11">
        <v>204.0</v>
      </c>
      <c r="I169" s="11">
        <v>203.0</v>
      </c>
      <c r="J169" s="11">
        <v>25.0</v>
      </c>
      <c r="K169" s="11">
        <v>1.0</v>
      </c>
      <c r="L169" s="11">
        <v>1.0</v>
      </c>
      <c r="M169" s="13">
        <f t="shared" ref="M169:O169" si="171">IFERROR(G169/F169,"")</f>
        <v>0.01969809046</v>
      </c>
      <c r="N169" s="13">
        <f t="shared" si="171"/>
        <v>0.2837273992</v>
      </c>
      <c r="O169" s="14">
        <f t="shared" si="171"/>
        <v>0.9950980392</v>
      </c>
      <c r="P169" s="13">
        <f t="shared" si="3"/>
        <v>0.1225490196</v>
      </c>
      <c r="Q169" s="13">
        <f t="shared" si="4"/>
        <v>0.004901960784</v>
      </c>
      <c r="R169" s="13">
        <f t="shared" si="5"/>
        <v>0.004901960784</v>
      </c>
      <c r="S169" s="14">
        <f t="shared" si="6"/>
        <v>0.3849659357</v>
      </c>
      <c r="T169" s="14">
        <f t="shared" si="7"/>
        <v>0.5503090096</v>
      </c>
      <c r="U169" s="14">
        <f t="shared" si="8"/>
        <v>0.493872549</v>
      </c>
    </row>
    <row r="170" ht="15.75" customHeight="1">
      <c r="A170" s="9">
        <v>45521.6038404514</v>
      </c>
      <c r="B170" s="10">
        <v>14.0</v>
      </c>
      <c r="C170" s="10" t="s">
        <v>69</v>
      </c>
      <c r="D170" s="10" t="s">
        <v>526</v>
      </c>
      <c r="E170" s="12" t="s">
        <v>62</v>
      </c>
      <c r="F170" s="11">
        <v>43450.0</v>
      </c>
      <c r="G170" s="11">
        <v>1032.0</v>
      </c>
      <c r="H170" s="11">
        <v>553.0</v>
      </c>
      <c r="I170" s="11">
        <v>423.0</v>
      </c>
      <c r="J170" s="11">
        <v>39.0</v>
      </c>
      <c r="K170" s="11">
        <v>10.0</v>
      </c>
      <c r="L170" s="11">
        <v>1.0</v>
      </c>
      <c r="M170" s="13">
        <f t="shared" ref="M170:O170" si="172">IFERROR(G170/F170,"")</f>
        <v>0.02375143843</v>
      </c>
      <c r="N170" s="13">
        <f t="shared" si="172"/>
        <v>0.5358527132</v>
      </c>
      <c r="O170" s="14">
        <f t="shared" si="172"/>
        <v>0.7649186257</v>
      </c>
      <c r="P170" s="13">
        <f t="shared" si="3"/>
        <v>0.0705244123</v>
      </c>
      <c r="Q170" s="13">
        <f t="shared" si="4"/>
        <v>0.01808318264</v>
      </c>
      <c r="R170" s="13">
        <f t="shared" si="5"/>
        <v>0.001808318264</v>
      </c>
      <c r="S170" s="14">
        <f t="shared" si="6"/>
        <v>0.4471275524</v>
      </c>
      <c r="T170" s="14">
        <f t="shared" si="7"/>
        <v>1.039323579</v>
      </c>
      <c r="U170" s="14">
        <f t="shared" si="8"/>
        <v>1.834747531</v>
      </c>
    </row>
    <row r="171" ht="15.75" customHeight="1">
      <c r="A171" s="9">
        <v>45523.5215677431</v>
      </c>
      <c r="B171" s="10">
        <v>12.0</v>
      </c>
      <c r="C171" s="10" t="s">
        <v>71</v>
      </c>
      <c r="D171" s="10" t="s">
        <v>529</v>
      </c>
      <c r="E171" s="12" t="s">
        <v>62</v>
      </c>
      <c r="F171" s="11">
        <v>760917.0</v>
      </c>
      <c r="G171" s="11">
        <v>61066.0</v>
      </c>
      <c r="H171" s="11">
        <v>40978.0</v>
      </c>
      <c r="I171" s="11">
        <v>35653.0</v>
      </c>
      <c r="J171" s="11">
        <v>505.0</v>
      </c>
      <c r="K171" s="11">
        <v>135.0</v>
      </c>
      <c r="L171" s="11">
        <v>83.0</v>
      </c>
      <c r="M171" s="13">
        <f t="shared" ref="M171:O171" si="173">IFERROR(G171/F171,"")</f>
        <v>0.08025316822</v>
      </c>
      <c r="N171" s="13">
        <f t="shared" si="173"/>
        <v>0.6710444437</v>
      </c>
      <c r="O171" s="14">
        <f t="shared" si="173"/>
        <v>0.8700522231</v>
      </c>
      <c r="P171" s="13">
        <f t="shared" si="3"/>
        <v>0.01232368588</v>
      </c>
      <c r="Q171" s="13">
        <f t="shared" si="4"/>
        <v>0.003294450681</v>
      </c>
      <c r="R171" s="13">
        <f t="shared" si="5"/>
        <v>0.002025477085</v>
      </c>
      <c r="S171" s="14">
        <f t="shared" si="6"/>
        <v>1.510788611</v>
      </c>
      <c r="T171" s="14">
        <f t="shared" si="7"/>
        <v>1.301537336</v>
      </c>
      <c r="U171" s="14">
        <f t="shared" si="8"/>
        <v>0.3342600345</v>
      </c>
    </row>
    <row r="172" ht="15.75" customHeight="1">
      <c r="A172" s="9">
        <v>45525.5012217708</v>
      </c>
      <c r="B172" s="10">
        <v>12.0</v>
      </c>
      <c r="C172" s="10" t="s">
        <v>80</v>
      </c>
      <c r="D172" s="10" t="s">
        <v>531</v>
      </c>
      <c r="E172" s="12" t="s">
        <v>62</v>
      </c>
      <c r="F172" s="11">
        <v>34046.0</v>
      </c>
      <c r="G172" s="11">
        <v>1218.0</v>
      </c>
      <c r="H172" s="11">
        <v>725.0</v>
      </c>
      <c r="I172" s="11">
        <v>481.0</v>
      </c>
      <c r="J172" s="11">
        <v>75.0</v>
      </c>
      <c r="K172" s="11">
        <v>30.0</v>
      </c>
      <c r="L172" s="11">
        <v>4.0</v>
      </c>
      <c r="M172" s="13">
        <f t="shared" ref="M172:O172" si="174">IFERROR(G172/F172,"")</f>
        <v>0.03577512777</v>
      </c>
      <c r="N172" s="13">
        <f t="shared" si="174"/>
        <v>0.5952380952</v>
      </c>
      <c r="O172" s="14">
        <f t="shared" si="174"/>
        <v>0.6634482759</v>
      </c>
      <c r="P172" s="13">
        <f t="shared" si="3"/>
        <v>0.1034482759</v>
      </c>
      <c r="Q172" s="13">
        <f t="shared" si="4"/>
        <v>0.04137931034</v>
      </c>
      <c r="R172" s="13">
        <f t="shared" si="5"/>
        <v>0.005517241379</v>
      </c>
      <c r="S172" s="14">
        <f t="shared" si="6"/>
        <v>0.6824501952</v>
      </c>
      <c r="T172" s="14">
        <f t="shared" si="7"/>
        <v>1.154505654</v>
      </c>
      <c r="U172" s="14">
        <f t="shared" si="8"/>
        <v>4.317241379</v>
      </c>
    </row>
    <row r="173" ht="15.75" customHeight="1">
      <c r="A173" s="9">
        <v>45527.4220046065</v>
      </c>
      <c r="B173" s="10">
        <v>10.0</v>
      </c>
      <c r="C173" s="10" t="s">
        <v>60</v>
      </c>
      <c r="D173" s="10" t="s">
        <v>534</v>
      </c>
      <c r="E173" s="12" t="s">
        <v>62</v>
      </c>
      <c r="F173" s="11">
        <v>11265.0</v>
      </c>
      <c r="G173" s="11">
        <v>249.0</v>
      </c>
      <c r="H173" s="11">
        <v>126.0</v>
      </c>
      <c r="I173" s="11">
        <v>97.0</v>
      </c>
      <c r="J173" s="11">
        <v>27.0</v>
      </c>
      <c r="K173" s="11">
        <v>9.0</v>
      </c>
      <c r="L173" s="11">
        <v>1.0</v>
      </c>
      <c r="M173" s="13">
        <f t="shared" ref="M173:O173" si="175">IFERROR(G173/F173,"")</f>
        <v>0.02210386152</v>
      </c>
      <c r="N173" s="13">
        <f t="shared" si="175"/>
        <v>0.5060240964</v>
      </c>
      <c r="O173" s="14">
        <f t="shared" si="175"/>
        <v>0.7698412698</v>
      </c>
      <c r="P173" s="13">
        <f t="shared" si="3"/>
        <v>0.2142857143</v>
      </c>
      <c r="Q173" s="13">
        <f t="shared" si="4"/>
        <v>0.07142857143</v>
      </c>
      <c r="R173" s="13">
        <f t="shared" si="5"/>
        <v>0.007936507937</v>
      </c>
      <c r="S173" s="14">
        <f t="shared" si="6"/>
        <v>0.4161114505</v>
      </c>
      <c r="T173" s="14">
        <f t="shared" si="7"/>
        <v>0.9774380541</v>
      </c>
      <c r="U173" s="14">
        <f t="shared" si="8"/>
        <v>7.517857143</v>
      </c>
    </row>
    <row r="174" ht="15.75" customHeight="1">
      <c r="A174" s="9">
        <v>45530.4477734375</v>
      </c>
      <c r="B174" s="10">
        <v>10.0</v>
      </c>
      <c r="C174" s="10" t="s">
        <v>71</v>
      </c>
      <c r="D174" s="10" t="s">
        <v>537</v>
      </c>
      <c r="E174" s="12" t="s">
        <v>62</v>
      </c>
      <c r="F174" s="11">
        <v>329014.0</v>
      </c>
      <c r="G174" s="11">
        <v>14925.0</v>
      </c>
      <c r="H174" s="11">
        <v>11738.0</v>
      </c>
      <c r="I174" s="11">
        <v>11179.0</v>
      </c>
      <c r="J174" s="11">
        <v>1003.0</v>
      </c>
      <c r="K174" s="11">
        <v>108.0</v>
      </c>
      <c r="L174" s="11">
        <v>106.0</v>
      </c>
      <c r="M174" s="13">
        <f t="shared" ref="M174:O174" si="176">IFERROR(G174/F174,"")</f>
        <v>0.04536281131</v>
      </c>
      <c r="N174" s="13">
        <f t="shared" si="176"/>
        <v>0.7864656616</v>
      </c>
      <c r="O174" s="14">
        <f t="shared" si="176"/>
        <v>0.9523768956</v>
      </c>
      <c r="P174" s="13">
        <f t="shared" si="3"/>
        <v>0.08544896916</v>
      </c>
      <c r="Q174" s="13">
        <f t="shared" si="4"/>
        <v>0.009200886011</v>
      </c>
      <c r="R174" s="13">
        <f t="shared" si="5"/>
        <v>0.009030499233</v>
      </c>
      <c r="S174" s="14">
        <f t="shared" si="6"/>
        <v>0.8508858029</v>
      </c>
      <c r="T174" s="14">
        <f t="shared" si="7"/>
        <v>1.510724897</v>
      </c>
      <c r="U174" s="14">
        <f t="shared" si="8"/>
        <v>0.9914752776</v>
      </c>
    </row>
    <row r="175" ht="15.75" customHeight="1">
      <c r="A175" s="9">
        <v>45532.4171388542</v>
      </c>
      <c r="B175" s="10">
        <v>10.0</v>
      </c>
      <c r="C175" s="10" t="s">
        <v>80</v>
      </c>
      <c r="D175" s="10" t="s">
        <v>539</v>
      </c>
      <c r="E175" s="12" t="s">
        <v>62</v>
      </c>
      <c r="F175" s="11">
        <v>524892.0</v>
      </c>
      <c r="G175" s="11">
        <v>11208.0</v>
      </c>
      <c r="H175" s="11">
        <v>5448.0</v>
      </c>
      <c r="I175" s="11">
        <v>4745.0</v>
      </c>
      <c r="J175" s="11">
        <v>76.0</v>
      </c>
      <c r="K175" s="11">
        <v>16.0</v>
      </c>
      <c r="L175" s="11">
        <v>18.0</v>
      </c>
      <c r="M175" s="13">
        <f t="shared" ref="M175:O175" si="177">IFERROR(G175/F175,"")</f>
        <v>0.02135296404</v>
      </c>
      <c r="N175" s="13">
        <f t="shared" si="177"/>
        <v>0.4860813704</v>
      </c>
      <c r="O175" s="14">
        <f t="shared" si="177"/>
        <v>0.8709618209</v>
      </c>
      <c r="P175" s="13">
        <f t="shared" si="3"/>
        <v>0.01395007342</v>
      </c>
      <c r="Q175" s="13">
        <f t="shared" si="4"/>
        <v>0.002936857562</v>
      </c>
      <c r="R175" s="13">
        <f t="shared" si="5"/>
        <v>0.003303964758</v>
      </c>
      <c r="S175" s="14">
        <f t="shared" si="6"/>
        <v>0.4005248666</v>
      </c>
      <c r="T175" s="14">
        <f t="shared" si="7"/>
        <v>0.9337155633</v>
      </c>
      <c r="U175" s="14">
        <f t="shared" si="8"/>
        <v>0.319589323</v>
      </c>
    </row>
    <row r="176" ht="15.75" customHeight="1">
      <c r="A176" s="9">
        <v>45534.4172562732</v>
      </c>
      <c r="B176" s="10">
        <v>10.0</v>
      </c>
      <c r="C176" s="10" t="s">
        <v>60</v>
      </c>
      <c r="D176" s="10" t="s">
        <v>542</v>
      </c>
      <c r="E176" s="12" t="s">
        <v>62</v>
      </c>
      <c r="F176" s="11">
        <v>368501.0</v>
      </c>
      <c r="G176" s="11">
        <v>3637.0</v>
      </c>
      <c r="H176" s="11">
        <v>2462.0</v>
      </c>
      <c r="I176" s="11">
        <v>2753.0</v>
      </c>
      <c r="J176" s="11">
        <v>93.0</v>
      </c>
      <c r="K176" s="11">
        <v>14.0</v>
      </c>
      <c r="L176" s="11">
        <v>9.0</v>
      </c>
      <c r="M176" s="13">
        <f t="shared" ref="M176:O176" si="178">IFERROR(G176/F176,"")</f>
        <v>0.009869715415</v>
      </c>
      <c r="N176" s="13">
        <f t="shared" si="178"/>
        <v>0.676931537</v>
      </c>
      <c r="O176" s="14">
        <f t="shared" si="178"/>
        <v>1.118196588</v>
      </c>
      <c r="P176" s="13">
        <f t="shared" si="3"/>
        <v>0.03777416734</v>
      </c>
      <c r="Q176" s="13">
        <f t="shared" si="4"/>
        <v>0.005686433794</v>
      </c>
      <c r="R176" s="13">
        <f t="shared" si="5"/>
        <v>0.003655564582</v>
      </c>
      <c r="S176" s="14">
        <f t="shared" si="6"/>
        <v>0.1870297797</v>
      </c>
      <c r="T176" s="14">
        <f t="shared" si="7"/>
        <v>1.300320378</v>
      </c>
      <c r="U176" s="14">
        <f t="shared" si="8"/>
        <v>0.6187986607</v>
      </c>
    </row>
    <row r="177" ht="15.75" customHeight="1">
      <c r="A177" s="9">
        <v>45537.3989713657</v>
      </c>
      <c r="B177" s="10">
        <v>9.0</v>
      </c>
      <c r="C177" s="10" t="s">
        <v>71</v>
      </c>
      <c r="D177" s="10" t="s">
        <v>545</v>
      </c>
      <c r="E177" s="12" t="s">
        <v>62</v>
      </c>
      <c r="F177" s="11">
        <v>992217.0</v>
      </c>
      <c r="G177" s="11">
        <v>36893.0</v>
      </c>
      <c r="H177" s="11">
        <v>25071.0</v>
      </c>
      <c r="I177" s="11">
        <v>20570.0</v>
      </c>
      <c r="J177" s="11">
        <v>964.0</v>
      </c>
      <c r="K177" s="11">
        <v>128.0</v>
      </c>
      <c r="L177" s="11">
        <v>69.0</v>
      </c>
      <c r="M177" s="13">
        <f t="shared" ref="M177:O177" si="179">IFERROR(G177/F177,"")</f>
        <v>0.03718239055</v>
      </c>
      <c r="N177" s="13">
        <f t="shared" si="179"/>
        <v>0.6795598081</v>
      </c>
      <c r="O177" s="14">
        <f t="shared" si="179"/>
        <v>0.8204698656</v>
      </c>
      <c r="P177" s="13">
        <f t="shared" si="3"/>
        <v>0.03845079973</v>
      </c>
      <c r="Q177" s="13">
        <f t="shared" si="4"/>
        <v>0.005105500379</v>
      </c>
      <c r="R177" s="13">
        <f t="shared" si="5"/>
        <v>0.002752183798</v>
      </c>
      <c r="S177" s="14">
        <f t="shared" si="6"/>
        <v>0.6974428462</v>
      </c>
      <c r="T177" s="14">
        <f t="shared" si="7"/>
        <v>1.315341314</v>
      </c>
      <c r="U177" s="14">
        <f t="shared" si="8"/>
        <v>0.5803944795</v>
      </c>
    </row>
    <row r="178" ht="15.75" customHeight="1">
      <c r="A178" s="9">
        <v>45539.550196088</v>
      </c>
      <c r="B178" s="10">
        <v>13.0</v>
      </c>
      <c r="C178" s="10" t="s">
        <v>80</v>
      </c>
      <c r="D178" s="10" t="s">
        <v>548</v>
      </c>
      <c r="E178" s="12" t="s">
        <v>62</v>
      </c>
      <c r="F178" s="11">
        <v>5428.0</v>
      </c>
      <c r="G178" s="11">
        <v>258.0</v>
      </c>
      <c r="H178" s="11">
        <v>114.0</v>
      </c>
      <c r="I178" s="11">
        <v>104.0</v>
      </c>
      <c r="J178" s="11">
        <v>26.0</v>
      </c>
      <c r="K178" s="11">
        <v>3.0</v>
      </c>
      <c r="L178" s="11">
        <v>0.0</v>
      </c>
      <c r="M178" s="13">
        <f t="shared" ref="M178:O178" si="180">IFERROR(G178/F178,"")</f>
        <v>0.04753131909</v>
      </c>
      <c r="N178" s="13">
        <f t="shared" si="180"/>
        <v>0.4418604651</v>
      </c>
      <c r="O178" s="14">
        <f t="shared" si="180"/>
        <v>0.9122807018</v>
      </c>
      <c r="P178" s="13">
        <f t="shared" si="3"/>
        <v>0.2280701754</v>
      </c>
      <c r="Q178" s="13">
        <f t="shared" si="4"/>
        <v>0.02631578947</v>
      </c>
      <c r="R178" s="13">
        <f t="shared" si="5"/>
        <v>0</v>
      </c>
      <c r="S178" s="14">
        <f t="shared" si="6"/>
        <v>0.8673869226</v>
      </c>
      <c r="T178" s="14">
        <f t="shared" si="7"/>
        <v>0.8534993418</v>
      </c>
      <c r="U178" s="14">
        <f t="shared" si="8"/>
        <v>2.867249459</v>
      </c>
    </row>
    <row r="179" ht="15.75" customHeight="1">
      <c r="A179" s="9">
        <v>45541.6058644444</v>
      </c>
      <c r="B179" s="10">
        <v>14.0</v>
      </c>
      <c r="C179" s="10" t="s">
        <v>60</v>
      </c>
      <c r="D179" s="10" t="s">
        <v>551</v>
      </c>
      <c r="E179" s="12" t="s">
        <v>62</v>
      </c>
      <c r="F179" s="11">
        <v>21017.0</v>
      </c>
      <c r="G179" s="11">
        <v>547.0</v>
      </c>
      <c r="H179" s="11">
        <v>236.0</v>
      </c>
      <c r="I179" s="11">
        <v>89.0</v>
      </c>
      <c r="J179" s="11">
        <v>29.0</v>
      </c>
      <c r="K179" s="11">
        <v>9.0</v>
      </c>
      <c r="L179" s="11">
        <v>3.0</v>
      </c>
      <c r="M179" s="13">
        <f t="shared" ref="M179:O179" si="181">IFERROR(G179/F179,"")</f>
        <v>0.02602654994</v>
      </c>
      <c r="N179" s="13">
        <f t="shared" si="181"/>
        <v>0.4314442413</v>
      </c>
      <c r="O179" s="14">
        <f t="shared" si="181"/>
        <v>0.3771186441</v>
      </c>
      <c r="P179" s="13">
        <f t="shared" si="3"/>
        <v>0.1228813559</v>
      </c>
      <c r="Q179" s="13">
        <f t="shared" si="4"/>
        <v>0.03813559322</v>
      </c>
      <c r="R179" s="13">
        <f t="shared" si="5"/>
        <v>0.01271186441</v>
      </c>
      <c r="S179" s="14">
        <f t="shared" si="6"/>
        <v>0.4515980877</v>
      </c>
      <c r="T179" s="14">
        <f t="shared" si="7"/>
        <v>0.8241973243</v>
      </c>
      <c r="U179" s="14">
        <f t="shared" si="8"/>
        <v>4.537489227</v>
      </c>
    </row>
    <row r="180" ht="15.75" customHeight="1">
      <c r="A180" s="9">
        <v>45544.4991415741</v>
      </c>
      <c r="B180" s="10">
        <v>11.0</v>
      </c>
      <c r="C180" s="10" t="s">
        <v>71</v>
      </c>
      <c r="D180" s="10" t="s">
        <v>553</v>
      </c>
      <c r="E180" s="12" t="s">
        <v>62</v>
      </c>
      <c r="F180" s="11">
        <v>135010.0</v>
      </c>
      <c r="G180" s="11">
        <v>16326.0</v>
      </c>
      <c r="H180" s="11">
        <v>7937.0</v>
      </c>
      <c r="I180" s="11">
        <v>6092.0</v>
      </c>
      <c r="J180" s="11">
        <v>525.0</v>
      </c>
      <c r="K180" s="11">
        <v>99.0</v>
      </c>
      <c r="L180" s="11">
        <v>41.0</v>
      </c>
      <c r="M180" s="13">
        <f t="shared" ref="M180:O180" si="182">IFERROR(G180/F180,"")</f>
        <v>0.120924376</v>
      </c>
      <c r="N180" s="13">
        <f t="shared" si="182"/>
        <v>0.4861570501</v>
      </c>
      <c r="O180" s="14">
        <f t="shared" si="182"/>
        <v>0.7675444122</v>
      </c>
      <c r="P180" s="13">
        <f t="shared" si="3"/>
        <v>0.06614589895</v>
      </c>
      <c r="Q180" s="13">
        <f t="shared" si="4"/>
        <v>0.01247322666</v>
      </c>
      <c r="R180" s="13">
        <f t="shared" si="5"/>
        <v>0.005165679728</v>
      </c>
      <c r="S180" s="14">
        <f t="shared" si="6"/>
        <v>2.004717461</v>
      </c>
      <c r="T180" s="14">
        <f t="shared" si="7"/>
        <v>0.9287163937</v>
      </c>
      <c r="U180" s="14">
        <f t="shared" si="8"/>
        <v>1.484102562</v>
      </c>
    </row>
    <row r="181" ht="15.75" customHeight="1">
      <c r="A181" s="9">
        <v>45546.7073997801</v>
      </c>
      <c r="B181" s="10">
        <v>16.0</v>
      </c>
      <c r="C181" s="10" t="s">
        <v>80</v>
      </c>
      <c r="D181" s="10" t="s">
        <v>556</v>
      </c>
      <c r="E181" s="12" t="s">
        <v>62</v>
      </c>
      <c r="F181" s="11">
        <v>1105942.0</v>
      </c>
      <c r="G181" s="11">
        <v>125957.0</v>
      </c>
      <c r="H181" s="11">
        <v>59765.0</v>
      </c>
      <c r="I181" s="11">
        <v>51579.0</v>
      </c>
      <c r="J181" s="11">
        <v>1043.0</v>
      </c>
      <c r="K181" s="11">
        <v>346.0</v>
      </c>
      <c r="L181" s="11">
        <v>201.0</v>
      </c>
      <c r="M181" s="13">
        <f t="shared" ref="M181:O181" si="183">IFERROR(G181/F181,"")</f>
        <v>0.1138911444</v>
      </c>
      <c r="N181" s="13">
        <f t="shared" si="183"/>
        <v>0.474487325</v>
      </c>
      <c r="O181" s="14">
        <f t="shared" si="183"/>
        <v>0.8630302016</v>
      </c>
      <c r="P181" s="13">
        <f t="shared" si="3"/>
        <v>0.01745168577</v>
      </c>
      <c r="Q181" s="13">
        <f t="shared" si="4"/>
        <v>0.005789341588</v>
      </c>
      <c r="R181" s="13">
        <f t="shared" si="5"/>
        <v>0.003363172425</v>
      </c>
      <c r="S181" s="14">
        <f t="shared" si="6"/>
        <v>1.888118619</v>
      </c>
      <c r="T181" s="14">
        <f t="shared" si="7"/>
        <v>0.9064234639</v>
      </c>
      <c r="U181" s="14">
        <f t="shared" si="8"/>
        <v>0.7014595447</v>
      </c>
    </row>
    <row r="182" ht="15.75" customHeight="1">
      <c r="A182" s="9">
        <v>45548.6415306019</v>
      </c>
      <c r="B182" s="10">
        <v>15.0</v>
      </c>
      <c r="C182" s="10" t="s">
        <v>60</v>
      </c>
      <c r="D182" s="10" t="s">
        <v>558</v>
      </c>
      <c r="E182" s="12" t="s">
        <v>62</v>
      </c>
      <c r="F182" s="11">
        <v>646268.0</v>
      </c>
      <c r="G182" s="11">
        <v>65171.0</v>
      </c>
      <c r="H182" s="11">
        <v>37531.0</v>
      </c>
      <c r="I182" s="11">
        <v>29568.0</v>
      </c>
      <c r="J182" s="11">
        <v>1059.0</v>
      </c>
      <c r="K182" s="11">
        <v>245.0</v>
      </c>
      <c r="L182" s="11">
        <v>92.0</v>
      </c>
      <c r="M182" s="13">
        <f t="shared" ref="M182:O182" si="184">IFERROR(G182/F182,"")</f>
        <v>0.1008420655</v>
      </c>
      <c r="N182" s="13">
        <f t="shared" si="184"/>
        <v>0.5758849795</v>
      </c>
      <c r="O182" s="14">
        <f t="shared" si="184"/>
        <v>0.7878287283</v>
      </c>
      <c r="P182" s="13">
        <f t="shared" si="3"/>
        <v>0.02821667422</v>
      </c>
      <c r="Q182" s="13">
        <f t="shared" si="4"/>
        <v>0.006527936905</v>
      </c>
      <c r="R182" s="13">
        <f t="shared" si="5"/>
        <v>0.00245130692</v>
      </c>
      <c r="S182" s="14">
        <f t="shared" si="6"/>
        <v>1.749754926</v>
      </c>
      <c r="T182" s="14">
        <f t="shared" si="7"/>
        <v>1.074707593</v>
      </c>
      <c r="U182" s="14">
        <f t="shared" si="8"/>
        <v>0.7767138488</v>
      </c>
    </row>
    <row r="183" ht="15.75" customHeight="1">
      <c r="A183" s="9">
        <v>45551.5183112616</v>
      </c>
      <c r="B183" s="10">
        <v>12.0</v>
      </c>
      <c r="C183" s="10" t="s">
        <v>71</v>
      </c>
      <c r="D183" s="10" t="s">
        <v>561</v>
      </c>
      <c r="E183" s="12" t="s">
        <v>62</v>
      </c>
      <c r="F183" s="11">
        <v>105423.0</v>
      </c>
      <c r="G183" s="11">
        <v>5777.0</v>
      </c>
      <c r="H183" s="11">
        <v>2839.0</v>
      </c>
      <c r="I183" s="11">
        <v>2054.0</v>
      </c>
      <c r="J183" s="11">
        <v>117.0</v>
      </c>
      <c r="K183" s="11">
        <v>47.0</v>
      </c>
      <c r="L183" s="11">
        <v>8.0</v>
      </c>
      <c r="M183" s="13">
        <f t="shared" ref="M183:O183" si="185">IFERROR(G183/F183,"")</f>
        <v>0.0547982888</v>
      </c>
      <c r="N183" s="13">
        <f t="shared" si="185"/>
        <v>0.4914315389</v>
      </c>
      <c r="O183" s="14">
        <f t="shared" si="185"/>
        <v>0.7234941881</v>
      </c>
      <c r="P183" s="13">
        <f t="shared" si="3"/>
        <v>0.04121169426</v>
      </c>
      <c r="Q183" s="13">
        <f t="shared" si="4"/>
        <v>0.01655512504</v>
      </c>
      <c r="R183" s="13">
        <f t="shared" si="5"/>
        <v>0.002817893625</v>
      </c>
      <c r="S183" s="14">
        <f t="shared" si="6"/>
        <v>0.9084610567</v>
      </c>
      <c r="T183" s="14">
        <f t="shared" si="7"/>
        <v>0.9166161791</v>
      </c>
      <c r="U183" s="14">
        <f t="shared" si="8"/>
        <v>1.969779285</v>
      </c>
    </row>
    <row r="184" ht="15.75" customHeight="1">
      <c r="A184" s="9">
        <v>45553.5840791088</v>
      </c>
      <c r="B184" s="10">
        <v>14.0</v>
      </c>
      <c r="C184" s="10" t="s">
        <v>80</v>
      </c>
      <c r="D184" s="10" t="s">
        <v>563</v>
      </c>
      <c r="E184" s="12" t="s">
        <v>62</v>
      </c>
      <c r="F184" s="11">
        <v>379073.0</v>
      </c>
      <c r="G184" s="11">
        <v>28751.0</v>
      </c>
      <c r="H184" s="11">
        <v>7291.0</v>
      </c>
      <c r="I184" s="11">
        <v>4471.0</v>
      </c>
      <c r="J184" s="11">
        <v>314.0</v>
      </c>
      <c r="K184" s="11">
        <v>28.0</v>
      </c>
      <c r="L184" s="11">
        <v>21.0</v>
      </c>
      <c r="M184" s="13">
        <f t="shared" ref="M184:O184" si="186">IFERROR(G184/F184,"")</f>
        <v>0.07584554954</v>
      </c>
      <c r="N184" s="13">
        <f t="shared" si="186"/>
        <v>0.2535911794</v>
      </c>
      <c r="O184" s="14">
        <f t="shared" si="186"/>
        <v>0.6132217803</v>
      </c>
      <c r="P184" s="13">
        <f t="shared" si="3"/>
        <v>0.04306679468</v>
      </c>
      <c r="Q184" s="13">
        <f t="shared" si="4"/>
        <v>0.003840351118</v>
      </c>
      <c r="R184" s="13">
        <f t="shared" si="5"/>
        <v>0.002880263338</v>
      </c>
      <c r="S184" s="14">
        <f t="shared" si="6"/>
        <v>1.257388316</v>
      </c>
      <c r="T184" s="14">
        <f t="shared" si="7"/>
        <v>0.4729972734</v>
      </c>
      <c r="U184" s="14">
        <f t="shared" si="8"/>
        <v>0.4569366923</v>
      </c>
    </row>
    <row r="185" ht="15.75" customHeight="1">
      <c r="A185" s="9">
        <v>45555.5349321991</v>
      </c>
      <c r="B185" s="10">
        <v>12.0</v>
      </c>
      <c r="C185" s="10" t="s">
        <v>60</v>
      </c>
      <c r="D185" s="10" t="s">
        <v>565</v>
      </c>
      <c r="E185" s="12" t="s">
        <v>62</v>
      </c>
      <c r="F185" s="11">
        <v>1725918.0</v>
      </c>
      <c r="G185" s="11">
        <v>92345.0</v>
      </c>
      <c r="H185" s="11">
        <v>69845.0</v>
      </c>
      <c r="I185" s="11">
        <v>87469.0</v>
      </c>
      <c r="J185" s="11">
        <v>1356.0</v>
      </c>
      <c r="K185" s="11">
        <v>267.0</v>
      </c>
      <c r="L185" s="11">
        <v>296.0</v>
      </c>
      <c r="M185" s="13">
        <f t="shared" ref="M185:O185" si="187">IFERROR(G185/F185,"")</f>
        <v>0.05350485944</v>
      </c>
      <c r="N185" s="13">
        <f t="shared" si="187"/>
        <v>0.7563484758</v>
      </c>
      <c r="O185" s="14">
        <f t="shared" si="187"/>
        <v>1.25233016</v>
      </c>
      <c r="P185" s="13">
        <f t="shared" si="3"/>
        <v>0.01941441764</v>
      </c>
      <c r="Q185" s="13">
        <f t="shared" si="4"/>
        <v>0.003822750376</v>
      </c>
      <c r="R185" s="13">
        <f t="shared" si="5"/>
        <v>0.004237955473</v>
      </c>
      <c r="S185" s="14">
        <f t="shared" si="6"/>
        <v>0.8870182302</v>
      </c>
      <c r="T185" s="14">
        <f t="shared" si="7"/>
        <v>1.410738211</v>
      </c>
      <c r="U185" s="14">
        <f t="shared" si="8"/>
        <v>0.4165096</v>
      </c>
    </row>
    <row r="186" ht="15.75" customHeight="1">
      <c r="A186" s="9">
        <v>45558.4863435995</v>
      </c>
      <c r="B186" s="10">
        <v>11.0</v>
      </c>
      <c r="C186" s="10" t="s">
        <v>71</v>
      </c>
      <c r="D186" s="10" t="s">
        <v>568</v>
      </c>
      <c r="E186" s="12" t="s">
        <v>62</v>
      </c>
      <c r="F186" s="11">
        <v>15767.0</v>
      </c>
      <c r="G186" s="11">
        <v>2294.0</v>
      </c>
      <c r="H186" s="11">
        <v>994.0</v>
      </c>
      <c r="I186" s="11">
        <v>1446.0</v>
      </c>
      <c r="J186" s="11">
        <v>56.0</v>
      </c>
      <c r="K186" s="11">
        <v>6.0</v>
      </c>
      <c r="L186" s="11">
        <v>7.0</v>
      </c>
      <c r="M186" s="13">
        <f t="shared" ref="M186:O186" si="188">IFERROR(G186/F186,"")</f>
        <v>0.1454937528</v>
      </c>
      <c r="N186" s="13">
        <f t="shared" si="188"/>
        <v>0.433304272</v>
      </c>
      <c r="O186" s="14">
        <f t="shared" si="188"/>
        <v>1.45472837</v>
      </c>
      <c r="P186" s="13">
        <f t="shared" si="3"/>
        <v>0.05633802817</v>
      </c>
      <c r="Q186" s="13">
        <f t="shared" si="4"/>
        <v>0.006036217304</v>
      </c>
      <c r="R186" s="13">
        <f t="shared" si="5"/>
        <v>0.007042253521</v>
      </c>
      <c r="S186" s="14">
        <f t="shared" si="6"/>
        <v>2.412035326</v>
      </c>
      <c r="T186" s="14">
        <f t="shared" si="7"/>
        <v>0.8052054056</v>
      </c>
      <c r="U186" s="14">
        <f t="shared" si="8"/>
        <v>0.6576789504</v>
      </c>
    </row>
    <row r="187" ht="15.75" customHeight="1">
      <c r="A187" s="9">
        <v>45560.5753668171</v>
      </c>
      <c r="B187" s="10">
        <v>13.0</v>
      </c>
      <c r="C187" s="10" t="s">
        <v>80</v>
      </c>
      <c r="D187" s="10" t="s">
        <v>569</v>
      </c>
      <c r="E187" s="12" t="s">
        <v>62</v>
      </c>
      <c r="F187" s="11">
        <v>3645582.0</v>
      </c>
      <c r="G187" s="11">
        <v>154735.0</v>
      </c>
      <c r="H187" s="11">
        <v>93801.0</v>
      </c>
      <c r="I187" s="11">
        <v>103079.0</v>
      </c>
      <c r="J187" s="11">
        <v>2241.0</v>
      </c>
      <c r="K187" s="11">
        <v>434.0</v>
      </c>
      <c r="L187" s="11">
        <v>458.0</v>
      </c>
      <c r="M187" s="13">
        <f t="shared" ref="M187:O187" si="189">IFERROR(G187/F187,"")</f>
        <v>0.042444526</v>
      </c>
      <c r="N187" s="13">
        <f t="shared" si="189"/>
        <v>0.6062041555</v>
      </c>
      <c r="O187" s="14">
        <f t="shared" si="189"/>
        <v>1.098911525</v>
      </c>
      <c r="P187" s="13">
        <f t="shared" si="3"/>
        <v>0.02389100329</v>
      </c>
      <c r="Q187" s="13">
        <f t="shared" si="4"/>
        <v>0.004626816345</v>
      </c>
      <c r="R187" s="13">
        <f t="shared" si="5"/>
        <v>0.004882677157</v>
      </c>
      <c r="S187" s="14">
        <f t="shared" si="6"/>
        <v>0.7196913921</v>
      </c>
      <c r="T187" s="14">
        <f t="shared" si="7"/>
        <v>1.124468712</v>
      </c>
      <c r="U187" s="14">
        <f t="shared" si="8"/>
        <v>0.5034909157</v>
      </c>
    </row>
    <row r="188" ht="15.75" customHeight="1">
      <c r="A188" s="9">
        <v>45565.4712250347</v>
      </c>
      <c r="B188" s="10">
        <v>11.0</v>
      </c>
      <c r="C188" s="10" t="s">
        <v>71</v>
      </c>
      <c r="D188" s="10" t="s">
        <v>572</v>
      </c>
      <c r="E188" s="12" t="s">
        <v>62</v>
      </c>
      <c r="F188" s="11">
        <v>66867.0</v>
      </c>
      <c r="G188" s="11">
        <v>2162.0</v>
      </c>
      <c r="H188" s="11">
        <v>842.0</v>
      </c>
      <c r="I188" s="11">
        <v>550.0</v>
      </c>
      <c r="J188" s="11">
        <v>65.0</v>
      </c>
      <c r="K188" s="11">
        <v>8.0</v>
      </c>
      <c r="L188" s="11">
        <v>8.0</v>
      </c>
      <c r="M188" s="13">
        <f t="shared" ref="M188:O188" si="190">IFERROR(G188/F188,"")</f>
        <v>0.03233283982</v>
      </c>
      <c r="N188" s="13">
        <f t="shared" si="190"/>
        <v>0.3894542091</v>
      </c>
      <c r="O188" s="14">
        <f t="shared" si="190"/>
        <v>0.6532066508</v>
      </c>
      <c r="P188" s="13">
        <f t="shared" si="3"/>
        <v>0.07719714964</v>
      </c>
      <c r="Q188" s="13">
        <f t="shared" si="4"/>
        <v>0.009501187648</v>
      </c>
      <c r="R188" s="13">
        <f t="shared" si="5"/>
        <v>0.009501187648</v>
      </c>
      <c r="S188" s="14">
        <f t="shared" si="6"/>
        <v>0.5211968713</v>
      </c>
      <c r="T188" s="14">
        <f t="shared" si="7"/>
        <v>0.7194663859</v>
      </c>
      <c r="U188" s="14">
        <f t="shared" si="8"/>
        <v>1.033920803</v>
      </c>
    </row>
    <row r="189" ht="15.75" customHeight="1">
      <c r="A189" s="9">
        <v>45569.5085251736</v>
      </c>
      <c r="B189" s="10">
        <v>12.0</v>
      </c>
      <c r="C189" s="10" t="s">
        <v>60</v>
      </c>
      <c r="D189" s="10" t="s">
        <v>575</v>
      </c>
      <c r="E189" s="12" t="s">
        <v>62</v>
      </c>
      <c r="F189" s="11">
        <v>105398.0</v>
      </c>
      <c r="G189" s="11">
        <v>1871.0</v>
      </c>
      <c r="H189" s="11">
        <v>622.0</v>
      </c>
      <c r="I189" s="11">
        <v>556.0</v>
      </c>
      <c r="J189" s="11">
        <v>65.0</v>
      </c>
      <c r="K189" s="11">
        <v>16.0</v>
      </c>
      <c r="L189" s="11">
        <v>6.0</v>
      </c>
      <c r="M189" s="13">
        <f t="shared" ref="M189:O189" si="191">IFERROR(G189/F189,"")</f>
        <v>0.01775176</v>
      </c>
      <c r="N189" s="13">
        <f t="shared" si="191"/>
        <v>0.3324425441</v>
      </c>
      <c r="O189" s="14">
        <f t="shared" si="191"/>
        <v>0.8938906752</v>
      </c>
      <c r="P189" s="13">
        <f t="shared" si="3"/>
        <v>0.1045016077</v>
      </c>
      <c r="Q189" s="13">
        <f t="shared" si="4"/>
        <v>0.02572347267</v>
      </c>
      <c r="R189" s="13">
        <f t="shared" si="5"/>
        <v>0.009646302251</v>
      </c>
      <c r="S189" s="14">
        <f t="shared" si="6"/>
        <v>0.2861537007</v>
      </c>
      <c r="T189" s="14">
        <f t="shared" si="7"/>
        <v>0.6141446931</v>
      </c>
      <c r="U189" s="14">
        <f t="shared" si="8"/>
        <v>2.771927309</v>
      </c>
    </row>
    <row r="190" ht="15.75" customHeight="1">
      <c r="A190" s="9">
        <v>45572.4836740741</v>
      </c>
      <c r="B190" s="10">
        <v>11.0</v>
      </c>
      <c r="C190" s="10" t="s">
        <v>71</v>
      </c>
      <c r="D190" s="10" t="s">
        <v>578</v>
      </c>
      <c r="E190" s="12" t="s">
        <v>62</v>
      </c>
      <c r="F190" s="11">
        <v>55431.0</v>
      </c>
      <c r="G190" s="11">
        <v>392.0</v>
      </c>
      <c r="H190" s="11">
        <v>158.0</v>
      </c>
      <c r="I190" s="11">
        <v>169.0</v>
      </c>
      <c r="J190" s="11">
        <v>27.0</v>
      </c>
      <c r="K190" s="11">
        <v>4.0</v>
      </c>
      <c r="L190" s="11">
        <v>1.0</v>
      </c>
      <c r="M190" s="13">
        <f t="shared" ref="M190:O190" si="192">IFERROR(G190/F190,"")</f>
        <v>0.007071855099</v>
      </c>
      <c r="N190" s="13">
        <f t="shared" si="192"/>
        <v>0.4030612245</v>
      </c>
      <c r="O190" s="14">
        <f t="shared" si="192"/>
        <v>1.069620253</v>
      </c>
      <c r="P190" s="13">
        <f t="shared" si="3"/>
        <v>0.1708860759</v>
      </c>
      <c r="Q190" s="13">
        <f t="shared" si="4"/>
        <v>0.0253164557</v>
      </c>
      <c r="R190" s="13">
        <f t="shared" si="5"/>
        <v>0.006329113924</v>
      </c>
      <c r="S190" s="14">
        <f t="shared" si="6"/>
        <v>0.1109282862</v>
      </c>
      <c r="T190" s="14">
        <f t="shared" si="7"/>
        <v>0.7417356719</v>
      </c>
      <c r="U190" s="14">
        <f t="shared" si="8"/>
        <v>2.751523676</v>
      </c>
    </row>
    <row r="191" ht="15.75" customHeight="1">
      <c r="A191" s="9">
        <v>45574.5958315162</v>
      </c>
      <c r="B191" s="10">
        <v>14.0</v>
      </c>
      <c r="C191" s="10" t="s">
        <v>80</v>
      </c>
      <c r="D191" s="10" t="s">
        <v>581</v>
      </c>
      <c r="E191" s="12" t="s">
        <v>62</v>
      </c>
      <c r="F191" s="11">
        <v>1159794.0</v>
      </c>
      <c r="G191" s="11">
        <v>47875.0</v>
      </c>
      <c r="H191" s="11">
        <v>30327.0</v>
      </c>
      <c r="I191" s="11">
        <v>25041.0</v>
      </c>
      <c r="J191" s="11">
        <v>1192.0</v>
      </c>
      <c r="K191" s="11">
        <v>94.0</v>
      </c>
      <c r="L191" s="11">
        <v>254.0</v>
      </c>
      <c r="M191" s="13">
        <f t="shared" ref="M191:O191" si="193">IFERROR(G191/F191,"")</f>
        <v>0.04127888228</v>
      </c>
      <c r="N191" s="13">
        <f t="shared" si="193"/>
        <v>0.633462141</v>
      </c>
      <c r="O191" s="14">
        <f t="shared" si="193"/>
        <v>0.8256998714</v>
      </c>
      <c r="P191" s="13">
        <f t="shared" si="3"/>
        <v>0.03930490982</v>
      </c>
      <c r="Q191" s="13">
        <f t="shared" si="4"/>
        <v>0.003099548257</v>
      </c>
      <c r="R191" s="13">
        <f t="shared" si="5"/>
        <v>0.008375375078</v>
      </c>
      <c r="S191" s="14">
        <f t="shared" si="6"/>
        <v>0.6473748</v>
      </c>
      <c r="T191" s="14">
        <f t="shared" si="7"/>
        <v>1.144208221</v>
      </c>
      <c r="U191" s="14">
        <f t="shared" si="8"/>
        <v>0.3372933512</v>
      </c>
    </row>
    <row r="192" ht="15.75" customHeight="1">
      <c r="A192" s="9">
        <v>45576.5090856597</v>
      </c>
      <c r="B192" s="10">
        <v>12.0</v>
      </c>
      <c r="C192" s="10" t="s">
        <v>60</v>
      </c>
      <c r="D192" s="10" t="s">
        <v>584</v>
      </c>
      <c r="E192" s="12" t="s">
        <v>62</v>
      </c>
      <c r="F192" s="11">
        <v>18020.0</v>
      </c>
      <c r="G192" s="11">
        <v>314.0</v>
      </c>
      <c r="H192" s="11">
        <v>127.0</v>
      </c>
      <c r="I192" s="11">
        <v>147.0</v>
      </c>
      <c r="J192" s="11">
        <v>26.0</v>
      </c>
      <c r="K192" s="11">
        <v>2.0</v>
      </c>
      <c r="L192" s="11">
        <v>2.0</v>
      </c>
      <c r="M192" s="13">
        <f t="shared" ref="M192:O192" si="194">IFERROR(G192/F192,"")</f>
        <v>0.01742508324</v>
      </c>
      <c r="N192" s="13">
        <f t="shared" si="194"/>
        <v>0.4044585987</v>
      </c>
      <c r="O192" s="14">
        <f t="shared" si="194"/>
        <v>1.157480315</v>
      </c>
      <c r="P192" s="13">
        <f t="shared" si="3"/>
        <v>0.2047244094</v>
      </c>
      <c r="Q192" s="13">
        <f t="shared" si="4"/>
        <v>0.0157480315</v>
      </c>
      <c r="R192" s="13">
        <f t="shared" si="5"/>
        <v>0.0157480315</v>
      </c>
      <c r="S192" s="14">
        <f t="shared" si="6"/>
        <v>0.2732257632</v>
      </c>
      <c r="T192" s="14">
        <f t="shared" si="7"/>
        <v>0.7394025917</v>
      </c>
      <c r="U192" s="14">
        <f t="shared" si="8"/>
        <v>1.711577719</v>
      </c>
    </row>
    <row r="193" ht="15.75" customHeight="1">
      <c r="A193" s="9">
        <v>45579.6417655324</v>
      </c>
      <c r="B193" s="10">
        <v>15.0</v>
      </c>
      <c r="C193" s="10" t="s">
        <v>71</v>
      </c>
      <c r="D193" s="10" t="s">
        <v>587</v>
      </c>
      <c r="E193" s="12" t="s">
        <v>62</v>
      </c>
      <c r="F193" s="11">
        <v>1377244.0</v>
      </c>
      <c r="G193" s="11">
        <v>62523.0</v>
      </c>
      <c r="H193" s="11">
        <v>38562.0</v>
      </c>
      <c r="I193" s="11">
        <v>40820.0</v>
      </c>
      <c r="J193" s="11">
        <v>745.0</v>
      </c>
      <c r="K193" s="11">
        <v>148.0</v>
      </c>
      <c r="L193" s="11">
        <v>100.0</v>
      </c>
      <c r="M193" s="13">
        <f t="shared" ref="M193:O193" si="195">IFERROR(G193/F193,"")</f>
        <v>0.04539718452</v>
      </c>
      <c r="N193" s="13">
        <f t="shared" si="195"/>
        <v>0.6167650305</v>
      </c>
      <c r="O193" s="14">
        <f t="shared" si="195"/>
        <v>1.058555054</v>
      </c>
      <c r="P193" s="13">
        <f t="shared" si="3"/>
        <v>0.01931953737</v>
      </c>
      <c r="Q193" s="13">
        <f t="shared" si="4"/>
        <v>0.003837975209</v>
      </c>
      <c r="R193" s="13">
        <f t="shared" si="5"/>
        <v>0.002593226492</v>
      </c>
      <c r="S193" s="14">
        <f t="shared" si="6"/>
        <v>0.7001115728</v>
      </c>
      <c r="T193" s="14">
        <f t="shared" si="7"/>
        <v>1.127526188</v>
      </c>
      <c r="U193" s="14">
        <f t="shared" si="8"/>
        <v>0.418168429</v>
      </c>
    </row>
    <row r="194" ht="15.75" customHeight="1">
      <c r="A194" s="9">
        <v>45581.4602553588</v>
      </c>
      <c r="B194" s="10">
        <v>11.0</v>
      </c>
      <c r="C194" s="10" t="s">
        <v>80</v>
      </c>
      <c r="D194" s="10" t="s">
        <v>590</v>
      </c>
      <c r="E194" s="12" t="s">
        <v>62</v>
      </c>
      <c r="F194" s="11">
        <v>15237.0</v>
      </c>
      <c r="G194" s="11">
        <v>271.0</v>
      </c>
      <c r="H194" s="11">
        <v>121.0</v>
      </c>
      <c r="I194" s="11">
        <v>147.0</v>
      </c>
      <c r="J194" s="11">
        <v>26.0</v>
      </c>
      <c r="K194" s="11">
        <v>3.0</v>
      </c>
      <c r="L194" s="11">
        <v>1.0</v>
      </c>
      <c r="M194" s="13">
        <f t="shared" ref="M194:O194" si="196">IFERROR(G194/F194,"")</f>
        <v>0.01778565334</v>
      </c>
      <c r="N194" s="13">
        <f t="shared" si="196"/>
        <v>0.4464944649</v>
      </c>
      <c r="O194" s="14">
        <f t="shared" si="196"/>
        <v>1.214876033</v>
      </c>
      <c r="P194" s="13">
        <f t="shared" si="3"/>
        <v>0.2148760331</v>
      </c>
      <c r="Q194" s="13">
        <f t="shared" si="4"/>
        <v>0.02479338843</v>
      </c>
      <c r="R194" s="13">
        <f t="shared" si="5"/>
        <v>0.00826446281</v>
      </c>
      <c r="S194" s="14">
        <f t="shared" si="6"/>
        <v>0.2788795119</v>
      </c>
      <c r="T194" s="14">
        <f t="shared" si="7"/>
        <v>0.816249588</v>
      </c>
      <c r="U194" s="14">
        <f t="shared" si="8"/>
        <v>2.694674013</v>
      </c>
    </row>
    <row r="195" ht="15.75" customHeight="1">
      <c r="A195" s="9">
        <v>45583.4742740162</v>
      </c>
      <c r="B195" s="10">
        <v>11.0</v>
      </c>
      <c r="C195" s="10" t="s">
        <v>60</v>
      </c>
      <c r="D195" s="10" t="s">
        <v>592</v>
      </c>
      <c r="E195" s="12" t="s">
        <v>62</v>
      </c>
      <c r="F195" s="11">
        <v>2405466.0</v>
      </c>
      <c r="G195" s="11">
        <v>238337.0</v>
      </c>
      <c r="H195" s="11">
        <v>111053.0</v>
      </c>
      <c r="I195" s="11">
        <v>195829.0</v>
      </c>
      <c r="J195" s="11">
        <v>2242.0</v>
      </c>
      <c r="K195" s="11">
        <v>1829.0</v>
      </c>
      <c r="L195" s="11">
        <v>505.0</v>
      </c>
      <c r="M195" s="13">
        <f t="shared" ref="M195:O195" si="197">IFERROR(G195/F195,"")</f>
        <v>0.09908142539</v>
      </c>
      <c r="N195" s="13">
        <f t="shared" si="197"/>
        <v>0.4659494749</v>
      </c>
      <c r="O195" s="14">
        <f t="shared" si="197"/>
        <v>1.763383249</v>
      </c>
      <c r="P195" s="13">
        <f t="shared" si="3"/>
        <v>0.02018855862</v>
      </c>
      <c r="Q195" s="13">
        <f t="shared" si="4"/>
        <v>0.01646961361</v>
      </c>
      <c r="R195" s="13">
        <f t="shared" si="5"/>
        <v>0.004547378279</v>
      </c>
      <c r="S195" s="14">
        <f t="shared" si="6"/>
        <v>1.55417957</v>
      </c>
      <c r="T195" s="14">
        <f t="shared" si="7"/>
        <v>0.8316925028</v>
      </c>
      <c r="U195" s="14">
        <f t="shared" si="8"/>
        <v>1.790003005</v>
      </c>
    </row>
    <row r="196" ht="15.75" customHeight="1">
      <c r="A196" s="9">
        <v>45588.4525216551</v>
      </c>
      <c r="B196" s="10">
        <v>10.0</v>
      </c>
      <c r="C196" s="10" t="s">
        <v>80</v>
      </c>
      <c r="D196" s="10" t="s">
        <v>595</v>
      </c>
      <c r="E196" s="12" t="s">
        <v>62</v>
      </c>
      <c r="F196" s="11">
        <v>538610.0</v>
      </c>
      <c r="G196" s="11">
        <v>71159.0</v>
      </c>
      <c r="H196" s="11">
        <v>42054.0</v>
      </c>
      <c r="I196" s="11">
        <v>41847.0</v>
      </c>
      <c r="J196" s="11">
        <v>439.0</v>
      </c>
      <c r="K196" s="11">
        <v>987.0</v>
      </c>
      <c r="L196" s="11">
        <v>84.0</v>
      </c>
      <c r="M196" s="13">
        <f t="shared" ref="M196:O196" si="198">IFERROR(G196/F196,"")</f>
        <v>0.1321160023</v>
      </c>
      <c r="N196" s="13">
        <f t="shared" si="198"/>
        <v>0.5909863826</v>
      </c>
      <c r="O196" s="14">
        <f t="shared" si="198"/>
        <v>0.9950777572</v>
      </c>
      <c r="P196" s="13">
        <f t="shared" si="3"/>
        <v>0.01043895943</v>
      </c>
      <c r="Q196" s="13">
        <f t="shared" si="4"/>
        <v>0.02346982451</v>
      </c>
      <c r="R196" s="13">
        <f t="shared" si="5"/>
        <v>0.001997431873</v>
      </c>
      <c r="S196" s="14">
        <f t="shared" si="6"/>
        <v>2.072356053</v>
      </c>
      <c r="T196" s="14">
        <f t="shared" si="7"/>
        <v>1.054876054</v>
      </c>
      <c r="U196" s="14">
        <f t="shared" si="8"/>
        <v>2.514564183</v>
      </c>
    </row>
    <row r="197" ht="15.75" customHeight="1">
      <c r="A197" s="9">
        <v>45590.2995969792</v>
      </c>
      <c r="B197" s="10">
        <v>7.0</v>
      </c>
      <c r="C197" s="10" t="s">
        <v>60</v>
      </c>
      <c r="D197" s="10" t="s">
        <v>597</v>
      </c>
      <c r="E197" s="12" t="s">
        <v>62</v>
      </c>
      <c r="F197" s="11">
        <v>228414.0</v>
      </c>
      <c r="G197" s="11">
        <v>14811.0</v>
      </c>
      <c r="H197" s="11">
        <v>9104.0</v>
      </c>
      <c r="I197" s="11">
        <v>9952.0</v>
      </c>
      <c r="J197" s="11">
        <v>392.0</v>
      </c>
      <c r="K197" s="11">
        <v>60.0</v>
      </c>
      <c r="L197" s="11">
        <v>46.0</v>
      </c>
      <c r="M197" s="13">
        <f t="shared" ref="M197:O197" si="199">IFERROR(G197/F197,"")</f>
        <v>0.06484278547</v>
      </c>
      <c r="N197" s="13">
        <f t="shared" si="199"/>
        <v>0.6146782797</v>
      </c>
      <c r="O197" s="14">
        <f t="shared" si="199"/>
        <v>1.09314587</v>
      </c>
      <c r="P197" s="13">
        <f t="shared" si="3"/>
        <v>0.04305799649</v>
      </c>
      <c r="Q197" s="13">
        <f t="shared" si="4"/>
        <v>0.006590509666</v>
      </c>
      <c r="R197" s="13">
        <f t="shared" si="5"/>
        <v>0.005052724077</v>
      </c>
      <c r="S197" s="14">
        <f t="shared" si="6"/>
        <v>1.074981477</v>
      </c>
      <c r="T197" s="14">
        <f t="shared" si="7"/>
        <v>1.123711338</v>
      </c>
      <c r="U197" s="14">
        <f t="shared" si="8"/>
        <v>0.7041816306</v>
      </c>
    </row>
    <row r="198" ht="15.75" customHeight="1">
      <c r="A198" s="9">
        <v>45593.4119841088</v>
      </c>
      <c r="B198" s="10">
        <v>9.0</v>
      </c>
      <c r="C198" s="10" t="s">
        <v>71</v>
      </c>
      <c r="D198" s="10" t="s">
        <v>600</v>
      </c>
      <c r="E198" s="12" t="s">
        <v>62</v>
      </c>
      <c r="F198" s="11">
        <v>2015944.0</v>
      </c>
      <c r="G198" s="11">
        <v>105679.0</v>
      </c>
      <c r="H198" s="11">
        <v>55320.0</v>
      </c>
      <c r="I198" s="11">
        <v>49653.0</v>
      </c>
      <c r="J198" s="11">
        <v>956.0</v>
      </c>
      <c r="K198" s="11">
        <v>334.0</v>
      </c>
      <c r="L198" s="11">
        <v>154.0</v>
      </c>
      <c r="M198" s="13">
        <f t="shared" ref="M198:O198" si="200">IFERROR(G198/F198,"")</f>
        <v>0.05242159504</v>
      </c>
      <c r="N198" s="13">
        <f t="shared" si="200"/>
        <v>0.5234720238</v>
      </c>
      <c r="O198" s="14">
        <f t="shared" si="200"/>
        <v>0.8975596529</v>
      </c>
      <c r="P198" s="13">
        <f t="shared" si="3"/>
        <v>0.0172812726</v>
      </c>
      <c r="Q198" s="13">
        <f t="shared" si="4"/>
        <v>0.006037599422</v>
      </c>
      <c r="R198" s="13">
        <f t="shared" si="5"/>
        <v>0.002783803326</v>
      </c>
      <c r="S198" s="14">
        <f t="shared" si="6"/>
        <v>0.869059576</v>
      </c>
      <c r="T198" s="14">
        <f t="shared" si="7"/>
        <v>0.934366881</v>
      </c>
      <c r="U198" s="14">
        <f t="shared" si="8"/>
        <v>0.6468702503</v>
      </c>
    </row>
    <row r="199" ht="15.75" customHeight="1">
      <c r="A199" s="9">
        <v>45595.7480570833</v>
      </c>
      <c r="B199" s="10">
        <v>17.0</v>
      </c>
      <c r="C199" s="10" t="s">
        <v>80</v>
      </c>
      <c r="D199" s="10" t="s">
        <v>602</v>
      </c>
      <c r="E199" s="12" t="s">
        <v>62</v>
      </c>
      <c r="F199" s="11">
        <v>42866.0</v>
      </c>
      <c r="G199" s="11">
        <v>4541.0</v>
      </c>
      <c r="H199" s="11">
        <v>2283.0</v>
      </c>
      <c r="I199" s="11">
        <v>1630.0</v>
      </c>
      <c r="J199" s="11">
        <v>114.0</v>
      </c>
      <c r="K199" s="11">
        <v>196.0</v>
      </c>
      <c r="L199" s="11">
        <v>7.0</v>
      </c>
      <c r="M199" s="13">
        <f t="shared" ref="M199:O199" si="201">IFERROR(G199/F199,"")</f>
        <v>0.1059347735</v>
      </c>
      <c r="N199" s="13">
        <f t="shared" si="201"/>
        <v>0.5027526976</v>
      </c>
      <c r="O199" s="14">
        <f t="shared" si="201"/>
        <v>0.7139728428</v>
      </c>
      <c r="P199" s="13">
        <f t="shared" si="3"/>
        <v>0.04993429698</v>
      </c>
      <c r="Q199" s="13">
        <f t="shared" si="4"/>
        <v>0.08585194919</v>
      </c>
      <c r="R199" s="13">
        <f t="shared" si="5"/>
        <v>0.003066141042</v>
      </c>
      <c r="S199" s="14">
        <f t="shared" si="6"/>
        <v>1.661680381</v>
      </c>
      <c r="T199" s="14">
        <f t="shared" si="7"/>
        <v>0.8759502007</v>
      </c>
      <c r="U199" s="14">
        <f t="shared" si="8"/>
        <v>9.173094136</v>
      </c>
    </row>
    <row r="200" ht="15.75" customHeight="1">
      <c r="A200" s="9">
        <v>45597.5637632639</v>
      </c>
      <c r="B200" s="10">
        <v>13.0</v>
      </c>
      <c r="C200" s="10" t="s">
        <v>60</v>
      </c>
      <c r="D200" s="10" t="s">
        <v>605</v>
      </c>
      <c r="E200" s="12" t="s">
        <v>62</v>
      </c>
      <c r="F200" s="11">
        <v>363053.0</v>
      </c>
      <c r="G200" s="11">
        <v>34328.0</v>
      </c>
      <c r="H200" s="11">
        <v>19991.0</v>
      </c>
      <c r="I200" s="11">
        <v>18939.0</v>
      </c>
      <c r="J200" s="11">
        <v>777.0</v>
      </c>
      <c r="K200" s="11">
        <v>137.0</v>
      </c>
      <c r="L200" s="11">
        <v>88.0</v>
      </c>
      <c r="M200" s="13">
        <f t="shared" ref="M200:O200" si="202">IFERROR(G200/F200,"")</f>
        <v>0.09455368775</v>
      </c>
      <c r="N200" s="13">
        <f t="shared" si="202"/>
        <v>0.5823525985</v>
      </c>
      <c r="O200" s="14">
        <f t="shared" si="202"/>
        <v>0.9473763193</v>
      </c>
      <c r="P200" s="13">
        <f t="shared" si="3"/>
        <v>0.03886749037</v>
      </c>
      <c r="Q200" s="13">
        <f t="shared" si="4"/>
        <v>0.006853083888</v>
      </c>
      <c r="R200" s="13">
        <f t="shared" si="5"/>
        <v>0.004401980891</v>
      </c>
      <c r="S200" s="14">
        <f t="shared" si="6"/>
        <v>1.567536961</v>
      </c>
      <c r="T200" s="14">
        <f t="shared" si="7"/>
        <v>1.039465256</v>
      </c>
      <c r="U200" s="14">
        <f t="shared" si="8"/>
        <v>0.7322371154</v>
      </c>
    </row>
    <row r="201" ht="15.75" customHeight="1">
      <c r="A201" s="9">
        <v>45600.4550070833</v>
      </c>
      <c r="B201" s="10">
        <v>10.0</v>
      </c>
      <c r="C201" s="10" t="s">
        <v>71</v>
      </c>
      <c r="D201" s="10" t="s">
        <v>608</v>
      </c>
      <c r="E201" s="12" t="s">
        <v>62</v>
      </c>
      <c r="F201" s="11">
        <v>1481385.0</v>
      </c>
      <c r="G201" s="11">
        <v>112601.0</v>
      </c>
      <c r="H201" s="11">
        <v>77097.0</v>
      </c>
      <c r="I201" s="11">
        <v>63168.0</v>
      </c>
      <c r="J201" s="11">
        <v>2242.0</v>
      </c>
      <c r="K201" s="11">
        <v>142.0</v>
      </c>
      <c r="L201" s="11">
        <v>170.0</v>
      </c>
      <c r="M201" s="13">
        <f t="shared" ref="M201:O201" si="203">IFERROR(G201/F201,"")</f>
        <v>0.07601062519</v>
      </c>
      <c r="N201" s="13">
        <f t="shared" si="203"/>
        <v>0.6846919654</v>
      </c>
      <c r="O201" s="14">
        <f t="shared" si="203"/>
        <v>0.8193314915</v>
      </c>
      <c r="P201" s="13">
        <f t="shared" si="3"/>
        <v>0.02908024956</v>
      </c>
      <c r="Q201" s="13">
        <f t="shared" si="4"/>
        <v>0.00184183561</v>
      </c>
      <c r="R201" s="13">
        <f t="shared" si="5"/>
        <v>0.002205014462</v>
      </c>
      <c r="S201" s="14">
        <f t="shared" si="6"/>
        <v>1.22527128</v>
      </c>
      <c r="T201" s="14">
        <f t="shared" si="7"/>
        <v>1.205308359</v>
      </c>
      <c r="U201" s="14">
        <f t="shared" si="8"/>
        <v>0.1970651128</v>
      </c>
    </row>
    <row r="202" ht="15.75" customHeight="1">
      <c r="A202" s="9">
        <v>45602.512913287</v>
      </c>
      <c r="B202" s="10">
        <v>12.0</v>
      </c>
      <c r="C202" s="10" t="s">
        <v>80</v>
      </c>
      <c r="D202" s="10" t="s">
        <v>610</v>
      </c>
      <c r="E202" s="12" t="s">
        <v>62</v>
      </c>
      <c r="F202" s="11">
        <v>826102.0</v>
      </c>
      <c r="G202" s="11">
        <v>47610.0</v>
      </c>
      <c r="H202" s="11">
        <v>23035.0</v>
      </c>
      <c r="I202" s="11">
        <v>27310.0</v>
      </c>
      <c r="J202" s="11">
        <v>476.0</v>
      </c>
      <c r="K202" s="11">
        <v>154.0</v>
      </c>
      <c r="L202" s="11">
        <v>135.0</v>
      </c>
      <c r="M202" s="13">
        <f t="shared" ref="M202:O202" si="204">IFERROR(G202/F202,"")</f>
        <v>0.05763210838</v>
      </c>
      <c r="N202" s="13">
        <f t="shared" si="204"/>
        <v>0.4838269271</v>
      </c>
      <c r="O202" s="14">
        <f t="shared" si="204"/>
        <v>1.18558715</v>
      </c>
      <c r="P202" s="13">
        <f t="shared" si="3"/>
        <v>0.02066420664</v>
      </c>
      <c r="Q202" s="13">
        <f t="shared" si="4"/>
        <v>0.006685478619</v>
      </c>
      <c r="R202" s="13">
        <f t="shared" si="5"/>
        <v>0.005860646842</v>
      </c>
      <c r="S202" s="14">
        <f t="shared" si="6"/>
        <v>0.9040104647</v>
      </c>
      <c r="T202" s="14">
        <f t="shared" si="7"/>
        <v>0.8844981538</v>
      </c>
      <c r="U202" s="14">
        <f t="shared" si="8"/>
        <v>0.7162842259</v>
      </c>
    </row>
    <row r="203" ht="15.75" customHeight="1">
      <c r="A203" s="9">
        <v>45604.5738989005</v>
      </c>
      <c r="B203" s="10">
        <v>13.0</v>
      </c>
      <c r="C203" s="10" t="s">
        <v>60</v>
      </c>
      <c r="D203" s="10" t="s">
        <v>613</v>
      </c>
      <c r="E203" s="12" t="s">
        <v>62</v>
      </c>
      <c r="F203" s="11">
        <v>1338101.0</v>
      </c>
      <c r="G203" s="11">
        <v>64394.0</v>
      </c>
      <c r="H203" s="11">
        <v>37533.0</v>
      </c>
      <c r="I203" s="11">
        <v>33107.0</v>
      </c>
      <c r="J203" s="11">
        <v>1395.0</v>
      </c>
      <c r="K203" s="11">
        <v>303.0</v>
      </c>
      <c r="L203" s="11">
        <v>125.0</v>
      </c>
      <c r="M203" s="13">
        <f t="shared" ref="M203:O203" si="205">IFERROR(G203/F203,"")</f>
        <v>0.04812342267</v>
      </c>
      <c r="N203" s="13">
        <f t="shared" si="205"/>
        <v>0.5828648632</v>
      </c>
      <c r="O203" s="14">
        <f t="shared" si="205"/>
        <v>0.8820771055</v>
      </c>
      <c r="P203" s="13">
        <f t="shared" si="3"/>
        <v>0.03716729278</v>
      </c>
      <c r="Q203" s="13">
        <f t="shared" si="4"/>
        <v>0.008072895852</v>
      </c>
      <c r="R203" s="13">
        <f t="shared" si="5"/>
        <v>0.003330402579</v>
      </c>
      <c r="S203" s="14">
        <f t="shared" si="6"/>
        <v>0.8014892279</v>
      </c>
      <c r="T203" s="14">
        <f t="shared" si="7"/>
        <v>1.077331713</v>
      </c>
      <c r="U203" s="14">
        <f t="shared" si="8"/>
        <v>0.862571372</v>
      </c>
    </row>
    <row r="204" ht="15.75" customHeight="1">
      <c r="A204" s="9">
        <v>45607.5138691898</v>
      </c>
      <c r="B204" s="10">
        <v>12.0</v>
      </c>
      <c r="C204" s="10" t="s">
        <v>71</v>
      </c>
      <c r="D204" s="10" t="s">
        <v>615</v>
      </c>
      <c r="E204" s="12" t="s">
        <v>62</v>
      </c>
      <c r="F204" s="11">
        <v>415875.0</v>
      </c>
      <c r="G204" s="11">
        <v>28702.0</v>
      </c>
      <c r="H204" s="11">
        <v>20366.0</v>
      </c>
      <c r="I204" s="11">
        <v>23617.0</v>
      </c>
      <c r="J204" s="11">
        <v>665.0</v>
      </c>
      <c r="K204" s="11">
        <v>358.0</v>
      </c>
      <c r="L204" s="11">
        <v>49.0</v>
      </c>
      <c r="M204" s="13">
        <f t="shared" ref="M204:O204" si="206">IFERROR(G204/F204,"")</f>
        <v>0.06901593027</v>
      </c>
      <c r="N204" s="13">
        <f t="shared" si="206"/>
        <v>0.7095672775</v>
      </c>
      <c r="O204" s="14">
        <f t="shared" si="206"/>
        <v>1.159628793</v>
      </c>
      <c r="P204" s="13">
        <f t="shared" si="3"/>
        <v>0.03265245998</v>
      </c>
      <c r="Q204" s="13">
        <f t="shared" si="4"/>
        <v>0.0175783168</v>
      </c>
      <c r="R204" s="13">
        <f t="shared" si="5"/>
        <v>0.002405970736</v>
      </c>
      <c r="S204" s="14">
        <f t="shared" si="6"/>
        <v>1.172996062</v>
      </c>
      <c r="T204" s="14">
        <f t="shared" si="7"/>
        <v>1.313995227</v>
      </c>
      <c r="U204" s="14">
        <f t="shared" si="8"/>
        <v>1.896827237</v>
      </c>
    </row>
    <row r="205" ht="15.75" customHeight="1">
      <c r="A205" s="9">
        <v>45609.4345279167</v>
      </c>
      <c r="B205" s="10">
        <v>10.0</v>
      </c>
      <c r="C205" s="10" t="s">
        <v>80</v>
      </c>
      <c r="D205" s="10" t="s">
        <v>618</v>
      </c>
      <c r="E205" s="12" t="s">
        <v>62</v>
      </c>
      <c r="F205" s="11">
        <v>1089451.0</v>
      </c>
      <c r="G205" s="11">
        <v>88252.0</v>
      </c>
      <c r="H205" s="11">
        <v>45303.0</v>
      </c>
      <c r="I205" s="11">
        <v>56934.0</v>
      </c>
      <c r="J205" s="11">
        <v>888.0</v>
      </c>
      <c r="K205" s="11">
        <v>864.0</v>
      </c>
      <c r="L205" s="11">
        <v>173.0</v>
      </c>
      <c r="M205" s="13">
        <f t="shared" ref="M205:O205" si="207">IFERROR(G205/F205,"")</f>
        <v>0.08100593785</v>
      </c>
      <c r="N205" s="13">
        <f t="shared" si="207"/>
        <v>0.5133368082</v>
      </c>
      <c r="O205" s="14">
        <f t="shared" si="207"/>
        <v>1.256737964</v>
      </c>
      <c r="P205" s="13">
        <f t="shared" si="3"/>
        <v>0.0196013509</v>
      </c>
      <c r="Q205" s="13">
        <f t="shared" si="4"/>
        <v>0.01907158466</v>
      </c>
      <c r="R205" s="13">
        <f t="shared" si="5"/>
        <v>0.003818731651</v>
      </c>
      <c r="S205" s="14">
        <f t="shared" si="6"/>
        <v>1.308720479</v>
      </c>
      <c r="T205" s="14">
        <f t="shared" si="7"/>
        <v>0.9531677068</v>
      </c>
      <c r="U205" s="14">
        <f t="shared" si="8"/>
        <v>2.040542578</v>
      </c>
    </row>
    <row r="206" ht="15.75" customHeight="1">
      <c r="A206" s="9">
        <v>45611.5659215741</v>
      </c>
      <c r="B206" s="10">
        <v>13.0</v>
      </c>
      <c r="C206" s="10" t="s">
        <v>60</v>
      </c>
      <c r="D206" s="10" t="s">
        <v>620</v>
      </c>
      <c r="E206" s="12" t="s">
        <v>62</v>
      </c>
      <c r="F206" s="11">
        <v>101076.0</v>
      </c>
      <c r="G206" s="11">
        <v>18826.0</v>
      </c>
      <c r="H206" s="11">
        <v>10147.0</v>
      </c>
      <c r="I206" s="11">
        <v>9149.0</v>
      </c>
      <c r="J206" s="11">
        <v>210.0</v>
      </c>
      <c r="K206" s="11">
        <v>52.0</v>
      </c>
      <c r="L206" s="11">
        <v>19.0</v>
      </c>
      <c r="M206" s="13">
        <f t="shared" ref="M206:O206" si="208">IFERROR(G206/F206,"")</f>
        <v>0.1862558867</v>
      </c>
      <c r="N206" s="13">
        <f t="shared" si="208"/>
        <v>0.5389886327</v>
      </c>
      <c r="O206" s="14">
        <f t="shared" si="208"/>
        <v>0.9016458066</v>
      </c>
      <c r="P206" s="13">
        <f t="shared" si="3"/>
        <v>0.02069577215</v>
      </c>
      <c r="Q206" s="13">
        <f t="shared" si="4"/>
        <v>0.005124667389</v>
      </c>
      <c r="R206" s="13">
        <f t="shared" si="5"/>
        <v>0.001872474623</v>
      </c>
      <c r="S206" s="14">
        <f t="shared" si="6"/>
        <v>2.959956807</v>
      </c>
      <c r="T206" s="14">
        <f t="shared" si="7"/>
        <v>1.001597696</v>
      </c>
      <c r="U206" s="14">
        <f t="shared" si="8"/>
        <v>0.5490584329</v>
      </c>
    </row>
    <row r="207" ht="15.75" customHeight="1">
      <c r="A207" s="9">
        <v>45614.5467644907</v>
      </c>
      <c r="B207" s="10">
        <v>13.0</v>
      </c>
      <c r="C207" s="10" t="s">
        <v>71</v>
      </c>
      <c r="D207" s="10" t="s">
        <v>623</v>
      </c>
      <c r="E207" s="12" t="s">
        <v>62</v>
      </c>
      <c r="F207" s="11">
        <v>1171149.0</v>
      </c>
      <c r="G207" s="11">
        <v>45696.0</v>
      </c>
      <c r="H207" s="11">
        <v>31815.0</v>
      </c>
      <c r="I207" s="11">
        <v>34113.0</v>
      </c>
      <c r="J207" s="11">
        <v>1159.0</v>
      </c>
      <c r="K207" s="11">
        <v>292.0</v>
      </c>
      <c r="L207" s="11">
        <v>218.0</v>
      </c>
      <c r="M207" s="13">
        <f t="shared" ref="M207:O207" si="209">IFERROR(G207/F207,"")</f>
        <v>0.03901809249</v>
      </c>
      <c r="N207" s="13">
        <f t="shared" si="209"/>
        <v>0.6962316176</v>
      </c>
      <c r="O207" s="14">
        <f t="shared" si="209"/>
        <v>1.07223008</v>
      </c>
      <c r="P207" s="13">
        <f t="shared" si="3"/>
        <v>0.03642935722</v>
      </c>
      <c r="Q207" s="13">
        <f t="shared" si="4"/>
        <v>0.009178060663</v>
      </c>
      <c r="R207" s="13">
        <f t="shared" si="5"/>
        <v>0.006852113783</v>
      </c>
      <c r="S207" s="14">
        <f t="shared" si="6"/>
        <v>0.6120332035</v>
      </c>
      <c r="T207" s="14">
        <f t="shared" si="7"/>
        <v>1.293800911</v>
      </c>
      <c r="U207" s="14">
        <f t="shared" si="8"/>
        <v>0.9806558296</v>
      </c>
    </row>
    <row r="208" ht="15.75" customHeight="1">
      <c r="A208" s="9">
        <v>45616.5138347569</v>
      </c>
      <c r="B208" s="10">
        <v>12.0</v>
      </c>
      <c r="C208" s="10" t="s">
        <v>80</v>
      </c>
      <c r="D208" s="10" t="s">
        <v>626</v>
      </c>
      <c r="E208" s="12" t="s">
        <v>62</v>
      </c>
      <c r="F208" s="11">
        <v>2485128.0</v>
      </c>
      <c r="G208" s="11">
        <v>235073.0</v>
      </c>
      <c r="H208" s="11">
        <v>146748.0</v>
      </c>
      <c r="I208" s="11">
        <v>212098.0</v>
      </c>
      <c r="J208" s="11">
        <v>3592.0</v>
      </c>
      <c r="K208" s="11">
        <v>1148.0</v>
      </c>
      <c r="L208" s="11">
        <v>888.0</v>
      </c>
      <c r="M208" s="13">
        <f t="shared" ref="M208:O208" si="210">IFERROR(G208/F208,"")</f>
        <v>0.09459190834</v>
      </c>
      <c r="N208" s="13">
        <f t="shared" si="210"/>
        <v>0.6242656536</v>
      </c>
      <c r="O208" s="14">
        <f t="shared" si="210"/>
        <v>1.445321231</v>
      </c>
      <c r="P208" s="13">
        <f t="shared" si="3"/>
        <v>0.0244773353</v>
      </c>
      <c r="Q208" s="13">
        <f t="shared" si="4"/>
        <v>0.007822934554</v>
      </c>
      <c r="R208" s="13">
        <f t="shared" si="5"/>
        <v>0.006051189795</v>
      </c>
      <c r="S208" s="14">
        <f t="shared" si="6"/>
        <v>1.483757534</v>
      </c>
      <c r="T208" s="14">
        <f t="shared" si="7"/>
        <v>1.160067212</v>
      </c>
      <c r="U208" s="14">
        <f t="shared" si="8"/>
        <v>0.8358635508</v>
      </c>
    </row>
    <row r="209" ht="15.75" customHeight="1">
      <c r="A209" s="9">
        <v>45618.6764435417</v>
      </c>
      <c r="B209" s="10">
        <v>16.0</v>
      </c>
      <c r="C209" s="10" t="s">
        <v>60</v>
      </c>
      <c r="D209" s="10" t="s">
        <v>629</v>
      </c>
      <c r="E209" s="12" t="s">
        <v>62</v>
      </c>
      <c r="F209" s="11">
        <v>184626.0</v>
      </c>
      <c r="G209" s="11">
        <v>18267.0</v>
      </c>
      <c r="H209" s="11">
        <v>9830.0</v>
      </c>
      <c r="I209" s="11">
        <v>10177.0</v>
      </c>
      <c r="J209" s="11">
        <v>761.0</v>
      </c>
      <c r="K209" s="11">
        <v>92.0</v>
      </c>
      <c r="L209" s="11">
        <v>102.0</v>
      </c>
      <c r="M209" s="13">
        <f t="shared" ref="M209:O209" si="211">IFERROR(G209/F209,"")</f>
        <v>0.09894056092</v>
      </c>
      <c r="N209" s="13">
        <f t="shared" si="211"/>
        <v>0.5381288663</v>
      </c>
      <c r="O209" s="14">
        <f t="shared" si="211"/>
        <v>1.035300102</v>
      </c>
      <c r="P209" s="13">
        <f t="shared" si="3"/>
        <v>0.07741607325</v>
      </c>
      <c r="Q209" s="13">
        <f t="shared" si="4"/>
        <v>0.009359104781</v>
      </c>
      <c r="R209" s="13">
        <f t="shared" si="5"/>
        <v>0.01037639878</v>
      </c>
      <c r="S209" s="14">
        <f t="shared" si="6"/>
        <v>1.551390595</v>
      </c>
      <c r="T209" s="14">
        <f t="shared" si="7"/>
        <v>1.003715851</v>
      </c>
      <c r="U209" s="14">
        <f t="shared" si="8"/>
        <v>1.002737351</v>
      </c>
    </row>
    <row r="210" ht="15.75" customHeight="1">
      <c r="A210" s="9">
        <v>45621.4963402778</v>
      </c>
      <c r="B210" s="10">
        <v>11.0</v>
      </c>
      <c r="C210" s="10" t="s">
        <v>71</v>
      </c>
      <c r="D210" s="10" t="s">
        <v>632</v>
      </c>
      <c r="E210" s="12" t="s">
        <v>62</v>
      </c>
      <c r="F210" s="11">
        <v>23865.0</v>
      </c>
      <c r="G210" s="11">
        <v>1522.0</v>
      </c>
      <c r="H210" s="11">
        <v>816.0</v>
      </c>
      <c r="I210" s="11">
        <v>775.0</v>
      </c>
      <c r="J210" s="11">
        <v>60.0</v>
      </c>
      <c r="K210" s="11">
        <v>6.0</v>
      </c>
      <c r="L210" s="11">
        <v>2.0</v>
      </c>
      <c r="M210" s="13">
        <f t="shared" ref="M210:O210" si="212">IFERROR(G210/F210,"")</f>
        <v>0.06377540331</v>
      </c>
      <c r="N210" s="13">
        <f t="shared" si="212"/>
        <v>0.5361366623</v>
      </c>
      <c r="O210" s="14">
        <f t="shared" si="212"/>
        <v>0.949754902</v>
      </c>
      <c r="P210" s="13">
        <f t="shared" si="3"/>
        <v>0.07352941176</v>
      </c>
      <c r="Q210" s="13">
        <f t="shared" si="4"/>
        <v>0.007352941176</v>
      </c>
      <c r="R210" s="13">
        <f t="shared" si="5"/>
        <v>0.002450980392</v>
      </c>
      <c r="S210" s="14">
        <f t="shared" si="6"/>
        <v>0.9828853254</v>
      </c>
      <c r="T210" s="14">
        <f t="shared" si="7"/>
        <v>0.99814552</v>
      </c>
      <c r="U210" s="14">
        <f t="shared" si="8"/>
        <v>0.7867196046</v>
      </c>
    </row>
    <row r="211" ht="15.75" customHeight="1">
      <c r="A211" s="9">
        <v>45623.4746627083</v>
      </c>
      <c r="B211" s="10">
        <v>11.0</v>
      </c>
      <c r="C211" s="10" t="s">
        <v>80</v>
      </c>
      <c r="D211" s="10" t="s">
        <v>635</v>
      </c>
      <c r="E211" s="12" t="s">
        <v>62</v>
      </c>
      <c r="F211" s="11">
        <v>13669.0</v>
      </c>
      <c r="G211" s="11">
        <v>403.0</v>
      </c>
      <c r="H211" s="11">
        <v>169.0</v>
      </c>
      <c r="I211" s="11">
        <v>129.0</v>
      </c>
      <c r="J211" s="11">
        <v>19.0</v>
      </c>
      <c r="K211" s="11">
        <v>0.0</v>
      </c>
      <c r="L211" s="11">
        <v>1.0</v>
      </c>
      <c r="M211" s="13">
        <f t="shared" ref="M211:O211" si="213">IFERROR(G211/F211,"")</f>
        <v>0.02948277123</v>
      </c>
      <c r="N211" s="13">
        <f t="shared" si="213"/>
        <v>0.4193548387</v>
      </c>
      <c r="O211" s="14">
        <f t="shared" si="213"/>
        <v>0.7633136095</v>
      </c>
      <c r="P211" s="13">
        <f t="shared" si="3"/>
        <v>0.1124260355</v>
      </c>
      <c r="Q211" s="13">
        <f t="shared" si="4"/>
        <v>0</v>
      </c>
      <c r="R211" s="13">
        <f t="shared" si="5"/>
        <v>0.005917159763</v>
      </c>
      <c r="S211" s="14">
        <f t="shared" si="6"/>
        <v>0.4474263404</v>
      </c>
      <c r="T211" s="14">
        <f t="shared" si="7"/>
        <v>0.7835999312</v>
      </c>
      <c r="U211" s="14">
        <f t="shared" si="8"/>
        <v>0</v>
      </c>
    </row>
    <row r="212" ht="15.75" customHeight="1">
      <c r="A212" s="9">
        <v>45625.507554213</v>
      </c>
      <c r="B212" s="10">
        <v>12.0</v>
      </c>
      <c r="C212" s="10" t="s">
        <v>60</v>
      </c>
      <c r="D212" s="10" t="s">
        <v>638</v>
      </c>
      <c r="E212" s="12" t="s">
        <v>62</v>
      </c>
      <c r="F212" s="11">
        <v>133008.0</v>
      </c>
      <c r="G212" s="11">
        <v>13305.0</v>
      </c>
      <c r="H212" s="11">
        <v>6233.0</v>
      </c>
      <c r="I212" s="11">
        <v>6649.0</v>
      </c>
      <c r="J212" s="11">
        <v>553.0</v>
      </c>
      <c r="K212" s="11">
        <v>41.0</v>
      </c>
      <c r="L212" s="11">
        <v>56.0</v>
      </c>
      <c r="M212" s="13">
        <f t="shared" ref="M212:O212" si="214">IFERROR(G212/F212,"")</f>
        <v>0.100031577</v>
      </c>
      <c r="N212" s="13">
        <f t="shared" si="214"/>
        <v>0.4684704998</v>
      </c>
      <c r="O212" s="14">
        <f t="shared" si="214"/>
        <v>1.066741537</v>
      </c>
      <c r="P212" s="13">
        <f t="shared" si="3"/>
        <v>0.088721322</v>
      </c>
      <c r="Q212" s="13">
        <f t="shared" si="4"/>
        <v>0.006577891866</v>
      </c>
      <c r="R212" s="13">
        <f t="shared" si="5"/>
        <v>0.00898443767</v>
      </c>
      <c r="S212" s="14">
        <f t="shared" si="6"/>
        <v>1.518064977</v>
      </c>
      <c r="T212" s="14">
        <f t="shared" si="7"/>
        <v>0.8721689142</v>
      </c>
      <c r="U212" s="14">
        <f t="shared" si="8"/>
        <v>0.7037940823</v>
      </c>
    </row>
    <row r="213" ht="15.75" customHeight="1">
      <c r="A213" s="9">
        <v>45628.5567525463</v>
      </c>
      <c r="B213" s="10">
        <v>13.0</v>
      </c>
      <c r="C213" s="10" t="s">
        <v>71</v>
      </c>
      <c r="D213" s="10" t="s">
        <v>641</v>
      </c>
      <c r="E213" s="12" t="s">
        <v>62</v>
      </c>
      <c r="F213" s="11">
        <v>401903.0</v>
      </c>
      <c r="G213" s="11">
        <v>70399.0</v>
      </c>
      <c r="H213" s="11">
        <v>44694.0</v>
      </c>
      <c r="I213" s="11">
        <v>30041.0</v>
      </c>
      <c r="J213" s="11">
        <v>1155.0</v>
      </c>
      <c r="K213" s="11">
        <v>130.0</v>
      </c>
      <c r="L213" s="11">
        <v>104.0</v>
      </c>
      <c r="M213" s="13">
        <f t="shared" ref="M213:O213" si="215">IFERROR(G213/F213,"")</f>
        <v>0.1751641565</v>
      </c>
      <c r="N213" s="13">
        <f t="shared" si="215"/>
        <v>0.6348669725</v>
      </c>
      <c r="O213" s="14">
        <f t="shared" si="215"/>
        <v>0.6721483868</v>
      </c>
      <c r="P213" s="13">
        <f t="shared" si="3"/>
        <v>0.02584239495</v>
      </c>
      <c r="Q213" s="13">
        <f t="shared" si="4"/>
        <v>0.00290866783</v>
      </c>
      <c r="R213" s="13">
        <f t="shared" si="5"/>
        <v>0.002326934264</v>
      </c>
      <c r="S213" s="14">
        <f t="shared" si="6"/>
        <v>2.598718256</v>
      </c>
      <c r="T213" s="14">
        <f t="shared" si="7"/>
        <v>1.184151388</v>
      </c>
      <c r="U213" s="14">
        <f t="shared" si="8"/>
        <v>0.3116355617</v>
      </c>
    </row>
    <row r="214" ht="15.75" customHeight="1">
      <c r="A214" s="9">
        <v>45630.5207715972</v>
      </c>
      <c r="B214" s="10">
        <v>12.0</v>
      </c>
      <c r="C214" s="10" t="s">
        <v>80</v>
      </c>
      <c r="D214" s="10" t="s">
        <v>643</v>
      </c>
      <c r="E214" s="12" t="s">
        <v>62</v>
      </c>
      <c r="F214" s="11">
        <v>442985.0</v>
      </c>
      <c r="G214" s="11">
        <v>28241.0</v>
      </c>
      <c r="H214" s="11">
        <v>18504.0</v>
      </c>
      <c r="I214" s="11">
        <v>14157.0</v>
      </c>
      <c r="J214" s="11">
        <v>706.0</v>
      </c>
      <c r="K214" s="11">
        <v>99.0</v>
      </c>
      <c r="L214" s="11">
        <v>66.0</v>
      </c>
      <c r="M214" s="13">
        <f t="shared" ref="M214:O214" si="216">IFERROR(G214/F214,"")</f>
        <v>0.0637515943</v>
      </c>
      <c r="N214" s="13">
        <f t="shared" si="216"/>
        <v>0.6552175914</v>
      </c>
      <c r="O214" s="14">
        <f t="shared" si="216"/>
        <v>0.765077821</v>
      </c>
      <c r="P214" s="13">
        <f t="shared" si="3"/>
        <v>0.03815391267</v>
      </c>
      <c r="Q214" s="13">
        <f t="shared" si="4"/>
        <v>0.005350194553</v>
      </c>
      <c r="R214" s="13">
        <f t="shared" si="5"/>
        <v>0.003566796368</v>
      </c>
      <c r="S214" s="14">
        <f t="shared" si="6"/>
        <v>0.945812404</v>
      </c>
      <c r="T214" s="14">
        <f t="shared" si="7"/>
        <v>1.222109282</v>
      </c>
      <c r="U214" s="14">
        <f t="shared" si="8"/>
        <v>0.5716566571</v>
      </c>
    </row>
    <row r="215" ht="15.75" customHeight="1">
      <c r="A215" s="9">
        <v>45632.4877233681</v>
      </c>
      <c r="B215" s="10">
        <v>11.0</v>
      </c>
      <c r="C215" s="10" t="s">
        <v>60</v>
      </c>
      <c r="D215" s="10" t="s">
        <v>645</v>
      </c>
      <c r="E215" s="12" t="s">
        <v>62</v>
      </c>
      <c r="F215" s="11">
        <v>1212911.0</v>
      </c>
      <c r="G215" s="11">
        <v>190333.0</v>
      </c>
      <c r="H215" s="11">
        <v>143141.0</v>
      </c>
      <c r="I215" s="11">
        <v>71301.0</v>
      </c>
      <c r="J215" s="11">
        <v>4704.0</v>
      </c>
      <c r="K215" s="11">
        <v>422.0</v>
      </c>
      <c r="L215" s="11">
        <v>235.0</v>
      </c>
      <c r="M215" s="13">
        <f t="shared" ref="M215:O215" si="217">IFERROR(G215/F215,"")</f>
        <v>0.1569224782</v>
      </c>
      <c r="N215" s="13">
        <f t="shared" si="217"/>
        <v>0.7520556078</v>
      </c>
      <c r="O215" s="14">
        <f t="shared" si="217"/>
        <v>0.498117241</v>
      </c>
      <c r="P215" s="13">
        <f t="shared" si="3"/>
        <v>0.03286270181</v>
      </c>
      <c r="Q215" s="13">
        <f t="shared" si="4"/>
        <v>0.002948142042</v>
      </c>
      <c r="R215" s="13">
        <f t="shared" si="5"/>
        <v>0.001641737867</v>
      </c>
      <c r="S215" s="14">
        <f t="shared" si="6"/>
        <v>2.328086505</v>
      </c>
      <c r="T215" s="14">
        <f t="shared" si="7"/>
        <v>1.397538127</v>
      </c>
      <c r="U215" s="14">
        <f t="shared" si="8"/>
        <v>0.3150025682</v>
      </c>
    </row>
    <row r="216" ht="15.75" customHeight="1">
      <c r="A216" s="9">
        <v>45635.4959657292</v>
      </c>
      <c r="B216" s="10">
        <v>11.0</v>
      </c>
      <c r="C216" s="10" t="s">
        <v>71</v>
      </c>
      <c r="D216" s="10" t="s">
        <v>647</v>
      </c>
      <c r="E216" s="12" t="s">
        <v>62</v>
      </c>
      <c r="F216" s="11">
        <v>1000723.0</v>
      </c>
      <c r="G216" s="11">
        <v>44342.0</v>
      </c>
      <c r="H216" s="11">
        <v>29434.0</v>
      </c>
      <c r="I216" s="11">
        <v>19846.0</v>
      </c>
      <c r="J216" s="11">
        <v>965.0</v>
      </c>
      <c r="K216" s="11">
        <v>163.0</v>
      </c>
      <c r="L216" s="11">
        <v>45.0</v>
      </c>
      <c r="M216" s="13">
        <f t="shared" ref="M216:O216" si="218">IFERROR(G216/F216,"")</f>
        <v>0.0443099639</v>
      </c>
      <c r="N216" s="13">
        <f t="shared" si="218"/>
        <v>0.6637950476</v>
      </c>
      <c r="O216" s="14">
        <f t="shared" si="218"/>
        <v>0.6742542638</v>
      </c>
      <c r="P216" s="13">
        <f t="shared" si="3"/>
        <v>0.03278521438</v>
      </c>
      <c r="Q216" s="13">
        <f t="shared" si="4"/>
        <v>0.005537813413</v>
      </c>
      <c r="R216" s="13">
        <f t="shared" si="5"/>
        <v>0.001528844194</v>
      </c>
      <c r="S216" s="14">
        <f t="shared" si="6"/>
        <v>0.6496110197</v>
      </c>
      <c r="T216" s="14">
        <f t="shared" si="7"/>
        <v>1.232539715</v>
      </c>
      <c r="U216" s="14">
        <f t="shared" si="8"/>
        <v>0.5925120675</v>
      </c>
    </row>
    <row r="217" ht="15.75" customHeight="1">
      <c r="A217" s="9">
        <v>45637.5350453009</v>
      </c>
      <c r="B217" s="10">
        <v>12.0</v>
      </c>
      <c r="C217" s="10" t="s">
        <v>80</v>
      </c>
      <c r="D217" s="10" t="s">
        <v>649</v>
      </c>
      <c r="E217" s="12" t="s">
        <v>62</v>
      </c>
      <c r="F217" s="11">
        <v>455103.0</v>
      </c>
      <c r="G217" s="11">
        <v>21552.0</v>
      </c>
      <c r="H217" s="11">
        <v>12533.0</v>
      </c>
      <c r="I217" s="11">
        <v>15532.0</v>
      </c>
      <c r="J217" s="11">
        <v>337.0</v>
      </c>
      <c r="K217" s="11">
        <v>146.0</v>
      </c>
      <c r="L217" s="11">
        <v>33.0</v>
      </c>
      <c r="M217" s="13">
        <f t="shared" ref="M217:O217" si="219">IFERROR(G217/F217,"")</f>
        <v>0.04735631275</v>
      </c>
      <c r="N217" s="13">
        <f t="shared" si="219"/>
        <v>0.5815237565</v>
      </c>
      <c r="O217" s="14">
        <f t="shared" si="219"/>
        <v>1.239288279</v>
      </c>
      <c r="P217" s="13">
        <f t="shared" si="3"/>
        <v>0.02688901301</v>
      </c>
      <c r="Q217" s="13">
        <f t="shared" si="4"/>
        <v>0.01164924599</v>
      </c>
      <c r="R217" s="13">
        <f t="shared" si="5"/>
        <v>0.002633048751</v>
      </c>
      <c r="S217" s="14">
        <f t="shared" si="6"/>
        <v>0.6942723466</v>
      </c>
      <c r="T217" s="14">
        <f t="shared" si="7"/>
        <v>1.079777753</v>
      </c>
      <c r="U217" s="14">
        <f t="shared" si="8"/>
        <v>1.246397867</v>
      </c>
    </row>
    <row r="218" ht="15.75" customHeight="1">
      <c r="A218" s="9">
        <v>45639.5781163657</v>
      </c>
      <c r="B218" s="10">
        <v>13.0</v>
      </c>
      <c r="C218" s="10" t="s">
        <v>60</v>
      </c>
      <c r="D218" s="10" t="s">
        <v>652</v>
      </c>
      <c r="E218" s="12" t="s">
        <v>62</v>
      </c>
      <c r="F218" s="11">
        <v>419355.0</v>
      </c>
      <c r="G218" s="11">
        <v>59304.0</v>
      </c>
      <c r="H218" s="11">
        <v>38784.0</v>
      </c>
      <c r="I218" s="11">
        <v>29774.0</v>
      </c>
      <c r="J218" s="11">
        <v>762.0</v>
      </c>
      <c r="K218" s="11">
        <v>635.0</v>
      </c>
      <c r="L218" s="11">
        <v>63.0</v>
      </c>
      <c r="M218" s="13">
        <f t="shared" ref="M218:O218" si="220">IFERROR(G218/F218,"")</f>
        <v>0.1414171764</v>
      </c>
      <c r="N218" s="13">
        <f t="shared" si="220"/>
        <v>0.6539862404</v>
      </c>
      <c r="O218" s="14">
        <f t="shared" si="220"/>
        <v>0.7676877063</v>
      </c>
      <c r="P218" s="13">
        <f t="shared" si="3"/>
        <v>0.01964727723</v>
      </c>
      <c r="Q218" s="13">
        <f t="shared" si="4"/>
        <v>0.01637273102</v>
      </c>
      <c r="R218" s="13">
        <f t="shared" si="5"/>
        <v>0.001624381188</v>
      </c>
      <c r="S218" s="14">
        <f t="shared" si="6"/>
        <v>2.073261814</v>
      </c>
      <c r="T218" s="14">
        <f t="shared" si="7"/>
        <v>1.214326647</v>
      </c>
      <c r="U218" s="14">
        <f t="shared" si="8"/>
        <v>1.747643553</v>
      </c>
    </row>
    <row r="219" ht="15.75" customHeight="1">
      <c r="A219" s="9">
        <v>45642.4762997338</v>
      </c>
      <c r="B219" s="10">
        <v>11.0</v>
      </c>
      <c r="C219" s="10" t="s">
        <v>71</v>
      </c>
      <c r="D219" s="10" t="s">
        <v>654</v>
      </c>
      <c r="E219" s="12" t="s">
        <v>62</v>
      </c>
      <c r="F219" s="11">
        <v>388711.0</v>
      </c>
      <c r="G219" s="11">
        <v>43437.0</v>
      </c>
      <c r="H219" s="11">
        <v>23162.0</v>
      </c>
      <c r="I219" s="11">
        <v>19597.0</v>
      </c>
      <c r="J219" s="11">
        <v>454.0</v>
      </c>
      <c r="K219" s="11">
        <v>621.0</v>
      </c>
      <c r="L219" s="11">
        <v>53.0</v>
      </c>
      <c r="M219" s="13">
        <f t="shared" ref="M219:O219" si="221">IFERROR(G219/F219,"")</f>
        <v>0.1117462588</v>
      </c>
      <c r="N219" s="13">
        <f t="shared" si="221"/>
        <v>0.5332320372</v>
      </c>
      <c r="O219" s="14">
        <f t="shared" si="221"/>
        <v>0.8460841033</v>
      </c>
      <c r="P219" s="13">
        <f t="shared" si="3"/>
        <v>0.01960107072</v>
      </c>
      <c r="Q219" s="13">
        <f t="shared" si="4"/>
        <v>0.0268111562</v>
      </c>
      <c r="R219" s="13">
        <f t="shared" si="5"/>
        <v>0.002288230723</v>
      </c>
      <c r="S219" s="14">
        <f t="shared" si="6"/>
        <v>1.67136586</v>
      </c>
      <c r="T219" s="14">
        <f t="shared" si="7"/>
        <v>0.9914490733</v>
      </c>
      <c r="U219" s="14">
        <f t="shared" si="8"/>
        <v>2.85899733</v>
      </c>
    </row>
    <row r="220" ht="15.75" customHeight="1">
      <c r="A220" s="9">
        <v>45644.4994282176</v>
      </c>
      <c r="B220" s="10">
        <v>11.0</v>
      </c>
      <c r="C220" s="10" t="s">
        <v>80</v>
      </c>
      <c r="D220" s="10" t="s">
        <v>657</v>
      </c>
      <c r="E220" s="12" t="s">
        <v>62</v>
      </c>
      <c r="F220" s="11">
        <v>295305.0</v>
      </c>
      <c r="G220" s="11">
        <v>31615.0</v>
      </c>
      <c r="H220" s="11">
        <v>16300.0</v>
      </c>
      <c r="I220" s="11">
        <v>16806.0</v>
      </c>
      <c r="J220" s="11">
        <v>535.0</v>
      </c>
      <c r="K220" s="11">
        <v>163.0</v>
      </c>
      <c r="L220" s="11">
        <v>38.0</v>
      </c>
      <c r="M220" s="13">
        <f t="shared" ref="M220:O220" si="222">IFERROR(G220/F220,"")</f>
        <v>0.1070588036</v>
      </c>
      <c r="N220" s="13">
        <f t="shared" si="222"/>
        <v>0.5155780484</v>
      </c>
      <c r="O220" s="14">
        <f t="shared" si="222"/>
        <v>1.031042945</v>
      </c>
      <c r="P220" s="13">
        <f t="shared" si="3"/>
        <v>0.03282208589</v>
      </c>
      <c r="Q220" s="13">
        <f t="shared" si="4"/>
        <v>0.01</v>
      </c>
      <c r="R220" s="13">
        <f t="shared" si="5"/>
        <v>0.002331288344</v>
      </c>
      <c r="S220" s="14">
        <f t="shared" si="6"/>
        <v>1.588313916</v>
      </c>
      <c r="T220" s="14">
        <f t="shared" si="7"/>
        <v>0.9580940193</v>
      </c>
      <c r="U220" s="14">
        <f t="shared" si="8"/>
        <v>1.066346154</v>
      </c>
    </row>
    <row r="221" ht="15.75" customHeight="1">
      <c r="A221" s="9">
        <v>45646.3857181829</v>
      </c>
      <c r="B221" s="10">
        <v>9.0</v>
      </c>
      <c r="C221" s="10" t="s">
        <v>60</v>
      </c>
      <c r="D221" s="10" t="s">
        <v>660</v>
      </c>
      <c r="E221" s="12" t="s">
        <v>62</v>
      </c>
      <c r="F221" s="11">
        <v>1007971.0</v>
      </c>
      <c r="G221" s="11">
        <v>41203.0</v>
      </c>
      <c r="H221" s="11">
        <v>27346.0</v>
      </c>
      <c r="I221" s="11">
        <v>25258.0</v>
      </c>
      <c r="J221" s="11">
        <v>624.0</v>
      </c>
      <c r="K221" s="11">
        <v>119.0</v>
      </c>
      <c r="L221" s="11">
        <v>67.0</v>
      </c>
      <c r="M221" s="13">
        <f t="shared" ref="M221:O221" si="223">IFERROR(G221/F221,"")</f>
        <v>0.04087716809</v>
      </c>
      <c r="N221" s="13">
        <f t="shared" si="223"/>
        <v>0.6636895372</v>
      </c>
      <c r="O221" s="14">
        <f t="shared" si="223"/>
        <v>0.9236451401</v>
      </c>
      <c r="P221" s="13">
        <f t="shared" si="3"/>
        <v>0.02281869378</v>
      </c>
      <c r="Q221" s="13">
        <f t="shared" si="4"/>
        <v>0.004351641922</v>
      </c>
      <c r="R221" s="13">
        <f t="shared" si="5"/>
        <v>0.002450084107</v>
      </c>
      <c r="S221" s="14">
        <f t="shared" si="6"/>
        <v>0.606449659</v>
      </c>
      <c r="T221" s="14">
        <f t="shared" si="7"/>
        <v>1.233328258</v>
      </c>
      <c r="U221" s="14">
        <f t="shared" si="8"/>
        <v>0.4580103123</v>
      </c>
    </row>
    <row r="222" ht="15.75" customHeight="1">
      <c r="A222" s="9">
        <v>45649.5094732755</v>
      </c>
      <c r="B222" s="10">
        <v>12.0</v>
      </c>
      <c r="C222" s="10" t="s">
        <v>71</v>
      </c>
      <c r="D222" s="10" t="s">
        <v>662</v>
      </c>
      <c r="E222" s="12" t="s">
        <v>62</v>
      </c>
      <c r="F222" s="11">
        <v>448478.0</v>
      </c>
      <c r="G222" s="11">
        <v>19795.0</v>
      </c>
      <c r="H222" s="11">
        <v>11090.0</v>
      </c>
      <c r="I222" s="11">
        <v>9553.0</v>
      </c>
      <c r="J222" s="11">
        <v>254.0</v>
      </c>
      <c r="K222" s="11">
        <v>104.0</v>
      </c>
      <c r="L222" s="11">
        <v>63.0</v>
      </c>
      <c r="M222" s="13">
        <f t="shared" ref="M222:O222" si="224">IFERROR(G222/F222,"")</f>
        <v>0.044138174</v>
      </c>
      <c r="N222" s="13">
        <f t="shared" si="224"/>
        <v>0.5602424855</v>
      </c>
      <c r="O222" s="14">
        <f t="shared" si="224"/>
        <v>0.8614066727</v>
      </c>
      <c r="P222" s="13">
        <f t="shared" si="3"/>
        <v>0.02290351668</v>
      </c>
      <c r="Q222" s="13">
        <f t="shared" si="4"/>
        <v>0.009377817854</v>
      </c>
      <c r="R222" s="13">
        <f t="shared" si="5"/>
        <v>0.005680793508</v>
      </c>
      <c r="S222" s="14">
        <f t="shared" si="6"/>
        <v>0.6470924753</v>
      </c>
      <c r="T222" s="14">
        <f t="shared" si="7"/>
        <v>1.041381761</v>
      </c>
      <c r="U222" s="14">
        <f t="shared" si="8"/>
        <v>0.9335710658</v>
      </c>
    </row>
    <row r="223" ht="15.75" customHeight="1">
      <c r="A223" s="9">
        <v>45651.4960954398</v>
      </c>
      <c r="B223" s="10">
        <v>11.0</v>
      </c>
      <c r="C223" s="10" t="s">
        <v>80</v>
      </c>
      <c r="D223" s="10" t="s">
        <v>665</v>
      </c>
      <c r="E223" s="12" t="s">
        <v>62</v>
      </c>
      <c r="F223" s="11">
        <v>947989.0</v>
      </c>
      <c r="G223" s="11">
        <v>61552.0</v>
      </c>
      <c r="H223" s="11">
        <v>40225.0</v>
      </c>
      <c r="I223" s="11">
        <v>51235.0</v>
      </c>
      <c r="J223" s="11">
        <v>715.0</v>
      </c>
      <c r="K223" s="11">
        <v>289.0</v>
      </c>
      <c r="L223" s="11">
        <v>111.0</v>
      </c>
      <c r="M223" s="13">
        <f t="shared" ref="M223:O223" si="225">IFERROR(G223/F223,"")</f>
        <v>0.06492902344</v>
      </c>
      <c r="N223" s="13">
        <f t="shared" si="225"/>
        <v>0.6535124773</v>
      </c>
      <c r="O223" s="14">
        <f t="shared" si="225"/>
        <v>1.273710379</v>
      </c>
      <c r="P223" s="13">
        <f t="shared" si="3"/>
        <v>0.01777501554</v>
      </c>
      <c r="Q223" s="13">
        <f t="shared" si="4"/>
        <v>0.0071845867</v>
      </c>
      <c r="R223" s="13">
        <f t="shared" si="5"/>
        <v>0.002759477937</v>
      </c>
      <c r="S223" s="14">
        <f t="shared" si="6"/>
        <v>0.9671894272</v>
      </c>
      <c r="T223" s="14">
        <f t="shared" si="7"/>
        <v>1.214752526</v>
      </c>
      <c r="U223" s="14">
        <f t="shared" si="8"/>
        <v>0.7009377049</v>
      </c>
    </row>
    <row r="224" ht="15.75" customHeight="1">
      <c r="A224" s="9">
        <v>45653.4175995486</v>
      </c>
      <c r="B224" s="10">
        <v>10.0</v>
      </c>
      <c r="C224" s="10" t="s">
        <v>60</v>
      </c>
      <c r="D224" s="10" t="s">
        <v>667</v>
      </c>
      <c r="E224" s="12" t="s">
        <v>62</v>
      </c>
      <c r="F224" s="11">
        <v>1497192.0</v>
      </c>
      <c r="G224" s="11">
        <v>85170.0</v>
      </c>
      <c r="H224" s="11">
        <v>51748.0</v>
      </c>
      <c r="I224" s="11">
        <v>57716.0</v>
      </c>
      <c r="J224" s="11">
        <v>1465.0</v>
      </c>
      <c r="K224" s="11">
        <v>872.0</v>
      </c>
      <c r="L224" s="11">
        <v>165.0</v>
      </c>
      <c r="M224" s="13">
        <f t="shared" ref="M224:O224" si="226">IFERROR(G224/F224,"")</f>
        <v>0.05688649151</v>
      </c>
      <c r="N224" s="13">
        <f t="shared" si="226"/>
        <v>0.6075848303</v>
      </c>
      <c r="O224" s="14">
        <f t="shared" si="226"/>
        <v>1.115328129</v>
      </c>
      <c r="P224" s="13">
        <f t="shared" si="3"/>
        <v>0.02831027286</v>
      </c>
      <c r="Q224" s="13">
        <f t="shared" si="4"/>
        <v>0.01685089279</v>
      </c>
      <c r="R224" s="13">
        <f t="shared" si="5"/>
        <v>0.003188529025</v>
      </c>
      <c r="S224" s="14">
        <f t="shared" si="6"/>
        <v>0.8508395791</v>
      </c>
      <c r="T224" s="14">
        <f t="shared" si="7"/>
        <v>1.129069389</v>
      </c>
      <c r="U224" s="14">
        <f t="shared" si="8"/>
        <v>1.618764829</v>
      </c>
    </row>
    <row r="225" ht="15.75" customHeight="1">
      <c r="A225" s="9">
        <v>45656.4066969213</v>
      </c>
      <c r="B225" s="10">
        <v>9.0</v>
      </c>
      <c r="C225" s="10" t="s">
        <v>71</v>
      </c>
      <c r="D225" s="10" t="s">
        <v>670</v>
      </c>
      <c r="E225" s="12" t="s">
        <v>62</v>
      </c>
      <c r="F225" s="11">
        <v>1083257.0</v>
      </c>
      <c r="G225" s="11">
        <v>86117.0</v>
      </c>
      <c r="H225" s="11">
        <v>45574.0</v>
      </c>
      <c r="I225" s="11">
        <v>47551.0</v>
      </c>
      <c r="J225" s="11">
        <v>1055.0</v>
      </c>
      <c r="K225" s="11">
        <v>1107.0</v>
      </c>
      <c r="L225" s="11">
        <v>116.0</v>
      </c>
      <c r="M225" s="13">
        <f t="shared" ref="M225:O225" si="227">IFERROR(G225/F225,"")</f>
        <v>0.07949821695</v>
      </c>
      <c r="N225" s="13">
        <f t="shared" si="227"/>
        <v>0.5292102605</v>
      </c>
      <c r="O225" s="14">
        <f t="shared" si="227"/>
        <v>1.043379997</v>
      </c>
      <c r="P225" s="13">
        <f t="shared" si="3"/>
        <v>0.023149164</v>
      </c>
      <c r="Q225" s="13">
        <f t="shared" si="4"/>
        <v>0.02429016545</v>
      </c>
      <c r="R225" s="13">
        <f t="shared" si="5"/>
        <v>0.002545310923</v>
      </c>
      <c r="S225" s="14">
        <f t="shared" si="6"/>
        <v>1.194431409</v>
      </c>
      <c r="T225" s="14">
        <f t="shared" si="7"/>
        <v>0.9836988938</v>
      </c>
      <c r="U225" s="14">
        <f t="shared" si="8"/>
        <v>2.36978041</v>
      </c>
    </row>
    <row r="226" ht="15.75" customHeight="1">
      <c r="A226" s="9">
        <v>45658.5319297917</v>
      </c>
      <c r="B226" s="10">
        <v>12.0</v>
      </c>
      <c r="C226" s="10" t="s">
        <v>80</v>
      </c>
      <c r="D226" s="10" t="s">
        <v>673</v>
      </c>
      <c r="E226" s="12" t="s">
        <v>62</v>
      </c>
      <c r="F226" s="11">
        <v>34811.0</v>
      </c>
      <c r="G226" s="11">
        <v>2728.0</v>
      </c>
      <c r="H226" s="11">
        <v>1579.0</v>
      </c>
      <c r="I226" s="11">
        <v>1047.0</v>
      </c>
      <c r="J226" s="11">
        <v>179.0</v>
      </c>
      <c r="K226" s="11">
        <v>68.0</v>
      </c>
      <c r="L226" s="11">
        <v>1.0</v>
      </c>
      <c r="M226" s="13">
        <f t="shared" ref="M226:O226" si="228">IFERROR(G226/F226,"")</f>
        <v>0.07836603372</v>
      </c>
      <c r="N226" s="13">
        <f t="shared" si="228"/>
        <v>0.5788123167</v>
      </c>
      <c r="O226" s="14">
        <f t="shared" si="228"/>
        <v>0.6630778974</v>
      </c>
      <c r="P226" s="13">
        <f t="shared" si="3"/>
        <v>0.1133628879</v>
      </c>
      <c r="Q226" s="13">
        <f t="shared" si="4"/>
        <v>0.04306523116</v>
      </c>
      <c r="R226" s="13">
        <f t="shared" si="5"/>
        <v>0.0006333122229</v>
      </c>
      <c r="S226" s="14">
        <f t="shared" si="6"/>
        <v>1.182785306</v>
      </c>
      <c r="T226" s="14">
        <f t="shared" si="7"/>
        <v>1.076197406</v>
      </c>
      <c r="U226" s="14">
        <f t="shared" si="8"/>
        <v>4.268022679</v>
      </c>
    </row>
    <row r="227" ht="15.75" customHeight="1">
      <c r="A227" s="9">
        <v>45660.3336337384</v>
      </c>
      <c r="B227" s="10">
        <v>8.0</v>
      </c>
      <c r="C227" s="10" t="s">
        <v>60</v>
      </c>
      <c r="D227" s="10" t="s">
        <v>674</v>
      </c>
      <c r="E227" s="12" t="s">
        <v>62</v>
      </c>
      <c r="F227" s="11">
        <v>106616.0</v>
      </c>
      <c r="G227" s="11">
        <v>15855.0</v>
      </c>
      <c r="H227" s="11">
        <v>10394.0</v>
      </c>
      <c r="I227" s="11">
        <v>5334.0</v>
      </c>
      <c r="J227" s="11">
        <v>415.0</v>
      </c>
      <c r="K227" s="11">
        <v>45.0</v>
      </c>
      <c r="L227" s="11">
        <v>15.0</v>
      </c>
      <c r="M227" s="13">
        <f t="shared" ref="M227:O227" si="229">IFERROR(G227/F227,"")</f>
        <v>0.1487112628</v>
      </c>
      <c r="N227" s="13">
        <f t="shared" si="229"/>
        <v>0.6555660675</v>
      </c>
      <c r="O227" s="14">
        <f t="shared" si="229"/>
        <v>0.5131806812</v>
      </c>
      <c r="P227" s="13">
        <f t="shared" si="3"/>
        <v>0.03992688089</v>
      </c>
      <c r="Q227" s="13">
        <f t="shared" si="4"/>
        <v>0.00432942082</v>
      </c>
      <c r="R227" s="13">
        <f t="shared" si="5"/>
        <v>0.001443140273</v>
      </c>
      <c r="S227" s="14">
        <f t="shared" si="6"/>
        <v>2.224243839</v>
      </c>
      <c r="T227" s="14">
        <f t="shared" si="7"/>
        <v>1.218232488</v>
      </c>
      <c r="U227" s="14">
        <f t="shared" si="8"/>
        <v>0.4290715677</v>
      </c>
    </row>
    <row r="228" ht="15.75" customHeight="1">
      <c r="A228" s="9">
        <v>45662.3238629167</v>
      </c>
      <c r="B228" s="10">
        <v>7.0</v>
      </c>
      <c r="C228" s="10" t="s">
        <v>77</v>
      </c>
      <c r="D228" s="10" t="s">
        <v>677</v>
      </c>
      <c r="E228" s="12" t="s">
        <v>62</v>
      </c>
      <c r="F228" s="11">
        <v>66181.0</v>
      </c>
      <c r="G228" s="11">
        <v>1383.0</v>
      </c>
      <c r="H228" s="11">
        <v>612.0</v>
      </c>
      <c r="I228" s="11">
        <v>541.0</v>
      </c>
      <c r="J228" s="11">
        <v>72.0</v>
      </c>
      <c r="K228" s="11">
        <v>27.0</v>
      </c>
      <c r="L228" s="11">
        <v>8.0</v>
      </c>
      <c r="M228" s="13">
        <f t="shared" ref="M228:O228" si="230">IFERROR(G228/F228,"")</f>
        <v>0.02089723637</v>
      </c>
      <c r="N228" s="13">
        <f t="shared" si="230"/>
        <v>0.442516269</v>
      </c>
      <c r="O228" s="14">
        <f t="shared" si="230"/>
        <v>0.8839869281</v>
      </c>
      <c r="P228" s="13">
        <f t="shared" si="3"/>
        <v>0.1176470588</v>
      </c>
      <c r="Q228" s="13">
        <f t="shared" si="4"/>
        <v>0.04411764706</v>
      </c>
      <c r="R228" s="13">
        <f t="shared" si="5"/>
        <v>0.01307189542</v>
      </c>
      <c r="S228" s="14">
        <f t="shared" si="6"/>
        <v>0.3112873874</v>
      </c>
      <c r="T228" s="14">
        <f t="shared" si="7"/>
        <v>0.8225516336</v>
      </c>
      <c r="U228" s="14">
        <f t="shared" si="8"/>
        <v>4.553417458</v>
      </c>
    </row>
    <row r="229" ht="15.75" customHeight="1">
      <c r="A229" s="9">
        <v>45664.3379899884</v>
      </c>
      <c r="B229" s="10">
        <v>8.0</v>
      </c>
      <c r="C229" s="10" t="s">
        <v>59</v>
      </c>
      <c r="D229" s="10" t="s">
        <v>680</v>
      </c>
      <c r="E229" s="12" t="s">
        <v>62</v>
      </c>
      <c r="F229" s="11">
        <v>1168501.0</v>
      </c>
      <c r="G229" s="11">
        <v>93215.0</v>
      </c>
      <c r="H229" s="11">
        <v>57965.0</v>
      </c>
      <c r="I229" s="11">
        <v>55733.0</v>
      </c>
      <c r="J229" s="11">
        <v>1085.0</v>
      </c>
      <c r="K229" s="11">
        <v>1007.0</v>
      </c>
      <c r="L229" s="11">
        <v>162.0</v>
      </c>
      <c r="M229" s="13">
        <f t="shared" ref="M229:O229" si="231">IFERROR(G229/F229,"")</f>
        <v>0.07977314525</v>
      </c>
      <c r="N229" s="13">
        <f t="shared" si="231"/>
        <v>0.6218419782</v>
      </c>
      <c r="O229" s="14">
        <f t="shared" si="231"/>
        <v>0.961494005</v>
      </c>
      <c r="P229" s="13">
        <f t="shared" si="3"/>
        <v>0.01871819201</v>
      </c>
      <c r="Q229" s="13">
        <f t="shared" si="4"/>
        <v>0.0173725524</v>
      </c>
      <c r="R229" s="13">
        <f t="shared" si="5"/>
        <v>0.002794789959</v>
      </c>
      <c r="S229" s="14">
        <f t="shared" si="6"/>
        <v>1.183506564</v>
      </c>
      <c r="T229" s="14">
        <f t="shared" si="7"/>
        <v>1.155563318</v>
      </c>
      <c r="U229" s="14">
        <f t="shared" si="8"/>
        <v>1.852515444</v>
      </c>
    </row>
    <row r="230" ht="15.75" customHeight="1">
      <c r="A230" s="9">
        <v>45666.3254387732</v>
      </c>
      <c r="B230" s="10">
        <v>7.0</v>
      </c>
      <c r="C230" s="10" t="s">
        <v>84</v>
      </c>
      <c r="D230" s="10" t="s">
        <v>683</v>
      </c>
      <c r="E230" s="12" t="s">
        <v>62</v>
      </c>
      <c r="F230" s="11">
        <v>1631037.0</v>
      </c>
      <c r="G230" s="11">
        <v>239992.0</v>
      </c>
      <c r="H230" s="11">
        <v>129842.0</v>
      </c>
      <c r="I230" s="11">
        <v>116331.0</v>
      </c>
      <c r="J230" s="11">
        <v>2131.0</v>
      </c>
      <c r="K230" s="11">
        <v>1693.0</v>
      </c>
      <c r="L230" s="11">
        <v>296.0</v>
      </c>
      <c r="M230" s="13">
        <f t="shared" ref="M230:O230" si="232">IFERROR(G230/F230,"")</f>
        <v>0.1471407454</v>
      </c>
      <c r="N230" s="13">
        <f t="shared" si="232"/>
        <v>0.5410263675</v>
      </c>
      <c r="O230" s="14">
        <f t="shared" si="232"/>
        <v>0.8959427612</v>
      </c>
      <c r="P230" s="13">
        <f t="shared" si="3"/>
        <v>0.01641225489</v>
      </c>
      <c r="Q230" s="13">
        <f t="shared" si="4"/>
        <v>0.01303892423</v>
      </c>
      <c r="R230" s="13">
        <f t="shared" si="5"/>
        <v>0.002279693782</v>
      </c>
      <c r="S230" s="14">
        <f t="shared" si="6"/>
        <v>2.178270895</v>
      </c>
      <c r="T230" s="14">
        <f t="shared" si="7"/>
        <v>1.0053844</v>
      </c>
      <c r="U230" s="14">
        <f t="shared" si="8"/>
        <v>1.393180709</v>
      </c>
    </row>
    <row r="231" ht="15.75" customHeight="1">
      <c r="A231" s="9">
        <v>45670.3780123264</v>
      </c>
      <c r="B231" s="10">
        <v>9.0</v>
      </c>
      <c r="C231" s="10" t="s">
        <v>71</v>
      </c>
      <c r="D231" s="10" t="s">
        <v>686</v>
      </c>
      <c r="E231" s="12" t="s">
        <v>62</v>
      </c>
      <c r="F231" s="11">
        <v>1015221.0</v>
      </c>
      <c r="G231" s="11">
        <v>32475.0</v>
      </c>
      <c r="H231" s="11">
        <v>15264.0</v>
      </c>
      <c r="I231" s="11">
        <v>16157.0</v>
      </c>
      <c r="J231" s="11">
        <v>512.0</v>
      </c>
      <c r="K231" s="11">
        <v>321.0</v>
      </c>
      <c r="L231" s="11">
        <v>77.0</v>
      </c>
      <c r="M231" s="13">
        <f t="shared" ref="M231:O231" si="233">IFERROR(G231/F231,"")</f>
        <v>0.03198810899</v>
      </c>
      <c r="N231" s="13">
        <f t="shared" si="233"/>
        <v>0.4700230947</v>
      </c>
      <c r="O231" s="14">
        <f t="shared" si="233"/>
        <v>1.058503669</v>
      </c>
      <c r="P231" s="13">
        <f t="shared" si="3"/>
        <v>0.03354297694</v>
      </c>
      <c r="Q231" s="13">
        <f t="shared" si="4"/>
        <v>0.02102987421</v>
      </c>
      <c r="R231" s="13">
        <f t="shared" si="5"/>
        <v>0.005044549266</v>
      </c>
      <c r="S231" s="14">
        <f t="shared" si="6"/>
        <v>0.4684662599</v>
      </c>
      <c r="T231" s="14">
        <f t="shared" si="7"/>
        <v>0.87368147</v>
      </c>
      <c r="U231" s="14">
        <f t="shared" si="8"/>
        <v>2.244752206</v>
      </c>
    </row>
    <row r="232" ht="15.75" customHeight="1">
      <c r="A232" s="9">
        <v>45672.334294456</v>
      </c>
      <c r="B232" s="10">
        <v>8.0</v>
      </c>
      <c r="C232" s="10" t="s">
        <v>80</v>
      </c>
      <c r="D232" s="10" t="s">
        <v>688</v>
      </c>
      <c r="E232" s="12" t="s">
        <v>62</v>
      </c>
      <c r="F232" s="11">
        <v>2205470.0</v>
      </c>
      <c r="G232" s="11">
        <v>116503.0</v>
      </c>
      <c r="H232" s="11">
        <v>75231.0</v>
      </c>
      <c r="I232" s="11">
        <v>92514.0</v>
      </c>
      <c r="J232" s="11">
        <v>2085.0</v>
      </c>
      <c r="K232" s="11">
        <v>1381.0</v>
      </c>
      <c r="L232" s="11">
        <v>399.0</v>
      </c>
      <c r="M232" s="13">
        <f t="shared" ref="M232:O232" si="234">IFERROR(G232/F232,"")</f>
        <v>0.05282456801</v>
      </c>
      <c r="N232" s="13">
        <f t="shared" si="234"/>
        <v>0.6457430281</v>
      </c>
      <c r="O232" s="14">
        <f t="shared" si="234"/>
        <v>1.229732424</v>
      </c>
      <c r="P232" s="13">
        <f t="shared" si="3"/>
        <v>0.02771463891</v>
      </c>
      <c r="Q232" s="13">
        <f t="shared" si="4"/>
        <v>0.01835679441</v>
      </c>
      <c r="R232" s="13">
        <f t="shared" si="5"/>
        <v>0.005303664713</v>
      </c>
      <c r="S232" s="14">
        <f t="shared" si="6"/>
        <v>0.7606886436</v>
      </c>
      <c r="T232" s="14">
        <f t="shared" si="7"/>
        <v>1.202537202</v>
      </c>
      <c r="U232" s="14">
        <f t="shared" si="8"/>
        <v>1.959424689</v>
      </c>
    </row>
    <row r="233" ht="15.75" customHeight="1">
      <c r="A233" s="9">
        <v>45674.3874206134</v>
      </c>
      <c r="B233" s="10">
        <v>9.0</v>
      </c>
      <c r="C233" s="10" t="s">
        <v>60</v>
      </c>
      <c r="D233" s="10" t="s">
        <v>690</v>
      </c>
      <c r="E233" s="12" t="s">
        <v>62</v>
      </c>
      <c r="F233" s="11">
        <v>1000268.0</v>
      </c>
      <c r="G233" s="11">
        <v>115732.0</v>
      </c>
      <c r="H233" s="11">
        <v>53421.0</v>
      </c>
      <c r="I233" s="11">
        <v>73179.0</v>
      </c>
      <c r="J233" s="11">
        <v>1284.0</v>
      </c>
      <c r="K233" s="11">
        <v>725.0</v>
      </c>
      <c r="L233" s="11">
        <v>178.0</v>
      </c>
      <c r="M233" s="13">
        <f t="shared" ref="M233:O233" si="235">IFERROR(G233/F233,"")</f>
        <v>0.1157009921</v>
      </c>
      <c r="N233" s="13">
        <f t="shared" si="235"/>
        <v>0.4615922995</v>
      </c>
      <c r="O233" s="14">
        <f t="shared" si="235"/>
        <v>1.369854552</v>
      </c>
      <c r="P233" s="13">
        <f t="shared" si="3"/>
        <v>0.02403549166</v>
      </c>
      <c r="Q233" s="13">
        <f t="shared" si="4"/>
        <v>0.01357144194</v>
      </c>
      <c r="R233" s="13">
        <f t="shared" si="5"/>
        <v>0.003332022987</v>
      </c>
      <c r="S233" s="14">
        <f t="shared" si="6"/>
        <v>1.650109036</v>
      </c>
      <c r="T233" s="14">
        <f t="shared" si="7"/>
        <v>0.8596018664</v>
      </c>
      <c r="U233" s="14">
        <f t="shared" si="8"/>
        <v>1.448630835</v>
      </c>
    </row>
    <row r="234" ht="15.75" customHeight="1">
      <c r="A234" s="9">
        <v>45677.3967803009</v>
      </c>
      <c r="B234" s="10">
        <v>9.0</v>
      </c>
      <c r="C234" s="10" t="s">
        <v>71</v>
      </c>
      <c r="D234" s="10" t="s">
        <v>693</v>
      </c>
      <c r="E234" s="12" t="s">
        <v>62</v>
      </c>
      <c r="F234" s="11">
        <v>511351.0</v>
      </c>
      <c r="G234" s="11">
        <v>104826.0</v>
      </c>
      <c r="H234" s="11">
        <v>41999.0</v>
      </c>
      <c r="I234" s="11">
        <v>20274.0</v>
      </c>
      <c r="J234" s="11">
        <v>1662.0</v>
      </c>
      <c r="K234" s="11">
        <v>392.0</v>
      </c>
      <c r="L234" s="11">
        <v>169.0</v>
      </c>
      <c r="M234" s="13">
        <f t="shared" ref="M234:O234" si="236">IFERROR(G234/F234,"")</f>
        <v>0.2049981324</v>
      </c>
      <c r="N234" s="13">
        <f t="shared" si="236"/>
        <v>0.4006544178</v>
      </c>
      <c r="O234" s="14">
        <f t="shared" si="236"/>
        <v>0.4827257792</v>
      </c>
      <c r="P234" s="13">
        <f t="shared" si="3"/>
        <v>0.03957237077</v>
      </c>
      <c r="Q234" s="13">
        <f t="shared" si="4"/>
        <v>0.009333555561</v>
      </c>
      <c r="R234" s="13">
        <f t="shared" si="5"/>
        <v>0.004023905331</v>
      </c>
      <c r="S234" s="14">
        <f t="shared" si="6"/>
        <v>2.952030791</v>
      </c>
      <c r="T234" s="14">
        <f t="shared" si="7"/>
        <v>0.7447385983</v>
      </c>
      <c r="U234" s="14">
        <f t="shared" si="8"/>
        <v>0.9986331951</v>
      </c>
    </row>
    <row r="235" ht="15.75" customHeight="1">
      <c r="A235" s="9">
        <v>45679.2953454861</v>
      </c>
      <c r="B235" s="10">
        <v>7.0</v>
      </c>
      <c r="C235" s="10" t="s">
        <v>80</v>
      </c>
      <c r="D235" s="10" t="s">
        <v>696</v>
      </c>
      <c r="E235" s="12" t="s">
        <v>62</v>
      </c>
      <c r="F235" s="11">
        <v>625307.0</v>
      </c>
      <c r="G235" s="11">
        <v>37545.0</v>
      </c>
      <c r="H235" s="11">
        <v>14043.0</v>
      </c>
      <c r="I235" s="11">
        <v>12060.0</v>
      </c>
      <c r="J235" s="11">
        <v>615.0</v>
      </c>
      <c r="K235" s="11">
        <v>149.0</v>
      </c>
      <c r="L235" s="11">
        <v>58.0</v>
      </c>
      <c r="M235" s="13">
        <f t="shared" ref="M235:O235" si="237">IFERROR(G235/F235,"")</f>
        <v>0.06004250712</v>
      </c>
      <c r="N235" s="13">
        <f t="shared" si="237"/>
        <v>0.3740311626</v>
      </c>
      <c r="O235" s="14">
        <f t="shared" si="237"/>
        <v>0.8587908567</v>
      </c>
      <c r="P235" s="13">
        <f t="shared" si="3"/>
        <v>0.0437940611</v>
      </c>
      <c r="Q235" s="13">
        <f t="shared" si="4"/>
        <v>0.01061026846</v>
      </c>
      <c r="R235" s="13">
        <f t="shared" si="5"/>
        <v>0.004130171616</v>
      </c>
      <c r="S235" s="14">
        <f t="shared" si="6"/>
        <v>0.8646289979</v>
      </c>
      <c r="T235" s="14">
        <f t="shared" si="7"/>
        <v>0.6952511476</v>
      </c>
      <c r="U235" s="14">
        <f t="shared" si="8"/>
        <v>1.135233644</v>
      </c>
    </row>
    <row r="236" ht="15.75" customHeight="1">
      <c r="A236" s="9">
        <v>45681.351603206</v>
      </c>
      <c r="B236" s="10">
        <v>8.0</v>
      </c>
      <c r="C236" s="10" t="s">
        <v>60</v>
      </c>
      <c r="D236" s="10" t="s">
        <v>699</v>
      </c>
      <c r="E236" s="12" t="s">
        <v>62</v>
      </c>
      <c r="F236" s="11">
        <v>1314772.0</v>
      </c>
      <c r="G236" s="11">
        <v>65482.0</v>
      </c>
      <c r="H236" s="11">
        <v>42171.0</v>
      </c>
      <c r="I236" s="11">
        <v>51529.0</v>
      </c>
      <c r="J236" s="11">
        <v>1208.0</v>
      </c>
      <c r="K236" s="11">
        <v>856.0</v>
      </c>
      <c r="L236" s="11">
        <v>134.0</v>
      </c>
      <c r="M236" s="13">
        <f t="shared" ref="M236:O236" si="238">IFERROR(G236/F236,"")</f>
        <v>0.04980483308</v>
      </c>
      <c r="N236" s="13">
        <f t="shared" si="238"/>
        <v>0.6440090407</v>
      </c>
      <c r="O236" s="14">
        <f t="shared" si="238"/>
        <v>1.221906049</v>
      </c>
      <c r="P236" s="13">
        <f t="shared" si="3"/>
        <v>0.02864527756</v>
      </c>
      <c r="Q236" s="13">
        <f t="shared" si="4"/>
        <v>0.02029830926</v>
      </c>
      <c r="R236" s="13">
        <f t="shared" si="5"/>
        <v>0.003177539067</v>
      </c>
      <c r="S236" s="14">
        <f t="shared" si="6"/>
        <v>0.717203611</v>
      </c>
      <c r="T236" s="14">
        <f t="shared" si="7"/>
        <v>1.199308078</v>
      </c>
      <c r="U236" s="14">
        <f t="shared" si="8"/>
        <v>2.171794586</v>
      </c>
    </row>
    <row r="237" ht="15.75" customHeight="1">
      <c r="A237" s="9">
        <v>45682.3297885417</v>
      </c>
      <c r="B237" s="10">
        <v>7.0</v>
      </c>
      <c r="C237" s="10" t="s">
        <v>69</v>
      </c>
      <c r="D237" s="10" t="s">
        <v>702</v>
      </c>
      <c r="E237" s="12" t="s">
        <v>62</v>
      </c>
      <c r="F237" s="11">
        <v>1053915.0</v>
      </c>
      <c r="G237" s="11">
        <v>114645.0</v>
      </c>
      <c r="H237" s="11">
        <v>71822.0</v>
      </c>
      <c r="I237" s="11">
        <v>98455.0</v>
      </c>
      <c r="J237" s="11">
        <v>2530.0</v>
      </c>
      <c r="K237" s="11">
        <v>518.0</v>
      </c>
      <c r="L237" s="11">
        <v>702.0</v>
      </c>
      <c r="M237" s="13">
        <f t="shared" ref="M237:O237" si="239">IFERROR(G237/F237,"")</f>
        <v>0.1087801198</v>
      </c>
      <c r="N237" s="13">
        <f t="shared" si="239"/>
        <v>0.6264730254</v>
      </c>
      <c r="O237" s="14">
        <f t="shared" si="239"/>
        <v>1.370819526</v>
      </c>
      <c r="P237" s="13">
        <f t="shared" si="3"/>
        <v>0.03522597533</v>
      </c>
      <c r="Q237" s="13">
        <f t="shared" si="4"/>
        <v>0.00721227479</v>
      </c>
      <c r="R237" s="13">
        <f t="shared" si="5"/>
        <v>0.009774163905</v>
      </c>
      <c r="S237" s="14">
        <f t="shared" si="6"/>
        <v>1.576159583</v>
      </c>
      <c r="T237" s="14">
        <f t="shared" si="7"/>
        <v>1.16849503</v>
      </c>
      <c r="U237" s="14">
        <f t="shared" si="8"/>
        <v>0.7706158825</v>
      </c>
    </row>
    <row r="238" ht="15.75" customHeight="1">
      <c r="A238" s="9">
        <v>45684.3916087037</v>
      </c>
      <c r="B238" s="10">
        <v>9.0</v>
      </c>
      <c r="C238" s="10" t="s">
        <v>71</v>
      </c>
      <c r="D238" s="10" t="s">
        <v>704</v>
      </c>
      <c r="E238" s="12" t="s">
        <v>62</v>
      </c>
      <c r="F238" s="11">
        <v>4016806.0</v>
      </c>
      <c r="G238" s="11">
        <v>282639.0</v>
      </c>
      <c r="H238" s="11">
        <v>179496.0</v>
      </c>
      <c r="I238" s="11">
        <v>194726.0</v>
      </c>
      <c r="J238" s="11">
        <v>10060.0</v>
      </c>
      <c r="K238" s="11">
        <v>6844.0</v>
      </c>
      <c r="L238" s="11">
        <v>756.0</v>
      </c>
      <c r="M238" s="13">
        <f t="shared" ref="M238:O238" si="240">IFERROR(G238/F238,"")</f>
        <v>0.07036411517</v>
      </c>
      <c r="N238" s="13">
        <f t="shared" si="240"/>
        <v>0.6350715931</v>
      </c>
      <c r="O238" s="14">
        <f t="shared" si="240"/>
        <v>1.084848687</v>
      </c>
      <c r="P238" s="13">
        <f t="shared" si="3"/>
        <v>0.05604581718</v>
      </c>
      <c r="Q238" s="13">
        <f t="shared" si="4"/>
        <v>0.03812898338</v>
      </c>
      <c r="R238" s="13">
        <f t="shared" si="5"/>
        <v>0.00421179302</v>
      </c>
      <c r="S238" s="14">
        <f t="shared" si="6"/>
        <v>1.019534402</v>
      </c>
      <c r="T238" s="14">
        <f t="shared" si="7"/>
        <v>1.188844596</v>
      </c>
      <c r="U238" s="14">
        <f t="shared" si="8"/>
        <v>4.065869477</v>
      </c>
    </row>
    <row r="239" ht="15.75" customHeight="1">
      <c r="A239" s="9">
        <v>45686.4463797917</v>
      </c>
      <c r="B239" s="10">
        <v>10.0</v>
      </c>
      <c r="C239" s="10" t="s">
        <v>80</v>
      </c>
      <c r="D239" s="10" t="s">
        <v>707</v>
      </c>
      <c r="E239" s="12" t="s">
        <v>62</v>
      </c>
      <c r="F239" s="11">
        <v>72583.0</v>
      </c>
      <c r="G239" s="11">
        <v>1009.0</v>
      </c>
      <c r="H239" s="11">
        <v>539.0</v>
      </c>
      <c r="I239" s="11">
        <v>593.0</v>
      </c>
      <c r="J239" s="11">
        <v>87.0</v>
      </c>
      <c r="K239" s="11">
        <v>10.0</v>
      </c>
      <c r="L239" s="11">
        <v>8.0</v>
      </c>
      <c r="M239" s="13">
        <f t="shared" ref="M239:O239" si="241">IFERROR(G239/F239,"")</f>
        <v>0.01390132676</v>
      </c>
      <c r="N239" s="13">
        <f t="shared" si="241"/>
        <v>0.5341922696</v>
      </c>
      <c r="O239" s="14">
        <f t="shared" si="241"/>
        <v>1.100185529</v>
      </c>
      <c r="P239" s="13">
        <f t="shared" si="3"/>
        <v>0.1614100186</v>
      </c>
      <c r="Q239" s="13">
        <f t="shared" si="4"/>
        <v>0.0185528757</v>
      </c>
      <c r="R239" s="13">
        <f t="shared" si="5"/>
        <v>0.01484230056</v>
      </c>
      <c r="S239" s="14">
        <f t="shared" si="6"/>
        <v>0.1989591825</v>
      </c>
      <c r="T239" s="14">
        <f t="shared" si="7"/>
        <v>0.9963733263</v>
      </c>
      <c r="U239" s="14">
        <f t="shared" si="8"/>
        <v>1.978378764</v>
      </c>
    </row>
    <row r="240" ht="15.75" customHeight="1">
      <c r="A240" s="9">
        <v>45688.3826849306</v>
      </c>
      <c r="B240" s="10">
        <v>9.0</v>
      </c>
      <c r="C240" s="10" t="s">
        <v>60</v>
      </c>
      <c r="D240" s="10" t="s">
        <v>710</v>
      </c>
      <c r="E240" s="12" t="s">
        <v>62</v>
      </c>
      <c r="F240" s="11">
        <v>887543.0</v>
      </c>
      <c r="G240" s="11">
        <v>59824.0</v>
      </c>
      <c r="H240" s="11">
        <v>35996.0</v>
      </c>
      <c r="I240" s="11">
        <v>52606.0</v>
      </c>
      <c r="J240" s="11">
        <v>1440.0</v>
      </c>
      <c r="K240" s="11">
        <v>230.0</v>
      </c>
      <c r="L240" s="11">
        <v>319.0</v>
      </c>
      <c r="M240" s="13">
        <f t="shared" ref="M240:O240" si="242">IFERROR(G240/F240,"")</f>
        <v>0.06740405817</v>
      </c>
      <c r="N240" s="13">
        <f t="shared" si="242"/>
        <v>0.6016983151</v>
      </c>
      <c r="O240" s="14">
        <f t="shared" si="242"/>
        <v>1.46144016</v>
      </c>
      <c r="P240" s="13">
        <f t="shared" si="3"/>
        <v>0.04000444494</v>
      </c>
      <c r="Q240" s="13">
        <f t="shared" si="4"/>
        <v>0.006389598844</v>
      </c>
      <c r="R240" s="13">
        <f t="shared" si="5"/>
        <v>0.008862095788</v>
      </c>
      <c r="S240" s="14">
        <f t="shared" si="6"/>
        <v>0.9647033371</v>
      </c>
      <c r="T240" s="14">
        <f t="shared" si="7"/>
        <v>1.122285338</v>
      </c>
      <c r="U240" s="14">
        <f t="shared" si="8"/>
        <v>0.6827147461</v>
      </c>
    </row>
    <row r="241" ht="15.75" customHeight="1">
      <c r="A241" s="9">
        <v>45689.3673748958</v>
      </c>
      <c r="B241" s="10">
        <v>8.0</v>
      </c>
      <c r="C241" s="10" t="s">
        <v>69</v>
      </c>
      <c r="D241" s="10" t="s">
        <v>713</v>
      </c>
      <c r="E241" s="12" t="s">
        <v>62</v>
      </c>
      <c r="F241" s="11">
        <v>1597400.0</v>
      </c>
      <c r="G241" s="11">
        <v>179988.0</v>
      </c>
      <c r="H241" s="11">
        <v>73700.0</v>
      </c>
      <c r="I241" s="11">
        <v>83930.0</v>
      </c>
      <c r="J241" s="11">
        <v>1883.0</v>
      </c>
      <c r="K241" s="11">
        <v>788.0</v>
      </c>
      <c r="L241" s="11">
        <v>315.0</v>
      </c>
      <c r="M241" s="13">
        <f t="shared" ref="M241:O241" si="243">IFERROR(G241/F241,"")</f>
        <v>0.1126755978</v>
      </c>
      <c r="N241" s="13">
        <f t="shared" si="243"/>
        <v>0.4094717426</v>
      </c>
      <c r="O241" s="14">
        <f t="shared" si="243"/>
        <v>1.13880597</v>
      </c>
      <c r="P241" s="13">
        <f t="shared" si="3"/>
        <v>0.0255495251</v>
      </c>
      <c r="Q241" s="13">
        <f t="shared" si="4"/>
        <v>0.01069199457</v>
      </c>
      <c r="R241" s="13">
        <f t="shared" si="5"/>
        <v>0.004274084125</v>
      </c>
      <c r="S241" s="14">
        <f t="shared" si="6"/>
        <v>1.606961347</v>
      </c>
      <c r="T241" s="14">
        <f t="shared" si="7"/>
        <v>0.7651325315</v>
      </c>
      <c r="U241" s="14">
        <f t="shared" si="8"/>
        <v>1.141275414</v>
      </c>
    </row>
    <row r="242" ht="15.75" customHeight="1">
      <c r="A242" s="9">
        <v>45691.3881039699</v>
      </c>
      <c r="B242" s="10">
        <v>9.0</v>
      </c>
      <c r="C242" s="10" t="s">
        <v>71</v>
      </c>
      <c r="D242" s="10" t="s">
        <v>716</v>
      </c>
      <c r="E242" s="12" t="s">
        <v>62</v>
      </c>
      <c r="F242" s="11">
        <v>9503553.0</v>
      </c>
      <c r="G242" s="11">
        <v>439695.0</v>
      </c>
      <c r="H242" s="11">
        <v>233423.0</v>
      </c>
      <c r="I242" s="11">
        <v>283249.0</v>
      </c>
      <c r="J242" s="11">
        <v>7148.0</v>
      </c>
      <c r="K242" s="11">
        <v>1318.0</v>
      </c>
      <c r="L242" s="11">
        <v>1610.0</v>
      </c>
      <c r="M242" s="13">
        <f t="shared" ref="M242:O242" si="244">IFERROR(G242/F242,"")</f>
        <v>0.04626638058</v>
      </c>
      <c r="N242" s="13">
        <f t="shared" si="244"/>
        <v>0.5308748109</v>
      </c>
      <c r="O242" s="14">
        <f t="shared" si="244"/>
        <v>1.213457971</v>
      </c>
      <c r="P242" s="13">
        <f t="shared" si="3"/>
        <v>0.03062251792</v>
      </c>
      <c r="Q242" s="13">
        <f t="shared" si="4"/>
        <v>0.005646401597</v>
      </c>
      <c r="R242" s="13">
        <f t="shared" si="5"/>
        <v>0.006897349447</v>
      </c>
      <c r="S242" s="14">
        <f t="shared" si="6"/>
        <v>0.6662488993</v>
      </c>
      <c r="T242" s="14">
        <f t="shared" si="7"/>
        <v>0.994683759</v>
      </c>
      <c r="U242" s="14">
        <f t="shared" si="8"/>
        <v>0.5827696018</v>
      </c>
    </row>
    <row r="243" ht="15.75" customHeight="1">
      <c r="A243" s="9">
        <v>45693.4654777315</v>
      </c>
      <c r="B243" s="10">
        <v>11.0</v>
      </c>
      <c r="C243" s="10" t="s">
        <v>80</v>
      </c>
      <c r="D243" s="10" t="s">
        <v>719</v>
      </c>
      <c r="E243" s="12" t="s">
        <v>62</v>
      </c>
      <c r="F243" s="11">
        <v>537611.0</v>
      </c>
      <c r="G243" s="11">
        <v>24570.0</v>
      </c>
      <c r="H243" s="11">
        <v>10518.0</v>
      </c>
      <c r="I243" s="11">
        <v>11357.0</v>
      </c>
      <c r="J243" s="11">
        <v>642.0</v>
      </c>
      <c r="K243" s="11">
        <v>209.0</v>
      </c>
      <c r="L243" s="11">
        <v>54.0</v>
      </c>
      <c r="M243" s="13">
        <f t="shared" ref="M243:O243" si="245">IFERROR(G243/F243,"")</f>
        <v>0.04570218987</v>
      </c>
      <c r="N243" s="13">
        <f t="shared" si="245"/>
        <v>0.4280830281</v>
      </c>
      <c r="O243" s="14">
        <f t="shared" si="245"/>
        <v>1.079768017</v>
      </c>
      <c r="P243" s="13">
        <f t="shared" si="3"/>
        <v>0.06103822019</v>
      </c>
      <c r="Q243" s="13">
        <f t="shared" si="4"/>
        <v>0.01987069785</v>
      </c>
      <c r="R243" s="13">
        <f t="shared" si="5"/>
        <v>0.005134055904</v>
      </c>
      <c r="S243" s="14">
        <f t="shared" si="6"/>
        <v>0.6581243944</v>
      </c>
      <c r="T243" s="14">
        <f t="shared" si="7"/>
        <v>0.8020859659</v>
      </c>
      <c r="U243" s="14">
        <f t="shared" si="8"/>
        <v>1.985544143</v>
      </c>
    </row>
    <row r="244" ht="15.75" customHeight="1">
      <c r="A244" s="9">
        <v>45695.596815544</v>
      </c>
      <c r="B244" s="10">
        <v>14.0</v>
      </c>
      <c r="C244" s="10" t="s">
        <v>60</v>
      </c>
      <c r="D244" s="10" t="s">
        <v>721</v>
      </c>
      <c r="E244" s="12" t="s">
        <v>62</v>
      </c>
      <c r="F244" s="11">
        <v>1.954502E7</v>
      </c>
      <c r="G244" s="11">
        <v>916542.0</v>
      </c>
      <c r="H244" s="11">
        <v>557859.0</v>
      </c>
      <c r="I244" s="11">
        <v>831204.0</v>
      </c>
      <c r="J244" s="11">
        <v>12071.0</v>
      </c>
      <c r="K244" s="11">
        <v>4562.0</v>
      </c>
      <c r="L244" s="11">
        <v>2474.0</v>
      </c>
      <c r="M244" s="13">
        <f t="shared" ref="M244:O244" si="246">IFERROR(G244/F244,"")</f>
        <v>0.04689388908</v>
      </c>
      <c r="N244" s="13">
        <f t="shared" si="246"/>
        <v>0.6086562318</v>
      </c>
      <c r="O244" s="14">
        <f t="shared" si="246"/>
        <v>1.489989406</v>
      </c>
      <c r="P244" s="13">
        <f t="shared" si="3"/>
        <v>0.02163808418</v>
      </c>
      <c r="Q244" s="13">
        <f t="shared" si="4"/>
        <v>0.008177693647</v>
      </c>
      <c r="R244" s="13">
        <f t="shared" si="5"/>
        <v>0.004434812381</v>
      </c>
      <c r="S244" s="14">
        <f t="shared" si="6"/>
        <v>0.6687931424</v>
      </c>
      <c r="T244" s="14">
        <f t="shared" si="7"/>
        <v>1.140420408</v>
      </c>
      <c r="U244" s="14">
        <f t="shared" si="8"/>
        <v>0.8171414938</v>
      </c>
    </row>
    <row r="245" ht="15.75" customHeight="1">
      <c r="A245" s="9">
        <v>45696.4797741088</v>
      </c>
      <c r="B245" s="10">
        <v>11.0</v>
      </c>
      <c r="C245" s="10" t="s">
        <v>69</v>
      </c>
      <c r="D245" s="10" t="s">
        <v>724</v>
      </c>
      <c r="E245" s="12" t="s">
        <v>62</v>
      </c>
      <c r="F245" s="11">
        <v>446873.0</v>
      </c>
      <c r="G245" s="11">
        <v>32358.0</v>
      </c>
      <c r="H245" s="11">
        <v>11594.0</v>
      </c>
      <c r="I245" s="11">
        <v>15190.0</v>
      </c>
      <c r="J245" s="11">
        <v>690.0</v>
      </c>
      <c r="K245" s="11">
        <v>55.0</v>
      </c>
      <c r="L245" s="11">
        <v>81.0</v>
      </c>
      <c r="M245" s="13">
        <f t="shared" ref="M245:O245" si="247">IFERROR(G245/F245,"")</f>
        <v>0.07240983456</v>
      </c>
      <c r="N245" s="13">
        <f t="shared" si="247"/>
        <v>0.3583039743</v>
      </c>
      <c r="O245" s="14">
        <f t="shared" si="247"/>
        <v>1.310160428</v>
      </c>
      <c r="P245" s="13">
        <f t="shared" si="3"/>
        <v>0.05951354149</v>
      </c>
      <c r="Q245" s="13">
        <f t="shared" si="4"/>
        <v>0.004743833017</v>
      </c>
      <c r="R245" s="13">
        <f t="shared" si="5"/>
        <v>0.006986372262</v>
      </c>
      <c r="S245" s="14">
        <f t="shared" si="6"/>
        <v>1.029073334</v>
      </c>
      <c r="T245" s="14">
        <f t="shared" si="7"/>
        <v>0.6707397218</v>
      </c>
      <c r="U245" s="14">
        <f t="shared" si="8"/>
        <v>0.4743833017</v>
      </c>
    </row>
    <row r="246" ht="15.75" customHeight="1">
      <c r="A246" s="9">
        <v>45698.4779978357</v>
      </c>
      <c r="B246" s="10">
        <v>11.0</v>
      </c>
      <c r="C246" s="10" t="s">
        <v>71</v>
      </c>
      <c r="D246" s="10" t="s">
        <v>726</v>
      </c>
      <c r="E246" s="12" t="s">
        <v>62</v>
      </c>
      <c r="F246" s="11">
        <v>1129279.0</v>
      </c>
      <c r="G246" s="11">
        <v>78903.0</v>
      </c>
      <c r="H246" s="11">
        <v>39834.0</v>
      </c>
      <c r="I246" s="11">
        <v>63158.0</v>
      </c>
      <c r="J246" s="11">
        <v>995.0</v>
      </c>
      <c r="K246" s="11">
        <v>422.0</v>
      </c>
      <c r="L246" s="11">
        <v>192.0</v>
      </c>
      <c r="M246" s="13">
        <f t="shared" ref="M246:O246" si="248">IFERROR(G246/F246,"")</f>
        <v>0.06987024464</v>
      </c>
      <c r="N246" s="13">
        <f t="shared" si="248"/>
        <v>0.5048477244</v>
      </c>
      <c r="O246" s="14">
        <f t="shared" si="248"/>
        <v>1.585529949</v>
      </c>
      <c r="P246" s="13">
        <f t="shared" si="3"/>
        <v>0.02497866144</v>
      </c>
      <c r="Q246" s="13">
        <f t="shared" si="4"/>
        <v>0.01059396495</v>
      </c>
      <c r="R246" s="13">
        <f t="shared" si="5"/>
        <v>0.004820003013</v>
      </c>
      <c r="S246" s="14">
        <f t="shared" si="6"/>
        <v>0.9649275553</v>
      </c>
      <c r="T246" s="14">
        <f t="shared" si="7"/>
        <v>0.945067447</v>
      </c>
      <c r="U246" s="14">
        <f t="shared" si="8"/>
        <v>1.057770966</v>
      </c>
    </row>
    <row r="247" ht="15.75" customHeight="1">
      <c r="A247" s="9">
        <v>45700.5047806019</v>
      </c>
      <c r="B247" s="10">
        <v>12.0</v>
      </c>
      <c r="C247" s="10" t="s">
        <v>80</v>
      </c>
      <c r="D247" s="10" t="s">
        <v>730</v>
      </c>
      <c r="E247" s="12" t="s">
        <v>62</v>
      </c>
      <c r="F247" s="11">
        <v>1144009.0</v>
      </c>
      <c r="G247" s="11">
        <v>71987.0</v>
      </c>
      <c r="H247" s="11">
        <v>30632.0</v>
      </c>
      <c r="I247" s="11">
        <v>22495.0</v>
      </c>
      <c r="J247" s="11">
        <v>1774.0</v>
      </c>
      <c r="K247" s="11">
        <v>84.0</v>
      </c>
      <c r="L247" s="11">
        <v>149.0</v>
      </c>
      <c r="M247" s="13">
        <f t="shared" ref="M247:O247" si="249">IFERROR(G247/F247,"")</f>
        <v>0.06292520426</v>
      </c>
      <c r="N247" s="13">
        <f t="shared" si="249"/>
        <v>0.4255212747</v>
      </c>
      <c r="O247" s="14">
        <f t="shared" si="249"/>
        <v>0.7343627579</v>
      </c>
      <c r="P247" s="13">
        <f t="shared" si="3"/>
        <v>0.05791329329</v>
      </c>
      <c r="Q247" s="13">
        <f t="shared" si="4"/>
        <v>0.002742230347</v>
      </c>
      <c r="R247" s="13">
        <f t="shared" si="5"/>
        <v>0.004864194307</v>
      </c>
      <c r="S247" s="14">
        <f t="shared" si="6"/>
        <v>0.8690146116</v>
      </c>
      <c r="T247" s="14">
        <f t="shared" si="7"/>
        <v>0.7980039551</v>
      </c>
      <c r="U247" s="14">
        <f t="shared" si="8"/>
        <v>0.2742230347</v>
      </c>
    </row>
    <row r="248" ht="15.75" customHeight="1">
      <c r="A248" s="9">
        <v>45702.4375936458</v>
      </c>
      <c r="B248" s="10">
        <v>10.0</v>
      </c>
      <c r="C248" s="10" t="s">
        <v>60</v>
      </c>
      <c r="D248" s="10" t="s">
        <v>732</v>
      </c>
      <c r="E248" s="12" t="s">
        <v>62</v>
      </c>
      <c r="F248" s="11">
        <v>245966.0</v>
      </c>
      <c r="G248" s="11">
        <v>9317.0</v>
      </c>
      <c r="H248" s="11">
        <v>4161.0</v>
      </c>
      <c r="I248" s="11">
        <v>4332.0</v>
      </c>
      <c r="J248" s="11">
        <v>151.0</v>
      </c>
      <c r="K248" s="11">
        <v>223.0</v>
      </c>
      <c r="L248" s="11">
        <v>20.0</v>
      </c>
      <c r="M248" s="13">
        <f t="shared" ref="M248:O248" si="250">IFERROR(G248/F248,"")</f>
        <v>0.03787921908</v>
      </c>
      <c r="N248" s="13">
        <f t="shared" si="250"/>
        <v>0.4466029838</v>
      </c>
      <c r="O248" s="14">
        <f t="shared" si="250"/>
        <v>1.04109589</v>
      </c>
      <c r="P248" s="13">
        <f t="shared" si="3"/>
        <v>0.03628935352</v>
      </c>
      <c r="Q248" s="13">
        <f t="shared" si="4"/>
        <v>0.05359288633</v>
      </c>
      <c r="R248" s="13">
        <f t="shared" si="5"/>
        <v>0.00480653689</v>
      </c>
      <c r="S248" s="14">
        <f t="shared" si="6"/>
        <v>0.5231225746</v>
      </c>
      <c r="T248" s="14">
        <f t="shared" si="7"/>
        <v>0.836034157</v>
      </c>
      <c r="U248" s="14">
        <f t="shared" si="8"/>
        <v>5.458818279</v>
      </c>
    </row>
    <row r="249" ht="15.75" customHeight="1">
      <c r="A249" s="9">
        <v>45703.5472759838</v>
      </c>
      <c r="B249" s="10">
        <v>13.0</v>
      </c>
      <c r="C249" s="10" t="s">
        <v>69</v>
      </c>
      <c r="D249" s="10" t="s">
        <v>735</v>
      </c>
      <c r="E249" s="12" t="s">
        <v>62</v>
      </c>
      <c r="F249" s="11">
        <v>115620.0</v>
      </c>
      <c r="G249" s="11">
        <v>15561.0</v>
      </c>
      <c r="H249" s="11">
        <v>6608.0</v>
      </c>
      <c r="I249" s="11">
        <v>5227.0</v>
      </c>
      <c r="J249" s="11">
        <v>517.0</v>
      </c>
      <c r="K249" s="11">
        <v>184.0</v>
      </c>
      <c r="L249" s="11">
        <v>26.0</v>
      </c>
      <c r="M249" s="13">
        <f t="shared" ref="M249:O249" si="251">IFERROR(G249/F249,"")</f>
        <v>0.1345874416</v>
      </c>
      <c r="N249" s="13">
        <f t="shared" si="251"/>
        <v>0.424651372</v>
      </c>
      <c r="O249" s="14">
        <f t="shared" si="251"/>
        <v>0.7910108959</v>
      </c>
      <c r="P249" s="13">
        <f t="shared" si="3"/>
        <v>0.07823849879</v>
      </c>
      <c r="Q249" s="13">
        <f t="shared" si="4"/>
        <v>0.02784503632</v>
      </c>
      <c r="R249" s="13">
        <f t="shared" si="5"/>
        <v>0.003934624697</v>
      </c>
      <c r="S249" s="14">
        <f t="shared" si="6"/>
        <v>1.885322104</v>
      </c>
      <c r="T249" s="14">
        <f t="shared" si="7"/>
        <v>0.7956561778</v>
      </c>
      <c r="U249" s="14">
        <f t="shared" si="8"/>
        <v>2.810121854</v>
      </c>
    </row>
    <row r="250" ht="15.75" customHeight="1">
      <c r="A250" s="9">
        <v>45705.3844305093</v>
      </c>
      <c r="B250" s="10">
        <v>9.0</v>
      </c>
      <c r="C250" s="10" t="s">
        <v>71</v>
      </c>
      <c r="D250" s="10" t="s">
        <v>738</v>
      </c>
      <c r="E250" s="12" t="s">
        <v>62</v>
      </c>
      <c r="F250" s="11">
        <v>316950.0</v>
      </c>
      <c r="G250" s="11">
        <v>23019.0</v>
      </c>
      <c r="H250" s="11">
        <v>15664.0</v>
      </c>
      <c r="I250" s="11">
        <v>14667.0</v>
      </c>
      <c r="J250" s="11">
        <v>196.0</v>
      </c>
      <c r="K250" s="11">
        <v>122.0</v>
      </c>
      <c r="L250" s="11">
        <v>31.0</v>
      </c>
      <c r="M250" s="13">
        <f t="shared" ref="M250:O250" si="252">IFERROR(G250/F250,"")</f>
        <v>0.07262659726</v>
      </c>
      <c r="N250" s="13">
        <f t="shared" si="252"/>
        <v>0.6804813415</v>
      </c>
      <c r="O250" s="14">
        <f t="shared" si="252"/>
        <v>0.9363508682</v>
      </c>
      <c r="P250" s="13">
        <f t="shared" si="3"/>
        <v>0.01251276813</v>
      </c>
      <c r="Q250" s="13">
        <f t="shared" si="4"/>
        <v>0.007788559755</v>
      </c>
      <c r="R250" s="13">
        <f t="shared" si="5"/>
        <v>0.001979060266</v>
      </c>
      <c r="S250" s="14">
        <f t="shared" si="6"/>
        <v>1.017364826</v>
      </c>
      <c r="T250" s="14">
        <f t="shared" si="7"/>
        <v>1.27897183</v>
      </c>
      <c r="U250" s="14">
        <f t="shared" si="8"/>
        <v>0.7860216709</v>
      </c>
    </row>
    <row r="251" ht="15.75" customHeight="1">
      <c r="A251" s="9">
        <v>45707.4675837616</v>
      </c>
      <c r="B251" s="10">
        <v>11.0</v>
      </c>
      <c r="C251" s="10" t="s">
        <v>80</v>
      </c>
      <c r="D251" s="10" t="s">
        <v>741</v>
      </c>
      <c r="E251" s="12" t="s">
        <v>62</v>
      </c>
      <c r="F251" s="11">
        <v>1056027.0</v>
      </c>
      <c r="G251" s="11">
        <v>84105.0</v>
      </c>
      <c r="H251" s="11">
        <v>15993.0</v>
      </c>
      <c r="I251" s="11">
        <v>15676.0</v>
      </c>
      <c r="J251" s="11">
        <v>497.0</v>
      </c>
      <c r="K251" s="11">
        <v>76.0</v>
      </c>
      <c r="L251" s="11">
        <v>143.0</v>
      </c>
      <c r="M251" s="13">
        <f t="shared" ref="M251:O251" si="253">IFERROR(G251/F251,"")</f>
        <v>0.07964285004</v>
      </c>
      <c r="N251" s="13">
        <f t="shared" si="253"/>
        <v>0.1901551632</v>
      </c>
      <c r="O251" s="14">
        <f t="shared" si="253"/>
        <v>0.9801788282</v>
      </c>
      <c r="P251" s="13">
        <f t="shared" si="3"/>
        <v>0.03107609579</v>
      </c>
      <c r="Q251" s="13">
        <f t="shared" si="4"/>
        <v>0.004752079035</v>
      </c>
      <c r="R251" s="13">
        <f t="shared" si="5"/>
        <v>0.008941411868</v>
      </c>
      <c r="S251" s="14">
        <f t="shared" si="6"/>
        <v>1.115649601</v>
      </c>
      <c r="T251" s="14">
        <f t="shared" si="7"/>
        <v>0.3587545346</v>
      </c>
      <c r="U251" s="14">
        <f t="shared" si="8"/>
        <v>0.4795799507</v>
      </c>
    </row>
    <row r="252" ht="15.75" customHeight="1">
      <c r="A252" s="9">
        <v>45709.4153989583</v>
      </c>
      <c r="B252" s="10">
        <v>9.0</v>
      </c>
      <c r="C252" s="10" t="s">
        <v>60</v>
      </c>
      <c r="D252" s="10" t="s">
        <v>744</v>
      </c>
      <c r="E252" s="12" t="s">
        <v>62</v>
      </c>
      <c r="F252" s="11">
        <v>4484765.0</v>
      </c>
      <c r="G252" s="11">
        <v>299848.0</v>
      </c>
      <c r="H252" s="11">
        <v>142118.0</v>
      </c>
      <c r="I252" s="11">
        <v>169525.0</v>
      </c>
      <c r="J252" s="11">
        <v>4048.0</v>
      </c>
      <c r="K252" s="11">
        <v>1434.0</v>
      </c>
      <c r="L252" s="11">
        <v>654.0</v>
      </c>
      <c r="M252" s="13">
        <f t="shared" ref="M252:O252" si="254">IFERROR(G252/F252,"")</f>
        <v>0.06685924458</v>
      </c>
      <c r="N252" s="13">
        <f t="shared" si="254"/>
        <v>0.4739668099</v>
      </c>
      <c r="O252" s="14">
        <f t="shared" si="254"/>
        <v>1.192846789</v>
      </c>
      <c r="P252" s="13">
        <f t="shared" si="3"/>
        <v>0.02848337297</v>
      </c>
      <c r="Q252" s="13">
        <f t="shared" si="4"/>
        <v>0.01009020673</v>
      </c>
      <c r="R252" s="13">
        <f t="shared" si="5"/>
        <v>0.004601809764</v>
      </c>
      <c r="S252" s="14">
        <f t="shared" si="6"/>
        <v>0.9365748402</v>
      </c>
      <c r="T252" s="14">
        <f t="shared" si="7"/>
        <v>0.8942052343</v>
      </c>
      <c r="U252" s="14">
        <f t="shared" si="8"/>
        <v>1.018303949</v>
      </c>
    </row>
    <row r="253" ht="15.75" customHeight="1">
      <c r="A253" s="9">
        <v>45710.5076061806</v>
      </c>
      <c r="B253" s="10">
        <v>12.0</v>
      </c>
      <c r="C253" s="10" t="s">
        <v>69</v>
      </c>
      <c r="D253" s="10" t="s">
        <v>747</v>
      </c>
      <c r="E253" s="12" t="s">
        <v>62</v>
      </c>
      <c r="F253" s="11">
        <v>15243.0</v>
      </c>
      <c r="G253" s="11">
        <v>2522.0</v>
      </c>
      <c r="H253" s="11">
        <v>1539.0</v>
      </c>
      <c r="I253" s="11">
        <v>0.0</v>
      </c>
      <c r="J253" s="11">
        <v>283.0</v>
      </c>
      <c r="K253" s="11">
        <v>37.0</v>
      </c>
      <c r="L253" s="11">
        <v>7.0</v>
      </c>
      <c r="M253" s="13">
        <f t="shared" ref="M253:O253" si="255">IFERROR(G253/F253,"")</f>
        <v>0.1654529948</v>
      </c>
      <c r="N253" s="13">
        <f t="shared" si="255"/>
        <v>0.6102299762</v>
      </c>
      <c r="O253" s="14">
        <f t="shared" si="255"/>
        <v>0</v>
      </c>
      <c r="P253" s="13">
        <f t="shared" si="3"/>
        <v>0.18388564</v>
      </c>
      <c r="Q253" s="13">
        <f t="shared" si="4"/>
        <v>0.02404158545</v>
      </c>
      <c r="R253" s="13">
        <f t="shared" si="5"/>
        <v>0.004548408057</v>
      </c>
      <c r="S253" s="14">
        <f t="shared" si="6"/>
        <v>2.351383151</v>
      </c>
      <c r="T253" s="14">
        <f t="shared" si="7"/>
        <v>1.149479997</v>
      </c>
      <c r="U253" s="14">
        <f t="shared" si="8"/>
        <v>2.448807203</v>
      </c>
    </row>
    <row r="254" ht="15.75" customHeight="1">
      <c r="A254" s="9">
        <v>45712.3344646875</v>
      </c>
      <c r="B254" s="10">
        <v>8.0</v>
      </c>
      <c r="C254" s="10" t="s">
        <v>71</v>
      </c>
      <c r="D254" s="10" t="s">
        <v>750</v>
      </c>
      <c r="E254" s="12" t="s">
        <v>62</v>
      </c>
      <c r="F254" s="11">
        <v>3116365.0</v>
      </c>
      <c r="G254" s="11">
        <v>230079.0</v>
      </c>
      <c r="H254" s="11">
        <v>116210.0</v>
      </c>
      <c r="I254" s="11">
        <v>103168.0</v>
      </c>
      <c r="J254" s="11">
        <v>4454.0</v>
      </c>
      <c r="K254" s="11">
        <v>649.0</v>
      </c>
      <c r="L254" s="11">
        <v>322.0</v>
      </c>
      <c r="M254" s="13">
        <f t="shared" ref="M254:O254" si="256">IFERROR(G254/F254,"")</f>
        <v>0.07382928508</v>
      </c>
      <c r="N254" s="13">
        <f t="shared" si="256"/>
        <v>0.505087383</v>
      </c>
      <c r="O254" s="14">
        <f t="shared" si="256"/>
        <v>0.8877721366</v>
      </c>
      <c r="P254" s="13">
        <f t="shared" si="3"/>
        <v>0.03832716634</v>
      </c>
      <c r="Q254" s="13">
        <f t="shared" si="4"/>
        <v>0.005584717322</v>
      </c>
      <c r="R254" s="13">
        <f t="shared" si="5"/>
        <v>0.002770845882</v>
      </c>
      <c r="S254" s="14">
        <f t="shared" si="6"/>
        <v>1.049440635</v>
      </c>
      <c r="T254" s="14">
        <f t="shared" si="7"/>
        <v>0.9544172152</v>
      </c>
      <c r="U254" s="14">
        <f t="shared" si="8"/>
        <v>0.5688433501</v>
      </c>
    </row>
    <row r="255" ht="15.75" customHeight="1">
      <c r="A255" s="9">
        <v>45714.2922194907</v>
      </c>
      <c r="B255" s="10">
        <v>7.0</v>
      </c>
      <c r="C255" s="10" t="s">
        <v>80</v>
      </c>
      <c r="D255" s="10" t="s">
        <v>753</v>
      </c>
      <c r="E255" s="12" t="s">
        <v>62</v>
      </c>
      <c r="F255" s="11">
        <v>1721327.0</v>
      </c>
      <c r="G255" s="11">
        <v>61431.0</v>
      </c>
      <c r="H255" s="11">
        <v>36503.0</v>
      </c>
      <c r="I255" s="11">
        <v>52837.0</v>
      </c>
      <c r="J255" s="11">
        <v>517.0</v>
      </c>
      <c r="K255" s="11">
        <v>340.0</v>
      </c>
      <c r="L255" s="11">
        <v>101.0</v>
      </c>
      <c r="M255" s="13">
        <f t="shared" ref="M255:O255" si="257">IFERROR(G255/F255,"")</f>
        <v>0.03568816384</v>
      </c>
      <c r="N255" s="13">
        <f t="shared" si="257"/>
        <v>0.5942113916</v>
      </c>
      <c r="O255" s="14">
        <f t="shared" si="257"/>
        <v>1.447470071</v>
      </c>
      <c r="P255" s="13">
        <f t="shared" si="3"/>
        <v>0.01416321946</v>
      </c>
      <c r="Q255" s="13">
        <f t="shared" si="4"/>
        <v>0.009314302934</v>
      </c>
      <c r="R255" s="13">
        <f t="shared" si="5"/>
        <v>0.002766895872</v>
      </c>
      <c r="S255" s="14">
        <f t="shared" si="6"/>
        <v>0.5071926756</v>
      </c>
      <c r="T255" s="14">
        <f t="shared" si="7"/>
        <v>1.124384701</v>
      </c>
      <c r="U255" s="14">
        <f t="shared" si="8"/>
        <v>0.9487282846</v>
      </c>
    </row>
    <row r="256" ht="15.75" customHeight="1">
      <c r="A256" s="9">
        <v>45716.3076656134</v>
      </c>
      <c r="B256" s="10">
        <v>7.0</v>
      </c>
      <c r="C256" s="10" t="s">
        <v>60</v>
      </c>
      <c r="D256" s="10" t="s">
        <v>756</v>
      </c>
      <c r="E256" s="12" t="s">
        <v>62</v>
      </c>
      <c r="F256" s="11">
        <v>729086.0</v>
      </c>
      <c r="G256" s="11">
        <v>129579.0</v>
      </c>
      <c r="H256" s="11">
        <v>54799.0</v>
      </c>
      <c r="I256" s="11">
        <v>35801.0</v>
      </c>
      <c r="J256" s="11">
        <v>1754.0</v>
      </c>
      <c r="K256" s="11">
        <v>322.0</v>
      </c>
      <c r="L256" s="11">
        <v>99.0</v>
      </c>
      <c r="M256" s="13">
        <f t="shared" ref="M256:O256" si="258">IFERROR(G256/F256,"")</f>
        <v>0.1777280047</v>
      </c>
      <c r="N256" s="13">
        <f t="shared" si="258"/>
        <v>0.4229003156</v>
      </c>
      <c r="O256" s="14">
        <f t="shared" si="258"/>
        <v>0.6533148415</v>
      </c>
      <c r="P256" s="13">
        <f t="shared" si="3"/>
        <v>0.03200788336</v>
      </c>
      <c r="Q256" s="13">
        <f t="shared" si="4"/>
        <v>0.005876019635</v>
      </c>
      <c r="R256" s="13">
        <f t="shared" si="5"/>
        <v>0.00180660231</v>
      </c>
      <c r="S256" s="14">
        <f t="shared" si="6"/>
        <v>2.525833008</v>
      </c>
      <c r="T256" s="14">
        <f t="shared" si="7"/>
        <v>0.8002247209</v>
      </c>
      <c r="U256" s="14">
        <f t="shared" si="8"/>
        <v>0.5985145714</v>
      </c>
    </row>
    <row r="257" ht="15.75" customHeight="1">
      <c r="A257" s="9">
        <v>45717.3613328819</v>
      </c>
      <c r="B257" s="10">
        <v>8.0</v>
      </c>
      <c r="C257" s="10" t="s">
        <v>69</v>
      </c>
      <c r="D257" s="10" t="s">
        <v>758</v>
      </c>
      <c r="E257" s="12" t="s">
        <v>62</v>
      </c>
      <c r="F257" s="11">
        <v>653173.0</v>
      </c>
      <c r="G257" s="11">
        <v>81928.0</v>
      </c>
      <c r="H257" s="11">
        <v>52611.0</v>
      </c>
      <c r="I257" s="11">
        <v>31154.0</v>
      </c>
      <c r="J257" s="11">
        <v>1615.0</v>
      </c>
      <c r="K257" s="11">
        <v>406.0</v>
      </c>
      <c r="L257" s="11">
        <v>84.0</v>
      </c>
      <c r="M257" s="13">
        <f t="shared" ref="M257:O257" si="259">IFERROR(G257/F257,"")</f>
        <v>0.1254307817</v>
      </c>
      <c r="N257" s="13">
        <f t="shared" si="259"/>
        <v>0.64216141</v>
      </c>
      <c r="O257" s="14">
        <f t="shared" si="259"/>
        <v>0.5921575336</v>
      </c>
      <c r="P257" s="13">
        <f t="shared" si="3"/>
        <v>0.03069700253</v>
      </c>
      <c r="Q257" s="13">
        <f t="shared" si="4"/>
        <v>0.007717017354</v>
      </c>
      <c r="R257" s="13">
        <f t="shared" si="5"/>
        <v>0.00159662428</v>
      </c>
      <c r="S257" s="14">
        <f t="shared" si="6"/>
        <v>1.782760974</v>
      </c>
      <c r="T257" s="14">
        <f t="shared" si="7"/>
        <v>1.220016916</v>
      </c>
      <c r="U257" s="14">
        <f t="shared" si="8"/>
        <v>0.7788016098</v>
      </c>
    </row>
    <row r="258" ht="15.75" customHeight="1">
      <c r="A258" s="9">
        <v>45719.2873557176</v>
      </c>
      <c r="B258" s="10">
        <v>6.0</v>
      </c>
      <c r="C258" s="10" t="s">
        <v>71</v>
      </c>
      <c r="D258" s="10" t="s">
        <v>761</v>
      </c>
      <c r="E258" s="12" t="s">
        <v>62</v>
      </c>
      <c r="F258" s="11">
        <v>646054.0</v>
      </c>
      <c r="G258" s="11">
        <v>28892.0</v>
      </c>
      <c r="H258" s="11">
        <v>15973.0</v>
      </c>
      <c r="I258" s="11">
        <v>15720.0</v>
      </c>
      <c r="J258" s="11">
        <v>595.0</v>
      </c>
      <c r="K258" s="11">
        <v>277.0</v>
      </c>
      <c r="L258" s="11">
        <v>84.0</v>
      </c>
      <c r="M258" s="13">
        <f t="shared" ref="M258:O258" si="260">IFERROR(G258/F258,"")</f>
        <v>0.04472071994</v>
      </c>
      <c r="N258" s="13">
        <f t="shared" si="260"/>
        <v>0.5528520006</v>
      </c>
      <c r="O258" s="14">
        <f t="shared" si="260"/>
        <v>0.9841607713</v>
      </c>
      <c r="P258" s="13">
        <f t="shared" si="3"/>
        <v>0.03725035998</v>
      </c>
      <c r="Q258" s="13">
        <f t="shared" si="4"/>
        <v>0.01734176423</v>
      </c>
      <c r="R258" s="13">
        <f t="shared" si="5"/>
        <v>0.00525887435</v>
      </c>
      <c r="S258" s="14">
        <f t="shared" si="6"/>
        <v>0.6356203248</v>
      </c>
      <c r="T258" s="14">
        <f t="shared" si="7"/>
        <v>1.045397917</v>
      </c>
      <c r="U258" s="14">
        <f t="shared" si="8"/>
        <v>1.732844948</v>
      </c>
    </row>
    <row r="259" ht="15.75" customHeight="1">
      <c r="A259" s="9">
        <v>45721.2466629051</v>
      </c>
      <c r="B259" s="10">
        <v>5.0</v>
      </c>
      <c r="C259" s="10" t="s">
        <v>80</v>
      </c>
      <c r="D259" s="10" t="s">
        <v>764</v>
      </c>
      <c r="E259" s="12" t="s">
        <v>62</v>
      </c>
      <c r="F259" s="11">
        <v>524257.0</v>
      </c>
      <c r="G259" s="11">
        <v>29782.0</v>
      </c>
      <c r="H259" s="11">
        <v>19501.0</v>
      </c>
      <c r="I259" s="11">
        <v>20046.0</v>
      </c>
      <c r="J259" s="11">
        <v>291.0</v>
      </c>
      <c r="K259" s="11">
        <v>203.0</v>
      </c>
      <c r="L259" s="11">
        <v>38.0</v>
      </c>
      <c r="M259" s="13">
        <f t="shared" ref="M259:O259" si="261">IFERROR(G259/F259,"")</f>
        <v>0.05680801592</v>
      </c>
      <c r="N259" s="13">
        <f t="shared" si="261"/>
        <v>0.6547914848</v>
      </c>
      <c r="O259" s="14">
        <f t="shared" si="261"/>
        <v>1.027947285</v>
      </c>
      <c r="P259" s="13">
        <f t="shared" si="3"/>
        <v>0.01492231168</v>
      </c>
      <c r="Q259" s="13">
        <f t="shared" si="4"/>
        <v>0.01040972258</v>
      </c>
      <c r="R259" s="13">
        <f t="shared" si="5"/>
        <v>0.00194861802</v>
      </c>
      <c r="S259" s="14">
        <f t="shared" si="6"/>
        <v>0.8102621324</v>
      </c>
      <c r="T259" s="14">
        <f t="shared" si="7"/>
        <v>1.238157144</v>
      </c>
      <c r="U259" s="14">
        <f t="shared" si="8"/>
        <v>1.03550612</v>
      </c>
    </row>
    <row r="260" ht="15.75" customHeight="1">
      <c r="A260" s="9">
        <v>45723.2543588542</v>
      </c>
      <c r="B260" s="10">
        <v>6.0</v>
      </c>
      <c r="C260" s="10" t="s">
        <v>60</v>
      </c>
      <c r="D260" s="10" t="s">
        <v>767</v>
      </c>
      <c r="E260" s="12" t="s">
        <v>62</v>
      </c>
      <c r="F260" s="11">
        <v>1238790.0</v>
      </c>
      <c r="G260" s="11">
        <v>77141.0</v>
      </c>
      <c r="H260" s="11">
        <v>43355.0</v>
      </c>
      <c r="I260" s="11">
        <v>46298.0</v>
      </c>
      <c r="J260" s="11">
        <v>652.0</v>
      </c>
      <c r="K260" s="11">
        <v>1256.0</v>
      </c>
      <c r="L260" s="11">
        <v>102.0</v>
      </c>
      <c r="M260" s="13">
        <f t="shared" ref="M260:O260" si="262">IFERROR(G260/F260,"")</f>
        <v>0.06227124856</v>
      </c>
      <c r="N260" s="13">
        <f t="shared" si="262"/>
        <v>0.5620227894</v>
      </c>
      <c r="O260" s="14">
        <f t="shared" si="262"/>
        <v>1.067881444</v>
      </c>
      <c r="P260" s="13">
        <f t="shared" si="3"/>
        <v>0.01503863453</v>
      </c>
      <c r="Q260" s="13">
        <f t="shared" si="4"/>
        <v>0.02897013032</v>
      </c>
      <c r="R260" s="13">
        <f t="shared" si="5"/>
        <v>0.002352669819</v>
      </c>
      <c r="S260" s="14">
        <f t="shared" si="6"/>
        <v>0.8850678452</v>
      </c>
      <c r="T260" s="14">
        <f t="shared" si="7"/>
        <v>1.067764739</v>
      </c>
      <c r="U260" s="14">
        <f t="shared" si="8"/>
        <v>2.826363924</v>
      </c>
    </row>
    <row r="261" ht="15.75" customHeight="1">
      <c r="A261" s="9">
        <v>45724.320009456</v>
      </c>
      <c r="B261" s="10">
        <v>7.0</v>
      </c>
      <c r="C261" s="10" t="s">
        <v>69</v>
      </c>
      <c r="D261" s="10" t="s">
        <v>770</v>
      </c>
      <c r="E261" s="12" t="s">
        <v>62</v>
      </c>
      <c r="F261" s="11">
        <v>2914837.0</v>
      </c>
      <c r="G261" s="11">
        <v>564686.0</v>
      </c>
      <c r="H261" s="11">
        <v>188756.0</v>
      </c>
      <c r="I261" s="11">
        <v>133728.0</v>
      </c>
      <c r="J261" s="11">
        <v>2644.0</v>
      </c>
      <c r="K261" s="11">
        <v>1129.0</v>
      </c>
      <c r="L261" s="11">
        <v>501.0</v>
      </c>
      <c r="M261" s="13">
        <f t="shared" ref="M261:O261" si="263">IFERROR(G261/F261,"")</f>
        <v>0.193728157</v>
      </c>
      <c r="N261" s="13">
        <f t="shared" si="263"/>
        <v>0.3342671857</v>
      </c>
      <c r="O261" s="14">
        <f t="shared" si="263"/>
        <v>0.7084701943</v>
      </c>
      <c r="P261" s="13">
        <f t="shared" si="3"/>
        <v>0.01400750175</v>
      </c>
      <c r="Q261" s="13">
        <f t="shared" si="4"/>
        <v>0.005981266821</v>
      </c>
      <c r="R261" s="13">
        <f t="shared" si="5"/>
        <v>0.002654220263</v>
      </c>
      <c r="S261" s="14">
        <f t="shared" si="6"/>
        <v>2.753223807</v>
      </c>
      <c r="T261" s="14">
        <f t="shared" si="7"/>
        <v>0.6376320664</v>
      </c>
      <c r="U261" s="14">
        <f t="shared" si="8"/>
        <v>0.5745846516</v>
      </c>
    </row>
    <row r="262" ht="15.75" customHeight="1">
      <c r="A262" s="9">
        <v>45726.2652874653</v>
      </c>
      <c r="B262" s="10">
        <v>6.0</v>
      </c>
      <c r="C262" s="10" t="s">
        <v>71</v>
      </c>
      <c r="D262" s="10" t="s">
        <v>773</v>
      </c>
      <c r="E262" s="12" t="s">
        <v>62</v>
      </c>
      <c r="F262" s="11">
        <v>36199.0</v>
      </c>
      <c r="G262" s="11">
        <v>2754.0</v>
      </c>
      <c r="H262" s="11">
        <v>1402.0</v>
      </c>
      <c r="I262" s="11">
        <v>951.0</v>
      </c>
      <c r="J262" s="11">
        <v>166.0</v>
      </c>
      <c r="K262" s="11">
        <v>29.0</v>
      </c>
      <c r="L262" s="11">
        <v>2.0</v>
      </c>
      <c r="M262" s="13">
        <f t="shared" ref="M262:O262" si="264">IFERROR(G262/F262,"")</f>
        <v>0.07607944971</v>
      </c>
      <c r="N262" s="13">
        <f t="shared" si="264"/>
        <v>0.5090777052</v>
      </c>
      <c r="O262" s="14">
        <f t="shared" si="264"/>
        <v>0.6783166904</v>
      </c>
      <c r="P262" s="13">
        <f t="shared" si="3"/>
        <v>0.1184022825</v>
      </c>
      <c r="Q262" s="13">
        <f t="shared" si="4"/>
        <v>0.02068473609</v>
      </c>
      <c r="R262" s="13">
        <f t="shared" si="5"/>
        <v>0.001426533524</v>
      </c>
      <c r="S262" s="14">
        <f t="shared" si="6"/>
        <v>1.081425425</v>
      </c>
      <c r="T262" s="14">
        <f t="shared" si="7"/>
        <v>0.9761596734</v>
      </c>
      <c r="U262" s="14">
        <f t="shared" si="8"/>
        <v>1.967988744</v>
      </c>
    </row>
    <row r="263" ht="15.75" customHeight="1">
      <c r="A263" s="9">
        <v>45728.2498283912</v>
      </c>
      <c r="B263" s="10">
        <v>5.0</v>
      </c>
      <c r="C263" s="10" t="s">
        <v>80</v>
      </c>
      <c r="D263" s="10" t="s">
        <v>776</v>
      </c>
      <c r="E263" s="12" t="s">
        <v>62</v>
      </c>
      <c r="F263" s="11">
        <v>1058218.0</v>
      </c>
      <c r="G263" s="11">
        <v>102231.0</v>
      </c>
      <c r="H263" s="11">
        <v>54983.0</v>
      </c>
      <c r="I263" s="11">
        <v>89957.0</v>
      </c>
      <c r="J263" s="11">
        <v>1431.0</v>
      </c>
      <c r="K263" s="11">
        <v>928.0</v>
      </c>
      <c r="L263" s="11">
        <v>284.0</v>
      </c>
      <c r="M263" s="13">
        <f t="shared" ref="M263:O263" si="265">IFERROR(G263/F263,"")</f>
        <v>0.09660674833</v>
      </c>
      <c r="N263" s="13">
        <f t="shared" si="265"/>
        <v>0.5378309906</v>
      </c>
      <c r="O263" s="14">
        <f t="shared" si="265"/>
        <v>1.636087518</v>
      </c>
      <c r="P263" s="13">
        <f t="shared" si="3"/>
        <v>0.02602622629</v>
      </c>
      <c r="Q263" s="13">
        <f t="shared" si="4"/>
        <v>0.01687794409</v>
      </c>
      <c r="R263" s="13">
        <f t="shared" si="5"/>
        <v>0.00516523289</v>
      </c>
      <c r="S263" s="14">
        <f t="shared" si="6"/>
        <v>1.373209116</v>
      </c>
      <c r="T263" s="14">
        <f t="shared" si="7"/>
        <v>1.037345006</v>
      </c>
      <c r="U263" s="14">
        <f t="shared" si="8"/>
        <v>1.593165936</v>
      </c>
    </row>
    <row r="264" ht="15.75" customHeight="1">
      <c r="A264" s="9">
        <v>45730.225201412</v>
      </c>
      <c r="B264" s="10">
        <v>5.0</v>
      </c>
      <c r="C264" s="10" t="s">
        <v>60</v>
      </c>
      <c r="D264" s="10" t="s">
        <v>779</v>
      </c>
      <c r="E264" s="12" t="s">
        <v>62</v>
      </c>
      <c r="F264" s="11">
        <v>105878.0</v>
      </c>
      <c r="G264" s="11">
        <v>7015.0</v>
      </c>
      <c r="H264" s="11">
        <v>3129.0</v>
      </c>
      <c r="I264" s="11">
        <v>2972.0</v>
      </c>
      <c r="J264" s="11">
        <v>256.0</v>
      </c>
      <c r="K264" s="11">
        <v>48.0</v>
      </c>
      <c r="L264" s="11">
        <v>15.0</v>
      </c>
      <c r="M264" s="13">
        <f t="shared" ref="M264:O264" si="266">IFERROR(G264/F264,"")</f>
        <v>0.06625550162</v>
      </c>
      <c r="N264" s="13">
        <f t="shared" si="266"/>
        <v>0.446044191</v>
      </c>
      <c r="O264" s="14">
        <f t="shared" si="266"/>
        <v>0.949824225</v>
      </c>
      <c r="P264" s="13">
        <f t="shared" si="3"/>
        <v>0.08181527645</v>
      </c>
      <c r="Q264" s="13">
        <f t="shared" si="4"/>
        <v>0.01534036433</v>
      </c>
      <c r="R264" s="13">
        <f t="shared" si="5"/>
        <v>0.004793863854</v>
      </c>
      <c r="S264" s="14">
        <f t="shared" si="6"/>
        <v>0.9417836787</v>
      </c>
      <c r="T264" s="14">
        <f t="shared" si="7"/>
        <v>0.8613512284</v>
      </c>
      <c r="U264" s="14">
        <f t="shared" si="8"/>
        <v>1.448028609</v>
      </c>
    </row>
    <row r="265" ht="15.75" customHeight="1">
      <c r="A265" s="9">
        <v>45731.3108029745</v>
      </c>
      <c r="B265" s="10">
        <v>7.0</v>
      </c>
      <c r="C265" s="10" t="s">
        <v>69</v>
      </c>
      <c r="D265" s="10" t="s">
        <v>781</v>
      </c>
      <c r="E265" s="12" t="s">
        <v>62</v>
      </c>
      <c r="F265" s="11">
        <v>433328.0</v>
      </c>
      <c r="G265" s="11">
        <v>23473.0</v>
      </c>
      <c r="H265" s="11">
        <v>3196.0</v>
      </c>
      <c r="I265" s="11">
        <v>3063.0</v>
      </c>
      <c r="J265" s="11">
        <v>313.0</v>
      </c>
      <c r="K265" s="11">
        <v>24.0</v>
      </c>
      <c r="L265" s="11">
        <v>55.0</v>
      </c>
      <c r="M265" s="13">
        <f t="shared" ref="M265:O265" si="267">IFERROR(G265/F265,"")</f>
        <v>0.05416912824</v>
      </c>
      <c r="N265" s="13">
        <f t="shared" si="267"/>
        <v>0.1361564351</v>
      </c>
      <c r="O265" s="14">
        <f t="shared" si="267"/>
        <v>0.9583854819</v>
      </c>
      <c r="P265" s="13">
        <f t="shared" si="3"/>
        <v>0.09793491865</v>
      </c>
      <c r="Q265" s="13">
        <f t="shared" si="4"/>
        <v>0.007509386733</v>
      </c>
      <c r="R265" s="13">
        <f t="shared" si="5"/>
        <v>0.01720901126</v>
      </c>
      <c r="S265" s="14">
        <f t="shared" si="6"/>
        <v>0.7726232407</v>
      </c>
      <c r="T265" s="14">
        <f t="shared" si="7"/>
        <v>0.2627713341</v>
      </c>
      <c r="U265" s="14">
        <f t="shared" si="8"/>
        <v>0.7116363598</v>
      </c>
    </row>
    <row r="266" ht="15.75" customHeight="1">
      <c r="A266" s="9">
        <v>45734.2430296991</v>
      </c>
      <c r="B266" s="10">
        <v>5.0</v>
      </c>
      <c r="C266" s="10" t="s">
        <v>59</v>
      </c>
      <c r="D266" s="10" t="s">
        <v>783</v>
      </c>
      <c r="E266" s="12" t="s">
        <v>62</v>
      </c>
      <c r="F266" s="11">
        <v>186995.0</v>
      </c>
      <c r="G266" s="11">
        <v>25065.0</v>
      </c>
      <c r="H266" s="11">
        <v>14323.0</v>
      </c>
      <c r="I266" s="11">
        <v>9049.0</v>
      </c>
      <c r="J266" s="11">
        <v>686.0</v>
      </c>
      <c r="K266" s="11">
        <v>636.0</v>
      </c>
      <c r="L266" s="11">
        <v>39.0</v>
      </c>
      <c r="M266" s="13">
        <f t="shared" ref="M266:O266" si="268">IFERROR(G266/F266,"")</f>
        <v>0.1340410171</v>
      </c>
      <c r="N266" s="13">
        <f t="shared" si="268"/>
        <v>0.5714342709</v>
      </c>
      <c r="O266" s="14">
        <f t="shared" si="268"/>
        <v>0.6317810515</v>
      </c>
      <c r="P266" s="13">
        <f t="shared" si="3"/>
        <v>0.04789499407</v>
      </c>
      <c r="Q266" s="13">
        <f t="shared" si="4"/>
        <v>0.04440410529</v>
      </c>
      <c r="R266" s="13">
        <f t="shared" si="5"/>
        <v>0.002722893249</v>
      </c>
      <c r="S266" s="14">
        <f t="shared" si="6"/>
        <v>1.984342579</v>
      </c>
      <c r="T266" s="14">
        <f t="shared" si="7"/>
        <v>1.102157551</v>
      </c>
      <c r="U266" s="14">
        <f t="shared" si="8"/>
        <v>4.26563772</v>
      </c>
    </row>
    <row r="267" ht="15.75" customHeight="1">
      <c r="A267" s="9">
        <v>45735.4949668519</v>
      </c>
      <c r="B267" s="10">
        <v>11.0</v>
      </c>
      <c r="C267" s="10" t="s">
        <v>80</v>
      </c>
      <c r="D267" s="10" t="s">
        <v>786</v>
      </c>
      <c r="E267" s="12" t="s">
        <v>62</v>
      </c>
      <c r="F267" s="11">
        <v>106912.0</v>
      </c>
      <c r="G267" s="11">
        <v>12516.0</v>
      </c>
      <c r="H267" s="11">
        <v>4957.0</v>
      </c>
      <c r="I267" s="11">
        <v>2925.0</v>
      </c>
      <c r="J267" s="11">
        <v>251.0</v>
      </c>
      <c r="K267" s="11">
        <v>123.0</v>
      </c>
      <c r="L267" s="11">
        <v>17.0</v>
      </c>
      <c r="M267" s="13">
        <f t="shared" ref="M267:O267" si="269">IFERROR(G267/F267,"")</f>
        <v>0.117068243</v>
      </c>
      <c r="N267" s="13">
        <f t="shared" si="269"/>
        <v>0.3960530521</v>
      </c>
      <c r="O267" s="14">
        <f t="shared" si="269"/>
        <v>0.5900746419</v>
      </c>
      <c r="P267" s="13">
        <f t="shared" si="3"/>
        <v>0.050635465</v>
      </c>
      <c r="Q267" s="13">
        <f t="shared" si="4"/>
        <v>0.0248133952</v>
      </c>
      <c r="R267" s="13">
        <f t="shared" si="5"/>
        <v>0.003429493645</v>
      </c>
      <c r="S267" s="14">
        <f t="shared" si="6"/>
        <v>1.734943335</v>
      </c>
      <c r="T267" s="14">
        <f t="shared" si="7"/>
        <v>0.7643515993</v>
      </c>
      <c r="U267" s="14">
        <f t="shared" si="8"/>
        <v>2.420827392</v>
      </c>
    </row>
    <row r="268" ht="15.75" customHeight="1">
      <c r="A268" s="9">
        <v>45737.6325184607</v>
      </c>
      <c r="B268" s="10">
        <v>15.0</v>
      </c>
      <c r="C268" s="10" t="s">
        <v>60</v>
      </c>
      <c r="D268" s="10" t="s">
        <v>789</v>
      </c>
      <c r="E268" s="12" t="s">
        <v>62</v>
      </c>
      <c r="F268" s="11">
        <v>1117099.0</v>
      </c>
      <c r="G268" s="11">
        <v>112006.0</v>
      </c>
      <c r="H268" s="11">
        <v>69644.0</v>
      </c>
      <c r="I268" s="11">
        <v>113342.0</v>
      </c>
      <c r="J268" s="11">
        <v>1685.0</v>
      </c>
      <c r="K268" s="11">
        <v>732.0</v>
      </c>
      <c r="L268" s="11">
        <v>226.0</v>
      </c>
      <c r="M268" s="13">
        <f t="shared" ref="M268:O268" si="270">IFERROR(G268/F268,"")</f>
        <v>0.1002650616</v>
      </c>
      <c r="N268" s="13">
        <f t="shared" si="270"/>
        <v>0.6217881185</v>
      </c>
      <c r="O268" s="14">
        <f t="shared" si="270"/>
        <v>1.627448165</v>
      </c>
      <c r="P268" s="13">
        <f t="shared" si="3"/>
        <v>0.02419447476</v>
      </c>
      <c r="Q268" s="13">
        <f t="shared" si="4"/>
        <v>0.01051059675</v>
      </c>
      <c r="R268" s="13">
        <f t="shared" si="5"/>
        <v>0.003245074953</v>
      </c>
      <c r="S268" s="14">
        <f t="shared" si="6"/>
        <v>1.499643949</v>
      </c>
      <c r="T268" s="14">
        <f t="shared" si="7"/>
        <v>1.200728471</v>
      </c>
      <c r="U268" s="14">
        <f t="shared" si="8"/>
        <v>1</v>
      </c>
    </row>
    <row r="269" ht="15.75" customHeight="1">
      <c r="A269" s="9">
        <v>45738.6360770486</v>
      </c>
      <c r="B269" s="10">
        <v>15.0</v>
      </c>
      <c r="C269" s="10" t="s">
        <v>69</v>
      </c>
      <c r="D269" s="10" t="s">
        <v>792</v>
      </c>
      <c r="E269" s="12" t="s">
        <v>62</v>
      </c>
      <c r="F269" s="11">
        <v>4225693.0</v>
      </c>
      <c r="G269" s="11">
        <v>154995.0</v>
      </c>
      <c r="H269" s="11">
        <v>76513.0</v>
      </c>
      <c r="I269" s="11">
        <v>117237.0</v>
      </c>
      <c r="J269" s="11">
        <v>3301.0</v>
      </c>
      <c r="K269" s="11">
        <v>1434.0</v>
      </c>
      <c r="L269" s="11">
        <v>561.0</v>
      </c>
      <c r="M269" s="13">
        <f t="shared" ref="M269:O269" si="271">IFERROR(G269/F269,"")</f>
        <v>0.03667919085</v>
      </c>
      <c r="N269" s="13">
        <f t="shared" si="271"/>
        <v>0.4936481822</v>
      </c>
      <c r="O269" s="14">
        <f t="shared" si="271"/>
        <v>1.532249422</v>
      </c>
      <c r="P269" s="13">
        <f t="shared" si="3"/>
        <v>0.04314299531</v>
      </c>
      <c r="Q269" s="13">
        <f t="shared" si="4"/>
        <v>0.01874191314</v>
      </c>
      <c r="R269" s="13">
        <f t="shared" si="5"/>
        <v>0.007332087358</v>
      </c>
      <c r="S269" s="14">
        <f t="shared" si="6"/>
        <v>0.54860313</v>
      </c>
      <c r="T269" s="14">
        <f t="shared" si="7"/>
        <v>0.9532787932</v>
      </c>
      <c r="U269" s="14">
        <f t="shared" si="8"/>
        <v>1.783144534</v>
      </c>
    </row>
    <row r="270" ht="15.75" customHeight="1">
      <c r="A270" s="9">
        <v>45740.5399932986</v>
      </c>
      <c r="B270" s="10">
        <v>12.0</v>
      </c>
      <c r="C270" s="10" t="s">
        <v>71</v>
      </c>
      <c r="D270" s="10" t="s">
        <v>795</v>
      </c>
      <c r="E270" s="12" t="s">
        <v>62</v>
      </c>
      <c r="F270" s="11">
        <v>826170.0</v>
      </c>
      <c r="G270" s="11">
        <v>32967.0</v>
      </c>
      <c r="H270" s="11">
        <v>16359.0</v>
      </c>
      <c r="I270" s="11">
        <v>18357.0</v>
      </c>
      <c r="J270" s="11">
        <v>292.0</v>
      </c>
      <c r="K270" s="11">
        <v>174.0</v>
      </c>
      <c r="L270" s="11">
        <v>88.0</v>
      </c>
      <c r="M270" s="13">
        <f t="shared" ref="M270:O270" si="272">IFERROR(G270/F270,"")</f>
        <v>0.03990340971</v>
      </c>
      <c r="N270" s="13">
        <f t="shared" si="272"/>
        <v>0.4962234962</v>
      </c>
      <c r="O270" s="14">
        <f t="shared" si="272"/>
        <v>1.122134605</v>
      </c>
      <c r="P270" s="13">
        <f t="shared" si="3"/>
        <v>0.0178495018</v>
      </c>
      <c r="Q270" s="13">
        <f t="shared" si="4"/>
        <v>0.01063634696</v>
      </c>
      <c r="R270" s="13">
        <f t="shared" si="5"/>
        <v>0.005379301913</v>
      </c>
      <c r="S270" s="14">
        <f t="shared" si="6"/>
        <v>0.5968271099</v>
      </c>
      <c r="T270" s="14">
        <f t="shared" si="7"/>
        <v>0.958251955</v>
      </c>
      <c r="U270" s="14">
        <f t="shared" si="8"/>
        <v>1.004000581</v>
      </c>
    </row>
    <row r="271" ht="15.75" customHeight="1">
      <c r="A271" s="9">
        <v>45742.4672379398</v>
      </c>
      <c r="B271" s="10">
        <v>11.0</v>
      </c>
      <c r="C271" s="10" t="s">
        <v>80</v>
      </c>
      <c r="D271" s="10" t="s">
        <v>798</v>
      </c>
      <c r="E271" s="12" t="s">
        <v>62</v>
      </c>
      <c r="F271" s="11">
        <v>18873.0</v>
      </c>
      <c r="G271" s="11">
        <v>1106.0</v>
      </c>
      <c r="H271" s="11">
        <v>626.0</v>
      </c>
      <c r="I271" s="11">
        <v>0.0</v>
      </c>
      <c r="J271" s="11">
        <v>89.0</v>
      </c>
      <c r="K271" s="11">
        <v>11.0</v>
      </c>
      <c r="L271" s="11">
        <v>8.0</v>
      </c>
      <c r="M271" s="13">
        <f t="shared" ref="M271:O271" si="273">IFERROR(G271/F271,"")</f>
        <v>0.058602236</v>
      </c>
      <c r="N271" s="13">
        <f t="shared" si="273"/>
        <v>0.5660036166</v>
      </c>
      <c r="O271" s="14">
        <f t="shared" si="273"/>
        <v>0</v>
      </c>
      <c r="P271" s="13">
        <f t="shared" si="3"/>
        <v>0.142172524</v>
      </c>
      <c r="Q271" s="13">
        <f t="shared" si="4"/>
        <v>0.01757188498</v>
      </c>
      <c r="R271" s="13">
        <f t="shared" si="5"/>
        <v>0.01277955272</v>
      </c>
      <c r="S271" s="14">
        <f t="shared" si="6"/>
        <v>0.869417029</v>
      </c>
      <c r="T271" s="14">
        <f t="shared" si="7"/>
        <v>1.111821655</v>
      </c>
      <c r="U271" s="14">
        <f t="shared" si="8"/>
        <v>1.656120677</v>
      </c>
    </row>
    <row r="272" ht="15.75" customHeight="1">
      <c r="A272" s="9">
        <v>45744.250539757</v>
      </c>
      <c r="B272" s="10">
        <v>6.0</v>
      </c>
      <c r="C272" s="10" t="s">
        <v>60</v>
      </c>
      <c r="D272" s="10" t="s">
        <v>801</v>
      </c>
      <c r="E272" s="12" t="s">
        <v>62</v>
      </c>
      <c r="F272" s="11">
        <v>3020370.0</v>
      </c>
      <c r="G272" s="11">
        <v>198977.0</v>
      </c>
      <c r="H272" s="11">
        <v>95354.0</v>
      </c>
      <c r="I272" s="11">
        <v>113752.0</v>
      </c>
      <c r="J272" s="11">
        <v>2418.0</v>
      </c>
      <c r="K272" s="11">
        <v>680.0</v>
      </c>
      <c r="L272" s="11">
        <v>615.0</v>
      </c>
      <c r="M272" s="13">
        <f t="shared" ref="M272:O272" si="274">IFERROR(G272/F272,"")</f>
        <v>0.06587835265</v>
      </c>
      <c r="N272" s="13">
        <f t="shared" si="274"/>
        <v>0.4792212165</v>
      </c>
      <c r="O272" s="14">
        <f t="shared" si="274"/>
        <v>1.192944187</v>
      </c>
      <c r="P272" s="13">
        <f t="shared" si="3"/>
        <v>0.02535813914</v>
      </c>
      <c r="Q272" s="13">
        <f t="shared" si="4"/>
        <v>0.007131321182</v>
      </c>
      <c r="R272" s="13">
        <f t="shared" si="5"/>
        <v>0.006449650775</v>
      </c>
      <c r="S272" s="14">
        <f t="shared" si="6"/>
        <v>0.9773647825</v>
      </c>
      <c r="T272" s="14">
        <f t="shared" si="7"/>
        <v>0.9449577489</v>
      </c>
      <c r="U272" s="14">
        <f t="shared" si="8"/>
        <v>0.6704671449</v>
      </c>
    </row>
    <row r="273" ht="15.75" customHeight="1">
      <c r="A273" s="9">
        <v>45745.2504658912</v>
      </c>
      <c r="B273" s="10">
        <v>6.0</v>
      </c>
      <c r="C273" s="10" t="s">
        <v>69</v>
      </c>
      <c r="D273" s="10" t="s">
        <v>804</v>
      </c>
      <c r="E273" s="12" t="s">
        <v>62</v>
      </c>
      <c r="F273" s="11">
        <v>1.0139251E7</v>
      </c>
      <c r="G273" s="11">
        <v>460746.0</v>
      </c>
      <c r="H273" s="11">
        <v>265459.0</v>
      </c>
      <c r="I273" s="11">
        <v>254549.0</v>
      </c>
      <c r="J273" s="11">
        <v>14921.0</v>
      </c>
      <c r="K273" s="11">
        <v>2083.0</v>
      </c>
      <c r="L273" s="11">
        <v>2551.0</v>
      </c>
      <c r="M273" s="13">
        <f t="shared" ref="M273:O273" si="275">IFERROR(G273/F273,"")</f>
        <v>0.04544181814</v>
      </c>
      <c r="N273" s="13">
        <f t="shared" si="275"/>
        <v>0.5761504169</v>
      </c>
      <c r="O273" s="14">
        <f t="shared" si="275"/>
        <v>0.9589013746</v>
      </c>
      <c r="P273" s="13">
        <f t="shared" si="3"/>
        <v>0.05620830335</v>
      </c>
      <c r="Q273" s="13">
        <f t="shared" si="4"/>
        <v>0.007846786133</v>
      </c>
      <c r="R273" s="13">
        <f t="shared" si="5"/>
        <v>0.009609770247</v>
      </c>
      <c r="S273" s="14">
        <f t="shared" si="6"/>
        <v>0.6734446291</v>
      </c>
      <c r="T273" s="14">
        <f t="shared" si="7"/>
        <v>1.133916891</v>
      </c>
      <c r="U273" s="14">
        <f t="shared" si="8"/>
        <v>0.7358083721</v>
      </c>
    </row>
    <row r="274" ht="15.75" customHeight="1">
      <c r="A274" s="9">
        <v>45747.554515</v>
      </c>
      <c r="B274" s="10">
        <v>13.0</v>
      </c>
      <c r="C274" s="10" t="s">
        <v>71</v>
      </c>
      <c r="D274" s="10" t="s">
        <v>807</v>
      </c>
      <c r="E274" s="12" t="s">
        <v>62</v>
      </c>
      <c r="F274" s="11">
        <v>1729786.0</v>
      </c>
      <c r="G274" s="11">
        <v>96464.0</v>
      </c>
      <c r="H274" s="11">
        <v>50979.0</v>
      </c>
      <c r="I274" s="11">
        <v>34555.0</v>
      </c>
      <c r="J274" s="11">
        <v>2102.0</v>
      </c>
      <c r="K274" s="11">
        <v>429.0</v>
      </c>
      <c r="L274" s="11">
        <v>157.0</v>
      </c>
      <c r="M274" s="13">
        <f t="shared" ref="M274:O274" si="276">IFERROR(G274/F274,"")</f>
        <v>0.05576643585</v>
      </c>
      <c r="N274" s="13">
        <f t="shared" si="276"/>
        <v>0.5284769448</v>
      </c>
      <c r="O274" s="14">
        <f t="shared" si="276"/>
        <v>0.6778281253</v>
      </c>
      <c r="P274" s="13">
        <f t="shared" si="3"/>
        <v>0.04123266443</v>
      </c>
      <c r="Q274" s="13">
        <f t="shared" si="4"/>
        <v>0.008415229801</v>
      </c>
      <c r="R274" s="13">
        <f t="shared" si="5"/>
        <v>0.003079699484</v>
      </c>
      <c r="S274" s="14">
        <f t="shared" si="6"/>
        <v>0.8264547557</v>
      </c>
      <c r="T274" s="14">
        <f t="shared" si="7"/>
        <v>1.040091123</v>
      </c>
      <c r="U274" s="14">
        <f t="shared" si="8"/>
        <v>0.7891124386</v>
      </c>
    </row>
    <row r="275" ht="15.75" customHeight="1">
      <c r="A275" s="9">
        <v>45749.1686136227</v>
      </c>
      <c r="B275" s="10">
        <v>4.0</v>
      </c>
      <c r="C275" s="10" t="s">
        <v>80</v>
      </c>
      <c r="D275" s="10" t="s">
        <v>810</v>
      </c>
      <c r="E275" s="12" t="s">
        <v>62</v>
      </c>
      <c r="F275" s="11">
        <v>550180.0</v>
      </c>
      <c r="G275" s="11">
        <v>91364.0</v>
      </c>
      <c r="H275" s="11">
        <v>56497.0</v>
      </c>
      <c r="I275" s="11">
        <v>37727.0</v>
      </c>
      <c r="J275" s="11">
        <v>2740.0</v>
      </c>
      <c r="K275" s="11">
        <v>244.0</v>
      </c>
      <c r="L275" s="11">
        <v>296.0</v>
      </c>
      <c r="M275" s="13">
        <f t="shared" ref="M275:O275" si="277">IFERROR(G275/F275,"")</f>
        <v>0.1660620161</v>
      </c>
      <c r="N275" s="13">
        <f t="shared" si="277"/>
        <v>0.6183726632</v>
      </c>
      <c r="O275" s="14">
        <f t="shared" si="277"/>
        <v>0.6677699701</v>
      </c>
      <c r="P275" s="13">
        <f t="shared" si="3"/>
        <v>0.04849815034</v>
      </c>
      <c r="Q275" s="13">
        <f t="shared" si="4"/>
        <v>0.004318813388</v>
      </c>
      <c r="R275" s="13">
        <f t="shared" si="5"/>
        <v>0.005239216242</v>
      </c>
      <c r="S275" s="14">
        <f t="shared" si="6"/>
        <v>2.461027692</v>
      </c>
      <c r="T275" s="14">
        <f t="shared" si="7"/>
        <v>1.221811786</v>
      </c>
      <c r="U275" s="14">
        <f t="shared" si="8"/>
        <v>0.4049835174</v>
      </c>
    </row>
    <row r="276" ht="15.75" customHeight="1">
      <c r="A276" s="9">
        <v>45751.2850262153</v>
      </c>
      <c r="B276" s="10">
        <v>6.0</v>
      </c>
      <c r="C276" s="10" t="s">
        <v>60</v>
      </c>
      <c r="D276" s="10" t="s">
        <v>812</v>
      </c>
      <c r="E276" s="12" t="s">
        <v>62</v>
      </c>
      <c r="F276" s="11">
        <v>6.0</v>
      </c>
      <c r="G276" s="11">
        <v>4.0</v>
      </c>
      <c r="H276" s="11">
        <v>4.0</v>
      </c>
      <c r="I276" s="11">
        <v>9.0</v>
      </c>
      <c r="J276" s="11">
        <v>1.0</v>
      </c>
      <c r="K276" s="11">
        <v>0.0</v>
      </c>
      <c r="L276" s="11">
        <v>0.0</v>
      </c>
      <c r="M276" s="13">
        <f t="shared" ref="M276:O276" si="278">IFERROR(G276/F276,"")</f>
        <v>0.6666666667</v>
      </c>
      <c r="N276" s="13">
        <f t="shared" si="278"/>
        <v>1</v>
      </c>
      <c r="O276" s="14">
        <f t="shared" si="278"/>
        <v>2.25</v>
      </c>
      <c r="P276" s="13">
        <f t="shared" si="3"/>
        <v>0.25</v>
      </c>
      <c r="Q276" s="13">
        <f t="shared" si="4"/>
        <v>0</v>
      </c>
      <c r="R276" s="13">
        <f t="shared" si="5"/>
        <v>0</v>
      </c>
      <c r="S276" s="14">
        <f t="shared" si="6"/>
        <v>9.87995429</v>
      </c>
      <c r="T276" s="14">
        <f t="shared" si="7"/>
        <v>1.980325256</v>
      </c>
      <c r="U276" s="14">
        <f t="shared" si="8"/>
        <v>0</v>
      </c>
    </row>
    <row r="277" ht="15.75" customHeight="1">
      <c r="A277" s="9">
        <v>45751.6400495139</v>
      </c>
      <c r="B277" s="10">
        <v>15.0</v>
      </c>
      <c r="C277" s="10" t="s">
        <v>60</v>
      </c>
      <c r="D277" s="10" t="s">
        <v>813</v>
      </c>
      <c r="E277" s="12" t="s">
        <v>62</v>
      </c>
      <c r="F277" s="11">
        <v>795922.0</v>
      </c>
      <c r="G277" s="11">
        <v>53764.0</v>
      </c>
      <c r="H277" s="11">
        <v>20964.0</v>
      </c>
      <c r="I277" s="11">
        <v>18504.0</v>
      </c>
      <c r="J277" s="11">
        <v>1168.0</v>
      </c>
      <c r="K277" s="11">
        <v>171.0</v>
      </c>
      <c r="L277" s="11">
        <v>120.0</v>
      </c>
      <c r="M277" s="13">
        <f t="shared" ref="M277:O277" si="279">IFERROR(G277/F277,"")</f>
        <v>0.06754933272</v>
      </c>
      <c r="N277" s="13">
        <f t="shared" si="279"/>
        <v>0.3899263448</v>
      </c>
      <c r="O277" s="14">
        <f t="shared" si="279"/>
        <v>0.8826559817</v>
      </c>
      <c r="P277" s="13">
        <f t="shared" si="3"/>
        <v>0.05571455829</v>
      </c>
      <c r="Q277" s="13">
        <f t="shared" si="4"/>
        <v>0.008156840298</v>
      </c>
      <c r="R277" s="13">
        <f t="shared" si="5"/>
        <v>0.005724098454</v>
      </c>
      <c r="S277" s="14">
        <f t="shared" si="6"/>
        <v>1.001076479</v>
      </c>
      <c r="T277" s="14">
        <f t="shared" si="7"/>
        <v>0.7721809884</v>
      </c>
      <c r="U277" s="14">
        <f t="shared" si="8"/>
        <v>0.7648827531</v>
      </c>
    </row>
    <row r="278" ht="15.75" customHeight="1">
      <c r="A278" s="9">
        <v>45752.2769161806</v>
      </c>
      <c r="B278" s="10">
        <v>6.0</v>
      </c>
      <c r="C278" s="10" t="s">
        <v>69</v>
      </c>
      <c r="D278" s="10" t="s">
        <v>816</v>
      </c>
      <c r="E278" s="12" t="s">
        <v>62</v>
      </c>
      <c r="F278" s="11">
        <v>1.1938121E7</v>
      </c>
      <c r="G278" s="11">
        <v>538110.0</v>
      </c>
      <c r="H278" s="11">
        <v>264102.0</v>
      </c>
      <c r="I278" s="11">
        <v>326524.0</v>
      </c>
      <c r="J278" s="11">
        <v>7916.0</v>
      </c>
      <c r="K278" s="11">
        <v>2025.0</v>
      </c>
      <c r="L278" s="11">
        <v>1620.0</v>
      </c>
      <c r="M278" s="13">
        <f t="shared" ref="M278:O278" si="280">IFERROR(G278/F278,"")</f>
        <v>0.04507493265</v>
      </c>
      <c r="N278" s="13">
        <f t="shared" si="280"/>
        <v>0.4907955622</v>
      </c>
      <c r="O278" s="14">
        <f t="shared" si="280"/>
        <v>1.23635565</v>
      </c>
      <c r="P278" s="13">
        <f t="shared" si="3"/>
        <v>0.0299732679</v>
      </c>
      <c r="Q278" s="13">
        <f t="shared" si="4"/>
        <v>0.007667492105</v>
      </c>
      <c r="R278" s="13">
        <f t="shared" si="5"/>
        <v>0.006133993684</v>
      </c>
      <c r="S278" s="14">
        <f t="shared" si="6"/>
        <v>0.6687272825</v>
      </c>
      <c r="T278" s="14">
        <f t="shared" si="7"/>
        <v>0.9721655432</v>
      </c>
      <c r="U278" s="14">
        <f t="shared" si="8"/>
        <v>0.7171245789</v>
      </c>
    </row>
    <row r="279" ht="15.75" customHeight="1">
      <c r="A279" s="9">
        <v>45754.5592069792</v>
      </c>
      <c r="B279" s="10">
        <v>13.0</v>
      </c>
      <c r="C279" s="10" t="s">
        <v>71</v>
      </c>
      <c r="D279" s="10" t="s">
        <v>818</v>
      </c>
      <c r="E279" s="12" t="s">
        <v>62</v>
      </c>
      <c r="F279" s="11">
        <v>1090347.0</v>
      </c>
      <c r="G279" s="11">
        <v>123150.0</v>
      </c>
      <c r="H279" s="11">
        <v>49536.0</v>
      </c>
      <c r="I279" s="11">
        <v>67592.0</v>
      </c>
      <c r="J279" s="11">
        <v>904.0</v>
      </c>
      <c r="K279" s="11">
        <v>428.0</v>
      </c>
      <c r="L279" s="11">
        <v>214.0</v>
      </c>
      <c r="M279" s="13">
        <f t="shared" ref="M279:O279" si="281">IFERROR(G279/F279,"")</f>
        <v>0.1129456953</v>
      </c>
      <c r="N279" s="13">
        <f t="shared" si="281"/>
        <v>0.4022411693</v>
      </c>
      <c r="O279" s="14">
        <f t="shared" si="281"/>
        <v>1.364502584</v>
      </c>
      <c r="P279" s="13">
        <f t="shared" si="3"/>
        <v>0.01824935401</v>
      </c>
      <c r="Q279" s="13">
        <f t="shared" si="4"/>
        <v>0.008640180879</v>
      </c>
      <c r="R279" s="13">
        <f t="shared" si="5"/>
        <v>0.004320090439</v>
      </c>
      <c r="S279" s="14">
        <f t="shared" si="6"/>
        <v>1.682450721</v>
      </c>
      <c r="T279" s="14">
        <f t="shared" si="7"/>
        <v>0.7965683465</v>
      </c>
      <c r="U279" s="14">
        <f t="shared" si="8"/>
        <v>0.8102065379</v>
      </c>
    </row>
    <row r="280" ht="15.75" customHeight="1">
      <c r="A280" s="9">
        <v>45756.5732807407</v>
      </c>
      <c r="B280" s="10">
        <v>13.0</v>
      </c>
      <c r="C280" s="10" t="s">
        <v>80</v>
      </c>
      <c r="D280" s="10" t="s">
        <v>821</v>
      </c>
      <c r="E280" s="12" t="s">
        <v>62</v>
      </c>
      <c r="F280" s="11">
        <v>540122.0</v>
      </c>
      <c r="G280" s="11">
        <v>61074.0</v>
      </c>
      <c r="H280" s="11">
        <v>18871.0</v>
      </c>
      <c r="I280" s="11">
        <v>18749.0</v>
      </c>
      <c r="J280" s="11">
        <v>428.0</v>
      </c>
      <c r="K280" s="11">
        <v>189.0</v>
      </c>
      <c r="L280" s="11">
        <v>53.0</v>
      </c>
      <c r="M280" s="13">
        <f t="shared" ref="M280:O280" si="282">IFERROR(G280/F280,"")</f>
        <v>0.1130744535</v>
      </c>
      <c r="N280" s="13">
        <f t="shared" si="282"/>
        <v>0.3089858205</v>
      </c>
      <c r="O280" s="14">
        <f t="shared" si="282"/>
        <v>0.9935350538</v>
      </c>
      <c r="P280" s="13">
        <f t="shared" si="3"/>
        <v>0.02268030311</v>
      </c>
      <c r="Q280" s="13">
        <f t="shared" si="4"/>
        <v>0.0100153675</v>
      </c>
      <c r="R280" s="13">
        <f t="shared" si="5"/>
        <v>0.002808542208</v>
      </c>
      <c r="S280" s="14">
        <f t="shared" si="6"/>
        <v>1.698901989</v>
      </c>
      <c r="T280" s="14">
        <f t="shared" si="7"/>
        <v>0.6127497163</v>
      </c>
      <c r="U280" s="14">
        <f t="shared" si="8"/>
        <v>0.9427454953</v>
      </c>
    </row>
    <row r="281" ht="15.75" customHeight="1">
      <c r="A281" s="9">
        <v>45758.6289081134</v>
      </c>
      <c r="B281" s="10">
        <v>15.0</v>
      </c>
      <c r="C281" s="10" t="s">
        <v>60</v>
      </c>
      <c r="D281" s="10" t="s">
        <v>824</v>
      </c>
      <c r="E281" s="12" t="s">
        <v>62</v>
      </c>
      <c r="F281" s="11">
        <v>4475645.0</v>
      </c>
      <c r="G281" s="11">
        <v>183703.0</v>
      </c>
      <c r="H281" s="11">
        <v>105823.0</v>
      </c>
      <c r="I281" s="11">
        <v>126635.0</v>
      </c>
      <c r="J281" s="11">
        <v>3006.0</v>
      </c>
      <c r="K281" s="11">
        <v>207.0</v>
      </c>
      <c r="L281" s="11">
        <v>420.0</v>
      </c>
      <c r="M281" s="13">
        <f t="shared" ref="M281:O281" si="283">IFERROR(G281/F281,"")</f>
        <v>0.04104503373</v>
      </c>
      <c r="N281" s="13">
        <f t="shared" si="283"/>
        <v>0.5760548276</v>
      </c>
      <c r="O281" s="14">
        <f t="shared" si="283"/>
        <v>1.196668021</v>
      </c>
      <c r="P281" s="13">
        <f t="shared" si="3"/>
        <v>0.0284059231</v>
      </c>
      <c r="Q281" s="13">
        <f t="shared" si="4"/>
        <v>0.001956096501</v>
      </c>
      <c r="R281" s="13">
        <f t="shared" si="5"/>
        <v>0.003968891451</v>
      </c>
      <c r="S281" s="14">
        <f t="shared" si="6"/>
        <v>0.619496234</v>
      </c>
      <c r="T281" s="14">
        <f t="shared" si="7"/>
        <v>1.143704815</v>
      </c>
      <c r="U281" s="14">
        <f t="shared" si="8"/>
        <v>0.1839067969</v>
      </c>
    </row>
    <row r="282" ht="15.75" customHeight="1">
      <c r="A282" s="9">
        <v>45759.6386958565</v>
      </c>
      <c r="B282" s="10">
        <v>15.0</v>
      </c>
      <c r="C282" s="10" t="s">
        <v>69</v>
      </c>
      <c r="D282" s="10" t="s">
        <v>827</v>
      </c>
      <c r="E282" s="12" t="s">
        <v>62</v>
      </c>
      <c r="F282" s="11">
        <v>470815.0</v>
      </c>
      <c r="G282" s="11">
        <v>22046.0</v>
      </c>
      <c r="H282" s="11">
        <v>10827.0</v>
      </c>
      <c r="I282" s="11">
        <v>10962.0</v>
      </c>
      <c r="J282" s="11">
        <v>345.0</v>
      </c>
      <c r="K282" s="11">
        <v>125.0</v>
      </c>
      <c r="L282" s="11">
        <v>42.0</v>
      </c>
      <c r="M282" s="13">
        <f t="shared" ref="M282:O282" si="284">IFERROR(G282/F282,"")</f>
        <v>0.04682518611</v>
      </c>
      <c r="N282" s="13">
        <f t="shared" si="284"/>
        <v>0.4911094983</v>
      </c>
      <c r="O282" s="14">
        <f t="shared" si="284"/>
        <v>1.012468828</v>
      </c>
      <c r="P282" s="13">
        <f t="shared" si="3"/>
        <v>0.03186478249</v>
      </c>
      <c r="Q282" s="13">
        <f t="shared" si="4"/>
        <v>0.01154521105</v>
      </c>
      <c r="R282" s="13">
        <f t="shared" si="5"/>
        <v>0.003879190912</v>
      </c>
      <c r="S282" s="14">
        <f t="shared" si="6"/>
        <v>0.7087538069</v>
      </c>
      <c r="T282" s="14">
        <f t="shared" si="7"/>
        <v>0.9823193027</v>
      </c>
      <c r="U282" s="14">
        <f t="shared" si="8"/>
        <v>1.082616858</v>
      </c>
    </row>
    <row r="283" ht="15.75" customHeight="1">
      <c r="A283" s="9">
        <v>45761.2481758333</v>
      </c>
      <c r="B283" s="10">
        <v>5.0</v>
      </c>
      <c r="C283" s="10" t="s">
        <v>71</v>
      </c>
      <c r="D283" s="10" t="s">
        <v>830</v>
      </c>
      <c r="E283" s="12" t="s">
        <v>62</v>
      </c>
      <c r="F283" s="11">
        <v>1549255.0</v>
      </c>
      <c r="G283" s="11">
        <v>208107.0</v>
      </c>
      <c r="H283" s="11">
        <v>90070.0</v>
      </c>
      <c r="I283" s="11">
        <v>125888.0</v>
      </c>
      <c r="J283" s="11">
        <v>2572.0</v>
      </c>
      <c r="K283" s="11">
        <v>496.0</v>
      </c>
      <c r="L283" s="11">
        <v>524.0</v>
      </c>
      <c r="M283" s="13">
        <f t="shared" ref="M283:O283" si="285">IFERROR(G283/F283,"")</f>
        <v>0.1343271443</v>
      </c>
      <c r="N283" s="13">
        <f t="shared" si="285"/>
        <v>0.4328062007</v>
      </c>
      <c r="O283" s="14">
        <f t="shared" si="285"/>
        <v>1.39766848</v>
      </c>
      <c r="P283" s="13">
        <f t="shared" si="3"/>
        <v>0.02855556789</v>
      </c>
      <c r="Q283" s="13">
        <f t="shared" si="4"/>
        <v>0.005506828023</v>
      </c>
      <c r="R283" s="13">
        <f t="shared" si="5"/>
        <v>0.005817697347</v>
      </c>
      <c r="S283" s="14">
        <f t="shared" si="6"/>
        <v>2.033198003</v>
      </c>
      <c r="T283" s="14">
        <f t="shared" si="7"/>
        <v>0.8729756663</v>
      </c>
      <c r="U283" s="14">
        <f t="shared" si="8"/>
        <v>0.5183571461</v>
      </c>
    </row>
    <row r="284" ht="15.75" customHeight="1">
      <c r="A284" s="9">
        <v>45763.2444617245</v>
      </c>
      <c r="B284" s="10">
        <v>5.0</v>
      </c>
      <c r="C284" s="10" t="s">
        <v>80</v>
      </c>
      <c r="D284" s="10" t="s">
        <v>833</v>
      </c>
      <c r="E284" s="12" t="s">
        <v>62</v>
      </c>
      <c r="F284" s="11">
        <v>109322.0</v>
      </c>
      <c r="G284" s="11">
        <v>19223.0</v>
      </c>
      <c r="H284" s="11">
        <v>10025.0</v>
      </c>
      <c r="I284" s="11">
        <v>7096.0</v>
      </c>
      <c r="J284" s="11">
        <v>544.0</v>
      </c>
      <c r="K284" s="11">
        <v>195.0</v>
      </c>
      <c r="L284" s="11">
        <v>27.0</v>
      </c>
      <c r="M284" s="13">
        <f t="shared" ref="M284:O284" si="286">IFERROR(G284/F284,"")</f>
        <v>0.1758383491</v>
      </c>
      <c r="N284" s="13">
        <f t="shared" si="286"/>
        <v>0.5215106903</v>
      </c>
      <c r="O284" s="14">
        <f t="shared" si="286"/>
        <v>0.7078304239</v>
      </c>
      <c r="P284" s="13">
        <f t="shared" si="3"/>
        <v>0.05426433915</v>
      </c>
      <c r="Q284" s="13">
        <f t="shared" si="4"/>
        <v>0.01945137157</v>
      </c>
      <c r="R284" s="13">
        <f t="shared" si="5"/>
        <v>0.002693266833</v>
      </c>
      <c r="S284" s="14">
        <f t="shared" si="6"/>
        <v>2.661518504</v>
      </c>
      <c r="T284" s="14">
        <f t="shared" si="7"/>
        <v>1.051893761</v>
      </c>
      <c r="U284" s="14">
        <f t="shared" si="8"/>
        <v>1.830955573</v>
      </c>
    </row>
    <row r="285" ht="15.75" customHeight="1">
      <c r="A285" s="9">
        <v>45765.2274509144</v>
      </c>
      <c r="B285" s="10">
        <v>5.0</v>
      </c>
      <c r="C285" s="10" t="s">
        <v>60</v>
      </c>
      <c r="D285" s="10" t="s">
        <v>836</v>
      </c>
      <c r="E285" s="12" t="s">
        <v>62</v>
      </c>
      <c r="F285" s="11">
        <v>5276218.0</v>
      </c>
      <c r="G285" s="11">
        <v>235338.0</v>
      </c>
      <c r="H285" s="11">
        <v>159207.0</v>
      </c>
      <c r="I285" s="11">
        <v>192733.0</v>
      </c>
      <c r="J285" s="11">
        <v>3912.0</v>
      </c>
      <c r="K285" s="11">
        <v>1136.0</v>
      </c>
      <c r="L285" s="11">
        <v>639.0</v>
      </c>
      <c r="M285" s="13">
        <f t="shared" ref="M285:O285" si="287">IFERROR(G285/F285,"")</f>
        <v>0.04460353988</v>
      </c>
      <c r="N285" s="13">
        <f t="shared" si="287"/>
        <v>0.6765035821</v>
      </c>
      <c r="O285" s="14">
        <f t="shared" si="287"/>
        <v>1.210581193</v>
      </c>
      <c r="P285" s="13">
        <f t="shared" si="3"/>
        <v>0.0245717839</v>
      </c>
      <c r="Q285" s="13">
        <f t="shared" si="4"/>
        <v>0.007135364651</v>
      </c>
      <c r="R285" s="13">
        <f t="shared" si="5"/>
        <v>0.004013642616</v>
      </c>
      <c r="S285" s="14">
        <f t="shared" si="6"/>
        <v>0.6701517474</v>
      </c>
      <c r="T285" s="14">
        <f t="shared" si="7"/>
        <v>1.364516415</v>
      </c>
      <c r="U285" s="14">
        <f t="shared" si="8"/>
        <v>0.6724765152</v>
      </c>
    </row>
    <row r="286" ht="15.75" customHeight="1">
      <c r="A286" s="9">
        <v>45766.2286032523</v>
      </c>
      <c r="B286" s="10">
        <v>5.0</v>
      </c>
      <c r="C286" s="10" t="s">
        <v>69</v>
      </c>
      <c r="D286" s="10" t="s">
        <v>839</v>
      </c>
      <c r="E286" s="12" t="s">
        <v>62</v>
      </c>
      <c r="F286" s="11">
        <v>501502.0</v>
      </c>
      <c r="G286" s="11">
        <v>32263.0</v>
      </c>
      <c r="H286" s="11">
        <v>17917.0</v>
      </c>
      <c r="I286" s="11">
        <v>20701.0</v>
      </c>
      <c r="J286" s="11">
        <v>1279.0</v>
      </c>
      <c r="K286" s="11">
        <v>150.0</v>
      </c>
      <c r="L286" s="11">
        <v>93.0</v>
      </c>
      <c r="M286" s="13">
        <f t="shared" ref="M286:O286" si="288">IFERROR(G286/F286,"")</f>
        <v>0.06433274444</v>
      </c>
      <c r="N286" s="13">
        <f t="shared" si="288"/>
        <v>0.5553420327</v>
      </c>
      <c r="O286" s="14">
        <f t="shared" si="288"/>
        <v>1.155383156</v>
      </c>
      <c r="P286" s="13">
        <f t="shared" si="3"/>
        <v>0.07138471842</v>
      </c>
      <c r="Q286" s="13">
        <f t="shared" si="4"/>
        <v>0.008371937266</v>
      </c>
      <c r="R286" s="13">
        <f t="shared" si="5"/>
        <v>0.005190601105</v>
      </c>
      <c r="S286" s="14">
        <f t="shared" si="6"/>
        <v>0.9665757743</v>
      </c>
      <c r="T286" s="14">
        <f t="shared" si="7"/>
        <v>1.116971137</v>
      </c>
      <c r="U286" s="14">
        <f t="shared" si="8"/>
        <v>0.7890180073</v>
      </c>
    </row>
    <row r="287" ht="15.75" customHeight="1">
      <c r="A287" s="9">
        <v>45768.1908917593</v>
      </c>
      <c r="B287" s="10">
        <v>4.0</v>
      </c>
      <c r="C287" s="10" t="s">
        <v>71</v>
      </c>
      <c r="D287" s="10" t="s">
        <v>841</v>
      </c>
      <c r="E287" s="12" t="s">
        <v>62</v>
      </c>
      <c r="F287" s="11">
        <v>1046821.0</v>
      </c>
      <c r="G287" s="11">
        <v>90316.0</v>
      </c>
      <c r="H287" s="11">
        <v>42007.0</v>
      </c>
      <c r="I287" s="11">
        <v>54274.0</v>
      </c>
      <c r="J287" s="11">
        <v>878.0</v>
      </c>
      <c r="K287" s="11">
        <v>464.0</v>
      </c>
      <c r="L287" s="11">
        <v>147.0</v>
      </c>
      <c r="M287" s="13">
        <f t="shared" ref="M287:O287" si="289">IFERROR(G287/F287,"")</f>
        <v>0.08627645032</v>
      </c>
      <c r="N287" s="13">
        <f t="shared" si="289"/>
        <v>0.4651113867</v>
      </c>
      <c r="O287" s="14">
        <f t="shared" si="289"/>
        <v>1.292022758</v>
      </c>
      <c r="P287" s="13">
        <f t="shared" si="3"/>
        <v>0.02090127836</v>
      </c>
      <c r="Q287" s="13">
        <f t="shared" si="4"/>
        <v>0.01104577808</v>
      </c>
      <c r="R287" s="13">
        <f t="shared" si="5"/>
        <v>0.003499416764</v>
      </c>
      <c r="S287" s="14">
        <f t="shared" si="6"/>
        <v>1.305894705</v>
      </c>
      <c r="T287" s="14">
        <f t="shared" si="7"/>
        <v>0.9285307882</v>
      </c>
      <c r="U287" s="14">
        <f t="shared" si="8"/>
        <v>1.041015662</v>
      </c>
    </row>
    <row r="288" ht="15.75" customHeight="1">
      <c r="A288" s="9">
        <v>45770.6548403704</v>
      </c>
      <c r="B288" s="10">
        <v>15.0</v>
      </c>
      <c r="C288" s="10" t="s">
        <v>80</v>
      </c>
      <c r="D288" s="10" t="s">
        <v>844</v>
      </c>
      <c r="E288" s="12" t="s">
        <v>62</v>
      </c>
      <c r="F288" s="11">
        <v>45639.0</v>
      </c>
      <c r="G288" s="11">
        <v>4201.0</v>
      </c>
      <c r="H288" s="11">
        <v>2048.0</v>
      </c>
      <c r="I288" s="11">
        <v>1885.0</v>
      </c>
      <c r="J288" s="11">
        <v>291.0</v>
      </c>
      <c r="K288" s="11">
        <v>74.0</v>
      </c>
      <c r="L288" s="11">
        <v>7.0</v>
      </c>
      <c r="M288" s="13">
        <f t="shared" ref="M288:O288" si="290">IFERROR(G288/F288,"")</f>
        <v>0.09204846732</v>
      </c>
      <c r="N288" s="13">
        <f t="shared" si="290"/>
        <v>0.4875029755</v>
      </c>
      <c r="O288" s="14">
        <f t="shared" si="290"/>
        <v>0.9204101563</v>
      </c>
      <c r="P288" s="13">
        <f t="shared" si="3"/>
        <v>0.1420898438</v>
      </c>
      <c r="Q288" s="13">
        <f t="shared" si="4"/>
        <v>0.0361328125</v>
      </c>
      <c r="R288" s="13">
        <f t="shared" si="5"/>
        <v>0.00341796875</v>
      </c>
      <c r="S288" s="14">
        <f t="shared" si="6"/>
        <v>1.409879183</v>
      </c>
      <c r="T288" s="14">
        <f t="shared" si="7"/>
        <v>0.9667670493</v>
      </c>
      <c r="U288" s="14">
        <f t="shared" si="8"/>
        <v>3.401177863</v>
      </c>
    </row>
    <row r="289" ht="15.75" customHeight="1">
      <c r="A289" s="9">
        <v>45772.2565823264</v>
      </c>
      <c r="B289" s="10">
        <v>6.0</v>
      </c>
      <c r="C289" s="10" t="s">
        <v>60</v>
      </c>
      <c r="D289" s="10" t="s">
        <v>847</v>
      </c>
      <c r="E289" s="12" t="s">
        <v>62</v>
      </c>
      <c r="F289" s="11">
        <v>573612.0</v>
      </c>
      <c r="G289" s="11">
        <v>23292.0</v>
      </c>
      <c r="H289" s="11">
        <v>10828.0</v>
      </c>
      <c r="I289" s="11">
        <v>11867.0</v>
      </c>
      <c r="J289" s="11">
        <v>387.0</v>
      </c>
      <c r="K289" s="11">
        <v>175.0</v>
      </c>
      <c r="L289" s="11">
        <v>51.0</v>
      </c>
      <c r="M289" s="13">
        <f t="shared" ref="M289:O289" si="291">IFERROR(G289/F289,"")</f>
        <v>0.04060584507</v>
      </c>
      <c r="N289" s="13">
        <f t="shared" si="291"/>
        <v>0.4648806457</v>
      </c>
      <c r="O289" s="14">
        <f t="shared" si="291"/>
        <v>1.095954932</v>
      </c>
      <c r="P289" s="13">
        <f t="shared" si="3"/>
        <v>0.03574067233</v>
      </c>
      <c r="Q289" s="13">
        <f t="shared" si="4"/>
        <v>0.01616180273</v>
      </c>
      <c r="R289" s="13">
        <f t="shared" si="5"/>
        <v>0.004710011082</v>
      </c>
      <c r="S289" s="14">
        <f t="shared" si="6"/>
        <v>0.6219477342</v>
      </c>
      <c r="T289" s="14">
        <f t="shared" si="7"/>
        <v>0.9206148836</v>
      </c>
      <c r="U289" s="14">
        <f t="shared" si="8"/>
        <v>1.521308802</v>
      </c>
    </row>
    <row r="290" ht="15.75" customHeight="1">
      <c r="A290" s="9">
        <v>45773.268597581</v>
      </c>
      <c r="B290" s="10">
        <v>6.0</v>
      </c>
      <c r="C290" s="10" t="s">
        <v>69</v>
      </c>
      <c r="D290" s="10" t="s">
        <v>849</v>
      </c>
      <c r="E290" s="12" t="s">
        <v>62</v>
      </c>
      <c r="F290" s="11">
        <v>52490.0</v>
      </c>
      <c r="G290" s="11">
        <v>3396.0</v>
      </c>
      <c r="H290" s="11">
        <v>1579.0</v>
      </c>
      <c r="I290" s="11">
        <v>1633.0</v>
      </c>
      <c r="J290" s="11">
        <v>229.0</v>
      </c>
      <c r="K290" s="11">
        <v>77.0</v>
      </c>
      <c r="L290" s="11">
        <v>18.0</v>
      </c>
      <c r="M290" s="13">
        <f t="shared" ref="M290:O290" si="292">IFERROR(G290/F290,"")</f>
        <v>0.06469803772</v>
      </c>
      <c r="N290" s="13">
        <f t="shared" si="292"/>
        <v>0.464958775</v>
      </c>
      <c r="O290" s="14">
        <f t="shared" si="292"/>
        <v>1.03419886</v>
      </c>
      <c r="P290" s="13">
        <f t="shared" si="3"/>
        <v>0.1450284991</v>
      </c>
      <c r="Q290" s="13">
        <f t="shared" si="4"/>
        <v>0.04876504117</v>
      </c>
      <c r="R290" s="13">
        <f t="shared" si="5"/>
        <v>0.01139962001</v>
      </c>
      <c r="S290" s="14">
        <f t="shared" si="6"/>
        <v>0.9820834176</v>
      </c>
      <c r="T290" s="14">
        <f t="shared" si="7"/>
        <v>0.9209881565</v>
      </c>
      <c r="U290" s="14">
        <f t="shared" si="8"/>
        <v>4.595754989</v>
      </c>
    </row>
    <row r="291" ht="15.75" customHeight="1">
      <c r="A291" s="9">
        <v>45775.2504059838</v>
      </c>
      <c r="B291" s="10">
        <v>6.0</v>
      </c>
      <c r="C291" s="10" t="s">
        <v>71</v>
      </c>
      <c r="D291" s="10" t="s">
        <v>852</v>
      </c>
      <c r="E291" s="12" t="s">
        <v>62</v>
      </c>
      <c r="F291" s="11">
        <v>341664.0</v>
      </c>
      <c r="G291" s="11">
        <v>69539.0</v>
      </c>
      <c r="H291" s="11">
        <v>38768.0</v>
      </c>
      <c r="I291" s="11">
        <v>28710.0</v>
      </c>
      <c r="J291" s="11">
        <v>2037.0</v>
      </c>
      <c r="K291" s="11">
        <v>309.0</v>
      </c>
      <c r="L291" s="11">
        <v>74.0</v>
      </c>
      <c r="M291" s="13">
        <f t="shared" ref="M291:O291" si="293">IFERROR(G291/F291,"")</f>
        <v>0.203530369</v>
      </c>
      <c r="N291" s="13">
        <f t="shared" si="293"/>
        <v>0.5575001079</v>
      </c>
      <c r="O291" s="14">
        <f t="shared" si="293"/>
        <v>0.7405592241</v>
      </c>
      <c r="P291" s="13">
        <f t="shared" si="3"/>
        <v>0.05254333471</v>
      </c>
      <c r="Q291" s="13">
        <f t="shared" si="4"/>
        <v>0.007970491127</v>
      </c>
      <c r="R291" s="13">
        <f t="shared" si="5"/>
        <v>0.001908790755</v>
      </c>
      <c r="S291" s="14">
        <f t="shared" si="6"/>
        <v>3.154756805</v>
      </c>
      <c r="T291" s="14">
        <f t="shared" si="7"/>
        <v>1.105578348</v>
      </c>
      <c r="U291" s="14">
        <f t="shared" si="8"/>
        <v>0.7517610396</v>
      </c>
    </row>
    <row r="292" ht="15.75" customHeight="1">
      <c r="A292" s="9">
        <v>45777.2506964699</v>
      </c>
      <c r="B292" s="10">
        <v>6.0</v>
      </c>
      <c r="C292" s="10" t="s">
        <v>80</v>
      </c>
      <c r="D292" s="10" t="s">
        <v>855</v>
      </c>
      <c r="E292" s="12" t="s">
        <v>62</v>
      </c>
      <c r="F292" s="11">
        <v>84644.0</v>
      </c>
      <c r="G292" s="11">
        <v>13438.0</v>
      </c>
      <c r="H292" s="11">
        <v>5454.0</v>
      </c>
      <c r="I292" s="11">
        <v>5815.0</v>
      </c>
      <c r="J292" s="11">
        <v>593.0</v>
      </c>
      <c r="K292" s="11">
        <v>48.0</v>
      </c>
      <c r="L292" s="11">
        <v>18.0</v>
      </c>
      <c r="M292" s="13">
        <f t="shared" ref="M292:O292" si="294">IFERROR(G292/F292,"")</f>
        <v>0.1587590379</v>
      </c>
      <c r="N292" s="13">
        <f t="shared" si="294"/>
        <v>0.4058639679</v>
      </c>
      <c r="O292" s="14">
        <f t="shared" si="294"/>
        <v>1.066189952</v>
      </c>
      <c r="P292" s="13">
        <f t="shared" si="3"/>
        <v>0.1087275394</v>
      </c>
      <c r="Q292" s="13">
        <f t="shared" si="4"/>
        <v>0.008800880088</v>
      </c>
      <c r="R292" s="13">
        <f t="shared" si="5"/>
        <v>0.003300330033</v>
      </c>
      <c r="S292" s="14">
        <f t="shared" si="6"/>
        <v>2.495074602</v>
      </c>
      <c r="T292" s="14">
        <f t="shared" si="7"/>
        <v>0.8048687503</v>
      </c>
      <c r="U292" s="14">
        <f t="shared" si="8"/>
        <v>0.8340263315</v>
      </c>
    </row>
    <row r="293" ht="15.75" customHeight="1">
      <c r="A293" s="9">
        <v>45779.2512486111</v>
      </c>
      <c r="B293" s="10">
        <v>6.0</v>
      </c>
      <c r="C293" s="10" t="s">
        <v>60</v>
      </c>
      <c r="D293" s="10" t="s">
        <v>858</v>
      </c>
      <c r="E293" s="12" t="s">
        <v>62</v>
      </c>
      <c r="F293" s="11">
        <v>84148.0</v>
      </c>
      <c r="G293" s="11">
        <v>16115.0</v>
      </c>
      <c r="H293" s="11">
        <v>8448.0</v>
      </c>
      <c r="I293" s="11">
        <v>6188.0</v>
      </c>
      <c r="J293" s="11">
        <v>674.0</v>
      </c>
      <c r="K293" s="11">
        <v>97.0</v>
      </c>
      <c r="L293" s="11">
        <v>15.0</v>
      </c>
      <c r="M293" s="13">
        <f t="shared" ref="M293:O293" si="295">IFERROR(G293/F293,"")</f>
        <v>0.1915078196</v>
      </c>
      <c r="N293" s="13">
        <f t="shared" si="295"/>
        <v>0.5242320819</v>
      </c>
      <c r="O293" s="14">
        <f t="shared" si="295"/>
        <v>0.7324810606</v>
      </c>
      <c r="P293" s="13">
        <f t="shared" si="3"/>
        <v>0.07978219697</v>
      </c>
      <c r="Q293" s="13">
        <f t="shared" si="4"/>
        <v>0.01148200758</v>
      </c>
      <c r="R293" s="13">
        <f t="shared" si="5"/>
        <v>0.001775568182</v>
      </c>
      <c r="S293" s="14">
        <f t="shared" si="6"/>
        <v>3.009758078</v>
      </c>
      <c r="T293" s="14">
        <f t="shared" si="7"/>
        <v>1.039604533</v>
      </c>
      <c r="U293" s="14">
        <f t="shared" si="8"/>
        <v>1.097689514</v>
      </c>
    </row>
    <row r="294" ht="15.75" customHeight="1">
      <c r="A294" s="9">
        <v>45780.2506470718</v>
      </c>
      <c r="B294" s="10">
        <v>6.0</v>
      </c>
      <c r="C294" s="10" t="s">
        <v>69</v>
      </c>
      <c r="D294" s="10" t="s">
        <v>860</v>
      </c>
      <c r="E294" s="12" t="s">
        <v>62</v>
      </c>
      <c r="F294" s="11">
        <v>277515.0</v>
      </c>
      <c r="G294" s="11">
        <v>6328.0</v>
      </c>
      <c r="H294" s="11">
        <v>2340.0</v>
      </c>
      <c r="I294" s="11">
        <v>2783.0</v>
      </c>
      <c r="J294" s="11">
        <v>230.0</v>
      </c>
      <c r="K294" s="11">
        <v>57.0</v>
      </c>
      <c r="L294" s="11">
        <v>48.0</v>
      </c>
      <c r="M294" s="13">
        <f t="shared" ref="M294:O294" si="296">IFERROR(G294/F294,"")</f>
        <v>0.02280237104</v>
      </c>
      <c r="N294" s="13">
        <f t="shared" si="296"/>
        <v>0.3697850822</v>
      </c>
      <c r="O294" s="14">
        <f t="shared" si="296"/>
        <v>1.189316239</v>
      </c>
      <c r="P294" s="13">
        <f t="shared" si="3"/>
        <v>0.09829059829</v>
      </c>
      <c r="Q294" s="13">
        <f t="shared" si="4"/>
        <v>0.02435897436</v>
      </c>
      <c r="R294" s="13">
        <f t="shared" si="5"/>
        <v>0.02051282051</v>
      </c>
      <c r="S294" s="14">
        <f t="shared" si="6"/>
        <v>0.3583645859</v>
      </c>
      <c r="T294" s="14">
        <f t="shared" si="7"/>
        <v>0.7333207196</v>
      </c>
      <c r="U294" s="14">
        <f t="shared" si="8"/>
        <v>2.328738293</v>
      </c>
    </row>
    <row r="295" ht="15.75" customHeight="1">
      <c r="A295" s="9">
        <v>45782.6855206482</v>
      </c>
      <c r="B295" s="10">
        <v>16.0</v>
      </c>
      <c r="C295" s="10" t="s">
        <v>71</v>
      </c>
      <c r="D295" s="10" t="s">
        <v>863</v>
      </c>
      <c r="E295" s="12" t="s">
        <v>62</v>
      </c>
      <c r="F295" s="11">
        <v>326006.0</v>
      </c>
      <c r="G295" s="11">
        <v>46371.0</v>
      </c>
      <c r="H295" s="11">
        <v>30332.0</v>
      </c>
      <c r="I295" s="11">
        <v>46264.0</v>
      </c>
      <c r="J295" s="11">
        <v>1860.0</v>
      </c>
      <c r="K295" s="11">
        <v>831.0</v>
      </c>
      <c r="L295" s="11">
        <v>100.0</v>
      </c>
      <c r="M295" s="13">
        <f t="shared" ref="M295:O295" si="297">IFERROR(G295/F295,"")</f>
        <v>0.1422397134</v>
      </c>
      <c r="N295" s="13">
        <f t="shared" si="297"/>
        <v>0.6541157189</v>
      </c>
      <c r="O295" s="14">
        <f t="shared" si="297"/>
        <v>1.525253857</v>
      </c>
      <c r="P295" s="13">
        <f t="shared" si="3"/>
        <v>0.06132137676</v>
      </c>
      <c r="Q295" s="13">
        <f t="shared" si="4"/>
        <v>0.02739680865</v>
      </c>
      <c r="R295" s="13">
        <f t="shared" si="5"/>
        <v>0.003296848213</v>
      </c>
      <c r="S295" s="14">
        <f t="shared" si="6"/>
        <v>2.235455071</v>
      </c>
      <c r="T295" s="14">
        <f t="shared" si="7"/>
        <v>1.295361878</v>
      </c>
      <c r="U295" s="14">
        <f t="shared" si="8"/>
        <v>2.65277912</v>
      </c>
    </row>
    <row r="296" ht="15.75" customHeight="1">
      <c r="A296" s="9">
        <v>45784.2524523958</v>
      </c>
      <c r="B296" s="10">
        <v>6.0</v>
      </c>
      <c r="C296" s="10" t="s">
        <v>80</v>
      </c>
      <c r="D296" s="10" t="s">
        <v>865</v>
      </c>
      <c r="E296" s="12" t="s">
        <v>62</v>
      </c>
      <c r="F296" s="11">
        <v>187261.0</v>
      </c>
      <c r="G296" s="11">
        <v>29474.0</v>
      </c>
      <c r="H296" s="11">
        <v>9957.0</v>
      </c>
      <c r="I296" s="11">
        <v>10758.0</v>
      </c>
      <c r="J296" s="11">
        <v>713.0</v>
      </c>
      <c r="K296" s="11">
        <v>71.0</v>
      </c>
      <c r="L296" s="11">
        <v>35.0</v>
      </c>
      <c r="M296" s="13">
        <f t="shared" ref="M296:O296" si="298">IFERROR(G296/F296,"")</f>
        <v>0.1573952932</v>
      </c>
      <c r="N296" s="13">
        <f t="shared" si="298"/>
        <v>0.3378231662</v>
      </c>
      <c r="O296" s="14">
        <f t="shared" si="298"/>
        <v>1.080445917</v>
      </c>
      <c r="P296" s="13">
        <f t="shared" si="3"/>
        <v>0.07160791403</v>
      </c>
      <c r="Q296" s="13">
        <f t="shared" si="4"/>
        <v>0.007130661846</v>
      </c>
      <c r="R296" s="13">
        <f t="shared" si="5"/>
        <v>0.003515114994</v>
      </c>
      <c r="S296" s="14">
        <f t="shared" si="6"/>
        <v>2.47364184</v>
      </c>
      <c r="T296" s="14">
        <f t="shared" si="7"/>
        <v>0.6699370506</v>
      </c>
      <c r="U296" s="14">
        <f t="shared" si="8"/>
        <v>0.6904479677</v>
      </c>
    </row>
    <row r="297" ht="15.75" customHeight="1">
      <c r="A297" s="9">
        <v>45786.2298335995</v>
      </c>
      <c r="B297" s="10">
        <v>5.0</v>
      </c>
      <c r="C297" s="10" t="s">
        <v>60</v>
      </c>
      <c r="D297" s="10" t="s">
        <v>867</v>
      </c>
      <c r="E297" s="12" t="s">
        <v>62</v>
      </c>
      <c r="F297" s="11">
        <v>625027.0</v>
      </c>
      <c r="G297" s="11">
        <v>99763.0</v>
      </c>
      <c r="H297" s="11">
        <v>54524.0</v>
      </c>
      <c r="I297" s="11">
        <v>45033.0</v>
      </c>
      <c r="J297" s="11">
        <v>2312.0</v>
      </c>
      <c r="K297" s="11">
        <v>364.0</v>
      </c>
      <c r="L297" s="11">
        <v>232.0</v>
      </c>
      <c r="M297" s="13">
        <f t="shared" ref="M297:O297" si="299">IFERROR(G297/F297,"")</f>
        <v>0.1596139047</v>
      </c>
      <c r="N297" s="13">
        <f t="shared" si="299"/>
        <v>0.5465352886</v>
      </c>
      <c r="O297" s="14">
        <f t="shared" si="299"/>
        <v>0.8259298657</v>
      </c>
      <c r="P297" s="13">
        <f t="shared" si="3"/>
        <v>0.04240334532</v>
      </c>
      <c r="Q297" s="13">
        <f t="shared" si="4"/>
        <v>0.006675959211</v>
      </c>
      <c r="R297" s="13">
        <f t="shared" si="5"/>
        <v>0.004255006969</v>
      </c>
      <c r="S297" s="14">
        <f t="shared" si="6"/>
        <v>2.508509784</v>
      </c>
      <c r="T297" s="14">
        <f t="shared" si="7"/>
        <v>1.083834017</v>
      </c>
      <c r="U297" s="14">
        <f t="shared" si="8"/>
        <v>0.6537129093</v>
      </c>
    </row>
    <row r="298" ht="15.75" customHeight="1">
      <c r="A298" s="9">
        <v>45787.2504982523</v>
      </c>
      <c r="B298" s="10">
        <v>6.0</v>
      </c>
      <c r="C298" s="10" t="s">
        <v>69</v>
      </c>
      <c r="D298" s="10" t="s">
        <v>812</v>
      </c>
      <c r="E298" s="12" t="s">
        <v>62</v>
      </c>
      <c r="F298" s="11">
        <v>26069.0</v>
      </c>
      <c r="G298" s="11">
        <v>3144.0</v>
      </c>
      <c r="H298" s="11">
        <v>1993.0</v>
      </c>
      <c r="I298" s="11">
        <v>0.0</v>
      </c>
      <c r="J298" s="11">
        <v>402.0</v>
      </c>
      <c r="K298" s="11">
        <v>104.0</v>
      </c>
      <c r="L298" s="11">
        <v>8.0</v>
      </c>
      <c r="M298" s="13">
        <f t="shared" ref="M298:O298" si="300">IFERROR(G298/F298,"")</f>
        <v>0.1206030151</v>
      </c>
      <c r="N298" s="13">
        <f t="shared" si="300"/>
        <v>0.6339058524</v>
      </c>
      <c r="O298" s="14">
        <f t="shared" si="300"/>
        <v>0</v>
      </c>
      <c r="P298" s="13">
        <f t="shared" si="3"/>
        <v>0.2017059709</v>
      </c>
      <c r="Q298" s="13">
        <f t="shared" si="4"/>
        <v>0.05218263924</v>
      </c>
      <c r="R298" s="13">
        <f t="shared" si="5"/>
        <v>0.004014049172</v>
      </c>
      <c r="S298" s="14">
        <f t="shared" si="6"/>
        <v>1.869368116</v>
      </c>
      <c r="T298" s="14">
        <f t="shared" si="7"/>
        <v>1.265505678</v>
      </c>
      <c r="U298" s="14">
        <f t="shared" si="8"/>
        <v>5.109747354</v>
      </c>
    </row>
    <row r="299" ht="15.75" customHeight="1">
      <c r="A299" s="9">
        <v>45789.5716047917</v>
      </c>
      <c r="B299" s="10">
        <v>13.0</v>
      </c>
      <c r="C299" s="10" t="s">
        <v>71</v>
      </c>
      <c r="D299" s="10" t="s">
        <v>872</v>
      </c>
      <c r="E299" s="12" t="s">
        <v>62</v>
      </c>
      <c r="F299" s="11">
        <v>306680.0</v>
      </c>
      <c r="G299" s="11">
        <v>13644.0</v>
      </c>
      <c r="H299" s="11">
        <v>6417.0</v>
      </c>
      <c r="I299" s="11">
        <v>8313.0</v>
      </c>
      <c r="J299" s="11">
        <v>310.0</v>
      </c>
      <c r="K299" s="11">
        <v>63.0</v>
      </c>
      <c r="L299" s="11">
        <v>51.0</v>
      </c>
      <c r="M299" s="13">
        <f t="shared" ref="M299:O299" si="301">IFERROR(G299/F299,"")</f>
        <v>0.04448937003</v>
      </c>
      <c r="N299" s="13">
        <f t="shared" si="301"/>
        <v>0.4703166227</v>
      </c>
      <c r="O299" s="14">
        <f t="shared" si="301"/>
        <v>1.295465171</v>
      </c>
      <c r="P299" s="13">
        <f t="shared" si="3"/>
        <v>0.04830917874</v>
      </c>
      <c r="Q299" s="13">
        <f t="shared" si="4"/>
        <v>0.009817671809</v>
      </c>
      <c r="R299" s="13">
        <f t="shared" si="5"/>
        <v>0.007947639084</v>
      </c>
      <c r="S299" s="14">
        <f t="shared" si="6"/>
        <v>0.6991998611</v>
      </c>
      <c r="T299" s="14">
        <f t="shared" si="7"/>
        <v>0.9326847967</v>
      </c>
      <c r="U299" s="14">
        <f t="shared" si="8"/>
        <v>0.961350811</v>
      </c>
    </row>
    <row r="300" ht="15.75" customHeight="1">
      <c r="A300" s="9">
        <v>45791.2401094792</v>
      </c>
      <c r="B300" s="10">
        <v>5.0</v>
      </c>
      <c r="C300" s="10" t="s">
        <v>80</v>
      </c>
      <c r="D300" s="10" t="s">
        <v>875</v>
      </c>
      <c r="E300" s="12" t="s">
        <v>62</v>
      </c>
      <c r="F300" s="11">
        <v>10984.0</v>
      </c>
      <c r="G300" s="11">
        <v>15533.0</v>
      </c>
      <c r="H300" s="11">
        <v>12044.0</v>
      </c>
      <c r="I300" s="11">
        <v>6236.0</v>
      </c>
      <c r="J300" s="11">
        <v>753.0</v>
      </c>
      <c r="K300" s="11">
        <v>53.0</v>
      </c>
      <c r="L300" s="11">
        <v>127.0</v>
      </c>
      <c r="M300" s="13">
        <f t="shared" ref="M300:O300" si="302">IFERROR(G300/F300,"")</f>
        <v>1.414147851</v>
      </c>
      <c r="N300" s="13">
        <f t="shared" si="302"/>
        <v>0.775381446</v>
      </c>
      <c r="O300" s="14">
        <f t="shared" si="302"/>
        <v>0.5177681833</v>
      </c>
      <c r="P300" s="13">
        <f t="shared" si="3"/>
        <v>0.06252075722</v>
      </c>
      <c r="Q300" s="13">
        <f t="shared" si="4"/>
        <v>0.004400531385</v>
      </c>
      <c r="R300" s="13">
        <f t="shared" si="5"/>
        <v>0.01054466955</v>
      </c>
      <c r="S300" s="14">
        <f t="shared" si="6"/>
        <v>22.59086132</v>
      </c>
      <c r="T300" s="14">
        <f t="shared" si="7"/>
        <v>1.53866435</v>
      </c>
      <c r="U300" s="14">
        <f t="shared" si="8"/>
        <v>0.4309019998</v>
      </c>
    </row>
    <row r="301" ht="15.75" customHeight="1">
      <c r="A301" s="9">
        <v>45793.2509971528</v>
      </c>
      <c r="B301" s="10">
        <v>6.0</v>
      </c>
      <c r="C301" s="10" t="s">
        <v>60</v>
      </c>
      <c r="D301" s="10" t="s">
        <v>878</v>
      </c>
      <c r="E301" s="12" t="s">
        <v>62</v>
      </c>
      <c r="F301" s="11">
        <v>704111.0</v>
      </c>
      <c r="G301" s="11">
        <v>34515.0</v>
      </c>
      <c r="H301" s="11">
        <v>12779.0</v>
      </c>
      <c r="I301" s="11">
        <v>20535.0</v>
      </c>
      <c r="J301" s="11">
        <v>582.0</v>
      </c>
      <c r="K301" s="11">
        <v>191.0</v>
      </c>
      <c r="L301" s="11">
        <v>143.0</v>
      </c>
      <c r="M301" s="13">
        <f t="shared" ref="M301:O301" si="303">IFERROR(G301/F301,"")</f>
        <v>0.04901925975</v>
      </c>
      <c r="N301" s="13">
        <f t="shared" si="303"/>
        <v>0.3702448211</v>
      </c>
      <c r="O301" s="14">
        <f t="shared" si="303"/>
        <v>1.60693325</v>
      </c>
      <c r="P301" s="13">
        <f t="shared" si="3"/>
        <v>0.04554346976</v>
      </c>
      <c r="Q301" s="13">
        <f t="shared" si="4"/>
        <v>0.01494639643</v>
      </c>
      <c r="R301" s="13">
        <f t="shared" si="5"/>
        <v>0.01119023398</v>
      </c>
      <c r="S301" s="14">
        <f t="shared" si="6"/>
        <v>0.7743714647</v>
      </c>
      <c r="T301" s="14">
        <f t="shared" si="7"/>
        <v>0.733683985</v>
      </c>
      <c r="U301" s="14">
        <f t="shared" si="8"/>
        <v>1.463557818</v>
      </c>
    </row>
    <row r="302" ht="15.75" customHeight="1">
      <c r="A302" s="9">
        <v>45794.2586699769</v>
      </c>
      <c r="B302" s="10">
        <v>6.0</v>
      </c>
      <c r="C302" s="10" t="s">
        <v>69</v>
      </c>
      <c r="D302" s="10" t="s">
        <v>881</v>
      </c>
      <c r="E302" s="12" t="s">
        <v>62</v>
      </c>
      <c r="F302" s="11">
        <v>139999.0</v>
      </c>
      <c r="G302" s="11">
        <v>20597.0</v>
      </c>
      <c r="H302" s="11">
        <v>10666.0</v>
      </c>
      <c r="I302" s="11">
        <v>7084.0</v>
      </c>
      <c r="J302" s="11">
        <v>710.0</v>
      </c>
      <c r="K302" s="11">
        <v>65.0</v>
      </c>
      <c r="L302" s="11">
        <v>39.0</v>
      </c>
      <c r="M302" s="13">
        <f t="shared" ref="M302:O302" si="304">IFERROR(G302/F302,"")</f>
        <v>0.1471224794</v>
      </c>
      <c r="N302" s="13">
        <f t="shared" si="304"/>
        <v>0.5178424042</v>
      </c>
      <c r="O302" s="14">
        <f t="shared" si="304"/>
        <v>0.6641665104</v>
      </c>
      <c r="P302" s="13">
        <f t="shared" si="3"/>
        <v>0.06656666042</v>
      </c>
      <c r="Q302" s="13">
        <f t="shared" si="4"/>
        <v>0.006094130883</v>
      </c>
      <c r="R302" s="13">
        <f t="shared" si="5"/>
        <v>0.00365647853</v>
      </c>
      <c r="S302" s="14">
        <f t="shared" si="6"/>
        <v>2.324136482</v>
      </c>
      <c r="T302" s="14">
        <f t="shared" si="7"/>
        <v>1.023179048</v>
      </c>
      <c r="U302" s="14">
        <f t="shared" si="8"/>
        <v>0.5967400195</v>
      </c>
    </row>
    <row r="303" ht="15.75" customHeight="1">
      <c r="A303" s="9">
        <v>45796.1884796412</v>
      </c>
      <c r="B303" s="10">
        <v>4.0</v>
      </c>
      <c r="C303" s="10" t="s">
        <v>71</v>
      </c>
      <c r="D303" s="10" t="s">
        <v>884</v>
      </c>
      <c r="E303" s="12" t="s">
        <v>62</v>
      </c>
      <c r="F303" s="11">
        <v>1070545.0</v>
      </c>
      <c r="G303" s="11">
        <v>75314.0</v>
      </c>
      <c r="H303" s="11">
        <v>32262.0</v>
      </c>
      <c r="I303" s="11">
        <v>46636.0</v>
      </c>
      <c r="J303" s="11">
        <v>1218.0</v>
      </c>
      <c r="K303" s="11">
        <v>300.0</v>
      </c>
      <c r="L303" s="11">
        <v>276.0</v>
      </c>
      <c r="M303" s="13">
        <f t="shared" ref="M303:O303" si="305">IFERROR(G303/F303,"")</f>
        <v>0.07035108286</v>
      </c>
      <c r="N303" s="13">
        <f t="shared" si="305"/>
        <v>0.428366572</v>
      </c>
      <c r="O303" s="14">
        <f t="shared" si="305"/>
        <v>1.445539644</v>
      </c>
      <c r="P303" s="13">
        <f t="shared" si="3"/>
        <v>0.03775339409</v>
      </c>
      <c r="Q303" s="13">
        <f t="shared" si="4"/>
        <v>0.009298865538</v>
      </c>
      <c r="R303" s="13">
        <f t="shared" si="5"/>
        <v>0.008554956295</v>
      </c>
      <c r="S303" s="14">
        <f t="shared" si="6"/>
        <v>1.111356462</v>
      </c>
      <c r="T303" s="14">
        <f t="shared" si="7"/>
        <v>0.843064723</v>
      </c>
      <c r="U303" s="14">
        <f t="shared" si="8"/>
        <v>0.9175230427</v>
      </c>
    </row>
    <row r="304" ht="15.75" customHeight="1">
      <c r="A304" s="9">
        <v>45798.2617933565</v>
      </c>
      <c r="B304" s="10">
        <v>6.0</v>
      </c>
      <c r="C304" s="10" t="s">
        <v>80</v>
      </c>
      <c r="D304" s="10" t="s">
        <v>887</v>
      </c>
      <c r="E304" s="12" t="s">
        <v>62</v>
      </c>
      <c r="F304" s="11">
        <v>962899.0</v>
      </c>
      <c r="G304" s="11">
        <v>138876.0</v>
      </c>
      <c r="H304" s="11">
        <v>92565.0</v>
      </c>
      <c r="I304" s="11">
        <v>74078.0</v>
      </c>
      <c r="J304" s="11">
        <v>3073.0</v>
      </c>
      <c r="K304" s="11">
        <v>470.0</v>
      </c>
      <c r="L304" s="11">
        <v>484.0</v>
      </c>
      <c r="M304" s="13">
        <f t="shared" ref="M304:O304" si="306">IFERROR(G304/F304,"")</f>
        <v>0.1442269646</v>
      </c>
      <c r="N304" s="13">
        <f t="shared" si="306"/>
        <v>0.666529854</v>
      </c>
      <c r="O304" s="14">
        <f t="shared" si="306"/>
        <v>0.8002808837</v>
      </c>
      <c r="P304" s="13">
        <f t="shared" si="3"/>
        <v>0.03319829309</v>
      </c>
      <c r="Q304" s="13">
        <f t="shared" si="4"/>
        <v>0.005077513099</v>
      </c>
      <c r="R304" s="13">
        <f t="shared" si="5"/>
        <v>0.00522875817</v>
      </c>
      <c r="S304" s="14">
        <f t="shared" si="6"/>
        <v>2.32272442</v>
      </c>
      <c r="T304" s="14">
        <f t="shared" si="7"/>
        <v>1.311791917</v>
      </c>
      <c r="U304" s="14">
        <f t="shared" si="8"/>
        <v>0.4971923518</v>
      </c>
    </row>
    <row r="305" ht="15.75" customHeight="1">
      <c r="A305" s="9">
        <v>45800.2617443634</v>
      </c>
      <c r="B305" s="10">
        <v>6.0</v>
      </c>
      <c r="C305" s="10" t="s">
        <v>60</v>
      </c>
      <c r="D305" s="10" t="s">
        <v>889</v>
      </c>
      <c r="E305" s="12" t="s">
        <v>62</v>
      </c>
      <c r="F305" s="11">
        <v>599340.0</v>
      </c>
      <c r="G305" s="11">
        <v>34530.0</v>
      </c>
      <c r="H305" s="11">
        <v>19706.0</v>
      </c>
      <c r="I305" s="11">
        <v>22295.0</v>
      </c>
      <c r="J305" s="11">
        <v>1973.0</v>
      </c>
      <c r="K305" s="11">
        <v>183.0</v>
      </c>
      <c r="L305" s="11">
        <v>175.0</v>
      </c>
      <c r="M305" s="13">
        <f t="shared" ref="M305:O305" si="307">IFERROR(G305/F305,"")</f>
        <v>0.05761337471</v>
      </c>
      <c r="N305" s="13">
        <f t="shared" si="307"/>
        <v>0.5706921518</v>
      </c>
      <c r="O305" s="14">
        <f t="shared" si="307"/>
        <v>1.131381305</v>
      </c>
      <c r="P305" s="13">
        <f t="shared" si="3"/>
        <v>0.1001217903</v>
      </c>
      <c r="Q305" s="13">
        <f t="shared" si="4"/>
        <v>0.009286511722</v>
      </c>
      <c r="R305" s="13">
        <f t="shared" si="5"/>
        <v>0.008880543997</v>
      </c>
      <c r="S305" s="14">
        <f t="shared" si="6"/>
        <v>0.9383026986</v>
      </c>
      <c r="T305" s="14">
        <f t="shared" si="7"/>
        <v>1.120339185</v>
      </c>
      <c r="U305" s="14">
        <f t="shared" si="8"/>
        <v>0.9093393779</v>
      </c>
    </row>
    <row r="306" ht="15.75" customHeight="1">
      <c r="A306" s="9">
        <v>45801.2612540625</v>
      </c>
      <c r="B306" s="10">
        <v>6.0</v>
      </c>
      <c r="C306" s="10" t="s">
        <v>69</v>
      </c>
      <c r="D306" s="10" t="s">
        <v>892</v>
      </c>
      <c r="E306" s="12" t="s">
        <v>62</v>
      </c>
      <c r="F306" s="11">
        <v>1.7325586E7</v>
      </c>
      <c r="G306" s="11">
        <v>741021.0</v>
      </c>
      <c r="H306" s="11">
        <v>319226.0</v>
      </c>
      <c r="I306" s="11">
        <v>427431.0</v>
      </c>
      <c r="J306" s="11">
        <v>11652.0</v>
      </c>
      <c r="K306" s="11">
        <v>1282.0</v>
      </c>
      <c r="L306" s="11">
        <v>2608.0</v>
      </c>
      <c r="M306" s="13">
        <f t="shared" ref="M306:O306" si="308">IFERROR(G306/F306,"")</f>
        <v>0.04277032823</v>
      </c>
      <c r="N306" s="13">
        <f t="shared" si="308"/>
        <v>0.4307921098</v>
      </c>
      <c r="O306" s="14">
        <f t="shared" si="308"/>
        <v>1.338960486</v>
      </c>
      <c r="P306" s="13">
        <f t="shared" si="3"/>
        <v>0.03650078628</v>
      </c>
      <c r="Q306" s="13">
        <f t="shared" si="4"/>
        <v>0.004015963612</v>
      </c>
      <c r="R306" s="13">
        <f t="shared" si="5"/>
        <v>0.008169760608</v>
      </c>
      <c r="S306" s="14">
        <f t="shared" si="6"/>
        <v>0.7024555574</v>
      </c>
      <c r="T306" s="14">
        <f t="shared" si="7"/>
        <v>0.8451761557</v>
      </c>
      <c r="U306" s="14">
        <f t="shared" si="8"/>
        <v>0.3919752291</v>
      </c>
    </row>
    <row r="307" ht="15.75" customHeight="1">
      <c r="A307" s="9">
        <v>45803.217368669</v>
      </c>
      <c r="B307" s="10">
        <v>5.0</v>
      </c>
      <c r="C307" s="10" t="s">
        <v>71</v>
      </c>
      <c r="D307" s="10" t="s">
        <v>895</v>
      </c>
      <c r="E307" s="12" t="s">
        <v>62</v>
      </c>
      <c r="F307" s="11">
        <v>2153314.0</v>
      </c>
      <c r="G307" s="11">
        <v>252503.0</v>
      </c>
      <c r="H307" s="11">
        <v>77333.0</v>
      </c>
      <c r="I307" s="11">
        <v>71202.0</v>
      </c>
      <c r="J307" s="11">
        <v>2682.0</v>
      </c>
      <c r="K307" s="11">
        <v>496.0</v>
      </c>
      <c r="L307" s="11">
        <v>460.0</v>
      </c>
      <c r="M307" s="13">
        <f t="shared" ref="M307:O307" si="309">IFERROR(G307/F307,"")</f>
        <v>0.1172625079</v>
      </c>
      <c r="N307" s="13">
        <f t="shared" si="309"/>
        <v>0.3062656681</v>
      </c>
      <c r="O307" s="14">
        <f t="shared" si="309"/>
        <v>0.9207194859</v>
      </c>
      <c r="P307" s="13">
        <f t="shared" si="3"/>
        <v>0.03468118397</v>
      </c>
      <c r="Q307" s="13">
        <f t="shared" si="4"/>
        <v>0.006413820749</v>
      </c>
      <c r="R307" s="13">
        <f t="shared" si="5"/>
        <v>0.005948301501</v>
      </c>
      <c r="S307" s="14">
        <f t="shared" si="6"/>
        <v>1.909760159</v>
      </c>
      <c r="T307" s="14">
        <f t="shared" si="7"/>
        <v>0.6012373363</v>
      </c>
      <c r="U307" s="14">
        <f t="shared" si="8"/>
        <v>0.6280441941</v>
      </c>
    </row>
    <row r="308" ht="15.75" customHeight="1">
      <c r="A308" s="9">
        <v>45805.2182403935</v>
      </c>
      <c r="B308" s="10">
        <v>5.0</v>
      </c>
      <c r="C308" s="10" t="s">
        <v>80</v>
      </c>
      <c r="D308" s="10" t="s">
        <v>897</v>
      </c>
      <c r="E308" s="12" t="s">
        <v>62</v>
      </c>
      <c r="F308" s="11">
        <v>462497.0</v>
      </c>
      <c r="G308" s="11">
        <v>28160.0</v>
      </c>
      <c r="H308" s="11">
        <v>11238.0</v>
      </c>
      <c r="I308" s="11">
        <v>18591.0</v>
      </c>
      <c r="J308" s="11">
        <v>719.0</v>
      </c>
      <c r="K308" s="11">
        <v>85.0</v>
      </c>
      <c r="L308" s="11">
        <v>84.0</v>
      </c>
      <c r="M308" s="13">
        <f t="shared" ref="M308:O308" si="310">IFERROR(G308/F308,"")</f>
        <v>0.06088688143</v>
      </c>
      <c r="N308" s="13">
        <f t="shared" si="310"/>
        <v>0.3990767045</v>
      </c>
      <c r="O308" s="14">
        <f t="shared" si="310"/>
        <v>1.654297918</v>
      </c>
      <c r="P308" s="13">
        <f t="shared" si="3"/>
        <v>0.06397935576</v>
      </c>
      <c r="Q308" s="13">
        <f t="shared" si="4"/>
        <v>0.007563623421</v>
      </c>
      <c r="R308" s="13">
        <f t="shared" si="5"/>
        <v>0.007474639616</v>
      </c>
      <c r="S308" s="14">
        <f t="shared" si="6"/>
        <v>1.000650238</v>
      </c>
      <c r="T308" s="14">
        <f t="shared" si="7"/>
        <v>0.7799128462</v>
      </c>
      <c r="U308" s="14">
        <f t="shared" si="8"/>
        <v>0.7406333855</v>
      </c>
    </row>
    <row r="309" ht="15.75" customHeight="1">
      <c r="A309" s="9">
        <v>45807.2220872222</v>
      </c>
      <c r="B309" s="10">
        <v>5.0</v>
      </c>
      <c r="C309" s="10" t="s">
        <v>60</v>
      </c>
      <c r="D309" s="10" t="s">
        <v>900</v>
      </c>
      <c r="E309" s="12" t="s">
        <v>62</v>
      </c>
      <c r="F309" s="11">
        <v>76078.0</v>
      </c>
      <c r="G309" s="11">
        <v>1769.0</v>
      </c>
      <c r="H309" s="11">
        <v>891.0</v>
      </c>
      <c r="I309" s="11">
        <v>1531.0</v>
      </c>
      <c r="J309" s="11">
        <v>134.0</v>
      </c>
      <c r="K309" s="11">
        <v>37.0</v>
      </c>
      <c r="L309" s="11">
        <v>18.0</v>
      </c>
      <c r="M309" s="13">
        <f t="shared" ref="M309:O309" si="311">IFERROR(G309/F309,"")</f>
        <v>0.02325245143</v>
      </c>
      <c r="N309" s="13">
        <f t="shared" si="311"/>
        <v>0.5036743923</v>
      </c>
      <c r="O309" s="14">
        <f t="shared" si="311"/>
        <v>1.718294052</v>
      </c>
      <c r="P309" s="13">
        <f t="shared" si="3"/>
        <v>0.1503928171</v>
      </c>
      <c r="Q309" s="13">
        <f t="shared" si="4"/>
        <v>0.04152637486</v>
      </c>
      <c r="R309" s="13">
        <f t="shared" si="5"/>
        <v>0.0202020202</v>
      </c>
      <c r="S309" s="14">
        <f t="shared" si="6"/>
        <v>0.3821442405</v>
      </c>
      <c r="T309" s="14">
        <f t="shared" si="7"/>
        <v>0.9843273847</v>
      </c>
      <c r="U309" s="14">
        <f t="shared" si="8"/>
        <v>4.020917237</v>
      </c>
    </row>
    <row r="310" ht="15.75" customHeight="1">
      <c r="A310" s="9">
        <v>45808.2234335069</v>
      </c>
      <c r="B310" s="10">
        <v>5.0</v>
      </c>
      <c r="C310" s="10" t="s">
        <v>69</v>
      </c>
      <c r="D310" s="10" t="s">
        <v>903</v>
      </c>
      <c r="E310" s="12" t="s">
        <v>62</v>
      </c>
      <c r="F310" s="11">
        <v>422571.0</v>
      </c>
      <c r="G310" s="11">
        <v>89007.0</v>
      </c>
      <c r="H310" s="11">
        <v>61376.0</v>
      </c>
      <c r="I310" s="11">
        <v>41894.0</v>
      </c>
      <c r="J310" s="11">
        <v>3747.0</v>
      </c>
      <c r="K310" s="11">
        <v>1251.0</v>
      </c>
      <c r="L310" s="11">
        <v>138.0</v>
      </c>
      <c r="M310" s="13">
        <f t="shared" ref="M310:O310" si="312">IFERROR(G310/F310,"")</f>
        <v>0.2106320595</v>
      </c>
      <c r="N310" s="13">
        <f t="shared" si="312"/>
        <v>0.6895637422</v>
      </c>
      <c r="O310" s="14">
        <f t="shared" si="312"/>
        <v>0.6825795099</v>
      </c>
      <c r="P310" s="13">
        <f t="shared" si="3"/>
        <v>0.06104992179</v>
      </c>
      <c r="Q310" s="13">
        <f t="shared" si="4"/>
        <v>0.02038255996</v>
      </c>
      <c r="R310" s="13">
        <f t="shared" si="5"/>
        <v>0.002248435871</v>
      </c>
      <c r="S310" s="14">
        <f t="shared" si="6"/>
        <v>3.463901496</v>
      </c>
      <c r="T310" s="14">
        <f t="shared" si="7"/>
        <v>1.342396665</v>
      </c>
      <c r="U310" s="14">
        <f t="shared" si="8"/>
        <v>1.958031043</v>
      </c>
    </row>
    <row r="311" ht="15.75" customHeight="1">
      <c r="A311" s="9">
        <v>45810.2196927199</v>
      </c>
      <c r="B311" s="10">
        <v>5.0</v>
      </c>
      <c r="C311" s="10" t="s">
        <v>71</v>
      </c>
      <c r="D311" s="10" t="s">
        <v>905</v>
      </c>
      <c r="E311" s="12" t="s">
        <v>62</v>
      </c>
      <c r="F311" s="11">
        <v>3877521.0</v>
      </c>
      <c r="G311" s="11">
        <v>180217.0</v>
      </c>
      <c r="H311" s="11">
        <v>133424.0</v>
      </c>
      <c r="I311" s="11">
        <v>204089.0</v>
      </c>
      <c r="J311" s="11">
        <v>4051.0</v>
      </c>
      <c r="K311" s="11">
        <v>1467.0</v>
      </c>
      <c r="L311" s="11">
        <v>415.0</v>
      </c>
      <c r="M311" s="13">
        <f t="shared" ref="M311:O311" si="313">IFERROR(G311/F311,"")</f>
        <v>0.04647737562</v>
      </c>
      <c r="N311" s="13">
        <f t="shared" si="313"/>
        <v>0.7403519091</v>
      </c>
      <c r="O311" s="14">
        <f t="shared" si="313"/>
        <v>1.529627353</v>
      </c>
      <c r="P311" s="13">
        <f t="shared" si="3"/>
        <v>0.03036185394</v>
      </c>
      <c r="Q311" s="13">
        <f t="shared" si="4"/>
        <v>0.01099502338</v>
      </c>
      <c r="R311" s="13">
        <f t="shared" si="5"/>
        <v>0.003110384938</v>
      </c>
      <c r="S311" s="14">
        <f t="shared" si="6"/>
        <v>0.7638360825</v>
      </c>
      <c r="T311" s="14">
        <f t="shared" si="7"/>
        <v>1.437271333</v>
      </c>
      <c r="U311" s="14">
        <f t="shared" si="8"/>
        <v>1.064626498</v>
      </c>
    </row>
    <row r="312" ht="15.75" customHeight="1">
      <c r="A312" s="9">
        <v>45812.2161970255</v>
      </c>
      <c r="B312" s="10">
        <v>5.0</v>
      </c>
      <c r="C312" s="10" t="s">
        <v>80</v>
      </c>
      <c r="D312" s="10" t="s">
        <v>908</v>
      </c>
      <c r="E312" s="12" t="s">
        <v>62</v>
      </c>
      <c r="F312" s="11">
        <v>1276336.0</v>
      </c>
      <c r="G312" s="11">
        <v>162347.0</v>
      </c>
      <c r="H312" s="11">
        <v>60639.0</v>
      </c>
      <c r="I312" s="11">
        <v>88890.0</v>
      </c>
      <c r="J312" s="11">
        <v>1916.0</v>
      </c>
      <c r="K312" s="11">
        <v>1342.0</v>
      </c>
      <c r="L312" s="11">
        <v>232.0</v>
      </c>
      <c r="M312" s="13">
        <f t="shared" ref="M312:O312" si="314">IFERROR(G312/F312,"")</f>
        <v>0.1271976972</v>
      </c>
      <c r="N312" s="13">
        <f t="shared" si="314"/>
        <v>0.3735147554</v>
      </c>
      <c r="O312" s="14">
        <f t="shared" si="314"/>
        <v>1.46588829</v>
      </c>
      <c r="P312" s="13">
        <f t="shared" si="3"/>
        <v>0.03159682712</v>
      </c>
      <c r="Q312" s="13">
        <f t="shared" si="4"/>
        <v>0.02213097182</v>
      </c>
      <c r="R312" s="13">
        <f t="shared" si="5"/>
        <v>0.003825920612</v>
      </c>
      <c r="S312" s="14">
        <f t="shared" si="6"/>
        <v>2.090440551</v>
      </c>
      <c r="T312" s="14">
        <f t="shared" si="7"/>
        <v>0.7251173986</v>
      </c>
      <c r="U312" s="14">
        <f t="shared" si="8"/>
        <v>2.142898492</v>
      </c>
    </row>
    <row r="313" ht="15.75" customHeight="1">
      <c r="A313" s="9">
        <v>45814.2224753357</v>
      </c>
      <c r="B313" s="10">
        <v>5.0</v>
      </c>
      <c r="C313" s="10" t="s">
        <v>60</v>
      </c>
      <c r="D313" s="10" t="s">
        <v>910</v>
      </c>
      <c r="E313" s="12" t="s">
        <v>62</v>
      </c>
      <c r="F313" s="11">
        <v>260022.0</v>
      </c>
      <c r="G313" s="11">
        <v>52436.0</v>
      </c>
      <c r="H313" s="11">
        <v>19587.0</v>
      </c>
      <c r="I313" s="11">
        <v>12414.0</v>
      </c>
      <c r="J313" s="11">
        <v>1536.0</v>
      </c>
      <c r="K313" s="11">
        <v>213.0</v>
      </c>
      <c r="L313" s="11">
        <v>80.0</v>
      </c>
      <c r="M313" s="13">
        <f t="shared" ref="M313:O313" si="315">IFERROR(G313/F313,"")</f>
        <v>0.2016598596</v>
      </c>
      <c r="N313" s="13">
        <f t="shared" si="315"/>
        <v>0.3735410786</v>
      </c>
      <c r="O313" s="14">
        <f t="shared" si="315"/>
        <v>0.6337877163</v>
      </c>
      <c r="P313" s="13">
        <f t="shared" si="3"/>
        <v>0.07841935978</v>
      </c>
      <c r="Q313" s="13">
        <f t="shared" si="4"/>
        <v>0.01087455966</v>
      </c>
      <c r="R313" s="13">
        <f t="shared" si="5"/>
        <v>0.004084341655</v>
      </c>
      <c r="S313" s="14">
        <f t="shared" si="6"/>
        <v>3.308066149</v>
      </c>
      <c r="T313" s="14">
        <f t="shared" si="7"/>
        <v>0.7251685008</v>
      </c>
      <c r="U313" s="14">
        <f t="shared" si="8"/>
        <v>1.047844847</v>
      </c>
    </row>
    <row r="314" ht="15.75" customHeight="1">
      <c r="A314" s="9">
        <v>45815.2245673611</v>
      </c>
      <c r="B314" s="10">
        <v>5.0</v>
      </c>
      <c r="C314" s="10" t="s">
        <v>69</v>
      </c>
      <c r="D314" s="10" t="s">
        <v>913</v>
      </c>
      <c r="E314" s="12" t="s">
        <v>62</v>
      </c>
      <c r="F314" s="11">
        <v>1158436.0</v>
      </c>
      <c r="G314" s="11">
        <v>20846.0</v>
      </c>
      <c r="H314" s="11">
        <v>10808.0</v>
      </c>
      <c r="I314" s="11">
        <v>13942.0</v>
      </c>
      <c r="J314" s="11">
        <v>425.0</v>
      </c>
      <c r="K314" s="11">
        <v>125.0</v>
      </c>
      <c r="L314" s="11">
        <v>52.0</v>
      </c>
      <c r="M314" s="13">
        <f t="shared" ref="M314:O314" si="316">IFERROR(G314/F314,"")</f>
        <v>0.01799495181</v>
      </c>
      <c r="N314" s="13">
        <f t="shared" si="316"/>
        <v>0.518468771</v>
      </c>
      <c r="O314" s="14">
        <f t="shared" si="316"/>
        <v>1.289970392</v>
      </c>
      <c r="P314" s="13">
        <f t="shared" si="3"/>
        <v>0.03932272391</v>
      </c>
      <c r="Q314" s="13">
        <f t="shared" si="4"/>
        <v>0.01156550703</v>
      </c>
      <c r="R314" s="13">
        <f t="shared" si="5"/>
        <v>0.004811250925</v>
      </c>
      <c r="S314" s="14">
        <f t="shared" si="6"/>
        <v>0.2955472738</v>
      </c>
      <c r="T314" s="14">
        <f t="shared" si="7"/>
        <v>1.009320396</v>
      </c>
      <c r="U314" s="14">
        <f t="shared" si="8"/>
        <v>1.128842964</v>
      </c>
    </row>
    <row r="315" ht="15.75" customHeight="1">
      <c r="A315" s="9">
        <v>45817.1507768056</v>
      </c>
      <c r="B315" s="10">
        <v>3.0</v>
      </c>
      <c r="C315" s="10" t="s">
        <v>71</v>
      </c>
      <c r="D315" s="10" t="s">
        <v>915</v>
      </c>
      <c r="E315" s="12" t="s">
        <v>62</v>
      </c>
      <c r="F315" s="11">
        <v>1738229.0</v>
      </c>
      <c r="G315" s="11">
        <v>45002.0</v>
      </c>
      <c r="H315" s="11">
        <v>18969.0</v>
      </c>
      <c r="I315" s="11">
        <v>32592.0</v>
      </c>
      <c r="J315" s="11">
        <v>1198.0</v>
      </c>
      <c r="K315" s="11">
        <v>278.0</v>
      </c>
      <c r="L315" s="11">
        <v>231.0</v>
      </c>
      <c r="M315" s="13">
        <f t="shared" ref="M315:O315" si="317">IFERROR(G315/F315,"")</f>
        <v>0.02588956921</v>
      </c>
      <c r="N315" s="13">
        <f t="shared" si="317"/>
        <v>0.4215145994</v>
      </c>
      <c r="O315" s="14">
        <f t="shared" si="317"/>
        <v>1.718171754</v>
      </c>
      <c r="P315" s="13">
        <f t="shared" si="3"/>
        <v>0.06315567505</v>
      </c>
      <c r="Q315" s="13">
        <f t="shared" si="4"/>
        <v>0.01465549054</v>
      </c>
      <c r="R315" s="13">
        <f t="shared" si="5"/>
        <v>0.01217776372</v>
      </c>
      <c r="S315" s="14">
        <f t="shared" si="6"/>
        <v>0.4246973479</v>
      </c>
      <c r="T315" s="14">
        <f t="shared" si="7"/>
        <v>0.8150091406</v>
      </c>
      <c r="U315" s="14">
        <f t="shared" si="8"/>
        <v>1.435022477</v>
      </c>
    </row>
    <row r="316" ht="15.75" customHeight="1">
      <c r="A316" s="9">
        <v>45819.1961831944</v>
      </c>
      <c r="B316" s="10">
        <v>4.0</v>
      </c>
      <c r="C316" s="10" t="s">
        <v>80</v>
      </c>
      <c r="D316" s="10" t="s">
        <v>918</v>
      </c>
      <c r="E316" s="12" t="s">
        <v>62</v>
      </c>
      <c r="F316" s="11">
        <v>140440.0</v>
      </c>
      <c r="G316" s="11">
        <v>2581.0</v>
      </c>
      <c r="H316" s="11">
        <v>1067.0</v>
      </c>
      <c r="I316" s="11">
        <v>934.0</v>
      </c>
      <c r="J316" s="11">
        <v>154.0</v>
      </c>
      <c r="K316" s="11">
        <v>37.0</v>
      </c>
      <c r="L316" s="11">
        <v>13.0</v>
      </c>
      <c r="M316" s="13">
        <f t="shared" ref="M316:O316" si="318">IFERROR(G316/F316,"")</f>
        <v>0.018377955</v>
      </c>
      <c r="N316" s="13">
        <f t="shared" si="318"/>
        <v>0.4134056567</v>
      </c>
      <c r="O316" s="14">
        <f t="shared" si="318"/>
        <v>0.8753514527</v>
      </c>
      <c r="P316" s="13">
        <f t="shared" si="3"/>
        <v>0.1443298969</v>
      </c>
      <c r="Q316" s="13">
        <f t="shared" si="4"/>
        <v>0.03467666354</v>
      </c>
      <c r="R316" s="13">
        <f t="shared" si="5"/>
        <v>0.0121836926</v>
      </c>
      <c r="S316" s="14">
        <f t="shared" si="6"/>
        <v>0.3014754198</v>
      </c>
      <c r="T316" s="14">
        <f t="shared" si="7"/>
        <v>0.7978407772</v>
      </c>
      <c r="U316" s="14">
        <f t="shared" si="8"/>
        <v>3.406470956</v>
      </c>
    </row>
    <row r="317" ht="15.75" customHeight="1">
      <c r="A317" s="9">
        <v>45821.188380463</v>
      </c>
      <c r="B317" s="10">
        <v>4.0</v>
      </c>
      <c r="C317" s="10" t="s">
        <v>60</v>
      </c>
      <c r="D317" s="10" t="s">
        <v>921</v>
      </c>
      <c r="E317" s="12" t="s">
        <v>62</v>
      </c>
      <c r="F317" s="11">
        <v>3185904.0</v>
      </c>
      <c r="G317" s="11">
        <v>141153.0</v>
      </c>
      <c r="H317" s="11">
        <v>103991.0</v>
      </c>
      <c r="I317" s="11">
        <v>159254.0</v>
      </c>
      <c r="J317" s="11">
        <v>2396.0</v>
      </c>
      <c r="K317" s="11">
        <v>1034.0</v>
      </c>
      <c r="L317" s="11">
        <v>450.0</v>
      </c>
      <c r="M317" s="13">
        <f t="shared" ref="M317:O317" si="319">IFERROR(G317/F317,"")</f>
        <v>0.04430547813</v>
      </c>
      <c r="N317" s="13">
        <f t="shared" si="319"/>
        <v>0.7367253973</v>
      </c>
      <c r="O317" s="14">
        <f t="shared" si="319"/>
        <v>1.531420988</v>
      </c>
      <c r="P317" s="13">
        <f t="shared" si="3"/>
        <v>0.02304045542</v>
      </c>
      <c r="Q317" s="13">
        <f t="shared" si="4"/>
        <v>0.009943168159</v>
      </c>
      <c r="R317" s="13">
        <f t="shared" si="5"/>
        <v>0.004327297555</v>
      </c>
      <c r="S317" s="14">
        <f t="shared" si="6"/>
        <v>0.7267953709</v>
      </c>
      <c r="T317" s="14">
        <f t="shared" si="7"/>
        <v>1.42182274</v>
      </c>
      <c r="U317" s="14">
        <f t="shared" si="8"/>
        <v>0.9847324968</v>
      </c>
    </row>
    <row r="318" ht="15.75" customHeight="1">
      <c r="A318" s="9">
        <v>45822.1996342708</v>
      </c>
      <c r="B318" s="10">
        <v>4.0</v>
      </c>
      <c r="C318" s="10" t="s">
        <v>69</v>
      </c>
      <c r="D318" s="10" t="s">
        <v>924</v>
      </c>
      <c r="E318" s="12" t="s">
        <v>62</v>
      </c>
      <c r="F318" s="11">
        <v>954558.0</v>
      </c>
      <c r="G318" s="11">
        <v>40715.0</v>
      </c>
      <c r="H318" s="11">
        <v>24847.0</v>
      </c>
      <c r="I318" s="11">
        <v>42040.0</v>
      </c>
      <c r="J318" s="11">
        <v>469.0</v>
      </c>
      <c r="K318" s="11">
        <v>199.0</v>
      </c>
      <c r="L318" s="11">
        <v>98.0</v>
      </c>
      <c r="M318" s="13">
        <f t="shared" ref="M318:O318" si="320">IFERROR(G318/F318,"")</f>
        <v>0.04265324894</v>
      </c>
      <c r="N318" s="13">
        <f t="shared" si="320"/>
        <v>0.6102664866</v>
      </c>
      <c r="O318" s="14">
        <f t="shared" si="320"/>
        <v>1.691954763</v>
      </c>
      <c r="P318" s="13">
        <f t="shared" si="3"/>
        <v>0.01887551817</v>
      </c>
      <c r="Q318" s="13">
        <f t="shared" si="4"/>
        <v>0.008009015173</v>
      </c>
      <c r="R318" s="13">
        <f t="shared" si="5"/>
        <v>0.003944138125</v>
      </c>
      <c r="S318" s="14">
        <f t="shared" si="6"/>
        <v>0.7005326589</v>
      </c>
      <c r="T318" s="14">
        <f t="shared" si="7"/>
        <v>1.177055438</v>
      </c>
      <c r="U318" s="14">
        <f t="shared" si="8"/>
        <v>0.7996726208</v>
      </c>
    </row>
    <row r="319" ht="15.75" customHeight="1">
      <c r="A319" s="9">
        <v>45824.2357915857</v>
      </c>
      <c r="B319" s="10">
        <v>5.0</v>
      </c>
      <c r="C319" s="10" t="s">
        <v>71</v>
      </c>
      <c r="D319" s="10" t="s">
        <v>926</v>
      </c>
      <c r="E319" s="12" t="s">
        <v>62</v>
      </c>
      <c r="F319" s="11">
        <v>3023045.0</v>
      </c>
      <c r="G319" s="11">
        <v>135537.0</v>
      </c>
      <c r="H319" s="11">
        <v>72710.0</v>
      </c>
      <c r="I319" s="11">
        <v>103805.0</v>
      </c>
      <c r="J319" s="11">
        <v>2952.0</v>
      </c>
      <c r="K319" s="11">
        <v>325.0</v>
      </c>
      <c r="L319" s="11">
        <v>691.0</v>
      </c>
      <c r="M319" s="13">
        <f t="shared" ref="M319:O319" si="321">IFERROR(G319/F319,"")</f>
        <v>0.04483459558</v>
      </c>
      <c r="N319" s="13">
        <f t="shared" si="321"/>
        <v>0.5364586792</v>
      </c>
      <c r="O319" s="14">
        <f t="shared" si="321"/>
        <v>1.427657819</v>
      </c>
      <c r="P319" s="13">
        <f t="shared" si="3"/>
        <v>0.04059964242</v>
      </c>
      <c r="Q319" s="13">
        <f t="shared" si="4"/>
        <v>0.00446981158</v>
      </c>
      <c r="R319" s="13">
        <f t="shared" si="5"/>
        <v>0.009503507083</v>
      </c>
      <c r="S319" s="14">
        <f t="shared" si="6"/>
        <v>0.7363588762</v>
      </c>
      <c r="T319" s="14">
        <f t="shared" si="7"/>
        <v>1.031749634</v>
      </c>
      <c r="U319" s="14">
        <f t="shared" si="8"/>
        <v>0.4462953139</v>
      </c>
    </row>
    <row r="320" ht="15.75" customHeight="1">
      <c r="A320" s="9">
        <v>45826.2765616667</v>
      </c>
      <c r="B320" s="10">
        <v>6.0</v>
      </c>
      <c r="C320" s="10" t="s">
        <v>80</v>
      </c>
      <c r="D320" s="10" t="s">
        <v>929</v>
      </c>
      <c r="E320" s="12" t="s">
        <v>62</v>
      </c>
      <c r="F320" s="11">
        <v>104987.0</v>
      </c>
      <c r="G320" s="11">
        <v>2083.0</v>
      </c>
      <c r="H320" s="11">
        <v>719.0</v>
      </c>
      <c r="I320" s="11">
        <v>393.0</v>
      </c>
      <c r="J320" s="11">
        <v>36.0</v>
      </c>
      <c r="K320" s="11">
        <v>13.0</v>
      </c>
      <c r="L320" s="11">
        <v>4.0</v>
      </c>
      <c r="M320" s="13">
        <f t="shared" ref="M320:O320" si="322">IFERROR(G320/F320,"")</f>
        <v>0.01984055169</v>
      </c>
      <c r="N320" s="13">
        <f t="shared" si="322"/>
        <v>0.345175228</v>
      </c>
      <c r="O320" s="14">
        <f t="shared" si="322"/>
        <v>0.5465924896</v>
      </c>
      <c r="P320" s="13">
        <f t="shared" si="3"/>
        <v>0.05006954103</v>
      </c>
      <c r="Q320" s="13">
        <f t="shared" si="4"/>
        <v>0.01808066759</v>
      </c>
      <c r="R320" s="13">
        <f t="shared" si="5"/>
        <v>0.005563282337</v>
      </c>
      <c r="S320" s="14">
        <f t="shared" si="6"/>
        <v>0.3254681302</v>
      </c>
      <c r="T320" s="14">
        <f t="shared" si="7"/>
        <v>0.6628672297</v>
      </c>
      <c r="U320" s="14">
        <f t="shared" si="8"/>
        <v>1.80983229</v>
      </c>
    </row>
    <row r="321" ht="15.75" customHeight="1">
      <c r="A321" s="9">
        <v>45827.3203374653</v>
      </c>
      <c r="B321" s="10">
        <v>7.0</v>
      </c>
      <c r="C321" s="10" t="s">
        <v>84</v>
      </c>
      <c r="D321" s="10" t="s">
        <v>932</v>
      </c>
      <c r="E321" s="12" t="s">
        <v>62</v>
      </c>
      <c r="F321" s="11">
        <v>94492.0</v>
      </c>
      <c r="G321" s="11">
        <v>2235.0</v>
      </c>
      <c r="H321" s="11">
        <v>1065.0</v>
      </c>
      <c r="I321" s="11">
        <v>1647.0</v>
      </c>
      <c r="J321" s="11">
        <v>98.0</v>
      </c>
      <c r="K321" s="11">
        <v>43.0</v>
      </c>
      <c r="L321" s="11">
        <v>6.0</v>
      </c>
      <c r="M321" s="13">
        <f t="shared" ref="M321:O321" si="323">IFERROR(G321/F321,"")</f>
        <v>0.023652796</v>
      </c>
      <c r="N321" s="13">
        <f t="shared" si="323"/>
        <v>0.4765100671</v>
      </c>
      <c r="O321" s="14">
        <f t="shared" si="323"/>
        <v>1.546478873</v>
      </c>
      <c r="P321" s="13">
        <f t="shared" si="3"/>
        <v>0.09201877934</v>
      </c>
      <c r="Q321" s="13">
        <f t="shared" si="4"/>
        <v>0.04037558685</v>
      </c>
      <c r="R321" s="13">
        <f t="shared" si="5"/>
        <v>0.005633802817</v>
      </c>
      <c r="S321" s="14">
        <f t="shared" si="6"/>
        <v>0.3847556112</v>
      </c>
      <c r="T321" s="14">
        <f t="shared" si="7"/>
        <v>0.9150798853</v>
      </c>
      <c r="U321" s="14">
        <f t="shared" si="8"/>
        <v>4.05312103</v>
      </c>
    </row>
    <row r="322" ht="15.75" customHeight="1">
      <c r="A322" s="9">
        <v>45829.3229834259</v>
      </c>
      <c r="B322" s="10">
        <v>7.0</v>
      </c>
      <c r="C322" s="10" t="s">
        <v>69</v>
      </c>
      <c r="D322" s="10" t="s">
        <v>934</v>
      </c>
      <c r="E322" s="12" t="s">
        <v>62</v>
      </c>
      <c r="F322" s="11">
        <v>76837.0</v>
      </c>
      <c r="G322" s="11">
        <v>2752.0</v>
      </c>
      <c r="H322" s="11">
        <v>1716.0</v>
      </c>
      <c r="I322" s="11">
        <v>2229.0</v>
      </c>
      <c r="J322" s="11">
        <v>152.0</v>
      </c>
      <c r="K322" s="11">
        <v>97.0</v>
      </c>
      <c r="L322" s="11">
        <v>10.0</v>
      </c>
      <c r="M322" s="13">
        <f t="shared" ref="M322:O322" si="324">IFERROR(G322/F322,"")</f>
        <v>0.03581607819</v>
      </c>
      <c r="N322" s="13">
        <f t="shared" si="324"/>
        <v>0.6235465116</v>
      </c>
      <c r="O322" s="14">
        <f t="shared" si="324"/>
        <v>1.298951049</v>
      </c>
      <c r="P322" s="13">
        <f t="shared" si="3"/>
        <v>0.08857808858</v>
      </c>
      <c r="Q322" s="13">
        <f t="shared" si="4"/>
        <v>0.05652680653</v>
      </c>
      <c r="R322" s="13">
        <f t="shared" si="5"/>
        <v>0.005827505828</v>
      </c>
      <c r="S322" s="14">
        <f t="shared" si="6"/>
        <v>0.5826134489</v>
      </c>
      <c r="T322" s="14">
        <f t="shared" si="7"/>
        <v>1.194511096</v>
      </c>
      <c r="U322" s="14">
        <f t="shared" si="8"/>
        <v>5.721093498</v>
      </c>
    </row>
    <row r="323" ht="15.75" customHeight="1">
      <c r="A323" s="9">
        <v>45831.2314778125</v>
      </c>
      <c r="B323" s="10">
        <v>5.0</v>
      </c>
      <c r="C323" s="10" t="s">
        <v>71</v>
      </c>
      <c r="D323" s="10" t="s">
        <v>936</v>
      </c>
      <c r="E323" s="12" t="s">
        <v>62</v>
      </c>
      <c r="F323" s="11">
        <v>1163779.0</v>
      </c>
      <c r="G323" s="11">
        <v>140333.0</v>
      </c>
      <c r="H323" s="11">
        <v>68212.0</v>
      </c>
      <c r="I323" s="11">
        <v>86725.0</v>
      </c>
      <c r="J323" s="11">
        <v>1917.0</v>
      </c>
      <c r="K323" s="11">
        <v>854.0</v>
      </c>
      <c r="L323" s="11">
        <v>169.0</v>
      </c>
      <c r="M323" s="13">
        <f t="shared" ref="M323:O323" si="325">IFERROR(G323/F323,"")</f>
        <v>0.1205838909</v>
      </c>
      <c r="N323" s="13">
        <f t="shared" si="325"/>
        <v>0.4860724135</v>
      </c>
      <c r="O323" s="14">
        <f t="shared" si="325"/>
        <v>1.271403859</v>
      </c>
      <c r="P323" s="13">
        <f t="shared" si="3"/>
        <v>0.02810355949</v>
      </c>
      <c r="Q323" s="13">
        <f t="shared" si="4"/>
        <v>0.01251979124</v>
      </c>
      <c r="R323" s="13">
        <f t="shared" si="5"/>
        <v>0.002477569929</v>
      </c>
      <c r="S323" s="14">
        <f t="shared" si="6"/>
        <v>1.910251204</v>
      </c>
      <c r="T323" s="14">
        <f t="shared" si="7"/>
        <v>0.9287348197</v>
      </c>
      <c r="U323" s="14">
        <f t="shared" si="8"/>
        <v>1.309838807</v>
      </c>
    </row>
    <row r="324" ht="15.75" customHeight="1">
      <c r="A324" s="9">
        <v>45833.233570625</v>
      </c>
      <c r="B324" s="10">
        <v>5.0</v>
      </c>
      <c r="C324" s="10" t="s">
        <v>80</v>
      </c>
      <c r="D324" s="10" t="s">
        <v>939</v>
      </c>
      <c r="E324" s="12" t="s">
        <v>62</v>
      </c>
      <c r="F324" s="11">
        <v>1073447.0</v>
      </c>
      <c r="G324" s="11">
        <v>58724.0</v>
      </c>
      <c r="H324" s="11">
        <v>29781.0</v>
      </c>
      <c r="I324" s="11">
        <v>45720.0</v>
      </c>
      <c r="J324" s="11">
        <v>999.0</v>
      </c>
      <c r="K324" s="11">
        <v>562.0</v>
      </c>
      <c r="L324" s="11">
        <v>114.0</v>
      </c>
      <c r="M324" s="13">
        <f t="shared" ref="M324:O324" si="326">IFERROR(G324/F324,"")</f>
        <v>0.05470600784</v>
      </c>
      <c r="N324" s="13">
        <f t="shared" si="326"/>
        <v>0.5071350725</v>
      </c>
      <c r="O324" s="14">
        <f t="shared" si="326"/>
        <v>1.535207011</v>
      </c>
      <c r="P324" s="13">
        <f t="shared" si="3"/>
        <v>0.03354487761</v>
      </c>
      <c r="Q324" s="13">
        <f t="shared" si="4"/>
        <v>0.01887109231</v>
      </c>
      <c r="R324" s="13">
        <f t="shared" si="5"/>
        <v>0.003827943991</v>
      </c>
      <c r="S324" s="14">
        <f t="shared" si="6"/>
        <v>0.8493518384</v>
      </c>
      <c r="T324" s="14">
        <f t="shared" si="7"/>
        <v>0.963485749</v>
      </c>
      <c r="U324" s="14">
        <f t="shared" si="8"/>
        <v>2.03074622</v>
      </c>
    </row>
    <row r="325" ht="15.75" customHeight="1">
      <c r="A325" s="9">
        <v>45835.2333754167</v>
      </c>
      <c r="B325" s="10">
        <v>5.0</v>
      </c>
      <c r="C325" s="10" t="s">
        <v>60</v>
      </c>
      <c r="D325" s="10" t="s">
        <v>942</v>
      </c>
      <c r="E325" s="12" t="s">
        <v>62</v>
      </c>
      <c r="F325" s="11">
        <v>965264.0</v>
      </c>
      <c r="G325" s="11">
        <v>88165.0</v>
      </c>
      <c r="H325" s="11">
        <v>46067.0</v>
      </c>
      <c r="I325" s="11">
        <v>70973.0</v>
      </c>
      <c r="J325" s="11">
        <v>2350.0</v>
      </c>
      <c r="K325" s="11">
        <v>584.0</v>
      </c>
      <c r="L325" s="11">
        <v>335.0</v>
      </c>
      <c r="M325" s="13">
        <f t="shared" ref="M325:O325" si="327">IFERROR(G325/F325,"")</f>
        <v>0.09133770658</v>
      </c>
      <c r="N325" s="13">
        <f t="shared" si="327"/>
        <v>0.5225089321</v>
      </c>
      <c r="O325" s="14">
        <f t="shared" si="327"/>
        <v>1.540647318</v>
      </c>
      <c r="P325" s="13">
        <f t="shared" si="3"/>
        <v>0.05101265548</v>
      </c>
      <c r="Q325" s="13">
        <f t="shared" si="4"/>
        <v>0.01267718757</v>
      </c>
      <c r="R325" s="13">
        <f t="shared" si="5"/>
        <v>0.007272016845</v>
      </c>
      <c r="S325" s="14">
        <f t="shared" si="6"/>
        <v>1.419770093</v>
      </c>
      <c r="T325" s="14">
        <f t="shared" si="7"/>
        <v>0.996713002</v>
      </c>
      <c r="U325" s="14">
        <f t="shared" si="8"/>
        <v>1.365118352</v>
      </c>
    </row>
    <row r="326" ht="15.75" customHeight="1">
      <c r="A326" s="9">
        <v>45836.2343441435</v>
      </c>
      <c r="B326" s="10">
        <v>5.0</v>
      </c>
      <c r="C326" s="10" t="s">
        <v>69</v>
      </c>
      <c r="D326" s="10" t="s">
        <v>945</v>
      </c>
      <c r="E326" s="12" t="s">
        <v>62</v>
      </c>
      <c r="F326" s="11">
        <v>75028.0</v>
      </c>
      <c r="G326" s="11">
        <v>2627.0</v>
      </c>
      <c r="H326" s="11">
        <v>1339.0</v>
      </c>
      <c r="I326" s="11">
        <v>2026.0</v>
      </c>
      <c r="J326" s="11">
        <v>159.0</v>
      </c>
      <c r="K326" s="11">
        <v>23.0</v>
      </c>
      <c r="L326" s="11">
        <v>16.0</v>
      </c>
      <c r="M326" s="13">
        <f t="shared" ref="M326:O326" si="328">IFERROR(G326/F326,"")</f>
        <v>0.03501359492</v>
      </c>
      <c r="N326" s="13">
        <f t="shared" si="328"/>
        <v>0.50970689</v>
      </c>
      <c r="O326" s="14">
        <f t="shared" si="328"/>
        <v>1.513069455</v>
      </c>
      <c r="P326" s="13">
        <f t="shared" si="3"/>
        <v>0.1187453323</v>
      </c>
      <c r="Q326" s="13">
        <f t="shared" si="4"/>
        <v>0.01717699776</v>
      </c>
      <c r="R326" s="13">
        <f t="shared" si="5"/>
        <v>0.01194921583</v>
      </c>
      <c r="S326" s="14">
        <f t="shared" si="6"/>
        <v>0.5442577529</v>
      </c>
      <c r="T326" s="14">
        <f t="shared" si="7"/>
        <v>0.9722924399</v>
      </c>
      <c r="U326" s="14">
        <f t="shared" si="8"/>
        <v>1.849671682</v>
      </c>
    </row>
    <row r="327" ht="15.75" customHeight="1">
      <c r="A327" s="9">
        <v>45838.2363323495</v>
      </c>
      <c r="B327" s="10">
        <v>5.0</v>
      </c>
      <c r="C327" s="10" t="s">
        <v>71</v>
      </c>
      <c r="D327" s="10" t="s">
        <v>948</v>
      </c>
      <c r="E327" s="12" t="s">
        <v>62</v>
      </c>
      <c r="F327" s="11">
        <v>469998.0</v>
      </c>
      <c r="G327" s="11">
        <v>37242.0</v>
      </c>
      <c r="H327" s="11">
        <v>15654.0</v>
      </c>
      <c r="I327" s="11">
        <v>17948.0</v>
      </c>
      <c r="J327" s="11">
        <v>374.0</v>
      </c>
      <c r="K327" s="11">
        <v>343.0</v>
      </c>
      <c r="L327" s="11">
        <v>56.0</v>
      </c>
      <c r="M327" s="13">
        <f t="shared" ref="M327:O327" si="329">IFERROR(G327/F327,"")</f>
        <v>0.07923863506</v>
      </c>
      <c r="N327" s="13">
        <f t="shared" si="329"/>
        <v>0.4203318834</v>
      </c>
      <c r="O327" s="14">
        <f t="shared" si="329"/>
        <v>1.146544014</v>
      </c>
      <c r="P327" s="13">
        <f t="shared" si="3"/>
        <v>0.02389165708</v>
      </c>
      <c r="Q327" s="13">
        <f t="shared" si="4"/>
        <v>0.02191133257</v>
      </c>
      <c r="R327" s="13">
        <f t="shared" si="5"/>
        <v>0.003577360419</v>
      </c>
      <c r="S327" s="14">
        <f t="shared" si="6"/>
        <v>1.230239292</v>
      </c>
      <c r="T327" s="14">
        <f t="shared" si="7"/>
        <v>0.7985718232</v>
      </c>
      <c r="U327" s="14">
        <f t="shared" si="8"/>
        <v>2.292395549</v>
      </c>
    </row>
    <row r="328" ht="15.75" customHeight="1">
      <c r="A328" s="9">
        <v>45840.2355289236</v>
      </c>
      <c r="B328" s="10">
        <v>5.0</v>
      </c>
      <c r="C328" s="10" t="s">
        <v>80</v>
      </c>
      <c r="D328" s="10" t="s">
        <v>949</v>
      </c>
      <c r="E328" s="12" t="s">
        <v>62</v>
      </c>
      <c r="F328" s="11">
        <v>1304871.0</v>
      </c>
      <c r="G328" s="11">
        <v>116170.0</v>
      </c>
      <c r="H328" s="11">
        <v>57126.0</v>
      </c>
      <c r="I328" s="11">
        <v>85307.0</v>
      </c>
      <c r="J328" s="11">
        <v>1825.0</v>
      </c>
      <c r="K328" s="11">
        <v>804.0</v>
      </c>
      <c r="L328" s="11">
        <v>308.0</v>
      </c>
      <c r="M328" s="13">
        <f t="shared" ref="M328:O328" si="330">IFERROR(G328/F328,"")</f>
        <v>0.08902795755</v>
      </c>
      <c r="N328" s="13">
        <f t="shared" si="330"/>
        <v>0.4917448567</v>
      </c>
      <c r="O328" s="14">
        <f t="shared" si="330"/>
        <v>1.493313027</v>
      </c>
      <c r="P328" s="13">
        <f t="shared" si="3"/>
        <v>0.03194692434</v>
      </c>
      <c r="Q328" s="13">
        <f t="shared" si="4"/>
        <v>0.01407415187</v>
      </c>
      <c r="R328" s="13">
        <f t="shared" si="5"/>
        <v>0.005391590519</v>
      </c>
      <c r="S328" s="14">
        <f t="shared" si="6"/>
        <v>1.380588702</v>
      </c>
      <c r="T328" s="14">
        <f t="shared" si="7"/>
        <v>0.9172057259</v>
      </c>
      <c r="U328" s="14">
        <f t="shared" si="8"/>
        <v>1.433552898</v>
      </c>
    </row>
    <row r="329" ht="15.75" customHeight="1">
      <c r="A329" s="9">
        <v>45842.2467194907</v>
      </c>
      <c r="B329" s="10">
        <v>5.0</v>
      </c>
      <c r="C329" s="10" t="s">
        <v>60</v>
      </c>
      <c r="D329" s="10" t="s">
        <v>952</v>
      </c>
      <c r="E329" s="12" t="s">
        <v>62</v>
      </c>
      <c r="F329" s="11">
        <v>313562.0</v>
      </c>
      <c r="G329" s="11">
        <v>19067.0</v>
      </c>
      <c r="H329" s="11">
        <v>8847.0</v>
      </c>
      <c r="I329" s="11">
        <v>8978.0</v>
      </c>
      <c r="J329" s="11">
        <v>552.0</v>
      </c>
      <c r="K329" s="11">
        <v>139.0</v>
      </c>
      <c r="L329" s="11">
        <v>27.0</v>
      </c>
      <c r="M329" s="13">
        <f t="shared" ref="M329:O329" si="331">IFERROR(G329/F329,"")</f>
        <v>0.06080775094</v>
      </c>
      <c r="N329" s="13">
        <f t="shared" si="331"/>
        <v>0.4639953847</v>
      </c>
      <c r="O329" s="14">
        <f t="shared" si="331"/>
        <v>1.014807279</v>
      </c>
      <c r="P329" s="13">
        <f t="shared" si="3"/>
        <v>0.06239403188</v>
      </c>
      <c r="Q329" s="13">
        <f t="shared" si="4"/>
        <v>0.01571154064</v>
      </c>
      <c r="R329" s="13">
        <f t="shared" si="5"/>
        <v>0.003051881994</v>
      </c>
      <c r="S329" s="14">
        <f t="shared" si="6"/>
        <v>0.9440859805</v>
      </c>
      <c r="T329" s="14">
        <f t="shared" si="7"/>
        <v>0.8751610304</v>
      </c>
      <c r="U329" s="14">
        <f t="shared" si="8"/>
        <v>1.590169311</v>
      </c>
    </row>
    <row r="330" ht="15.75" customHeight="1">
      <c r="A330" s="9">
        <v>45843.236954537</v>
      </c>
      <c r="B330" s="10">
        <v>5.0</v>
      </c>
      <c r="C330" s="10" t="s">
        <v>69</v>
      </c>
      <c r="D330" s="10" t="s">
        <v>955</v>
      </c>
      <c r="E330" s="12" t="s">
        <v>62</v>
      </c>
      <c r="F330" s="11">
        <v>1654689.0</v>
      </c>
      <c r="G330" s="11">
        <v>73577.0</v>
      </c>
      <c r="H330" s="11">
        <v>49660.0</v>
      </c>
      <c r="I330" s="11">
        <v>78983.0</v>
      </c>
      <c r="J330" s="11">
        <v>1702.0</v>
      </c>
      <c r="K330" s="11">
        <v>384.0</v>
      </c>
      <c r="L330" s="11">
        <v>323.0</v>
      </c>
      <c r="M330" s="13">
        <f t="shared" ref="M330:O330" si="332">IFERROR(G330/F330,"")</f>
        <v>0.04446575761</v>
      </c>
      <c r="N330" s="13">
        <f t="shared" si="332"/>
        <v>0.6749391794</v>
      </c>
      <c r="O330" s="14">
        <f t="shared" si="332"/>
        <v>1.590475232</v>
      </c>
      <c r="P330" s="13">
        <f t="shared" si="3"/>
        <v>0.03427305679</v>
      </c>
      <c r="Q330" s="13">
        <f t="shared" si="4"/>
        <v>0.007732581555</v>
      </c>
      <c r="R330" s="13">
        <f t="shared" si="5"/>
        <v>0.006504228756</v>
      </c>
      <c r="S330" s="14">
        <f t="shared" si="6"/>
        <v>0.704412226</v>
      </c>
      <c r="T330" s="14">
        <f t="shared" si="7"/>
        <v>1.273030912</v>
      </c>
      <c r="U330" s="14">
        <f t="shared" si="8"/>
        <v>0.7826166871</v>
      </c>
    </row>
    <row r="331" ht="15.75" customHeight="1">
      <c r="A331" s="9">
        <v>45845.23812875</v>
      </c>
      <c r="B331" s="10">
        <v>5.0</v>
      </c>
      <c r="C331" s="10" t="s">
        <v>71</v>
      </c>
      <c r="D331" s="10" t="s">
        <v>958</v>
      </c>
      <c r="E331" s="12" t="s">
        <v>62</v>
      </c>
      <c r="F331" s="11">
        <v>2002769.0</v>
      </c>
      <c r="G331" s="11">
        <v>97946.0</v>
      </c>
      <c r="H331" s="11">
        <v>36095.0</v>
      </c>
      <c r="I331" s="11">
        <v>51729.0</v>
      </c>
      <c r="J331" s="11">
        <v>967.0</v>
      </c>
      <c r="K331" s="11">
        <v>383.0</v>
      </c>
      <c r="L331" s="11">
        <v>111.0</v>
      </c>
      <c r="M331" s="13">
        <f t="shared" ref="M331:O331" si="333">IFERROR(G331/F331,"")</f>
        <v>0.04890529063</v>
      </c>
      <c r="N331" s="13">
        <f t="shared" si="333"/>
        <v>0.3685193882</v>
      </c>
      <c r="O331" s="14">
        <f t="shared" si="333"/>
        <v>1.433134783</v>
      </c>
      <c r="P331" s="13">
        <f t="shared" si="3"/>
        <v>0.02679041418</v>
      </c>
      <c r="Q331" s="13">
        <f t="shared" si="4"/>
        <v>0.01061088793</v>
      </c>
      <c r="R331" s="13">
        <f t="shared" si="5"/>
        <v>0.003075218174</v>
      </c>
      <c r="S331" s="14">
        <f t="shared" si="6"/>
        <v>0.7601928233</v>
      </c>
      <c r="T331" s="14">
        <f t="shared" si="7"/>
        <v>0.7029699268</v>
      </c>
      <c r="U331" s="14">
        <f t="shared" si="8"/>
        <v>1.065554958</v>
      </c>
    </row>
    <row r="332" ht="15.75" customHeight="1">
      <c r="A332" s="9">
        <v>45847.198828912</v>
      </c>
      <c r="B332" s="10">
        <v>4.0</v>
      </c>
      <c r="C332" s="10" t="s">
        <v>80</v>
      </c>
      <c r="D332" s="10" t="s">
        <v>961</v>
      </c>
      <c r="E332" s="12" t="s">
        <v>62</v>
      </c>
      <c r="F332" s="11">
        <v>494175.0</v>
      </c>
      <c r="G332" s="11">
        <v>24735.0</v>
      </c>
      <c r="H332" s="11">
        <v>11250.0</v>
      </c>
      <c r="I332" s="11">
        <v>14095.0</v>
      </c>
      <c r="J332" s="11">
        <v>516.0</v>
      </c>
      <c r="K332" s="11">
        <v>236.0</v>
      </c>
      <c r="L332" s="11">
        <v>37.0</v>
      </c>
      <c r="M332" s="13">
        <f t="shared" ref="M332:O332" si="334">IFERROR(G332/F332,"")</f>
        <v>0.05005311883</v>
      </c>
      <c r="N332" s="13">
        <f t="shared" si="334"/>
        <v>0.4548211037</v>
      </c>
      <c r="O332" s="14">
        <f t="shared" si="334"/>
        <v>1.252888889</v>
      </c>
      <c r="P332" s="13">
        <f t="shared" si="3"/>
        <v>0.04586666667</v>
      </c>
      <c r="Q332" s="13">
        <f t="shared" si="4"/>
        <v>0.02097777778</v>
      </c>
      <c r="R332" s="13">
        <f t="shared" si="5"/>
        <v>0.003288888889</v>
      </c>
      <c r="S332" s="14">
        <f t="shared" si="6"/>
        <v>0.8083970238</v>
      </c>
      <c r="T332" s="14">
        <f t="shared" si="7"/>
        <v>0.8492428638</v>
      </c>
      <c r="U332" s="14">
        <f t="shared" si="8"/>
        <v>2.10512</v>
      </c>
    </row>
    <row r="333" ht="15.75" customHeight="1">
      <c r="A333" s="9">
        <v>45849.1990848032</v>
      </c>
      <c r="B333" s="10">
        <v>4.0</v>
      </c>
      <c r="C333" s="10" t="s">
        <v>60</v>
      </c>
      <c r="D333" s="10" t="s">
        <v>963</v>
      </c>
      <c r="E333" s="12" t="s">
        <v>62</v>
      </c>
      <c r="F333" s="11">
        <v>35014.0</v>
      </c>
      <c r="G333" s="11">
        <v>1369.0</v>
      </c>
      <c r="H333" s="11">
        <v>482.0</v>
      </c>
      <c r="I333" s="11">
        <v>526.0</v>
      </c>
      <c r="J333" s="11">
        <v>85.0</v>
      </c>
      <c r="K333" s="11">
        <v>32.0</v>
      </c>
      <c r="L333" s="11">
        <v>2.0</v>
      </c>
      <c r="M333" s="13">
        <f t="shared" ref="M333:O333" si="335">IFERROR(G333/F333,"")</f>
        <v>0.03909864626</v>
      </c>
      <c r="N333" s="13">
        <f t="shared" si="335"/>
        <v>0.3520818115</v>
      </c>
      <c r="O333" s="14">
        <f t="shared" si="335"/>
        <v>1.091286307</v>
      </c>
      <c r="P333" s="13">
        <f t="shared" si="3"/>
        <v>0.1763485477</v>
      </c>
      <c r="Q333" s="13">
        <f t="shared" si="4"/>
        <v>0.06639004149</v>
      </c>
      <c r="R333" s="13">
        <f t="shared" si="5"/>
        <v>0.004149377593</v>
      </c>
      <c r="S333" s="14">
        <f t="shared" si="6"/>
        <v>0.63601037</v>
      </c>
      <c r="T333" s="14">
        <f t="shared" si="7"/>
        <v>0.6570563893</v>
      </c>
      <c r="U333" s="14">
        <f t="shared" si="8"/>
        <v>6.671945485</v>
      </c>
    </row>
    <row r="334" ht="15.75" customHeight="1">
      <c r="A334" s="9">
        <v>45850.2412541319</v>
      </c>
      <c r="B334" s="10">
        <v>5.0</v>
      </c>
      <c r="C334" s="10" t="s">
        <v>69</v>
      </c>
      <c r="D334" s="10" t="s">
        <v>966</v>
      </c>
      <c r="E334" s="12" t="s">
        <v>62</v>
      </c>
      <c r="F334" s="11">
        <v>570419.0</v>
      </c>
      <c r="G334" s="11">
        <v>115496.0</v>
      </c>
      <c r="H334" s="11">
        <v>57210.0</v>
      </c>
      <c r="I334" s="11">
        <v>34732.0</v>
      </c>
      <c r="J334" s="11">
        <v>2292.0</v>
      </c>
      <c r="K334" s="11">
        <v>327.0</v>
      </c>
      <c r="L334" s="11">
        <v>163.0</v>
      </c>
      <c r="M334" s="13">
        <f t="shared" ref="M334:O334" si="336">IFERROR(G334/F334,"")</f>
        <v>0.202475724</v>
      </c>
      <c r="N334" s="13">
        <f t="shared" si="336"/>
        <v>0.49534183</v>
      </c>
      <c r="O334" s="14">
        <f t="shared" si="336"/>
        <v>0.6070966614</v>
      </c>
      <c r="P334" s="13">
        <f t="shared" si="3"/>
        <v>0.04006292606</v>
      </c>
      <c r="Q334" s="13">
        <f t="shared" si="4"/>
        <v>0.005715783954</v>
      </c>
      <c r="R334" s="13">
        <f t="shared" si="5"/>
        <v>0.002849152246</v>
      </c>
      <c r="S334" s="14">
        <f t="shared" si="6"/>
        <v>3.293634754</v>
      </c>
      <c r="T334" s="14">
        <f t="shared" si="7"/>
        <v>0.9347899662</v>
      </c>
      <c r="U334" s="14">
        <f t="shared" si="8"/>
        <v>0.5744144466</v>
      </c>
    </row>
    <row r="335" ht="15.75" customHeight="1">
      <c r="A335" s="9">
        <v>45852.2081977546</v>
      </c>
      <c r="B335" s="10">
        <v>4.0</v>
      </c>
      <c r="C335" s="10" t="s">
        <v>71</v>
      </c>
      <c r="D335" s="10" t="s">
        <v>969</v>
      </c>
      <c r="E335" s="12" t="s">
        <v>62</v>
      </c>
      <c r="F335" s="11">
        <v>81647.0</v>
      </c>
      <c r="G335" s="11">
        <v>3169.0</v>
      </c>
      <c r="H335" s="11">
        <v>1279.0</v>
      </c>
      <c r="I335" s="11">
        <v>1587.0</v>
      </c>
      <c r="J335" s="11">
        <v>138.0</v>
      </c>
      <c r="K335" s="11">
        <v>48.0</v>
      </c>
      <c r="L335" s="11">
        <v>1.0</v>
      </c>
      <c r="M335" s="13">
        <f t="shared" ref="M335:O335" si="337">IFERROR(G335/F335,"")</f>
        <v>0.03881342854</v>
      </c>
      <c r="N335" s="13">
        <f t="shared" si="337"/>
        <v>0.4035973493</v>
      </c>
      <c r="O335" s="14">
        <f t="shared" si="337"/>
        <v>1.240813135</v>
      </c>
      <c r="P335" s="13">
        <f t="shared" si="3"/>
        <v>0.1078967944</v>
      </c>
      <c r="Q335" s="13">
        <f t="shared" si="4"/>
        <v>0.03752931978</v>
      </c>
      <c r="R335" s="13">
        <f t="shared" si="5"/>
        <v>0.0007818608288</v>
      </c>
      <c r="S335" s="14">
        <f t="shared" si="6"/>
        <v>0.6033230648</v>
      </c>
      <c r="T335" s="14">
        <f t="shared" si="7"/>
        <v>0.7535977684</v>
      </c>
      <c r="U335" s="14">
        <f t="shared" si="8"/>
        <v>3.774382489</v>
      </c>
    </row>
    <row r="336" ht="15.75" customHeight="1">
      <c r="A336" s="9">
        <v>45854.2327601157</v>
      </c>
      <c r="B336" s="10">
        <v>5.0</v>
      </c>
      <c r="C336" s="10" t="s">
        <v>80</v>
      </c>
      <c r="D336" s="10" t="s">
        <v>971</v>
      </c>
      <c r="E336" s="12" t="s">
        <v>62</v>
      </c>
      <c r="F336" s="11">
        <v>637798.0</v>
      </c>
      <c r="G336" s="11">
        <v>48106.0</v>
      </c>
      <c r="H336" s="11">
        <v>38315.0</v>
      </c>
      <c r="I336" s="11">
        <v>45490.0</v>
      </c>
      <c r="J336" s="11">
        <v>1937.0</v>
      </c>
      <c r="K336" s="11">
        <v>249.0</v>
      </c>
      <c r="L336" s="11">
        <v>331.0</v>
      </c>
      <c r="M336" s="13">
        <f t="shared" ref="M336:O336" si="338">IFERROR(G336/F336,"")</f>
        <v>0.0754251346</v>
      </c>
      <c r="N336" s="13">
        <f t="shared" si="338"/>
        <v>0.7964702948</v>
      </c>
      <c r="O336" s="14">
        <f t="shared" si="338"/>
        <v>1.187263474</v>
      </c>
      <c r="P336" s="13">
        <f t="shared" si="3"/>
        <v>0.05055461308</v>
      </c>
      <c r="Q336" s="13">
        <f t="shared" si="4"/>
        <v>0.006498760277</v>
      </c>
      <c r="R336" s="13">
        <f t="shared" si="5"/>
        <v>0.008638914263</v>
      </c>
      <c r="S336" s="14">
        <f t="shared" si="6"/>
        <v>1.172422151</v>
      </c>
      <c r="T336" s="14">
        <f t="shared" si="7"/>
        <v>1.485581608</v>
      </c>
      <c r="U336" s="14">
        <f t="shared" si="8"/>
        <v>0.6535905028</v>
      </c>
    </row>
    <row r="337" ht="15.75" customHeight="1">
      <c r="A337" s="9">
        <v>45855.249905544</v>
      </c>
      <c r="B337" s="10">
        <v>5.0</v>
      </c>
      <c r="C337" s="10" t="s">
        <v>84</v>
      </c>
      <c r="D337" s="10" t="s">
        <v>974</v>
      </c>
      <c r="E337" s="12" t="s">
        <v>62</v>
      </c>
      <c r="F337" s="11">
        <v>1206937.0</v>
      </c>
      <c r="G337" s="11">
        <v>45892.0</v>
      </c>
      <c r="H337" s="11">
        <v>22861.0</v>
      </c>
      <c r="I337" s="11">
        <v>23524.0</v>
      </c>
      <c r="J337" s="11">
        <v>494.0</v>
      </c>
      <c r="K337" s="11">
        <v>334.0</v>
      </c>
      <c r="L337" s="11">
        <v>46.0</v>
      </c>
      <c r="M337" s="13">
        <f t="shared" ref="M337:O337" si="339">IFERROR(G337/F337,"")</f>
        <v>0.03802352567</v>
      </c>
      <c r="N337" s="13">
        <f t="shared" si="339"/>
        <v>0.4981478253</v>
      </c>
      <c r="O337" s="14">
        <f t="shared" si="339"/>
        <v>1.029001356</v>
      </c>
      <c r="P337" s="13">
        <f t="shared" si="3"/>
        <v>0.02160885351</v>
      </c>
      <c r="Q337" s="13">
        <f t="shared" si="4"/>
        <v>0.01461003456</v>
      </c>
      <c r="R337" s="13">
        <f t="shared" si="5"/>
        <v>0.002012160448</v>
      </c>
      <c r="S337" s="14">
        <f t="shared" si="6"/>
        <v>0.6141096839</v>
      </c>
      <c r="T337" s="14">
        <f t="shared" si="7"/>
        <v>0.929148585</v>
      </c>
      <c r="U337" s="14">
        <f t="shared" si="8"/>
        <v>1.488136377</v>
      </c>
    </row>
    <row r="338" ht="15.75" customHeight="1">
      <c r="A338" s="9">
        <v>45856.214644919</v>
      </c>
      <c r="B338" s="10">
        <v>5.0</v>
      </c>
      <c r="C338" s="10" t="s">
        <v>60</v>
      </c>
      <c r="D338" s="10" t="s">
        <v>976</v>
      </c>
      <c r="E338" s="12" t="s">
        <v>62</v>
      </c>
      <c r="F338" s="11">
        <v>95022.0</v>
      </c>
      <c r="G338" s="11">
        <v>14034.0</v>
      </c>
      <c r="H338" s="11">
        <v>7209.0</v>
      </c>
      <c r="I338" s="11">
        <v>5817.0</v>
      </c>
      <c r="J338" s="11">
        <v>545.0</v>
      </c>
      <c r="K338" s="11">
        <v>61.0</v>
      </c>
      <c r="L338" s="11">
        <v>34.0</v>
      </c>
      <c r="M338" s="13">
        <f t="shared" ref="M338:O338" si="340">IFERROR(G338/F338,"")</f>
        <v>0.1476921134</v>
      </c>
      <c r="N338" s="13">
        <f t="shared" si="340"/>
        <v>0.5136810603</v>
      </c>
      <c r="O338" s="14">
        <f t="shared" si="340"/>
        <v>0.8069080316</v>
      </c>
      <c r="P338" s="13">
        <f t="shared" si="3"/>
        <v>0.07559994451</v>
      </c>
      <c r="Q338" s="13">
        <f t="shared" si="4"/>
        <v>0.008461645166</v>
      </c>
      <c r="R338" s="13">
        <f t="shared" si="5"/>
        <v>0.004716326814</v>
      </c>
      <c r="S338" s="14">
        <f t="shared" si="6"/>
        <v>2.402480001</v>
      </c>
      <c r="T338" s="14">
        <f t="shared" si="7"/>
        <v>0.9578309386</v>
      </c>
      <c r="U338" s="14">
        <f t="shared" si="8"/>
        <v>0.8564054139</v>
      </c>
    </row>
    <row r="339" ht="15.75" customHeight="1">
      <c r="A339" s="9">
        <v>45857.2162717708</v>
      </c>
      <c r="B339" s="10">
        <v>5.0</v>
      </c>
      <c r="C339" s="10" t="s">
        <v>69</v>
      </c>
      <c r="D339" s="10" t="s">
        <v>979</v>
      </c>
      <c r="E339" s="12" t="s">
        <v>62</v>
      </c>
      <c r="F339" s="11">
        <v>271756.0</v>
      </c>
      <c r="G339" s="11">
        <v>11920.0</v>
      </c>
      <c r="H339" s="11">
        <v>6634.0</v>
      </c>
      <c r="I339" s="11">
        <v>7298.0</v>
      </c>
      <c r="J339" s="11">
        <v>528.0</v>
      </c>
      <c r="K339" s="11">
        <v>183.0</v>
      </c>
      <c r="L339" s="11">
        <v>57.0</v>
      </c>
      <c r="M339" s="13">
        <f t="shared" ref="M339:O339" si="341">IFERROR(G339/F339,"")</f>
        <v>0.04386287699</v>
      </c>
      <c r="N339" s="13">
        <f t="shared" si="341"/>
        <v>0.5565436242</v>
      </c>
      <c r="O339" s="14">
        <f t="shared" si="341"/>
        <v>1.100090443</v>
      </c>
      <c r="P339" s="13">
        <f t="shared" si="3"/>
        <v>0.07958999096</v>
      </c>
      <c r="Q339" s="13">
        <f t="shared" si="4"/>
        <v>0.02758516732</v>
      </c>
      <c r="R339" s="13">
        <f t="shared" si="5"/>
        <v>0.008592101296</v>
      </c>
      <c r="S339" s="14">
        <f t="shared" si="6"/>
        <v>0.6948615851</v>
      </c>
      <c r="T339" s="14">
        <f t="shared" si="7"/>
        <v>1.037754247</v>
      </c>
      <c r="U339" s="14">
        <f t="shared" si="8"/>
        <v>2.791902304</v>
      </c>
    </row>
    <row r="340" ht="15.75" customHeight="1">
      <c r="A340" s="9">
        <v>45859.2556804398</v>
      </c>
      <c r="B340" s="10">
        <v>6.0</v>
      </c>
      <c r="C340" s="10" t="s">
        <v>71</v>
      </c>
      <c r="D340" s="10" t="s">
        <v>982</v>
      </c>
      <c r="E340" s="12" t="s">
        <v>62</v>
      </c>
      <c r="F340" s="11">
        <v>58437.0</v>
      </c>
      <c r="G340" s="11">
        <v>2079.0</v>
      </c>
      <c r="H340" s="11">
        <v>1199.0</v>
      </c>
      <c r="I340" s="11">
        <v>1813.0</v>
      </c>
      <c r="J340" s="11">
        <v>174.0</v>
      </c>
      <c r="K340" s="11">
        <v>72.0</v>
      </c>
      <c r="L340" s="11">
        <v>2.0</v>
      </c>
      <c r="M340" s="13">
        <f t="shared" ref="M340:O340" si="342">IFERROR(G340/F340,"")</f>
        <v>0.03557677499</v>
      </c>
      <c r="N340" s="13">
        <f t="shared" si="342"/>
        <v>0.5767195767</v>
      </c>
      <c r="O340" s="14">
        <f t="shared" si="342"/>
        <v>1.512093411</v>
      </c>
      <c r="P340" s="13">
        <f t="shared" si="3"/>
        <v>0.1451209341</v>
      </c>
      <c r="Q340" s="13">
        <f t="shared" si="4"/>
        <v>0.0600500417</v>
      </c>
      <c r="R340" s="13">
        <f t="shared" si="5"/>
        <v>0.001668056714</v>
      </c>
      <c r="S340" s="14">
        <f t="shared" si="6"/>
        <v>0.5829084926</v>
      </c>
      <c r="T340" s="14">
        <f t="shared" si="7"/>
        <v>1.075049392</v>
      </c>
      <c r="U340" s="14">
        <f t="shared" si="8"/>
        <v>6.03027947</v>
      </c>
    </row>
    <row r="341" ht="15.75" customHeight="1">
      <c r="A341" s="9">
        <v>45861.2507277778</v>
      </c>
      <c r="B341" s="10">
        <v>6.0</v>
      </c>
      <c r="C341" s="10" t="s">
        <v>80</v>
      </c>
      <c r="D341" s="10" t="s">
        <v>985</v>
      </c>
      <c r="E341" s="12" t="s">
        <v>62</v>
      </c>
      <c r="F341" s="11">
        <v>1263599.0</v>
      </c>
      <c r="G341" s="11">
        <v>62212.0</v>
      </c>
      <c r="H341" s="11">
        <v>40034.0</v>
      </c>
      <c r="I341" s="11">
        <v>49109.0</v>
      </c>
      <c r="J341" s="11">
        <v>1157.0</v>
      </c>
      <c r="K341" s="11">
        <v>251.0</v>
      </c>
      <c r="L341" s="11">
        <v>131.0</v>
      </c>
      <c r="M341" s="13">
        <f t="shared" ref="M341:O341" si="343">IFERROR(G341/F341,"")</f>
        <v>0.04923397375</v>
      </c>
      <c r="N341" s="13">
        <f t="shared" si="343"/>
        <v>0.6435092908</v>
      </c>
      <c r="O341" s="14">
        <f t="shared" si="343"/>
        <v>1.22668232</v>
      </c>
      <c r="P341" s="13">
        <f t="shared" si="3"/>
        <v>0.02890043463</v>
      </c>
      <c r="Q341" s="13">
        <f t="shared" si="4"/>
        <v>0.00626967078</v>
      </c>
      <c r="R341" s="13">
        <f t="shared" si="5"/>
        <v>0.003272218614</v>
      </c>
      <c r="S341" s="14">
        <f t="shared" si="6"/>
        <v>0.8086138196</v>
      </c>
      <c r="T341" s="14">
        <f t="shared" si="7"/>
        <v>1.199004216</v>
      </c>
      <c r="U341" s="14">
        <f t="shared" si="8"/>
        <v>0.6296060072</v>
      </c>
    </row>
    <row r="342" ht="15.75" customHeight="1">
      <c r="A342" s="9">
        <v>45863.2815542477</v>
      </c>
      <c r="B342" s="10">
        <v>6.0</v>
      </c>
      <c r="C342" s="10" t="s">
        <v>60</v>
      </c>
      <c r="D342" s="10" t="s">
        <v>986</v>
      </c>
      <c r="E342" s="12" t="s">
        <v>62</v>
      </c>
      <c r="F342" s="11">
        <v>1342178.0</v>
      </c>
      <c r="G342" s="11">
        <v>58496.0</v>
      </c>
      <c r="H342" s="11">
        <v>32517.0</v>
      </c>
      <c r="I342" s="11">
        <v>34523.0</v>
      </c>
      <c r="J342" s="11">
        <v>944.0</v>
      </c>
      <c r="K342" s="11">
        <v>331.0</v>
      </c>
      <c r="L342" s="11">
        <v>83.0</v>
      </c>
      <c r="M342" s="13">
        <f t="shared" ref="M342:O342" si="344">IFERROR(G342/F342,"")</f>
        <v>0.04358289288</v>
      </c>
      <c r="N342" s="13">
        <f t="shared" si="344"/>
        <v>0.555884163</v>
      </c>
      <c r="O342" s="14">
        <f t="shared" si="344"/>
        <v>1.061690808</v>
      </c>
      <c r="P342" s="13">
        <f t="shared" si="3"/>
        <v>0.02903096842</v>
      </c>
      <c r="Q342" s="13">
        <f t="shared" si="4"/>
        <v>0.01017929083</v>
      </c>
      <c r="R342" s="13">
        <f t="shared" si="5"/>
        <v>0.002552510994</v>
      </c>
      <c r="S342" s="14">
        <f t="shared" si="6"/>
        <v>0.714941947</v>
      </c>
      <c r="T342" s="14">
        <f t="shared" si="7"/>
        <v>1.033987265</v>
      </c>
      <c r="U342" s="14">
        <f t="shared" si="8"/>
        <v>1.0302488</v>
      </c>
    </row>
    <row r="343" ht="15.75" customHeight="1">
      <c r="A343" s="9">
        <v>45864.2546278125</v>
      </c>
      <c r="B343" s="10">
        <v>6.0</v>
      </c>
      <c r="C343" s="10" t="s">
        <v>69</v>
      </c>
      <c r="D343" s="10" t="s">
        <v>988</v>
      </c>
      <c r="E343" s="12" t="s">
        <v>62</v>
      </c>
      <c r="F343" s="11">
        <v>1986062.0</v>
      </c>
      <c r="G343" s="11">
        <v>102843.0</v>
      </c>
      <c r="H343" s="11">
        <v>45565.0</v>
      </c>
      <c r="I343" s="11">
        <v>58750.0</v>
      </c>
      <c r="J343" s="11">
        <v>1936.0</v>
      </c>
      <c r="K343" s="11">
        <v>191.0</v>
      </c>
      <c r="L343" s="11">
        <v>309.0</v>
      </c>
      <c r="M343" s="13">
        <f t="shared" ref="M343:O343" si="345">IFERROR(G343/F343,"")</f>
        <v>0.05178237135</v>
      </c>
      <c r="N343" s="13">
        <f t="shared" si="345"/>
        <v>0.4430539755</v>
      </c>
      <c r="O343" s="14">
        <f t="shared" si="345"/>
        <v>1.289366839</v>
      </c>
      <c r="P343" s="13">
        <f t="shared" si="3"/>
        <v>0.04248875233</v>
      </c>
      <c r="Q343" s="13">
        <f t="shared" si="4"/>
        <v>0.004191813892</v>
      </c>
      <c r="R343" s="13">
        <f t="shared" si="5"/>
        <v>0.006781520904</v>
      </c>
      <c r="S343" s="14">
        <f t="shared" si="6"/>
        <v>0.8494477292</v>
      </c>
      <c r="T343" s="14">
        <f t="shared" si="7"/>
        <v>0.8241144448</v>
      </c>
      <c r="U343" s="14">
        <f t="shared" si="8"/>
        <v>0.4242546267</v>
      </c>
    </row>
    <row r="344" ht="15.75" customHeight="1">
      <c r="A344" s="9">
        <v>45866.506981412</v>
      </c>
      <c r="B344" s="10">
        <v>12.0</v>
      </c>
      <c r="C344" s="10" t="s">
        <v>71</v>
      </c>
      <c r="D344" s="10" t="s">
        <v>990</v>
      </c>
      <c r="E344" s="12" t="s">
        <v>62</v>
      </c>
      <c r="F344" s="11">
        <v>1791486.0</v>
      </c>
      <c r="G344" s="11">
        <v>80330.0</v>
      </c>
      <c r="H344" s="11">
        <v>44269.0</v>
      </c>
      <c r="I344" s="11">
        <v>60768.0</v>
      </c>
      <c r="J344" s="11">
        <v>1052.0</v>
      </c>
      <c r="K344" s="11">
        <v>280.0</v>
      </c>
      <c r="L344" s="11">
        <v>101.0</v>
      </c>
      <c r="M344" s="13">
        <f t="shared" ref="M344:O344" si="346">IFERROR(G344/F344,"")</f>
        <v>0.04483987036</v>
      </c>
      <c r="N344" s="13">
        <f t="shared" si="346"/>
        <v>0.5510892568</v>
      </c>
      <c r="O344" s="14">
        <f t="shared" si="346"/>
        <v>1.372698728</v>
      </c>
      <c r="P344" s="13">
        <f t="shared" si="3"/>
        <v>0.02376380763</v>
      </c>
      <c r="Q344" s="13">
        <f t="shared" si="4"/>
        <v>0.00632496781</v>
      </c>
      <c r="R344" s="13">
        <f t="shared" si="5"/>
        <v>0.002281506246</v>
      </c>
      <c r="S344" s="14">
        <f t="shared" si="6"/>
        <v>0.7364455087</v>
      </c>
      <c r="T344" s="14">
        <f t="shared" si="7"/>
        <v>1.026789254</v>
      </c>
      <c r="U344" s="14">
        <f t="shared" si="8"/>
        <v>0.6442431498</v>
      </c>
    </row>
    <row r="345" ht="15.75" customHeight="1">
      <c r="A345" s="9">
        <v>45868.2091880324</v>
      </c>
      <c r="B345" s="10">
        <v>5.0</v>
      </c>
      <c r="C345" s="10" t="s">
        <v>80</v>
      </c>
      <c r="D345" s="10" t="s">
        <v>993</v>
      </c>
      <c r="E345" s="12" t="s">
        <v>62</v>
      </c>
      <c r="F345" s="11">
        <v>1046048.0</v>
      </c>
      <c r="G345" s="11">
        <v>33865.0</v>
      </c>
      <c r="H345" s="11">
        <v>18252.0</v>
      </c>
      <c r="I345" s="11">
        <v>21735.0</v>
      </c>
      <c r="J345" s="11">
        <v>865.0</v>
      </c>
      <c r="K345" s="11">
        <v>187.0</v>
      </c>
      <c r="L345" s="11">
        <v>67.0</v>
      </c>
      <c r="M345" s="13">
        <f t="shared" ref="M345:O345" si="347">IFERROR(G345/F345,"")</f>
        <v>0.03237423139</v>
      </c>
      <c r="N345" s="13">
        <f t="shared" si="347"/>
        <v>0.5389635317</v>
      </c>
      <c r="O345" s="14">
        <f t="shared" si="347"/>
        <v>1.190828402</v>
      </c>
      <c r="P345" s="13">
        <f t="shared" si="3"/>
        <v>0.04739206662</v>
      </c>
      <c r="Q345" s="13">
        <f t="shared" si="4"/>
        <v>0.01024545255</v>
      </c>
      <c r="R345" s="13">
        <f t="shared" si="5"/>
        <v>0.003670830594</v>
      </c>
      <c r="S345" s="14">
        <f t="shared" si="6"/>
        <v>0.5317111114</v>
      </c>
      <c r="T345" s="14">
        <f t="shared" si="7"/>
        <v>1.004211681</v>
      </c>
      <c r="U345" s="14">
        <f t="shared" si="8"/>
        <v>1.030401215</v>
      </c>
    </row>
    <row r="346" ht="15.75" customHeight="1">
      <c r="A346" s="9">
        <v>45870.2257962847</v>
      </c>
      <c r="B346" s="10">
        <v>5.0</v>
      </c>
      <c r="C346" s="10" t="s">
        <v>60</v>
      </c>
      <c r="D346" s="10" t="s">
        <v>996</v>
      </c>
      <c r="E346" s="12" t="s">
        <v>62</v>
      </c>
      <c r="F346" s="11">
        <v>106416.0</v>
      </c>
      <c r="G346" s="11">
        <v>17135.0</v>
      </c>
      <c r="H346" s="11">
        <v>9236.0</v>
      </c>
      <c r="I346" s="11">
        <v>5637.0</v>
      </c>
      <c r="J346" s="11">
        <v>749.0</v>
      </c>
      <c r="K346" s="11">
        <v>83.0</v>
      </c>
      <c r="L346" s="11">
        <v>28.0</v>
      </c>
      <c r="M346" s="13">
        <f t="shared" ref="M346:O346" si="348">IFERROR(G346/F346,"")</f>
        <v>0.1610190197</v>
      </c>
      <c r="N346" s="13">
        <f t="shared" si="348"/>
        <v>0.5390137146</v>
      </c>
      <c r="O346" s="14">
        <f t="shared" si="348"/>
        <v>0.6103291468</v>
      </c>
      <c r="P346" s="13">
        <f t="shared" si="3"/>
        <v>0.08109571243</v>
      </c>
      <c r="Q346" s="13">
        <f t="shared" si="4"/>
        <v>0.008986574275</v>
      </c>
      <c r="R346" s="13">
        <f t="shared" si="5"/>
        <v>0.003031615418</v>
      </c>
      <c r="S346" s="14">
        <f t="shared" si="6"/>
        <v>2.666726029</v>
      </c>
      <c r="T346" s="14">
        <f t="shared" si="7"/>
        <v>1.004297646</v>
      </c>
      <c r="U346" s="14">
        <f t="shared" si="8"/>
        <v>0.9031163758</v>
      </c>
    </row>
    <row r="347" ht="15.75" customHeight="1">
      <c r="A347" s="9">
        <v>45871.2110494792</v>
      </c>
      <c r="B347" s="10">
        <v>5.0</v>
      </c>
      <c r="C347" s="10" t="s">
        <v>69</v>
      </c>
      <c r="D347" s="10" t="s">
        <v>999</v>
      </c>
      <c r="E347" s="12" t="s">
        <v>62</v>
      </c>
      <c r="F347" s="11">
        <v>999414.0</v>
      </c>
      <c r="G347" s="11">
        <v>78718.0</v>
      </c>
      <c r="H347" s="11">
        <v>45437.0</v>
      </c>
      <c r="I347" s="11">
        <v>53042.0</v>
      </c>
      <c r="J347" s="11">
        <v>1573.0</v>
      </c>
      <c r="K347" s="11">
        <v>116.0</v>
      </c>
      <c r="L347" s="11">
        <v>319.0</v>
      </c>
      <c r="M347" s="13">
        <f t="shared" ref="M347:O347" si="349">IFERROR(G347/F347,"")</f>
        <v>0.0787641558</v>
      </c>
      <c r="N347" s="13">
        <f t="shared" si="349"/>
        <v>0.5772123275</v>
      </c>
      <c r="O347" s="14">
        <f t="shared" si="349"/>
        <v>1.167374607</v>
      </c>
      <c r="P347" s="13">
        <f t="shared" si="3"/>
        <v>0.03461936307</v>
      </c>
      <c r="Q347" s="13">
        <f t="shared" si="4"/>
        <v>0.002552985452</v>
      </c>
      <c r="R347" s="13">
        <f t="shared" si="5"/>
        <v>0.007020709994</v>
      </c>
      <c r="S347" s="14">
        <f t="shared" si="6"/>
        <v>1.319638558</v>
      </c>
      <c r="T347" s="14">
        <f t="shared" si="7"/>
        <v>1.07365929</v>
      </c>
      <c r="U347" s="14">
        <f t="shared" si="8"/>
        <v>0.2583883536</v>
      </c>
    </row>
    <row r="348" ht="15.75" customHeight="1">
      <c r="A348" s="9">
        <v>45873.4475517477</v>
      </c>
      <c r="B348" s="10">
        <v>10.0</v>
      </c>
      <c r="C348" s="10" t="s">
        <v>71</v>
      </c>
      <c r="D348" s="10" t="s">
        <v>1001</v>
      </c>
      <c r="E348" s="12" t="s">
        <v>62</v>
      </c>
      <c r="F348" s="11">
        <v>983500.0</v>
      </c>
      <c r="G348" s="11">
        <v>27314.0</v>
      </c>
      <c r="H348" s="11">
        <v>11922.0</v>
      </c>
      <c r="I348" s="11">
        <v>13533.0</v>
      </c>
      <c r="J348" s="11">
        <v>508.0</v>
      </c>
      <c r="K348" s="11">
        <v>55.0</v>
      </c>
      <c r="L348" s="11">
        <v>64.0</v>
      </c>
      <c r="M348" s="13">
        <f t="shared" ref="M348:O348" si="350">IFERROR(G348/F348,"")</f>
        <v>0.02777224199</v>
      </c>
      <c r="N348" s="13">
        <f t="shared" si="350"/>
        <v>0.4364794611</v>
      </c>
      <c r="O348" s="14">
        <f t="shared" si="350"/>
        <v>1.135128334</v>
      </c>
      <c r="P348" s="13">
        <f t="shared" si="3"/>
        <v>0.04261030029</v>
      </c>
      <c r="Q348" s="13">
        <f t="shared" si="4"/>
        <v>0.004613319913</v>
      </c>
      <c r="R348" s="13">
        <f t="shared" si="5"/>
        <v>0.005368226808</v>
      </c>
      <c r="S348" s="14">
        <f t="shared" si="6"/>
        <v>0.4567220718</v>
      </c>
      <c r="T348" s="14">
        <f t="shared" si="7"/>
        <v>0.8132483345</v>
      </c>
      <c r="U348" s="14">
        <f t="shared" si="8"/>
        <v>0.4698995854</v>
      </c>
    </row>
    <row r="349" ht="15.75" customHeight="1">
      <c r="A349" s="9">
        <v>45875.2363967477</v>
      </c>
      <c r="B349" s="10">
        <v>5.0</v>
      </c>
      <c r="C349" s="10" t="s">
        <v>80</v>
      </c>
      <c r="D349" s="10" t="s">
        <v>1004</v>
      </c>
      <c r="E349" s="12" t="s">
        <v>62</v>
      </c>
      <c r="F349" s="11">
        <v>989917.0</v>
      </c>
      <c r="G349" s="11">
        <v>36667.0</v>
      </c>
      <c r="H349" s="11">
        <v>14796.0</v>
      </c>
      <c r="I349" s="11">
        <v>15808.0</v>
      </c>
      <c r="J349" s="11">
        <v>695.0</v>
      </c>
      <c r="K349" s="11">
        <v>128.0</v>
      </c>
      <c r="L349" s="11">
        <v>36.0</v>
      </c>
      <c r="M349" s="13">
        <f t="shared" ref="M349:O349" si="351">IFERROR(G349/F349,"")</f>
        <v>0.03704047915</v>
      </c>
      <c r="N349" s="13">
        <f t="shared" si="351"/>
        <v>0.4035236043</v>
      </c>
      <c r="O349" s="14">
        <f t="shared" si="351"/>
        <v>1.068396864</v>
      </c>
      <c r="P349" s="13">
        <f t="shared" si="3"/>
        <v>0.04697215464</v>
      </c>
      <c r="Q349" s="13">
        <f t="shared" si="4"/>
        <v>0.008650986753</v>
      </c>
      <c r="R349" s="13">
        <f t="shared" si="5"/>
        <v>0.002433090024</v>
      </c>
      <c r="S349" s="14">
        <f t="shared" si="6"/>
        <v>0.6091407523</v>
      </c>
      <c r="T349" s="14">
        <f t="shared" si="7"/>
        <v>0.7518562818</v>
      </c>
      <c r="U349" s="14">
        <f t="shared" si="8"/>
        <v>0.8811647936</v>
      </c>
    </row>
    <row r="350" ht="15.75" customHeight="1">
      <c r="A350" s="9">
        <v>45877.2092676042</v>
      </c>
      <c r="B350" s="10">
        <v>5.0</v>
      </c>
      <c r="C350" s="10" t="s">
        <v>60</v>
      </c>
      <c r="D350" s="10" t="s">
        <v>1007</v>
      </c>
      <c r="E350" s="12" t="s">
        <v>62</v>
      </c>
      <c r="F350" s="11">
        <v>597734.0</v>
      </c>
      <c r="G350" s="11">
        <v>92589.0</v>
      </c>
      <c r="H350" s="11">
        <v>45924.0</v>
      </c>
      <c r="I350" s="11">
        <v>35492.0</v>
      </c>
      <c r="J350" s="11">
        <v>2398.0</v>
      </c>
      <c r="K350" s="11">
        <v>282.0</v>
      </c>
      <c r="L350" s="11">
        <v>238.0</v>
      </c>
      <c r="M350" s="13">
        <f t="shared" ref="M350:O350" si="352">IFERROR(G350/F350,"")</f>
        <v>0.1549000057</v>
      </c>
      <c r="N350" s="13">
        <f t="shared" si="352"/>
        <v>0.4959984447</v>
      </c>
      <c r="O350" s="14">
        <f t="shared" si="352"/>
        <v>0.7728420869</v>
      </c>
      <c r="P350" s="13">
        <f t="shared" si="3"/>
        <v>0.05221670586</v>
      </c>
      <c r="Q350" s="13">
        <f t="shared" si="4"/>
        <v>0.006140580089</v>
      </c>
      <c r="R350" s="13">
        <f t="shared" si="5"/>
        <v>0.005182475394</v>
      </c>
      <c r="S350" s="14">
        <f t="shared" si="6"/>
        <v>2.565385616</v>
      </c>
      <c r="T350" s="14">
        <f t="shared" si="7"/>
        <v>0.9225952267</v>
      </c>
      <c r="U350" s="14">
        <f t="shared" si="8"/>
        <v>0.6424364389</v>
      </c>
    </row>
    <row r="351" ht="15.75" customHeight="1">
      <c r="A351" s="9">
        <v>45878.1946422685</v>
      </c>
      <c r="B351" s="10">
        <v>4.0</v>
      </c>
      <c r="C351" s="10" t="s">
        <v>69</v>
      </c>
      <c r="D351" s="10" t="s">
        <v>1009</v>
      </c>
      <c r="E351" s="12" t="s">
        <v>62</v>
      </c>
      <c r="F351" s="11">
        <v>1650259.0</v>
      </c>
      <c r="G351" s="11">
        <v>65957.0</v>
      </c>
      <c r="H351" s="11">
        <v>37381.0</v>
      </c>
      <c r="I351" s="11">
        <v>39840.0</v>
      </c>
      <c r="J351" s="11">
        <v>859.0</v>
      </c>
      <c r="K351" s="11">
        <v>127.0</v>
      </c>
      <c r="L351" s="11">
        <v>140.0</v>
      </c>
      <c r="M351" s="13">
        <f t="shared" ref="M351:O351" si="353">IFERROR(G351/F351,"")</f>
        <v>0.03996766568</v>
      </c>
      <c r="N351" s="13">
        <f t="shared" si="353"/>
        <v>0.5667480328</v>
      </c>
      <c r="O351" s="14">
        <f t="shared" si="353"/>
        <v>1.065782082</v>
      </c>
      <c r="P351" s="13">
        <f t="shared" si="3"/>
        <v>0.02297958856</v>
      </c>
      <c r="Q351" s="13">
        <f t="shared" si="4"/>
        <v>0.003397447901</v>
      </c>
      <c r="R351" s="13">
        <f t="shared" si="5"/>
        <v>0.003745218159</v>
      </c>
      <c r="S351" s="14">
        <f t="shared" si="6"/>
        <v>0.6696303944</v>
      </c>
      <c r="T351" s="14">
        <f t="shared" si="7"/>
        <v>1.054194898</v>
      </c>
      <c r="U351" s="14">
        <f t="shared" si="8"/>
        <v>0.3554459513</v>
      </c>
    </row>
    <row r="352" ht="15.75" customHeight="1">
      <c r="A352" s="9">
        <v>45880.5147117361</v>
      </c>
      <c r="B352" s="10">
        <v>12.0</v>
      </c>
      <c r="C352" s="10" t="s">
        <v>71</v>
      </c>
      <c r="D352" s="10" t="s">
        <v>1012</v>
      </c>
      <c r="E352" s="12" t="s">
        <v>62</v>
      </c>
      <c r="F352" s="11">
        <v>246890.0</v>
      </c>
      <c r="G352" s="11">
        <v>14802.0</v>
      </c>
      <c r="H352" s="11">
        <v>7463.0</v>
      </c>
      <c r="I352" s="11">
        <v>8659.0</v>
      </c>
      <c r="J352" s="11">
        <v>915.0</v>
      </c>
      <c r="K352" s="11">
        <v>85.0</v>
      </c>
      <c r="L352" s="11">
        <v>78.0</v>
      </c>
      <c r="M352" s="13">
        <f t="shared" ref="M352:O352" si="354">IFERROR(G352/F352,"")</f>
        <v>0.05995382559</v>
      </c>
      <c r="N352" s="13">
        <f t="shared" si="354"/>
        <v>0.5041886232</v>
      </c>
      <c r="O352" s="14">
        <f t="shared" si="354"/>
        <v>1.160257269</v>
      </c>
      <c r="P352" s="13">
        <f t="shared" si="3"/>
        <v>0.1226048506</v>
      </c>
      <c r="Q352" s="13">
        <f t="shared" si="4"/>
        <v>0.01138952164</v>
      </c>
      <c r="R352" s="13">
        <f t="shared" si="5"/>
        <v>0.01045156103</v>
      </c>
      <c r="S352" s="14">
        <f t="shared" si="6"/>
        <v>1.009009564</v>
      </c>
      <c r="T352" s="14">
        <f t="shared" si="7"/>
        <v>0.9394040147</v>
      </c>
      <c r="U352" s="14">
        <f t="shared" si="8"/>
        <v>1.184579362</v>
      </c>
    </row>
    <row r="353" ht="15.75" customHeight="1">
      <c r="A353" s="9">
        <v>45882.2095877662</v>
      </c>
      <c r="B353" s="10">
        <v>5.0</v>
      </c>
      <c r="C353" s="10" t="s">
        <v>80</v>
      </c>
      <c r="D353" s="10" t="s">
        <v>1016</v>
      </c>
      <c r="E353" s="12" t="s">
        <v>62</v>
      </c>
      <c r="F353" s="11">
        <v>1531158.0</v>
      </c>
      <c r="G353" s="11">
        <v>109089.0</v>
      </c>
      <c r="H353" s="11">
        <v>85405.0</v>
      </c>
      <c r="I353" s="11">
        <v>87528.0</v>
      </c>
      <c r="J353" s="11">
        <v>3085.0</v>
      </c>
      <c r="K353" s="11">
        <v>230.0</v>
      </c>
      <c r="L353" s="11">
        <v>460.0</v>
      </c>
      <c r="M353" s="13">
        <f t="shared" ref="M353:O353" si="355">IFERROR(G353/F353,"")</f>
        <v>0.0712460765</v>
      </c>
      <c r="N353" s="13">
        <f t="shared" si="355"/>
        <v>0.7828928673</v>
      </c>
      <c r="O353" s="14">
        <f t="shared" si="355"/>
        <v>1.024858029</v>
      </c>
      <c r="P353" s="13">
        <f t="shared" si="3"/>
        <v>0.03612200691</v>
      </c>
      <c r="Q353" s="13">
        <f t="shared" si="4"/>
        <v>0.002693050758</v>
      </c>
      <c r="R353" s="13">
        <f t="shared" si="5"/>
        <v>0.005386101516</v>
      </c>
      <c r="S353" s="14">
        <f t="shared" si="6"/>
        <v>1.199055638</v>
      </c>
      <c r="T353" s="14">
        <f t="shared" si="7"/>
        <v>1.453804348</v>
      </c>
      <c r="U353" s="14">
        <f t="shared" si="8"/>
        <v>0.2800936202</v>
      </c>
    </row>
    <row r="354" ht="15.75" customHeight="1">
      <c r="A354" s="9">
        <v>45884.2086274306</v>
      </c>
      <c r="B354" s="10">
        <v>5.0</v>
      </c>
      <c r="C354" s="10" t="s">
        <v>60</v>
      </c>
      <c r="D354" s="10" t="s">
        <v>1018</v>
      </c>
      <c r="E354" s="12" t="s">
        <v>62</v>
      </c>
      <c r="F354" s="11">
        <v>252219.0</v>
      </c>
      <c r="G354" s="11">
        <v>7043.0</v>
      </c>
      <c r="H354" s="11">
        <v>3780.0</v>
      </c>
      <c r="I354" s="11">
        <v>2990.0</v>
      </c>
      <c r="J354" s="11">
        <v>264.0</v>
      </c>
      <c r="K354" s="11">
        <v>61.0</v>
      </c>
      <c r="L354" s="11">
        <v>27.0</v>
      </c>
      <c r="M354" s="13">
        <f t="shared" ref="M354:O354" si="356">IFERROR(G354/F354,"")</f>
        <v>0.02792414529</v>
      </c>
      <c r="N354" s="13">
        <f t="shared" si="356"/>
        <v>0.5367031095</v>
      </c>
      <c r="O354" s="14">
        <f t="shared" si="356"/>
        <v>0.791005291</v>
      </c>
      <c r="P354" s="13">
        <f t="shared" si="3"/>
        <v>0.06984126984</v>
      </c>
      <c r="Q354" s="13">
        <f t="shared" si="4"/>
        <v>0.01613756614</v>
      </c>
      <c r="R354" s="13">
        <f t="shared" si="5"/>
        <v>0.007142857143</v>
      </c>
      <c r="S354" s="14">
        <f t="shared" si="6"/>
        <v>0.4826798869</v>
      </c>
      <c r="T354" s="14">
        <f t="shared" si="7"/>
        <v>0.9983090314</v>
      </c>
      <c r="U354" s="14">
        <f t="shared" si="8"/>
        <v>1.650227315</v>
      </c>
    </row>
    <row r="355" ht="15.75" customHeight="1">
      <c r="A355" s="9">
        <v>45885.2306660532</v>
      </c>
      <c r="B355" s="10">
        <v>5.0</v>
      </c>
      <c r="C355" s="10" t="s">
        <v>69</v>
      </c>
      <c r="D355" s="10" t="s">
        <v>1021</v>
      </c>
      <c r="E355" s="12" t="s">
        <v>62</v>
      </c>
      <c r="F355" s="11">
        <v>4897312.0</v>
      </c>
      <c r="G355" s="11">
        <v>741228.0</v>
      </c>
      <c r="H355" s="11">
        <v>512442.0</v>
      </c>
      <c r="I355" s="11">
        <v>444467.0</v>
      </c>
      <c r="J355" s="11">
        <v>13687.0</v>
      </c>
      <c r="K355" s="11">
        <v>2415.0</v>
      </c>
      <c r="L355" s="11">
        <v>1102.0</v>
      </c>
      <c r="M355" s="13">
        <f t="shared" ref="M355:O355" si="357">IFERROR(G355/F355,"")</f>
        <v>0.1513540489</v>
      </c>
      <c r="N355" s="13">
        <f t="shared" si="357"/>
        <v>0.6913419353</v>
      </c>
      <c r="O355" s="14">
        <f t="shared" si="357"/>
        <v>0.8673508417</v>
      </c>
      <c r="P355" s="13">
        <f t="shared" si="3"/>
        <v>0.02670936418</v>
      </c>
      <c r="Q355" s="13">
        <f t="shared" si="4"/>
        <v>0.004712728465</v>
      </c>
      <c r="R355" s="13">
        <f t="shared" si="5"/>
        <v>0.002150487275</v>
      </c>
      <c r="S355" s="14">
        <f t="shared" si="6"/>
        <v>2.576025784</v>
      </c>
      <c r="T355" s="14">
        <f t="shared" si="7"/>
        <v>1.283260973</v>
      </c>
      <c r="U355" s="14">
        <f t="shared" si="8"/>
        <v>0.4983404795</v>
      </c>
    </row>
    <row r="356" ht="15.75" customHeight="1">
      <c r="A356" s="9">
        <v>45887.4684618056</v>
      </c>
      <c r="B356" s="10">
        <v>11.0</v>
      </c>
      <c r="C356" s="10" t="s">
        <v>71</v>
      </c>
      <c r="D356" s="10" t="s">
        <v>1024</v>
      </c>
      <c r="E356" s="12" t="s">
        <v>62</v>
      </c>
      <c r="F356" s="11">
        <v>461444.0</v>
      </c>
      <c r="G356" s="11">
        <v>28571.0</v>
      </c>
      <c r="H356" s="11">
        <v>15865.0</v>
      </c>
      <c r="I356" s="11">
        <v>16141.0</v>
      </c>
      <c r="J356" s="11">
        <v>369.0</v>
      </c>
      <c r="K356" s="11">
        <v>238.0</v>
      </c>
      <c r="L356" s="11">
        <v>65.0</v>
      </c>
      <c r="M356" s="13">
        <f t="shared" ref="M356:O356" si="358">IFERROR(G356/F356,"")</f>
        <v>0.06191650558</v>
      </c>
      <c r="N356" s="13">
        <f t="shared" si="358"/>
        <v>0.5552833292</v>
      </c>
      <c r="O356" s="14">
        <f t="shared" si="358"/>
        <v>1.017396785</v>
      </c>
      <c r="P356" s="13">
        <f t="shared" si="3"/>
        <v>0.02325874567</v>
      </c>
      <c r="Q356" s="13">
        <f t="shared" si="4"/>
        <v>0.0150015758</v>
      </c>
      <c r="R356" s="13">
        <f t="shared" si="5"/>
        <v>0.00409706902</v>
      </c>
      <c r="S356" s="14">
        <f t="shared" si="6"/>
        <v>1.065849258</v>
      </c>
      <c r="T356" s="14">
        <f t="shared" si="7"/>
        <v>1.030279966</v>
      </c>
      <c r="U356" s="14">
        <f t="shared" si="8"/>
        <v>1.508731981</v>
      </c>
    </row>
    <row r="357" ht="15.75" customHeight="1">
      <c r="A357" s="9">
        <v>45889.2393746065</v>
      </c>
      <c r="B357" s="10">
        <v>5.0</v>
      </c>
      <c r="C357" s="10" t="s">
        <v>80</v>
      </c>
      <c r="D357" s="10" t="s">
        <v>1027</v>
      </c>
      <c r="E357" s="12" t="s">
        <v>62</v>
      </c>
      <c r="F357" s="11">
        <v>704400.0</v>
      </c>
      <c r="G357" s="11">
        <v>30545.0</v>
      </c>
      <c r="H357" s="11">
        <v>17809.0</v>
      </c>
      <c r="I357" s="11">
        <v>16961.0</v>
      </c>
      <c r="J357" s="11">
        <v>695.0</v>
      </c>
      <c r="K357" s="11">
        <v>85.0</v>
      </c>
      <c r="L357" s="11">
        <v>101.0</v>
      </c>
      <c r="M357" s="13">
        <f t="shared" ref="M357:O357" si="359">IFERROR(G357/F357,"")</f>
        <v>0.04336314594</v>
      </c>
      <c r="N357" s="13">
        <f t="shared" si="359"/>
        <v>0.5830414143</v>
      </c>
      <c r="O357" s="14">
        <f t="shared" si="359"/>
        <v>0.9523836263</v>
      </c>
      <c r="P357" s="13">
        <f t="shared" si="3"/>
        <v>0.03902521197</v>
      </c>
      <c r="Q357" s="13">
        <f t="shared" si="4"/>
        <v>0.004772867651</v>
      </c>
      <c r="R357" s="13">
        <f t="shared" si="5"/>
        <v>0.005671289797</v>
      </c>
      <c r="S357" s="14">
        <f t="shared" si="6"/>
        <v>0.7464661726</v>
      </c>
      <c r="T357" s="14">
        <f t="shared" si="7"/>
        <v>1.081681966</v>
      </c>
      <c r="U357" s="14">
        <f t="shared" si="8"/>
        <v>0.479295684</v>
      </c>
    </row>
    <row r="358" ht="15.75" customHeight="1">
      <c r="A358" s="9">
        <v>45891.2644347107</v>
      </c>
      <c r="B358" s="10">
        <v>6.0</v>
      </c>
      <c r="C358" s="10" t="s">
        <v>60</v>
      </c>
      <c r="D358" s="10" t="s">
        <v>1030</v>
      </c>
      <c r="E358" s="12" t="s">
        <v>62</v>
      </c>
      <c r="F358" s="11">
        <v>132387.0</v>
      </c>
      <c r="G358" s="11">
        <v>20559.0</v>
      </c>
      <c r="H358" s="11">
        <v>13299.0</v>
      </c>
      <c r="I358" s="11">
        <v>9671.0</v>
      </c>
      <c r="J358" s="11">
        <v>1013.0</v>
      </c>
      <c r="K358" s="11">
        <v>175.0</v>
      </c>
      <c r="L358" s="11">
        <v>32.0</v>
      </c>
      <c r="M358" s="13">
        <f t="shared" ref="M358:O358" si="360">IFERROR(G358/F358,"")</f>
        <v>0.1552947042</v>
      </c>
      <c r="N358" s="13">
        <f t="shared" si="360"/>
        <v>0.6468699839</v>
      </c>
      <c r="O358" s="14">
        <f t="shared" si="360"/>
        <v>0.7271975336</v>
      </c>
      <c r="P358" s="13">
        <f t="shared" si="3"/>
        <v>0.07617114069</v>
      </c>
      <c r="Q358" s="13">
        <f t="shared" si="4"/>
        <v>0.01315888413</v>
      </c>
      <c r="R358" s="13">
        <f t="shared" si="5"/>
        <v>0.002406195955</v>
      </c>
      <c r="S358" s="14">
        <f t="shared" si="6"/>
        <v>2.716402871</v>
      </c>
      <c r="T358" s="14">
        <f t="shared" si="7"/>
        <v>1.200211046</v>
      </c>
      <c r="U358" s="14">
        <f t="shared" si="8"/>
        <v>1.321427039</v>
      </c>
    </row>
    <row r="359" ht="15.75" customHeight="1">
      <c r="A359" s="9">
        <v>45892.2230923264</v>
      </c>
      <c r="B359" s="10">
        <v>5.0</v>
      </c>
      <c r="C359" s="10" t="s">
        <v>69</v>
      </c>
      <c r="D359" s="10" t="s">
        <v>1033</v>
      </c>
      <c r="E359" s="12" t="s">
        <v>62</v>
      </c>
      <c r="F359" s="11">
        <v>329144.0</v>
      </c>
      <c r="G359" s="11">
        <v>70017.0</v>
      </c>
      <c r="H359" s="11">
        <v>35549.0</v>
      </c>
      <c r="I359" s="11">
        <v>23251.0</v>
      </c>
      <c r="J359" s="11">
        <v>1418.0</v>
      </c>
      <c r="K359" s="11">
        <v>354.0</v>
      </c>
      <c r="L359" s="11">
        <v>63.0</v>
      </c>
      <c r="M359" s="13">
        <f t="shared" ref="M359:O359" si="361">IFERROR(G359/F359,"")</f>
        <v>0.2127245218</v>
      </c>
      <c r="N359" s="13">
        <f t="shared" si="361"/>
        <v>0.5077195538</v>
      </c>
      <c r="O359" s="14">
        <f t="shared" si="361"/>
        <v>0.6540549664</v>
      </c>
      <c r="P359" s="13">
        <f t="shared" si="3"/>
        <v>0.03988860446</v>
      </c>
      <c r="Q359" s="13">
        <f t="shared" si="4"/>
        <v>0.009958086022</v>
      </c>
      <c r="R359" s="13">
        <f t="shared" si="5"/>
        <v>0.00177220175</v>
      </c>
      <c r="S359" s="14">
        <f t="shared" si="6"/>
        <v>3.76730579</v>
      </c>
      <c r="T359" s="14">
        <f t="shared" si="7"/>
        <v>0.942423214</v>
      </c>
      <c r="U359" s="14">
        <f t="shared" si="8"/>
        <v>1.000749594</v>
      </c>
    </row>
    <row r="360" ht="15.75" customHeight="1">
      <c r="A360" s="9">
        <v>45894.4007143056</v>
      </c>
      <c r="B360" s="10">
        <v>9.0</v>
      </c>
      <c r="C360" s="10" t="s">
        <v>71</v>
      </c>
      <c r="D360" s="10" t="s">
        <v>1036</v>
      </c>
      <c r="E360" s="12" t="s">
        <v>62</v>
      </c>
      <c r="F360" s="11">
        <v>109127.0</v>
      </c>
      <c r="G360" s="11">
        <v>5648.0</v>
      </c>
      <c r="H360" s="11">
        <v>4014.0</v>
      </c>
      <c r="I360" s="11">
        <v>3880.0</v>
      </c>
      <c r="J360" s="11">
        <v>213.0</v>
      </c>
      <c r="K360" s="11">
        <v>40.0</v>
      </c>
      <c r="L360" s="11">
        <v>12.0</v>
      </c>
      <c r="M360" s="13">
        <f t="shared" ref="M360:O360" si="362">IFERROR(G360/F360,"")</f>
        <v>0.05175621065</v>
      </c>
      <c r="N360" s="13">
        <f t="shared" si="362"/>
        <v>0.710694051</v>
      </c>
      <c r="O360" s="14">
        <f t="shared" si="362"/>
        <v>0.9666168411</v>
      </c>
      <c r="P360" s="13">
        <f t="shared" si="3"/>
        <v>0.05306427504</v>
      </c>
      <c r="Q360" s="13">
        <f t="shared" si="4"/>
        <v>0.009965122073</v>
      </c>
      <c r="R360" s="13">
        <f t="shared" si="5"/>
        <v>0.002989536622</v>
      </c>
      <c r="S360" s="14">
        <f t="shared" si="6"/>
        <v>0.905315606</v>
      </c>
      <c r="T360" s="14">
        <f t="shared" si="7"/>
        <v>1.31850829</v>
      </c>
      <c r="U360" s="14">
        <f t="shared" si="8"/>
        <v>1.000706567</v>
      </c>
    </row>
    <row r="361" ht="15.75" customHeight="1">
      <c r="A361" s="9">
        <v>45896.2504970255</v>
      </c>
      <c r="B361" s="10">
        <v>6.0</v>
      </c>
      <c r="C361" s="10" t="s">
        <v>80</v>
      </c>
      <c r="D361" s="10" t="s">
        <v>1038</v>
      </c>
      <c r="E361" s="12" t="s">
        <v>62</v>
      </c>
      <c r="F361" s="11">
        <v>25483.0</v>
      </c>
      <c r="G361" s="11">
        <v>1421.0</v>
      </c>
      <c r="H361" s="11">
        <v>734.0</v>
      </c>
      <c r="I361" s="11">
        <v>433.0</v>
      </c>
      <c r="J361" s="11">
        <v>98.0</v>
      </c>
      <c r="K361" s="11">
        <v>33.0</v>
      </c>
      <c r="L361" s="11">
        <v>4.0</v>
      </c>
      <c r="M361" s="13">
        <f t="shared" ref="M361:O361" si="363">IFERROR(G361/F361,"")</f>
        <v>0.05576266531</v>
      </c>
      <c r="N361" s="13">
        <f t="shared" si="363"/>
        <v>0.5165376495</v>
      </c>
      <c r="O361" s="14">
        <f t="shared" si="363"/>
        <v>0.5899182561</v>
      </c>
      <c r="P361" s="13">
        <f t="shared" si="3"/>
        <v>0.1335149864</v>
      </c>
      <c r="Q361" s="13">
        <f t="shared" si="4"/>
        <v>0.04495912807</v>
      </c>
      <c r="R361" s="13">
        <f t="shared" si="5"/>
        <v>0.005449591281</v>
      </c>
      <c r="S361" s="14">
        <f t="shared" si="6"/>
        <v>0.9753961988</v>
      </c>
      <c r="T361" s="14">
        <f t="shared" si="7"/>
        <v>0.9536180377</v>
      </c>
      <c r="U361" s="14">
        <f t="shared" si="8"/>
        <v>4.514836281</v>
      </c>
    </row>
    <row r="362" ht="15.75" customHeight="1">
      <c r="A362" s="9">
        <v>45898.250486956</v>
      </c>
      <c r="B362" s="10">
        <v>6.0</v>
      </c>
      <c r="C362" s="10" t="s">
        <v>60</v>
      </c>
      <c r="D362" s="10" t="s">
        <v>1040</v>
      </c>
      <c r="E362" s="12" t="s">
        <v>62</v>
      </c>
      <c r="F362" s="11">
        <v>1.5431678E7</v>
      </c>
      <c r="G362" s="11">
        <v>1093376.0</v>
      </c>
      <c r="H362" s="11">
        <v>681814.0</v>
      </c>
      <c r="I362" s="11">
        <v>587321.0</v>
      </c>
      <c r="J362" s="11">
        <v>17053.0</v>
      </c>
      <c r="K362" s="11">
        <v>5857.0</v>
      </c>
      <c r="L362" s="11">
        <v>3174.0</v>
      </c>
      <c r="M362" s="13">
        <f t="shared" ref="M362:O362" si="364">IFERROR(G362/F362,"")</f>
        <v>0.07085269664</v>
      </c>
      <c r="N362" s="13">
        <f t="shared" si="364"/>
        <v>0.6235860308</v>
      </c>
      <c r="O362" s="14">
        <f t="shared" si="364"/>
        <v>0.8614094166</v>
      </c>
      <c r="P362" s="13">
        <f t="shared" si="3"/>
        <v>0.02501122007</v>
      </c>
      <c r="Q362" s="13">
        <f t="shared" si="4"/>
        <v>0.008590319354</v>
      </c>
      <c r="R362" s="13">
        <f t="shared" si="5"/>
        <v>0.004655228552</v>
      </c>
      <c r="S362" s="14">
        <f t="shared" si="6"/>
        <v>1.239349852</v>
      </c>
      <c r="T362" s="14">
        <f t="shared" si="7"/>
        <v>1.151247905</v>
      </c>
      <c r="U362" s="14">
        <f t="shared" si="8"/>
        <v>0.8626476348</v>
      </c>
    </row>
    <row r="363" ht="15.75" customHeight="1">
      <c r="A363" s="9">
        <v>45899.2505261806</v>
      </c>
      <c r="B363" s="10">
        <v>6.0</v>
      </c>
      <c r="C363" s="10" t="s">
        <v>69</v>
      </c>
      <c r="D363" s="10" t="s">
        <v>1043</v>
      </c>
      <c r="E363" s="12" t="s">
        <v>62</v>
      </c>
      <c r="F363" s="11">
        <v>4153067.0</v>
      </c>
      <c r="G363" s="11">
        <v>253475.0</v>
      </c>
      <c r="H363" s="11">
        <v>153092.0</v>
      </c>
      <c r="I363" s="11">
        <v>138481.0</v>
      </c>
      <c r="J363" s="11">
        <v>1623.0</v>
      </c>
      <c r="K363" s="11">
        <v>566.0</v>
      </c>
      <c r="L363" s="11">
        <v>331.0</v>
      </c>
      <c r="M363" s="13">
        <f t="shared" ref="M363:O363" si="365">IFERROR(G363/F363,"")</f>
        <v>0.06103320751</v>
      </c>
      <c r="N363" s="13">
        <f t="shared" si="365"/>
        <v>0.6039727784</v>
      </c>
      <c r="O363" s="14">
        <f t="shared" si="365"/>
        <v>0.9045606563</v>
      </c>
      <c r="P363" s="13">
        <f t="shared" si="3"/>
        <v>0.0106014684</v>
      </c>
      <c r="Q363" s="13">
        <f t="shared" si="4"/>
        <v>0.003697123298</v>
      </c>
      <c r="R363" s="13">
        <f t="shared" si="5"/>
        <v>0.002162098607</v>
      </c>
      <c r="S363" s="14">
        <f t="shared" si="6"/>
        <v>1.080885053</v>
      </c>
      <c r="T363" s="14">
        <f t="shared" si="7"/>
        <v>1.10757685</v>
      </c>
      <c r="U363" s="14">
        <f t="shared" si="8"/>
        <v>0.3715467643</v>
      </c>
    </row>
    <row r="364" ht="15.75" customHeight="1">
      <c r="A364" s="9">
        <v>45901.2541158333</v>
      </c>
      <c r="B364" s="10">
        <v>6.0</v>
      </c>
      <c r="C364" s="10" t="s">
        <v>71</v>
      </c>
      <c r="D364" s="10" t="s">
        <v>1046</v>
      </c>
      <c r="E364" s="12" t="s">
        <v>62</v>
      </c>
      <c r="F364" s="11">
        <v>56508.0</v>
      </c>
      <c r="G364" s="11">
        <v>1654.0</v>
      </c>
      <c r="H364" s="11">
        <v>963.0</v>
      </c>
      <c r="I364" s="11">
        <v>983.0</v>
      </c>
      <c r="J364" s="11">
        <v>168.0</v>
      </c>
      <c r="K364" s="11">
        <v>20.0</v>
      </c>
      <c r="L364" s="11">
        <v>5.0</v>
      </c>
      <c r="M364" s="13">
        <f t="shared" ref="M364:O364" si="366">IFERROR(G364/F364,"")</f>
        <v>0.02927019183</v>
      </c>
      <c r="N364" s="13">
        <f t="shared" si="366"/>
        <v>0.5822249093</v>
      </c>
      <c r="O364" s="14">
        <f t="shared" si="366"/>
        <v>1.020768432</v>
      </c>
      <c r="P364" s="13">
        <f t="shared" si="3"/>
        <v>0.1744548287</v>
      </c>
      <c r="Q364" s="13">
        <f t="shared" si="4"/>
        <v>0.02076843198</v>
      </c>
      <c r="R364" s="13">
        <f t="shared" si="5"/>
        <v>0.005192107996</v>
      </c>
      <c r="S364" s="14">
        <f t="shared" si="6"/>
        <v>0.524906614</v>
      </c>
      <c r="T364" s="14">
        <f t="shared" si="7"/>
        <v>1.080167153</v>
      </c>
      <c r="U364" s="14">
        <f t="shared" si="8"/>
        <v>2.085584713</v>
      </c>
    </row>
    <row r="365" ht="15.75" customHeight="1">
      <c r="A365" s="9">
        <v>45903.4191991088</v>
      </c>
      <c r="B365" s="10">
        <v>10.0</v>
      </c>
      <c r="C365" s="10" t="s">
        <v>80</v>
      </c>
      <c r="D365" s="10" t="s">
        <v>1049</v>
      </c>
      <c r="E365" s="12" t="s">
        <v>62</v>
      </c>
      <c r="F365" s="11">
        <v>66319.0</v>
      </c>
      <c r="G365" s="11">
        <v>7285.0</v>
      </c>
      <c r="H365" s="11">
        <v>3946.0</v>
      </c>
      <c r="I365" s="11">
        <v>2727.0</v>
      </c>
      <c r="J365" s="11">
        <v>578.0</v>
      </c>
      <c r="K365" s="11">
        <v>109.0</v>
      </c>
      <c r="L365" s="11">
        <v>6.0</v>
      </c>
      <c r="M365" s="13">
        <f t="shared" ref="M365:O365" si="367">IFERROR(G365/F365,"")</f>
        <v>0.1098478566</v>
      </c>
      <c r="N365" s="13">
        <f t="shared" si="367"/>
        <v>0.5416609472</v>
      </c>
      <c r="O365" s="14">
        <f t="shared" si="367"/>
        <v>0.6910795743</v>
      </c>
      <c r="P365" s="13">
        <f t="shared" si="3"/>
        <v>0.1464774455</v>
      </c>
      <c r="Q365" s="13">
        <f t="shared" si="4"/>
        <v>0.02762290928</v>
      </c>
      <c r="R365" s="13">
        <f t="shared" si="5"/>
        <v>0.001520527116</v>
      </c>
      <c r="S365" s="14">
        <f t="shared" si="6"/>
        <v>1.97631487</v>
      </c>
      <c r="T365" s="14">
        <f t="shared" si="7"/>
        <v>1.005424839</v>
      </c>
      <c r="U365" s="14">
        <f t="shared" si="8"/>
        <v>2.775996832</v>
      </c>
    </row>
    <row r="366" ht="15.75" customHeight="1">
      <c r="A366" s="9">
        <v>45905.4833484607</v>
      </c>
      <c r="B366" s="10">
        <v>11.0</v>
      </c>
      <c r="C366" s="10" t="s">
        <v>60</v>
      </c>
      <c r="D366" s="10" t="s">
        <v>1052</v>
      </c>
      <c r="E366" s="12" t="s">
        <v>62</v>
      </c>
      <c r="F366" s="11">
        <v>741210.0</v>
      </c>
      <c r="G366" s="11">
        <v>54889.0</v>
      </c>
      <c r="H366" s="11">
        <v>35167.0</v>
      </c>
      <c r="I366" s="11">
        <v>43202.0</v>
      </c>
      <c r="J366" s="11">
        <v>1255.0</v>
      </c>
      <c r="K366" s="11">
        <v>358.0</v>
      </c>
      <c r="L366" s="11">
        <v>146.0</v>
      </c>
      <c r="M366" s="13">
        <f t="shared" ref="M366:O366" si="368">IFERROR(G366/F366,"")</f>
        <v>0.07405323727</v>
      </c>
      <c r="N366" s="13">
        <f t="shared" si="368"/>
        <v>0.640693035</v>
      </c>
      <c r="O366" s="14">
        <f t="shared" si="368"/>
        <v>1.228481247</v>
      </c>
      <c r="P366" s="13">
        <f t="shared" si="3"/>
        <v>0.03568686553</v>
      </c>
      <c r="Q366" s="13">
        <f t="shared" si="4"/>
        <v>0.01017999829</v>
      </c>
      <c r="R366" s="13">
        <f t="shared" si="5"/>
        <v>0.004151619416</v>
      </c>
      <c r="S366" s="14">
        <f t="shared" si="6"/>
        <v>1.336660933</v>
      </c>
      <c r="T366" s="14">
        <f t="shared" si="7"/>
        <v>1.188750254</v>
      </c>
      <c r="U366" s="14">
        <f t="shared" si="8"/>
        <v>1.023818378</v>
      </c>
    </row>
    <row r="367" ht="15.75" customHeight="1">
      <c r="A367" s="9">
        <v>45906.2361717361</v>
      </c>
      <c r="B367" s="10">
        <v>5.0</v>
      </c>
      <c r="C367" s="10" t="s">
        <v>69</v>
      </c>
      <c r="D367" s="10" t="s">
        <v>1055</v>
      </c>
      <c r="E367" s="12" t="s">
        <v>62</v>
      </c>
      <c r="F367" s="11">
        <v>168429.0</v>
      </c>
      <c r="G367" s="11">
        <v>27443.0</v>
      </c>
      <c r="H367" s="11">
        <v>14269.0</v>
      </c>
      <c r="I367" s="11">
        <v>8282.0</v>
      </c>
      <c r="J367" s="11">
        <v>998.0</v>
      </c>
      <c r="K367" s="11">
        <v>127.0</v>
      </c>
      <c r="L367" s="11">
        <v>14.0</v>
      </c>
      <c r="M367" s="13">
        <f t="shared" ref="M367:O367" si="369">IFERROR(G367/F367,"")</f>
        <v>0.162935124</v>
      </c>
      <c r="N367" s="13">
        <f t="shared" si="369"/>
        <v>0.5199504427</v>
      </c>
      <c r="O367" s="14">
        <f t="shared" si="369"/>
        <v>0.5804190903</v>
      </c>
      <c r="P367" s="13">
        <f t="shared" si="3"/>
        <v>0.06994183194</v>
      </c>
      <c r="Q367" s="13">
        <f t="shared" si="4"/>
        <v>0.008900413484</v>
      </c>
      <c r="R367" s="13">
        <f t="shared" si="5"/>
        <v>0.0009811479431</v>
      </c>
      <c r="S367" s="14">
        <f t="shared" si="6"/>
        <v>2.943254638</v>
      </c>
      <c r="T367" s="14">
        <f t="shared" si="7"/>
        <v>0.964677955</v>
      </c>
      <c r="U367" s="14">
        <f t="shared" si="8"/>
        <v>0.9101561734</v>
      </c>
    </row>
    <row r="368" ht="15.75" customHeight="1">
      <c r="A368" s="9">
        <v>45908.4222838195</v>
      </c>
      <c r="B368" s="10">
        <v>10.0</v>
      </c>
      <c r="C368" s="10" t="s">
        <v>71</v>
      </c>
      <c r="D368" s="10" t="s">
        <v>1057</v>
      </c>
      <c r="E368" s="12" t="s">
        <v>62</v>
      </c>
      <c r="F368" s="11">
        <v>1220412.0</v>
      </c>
      <c r="G368" s="11">
        <v>218356.0</v>
      </c>
      <c r="H368" s="11">
        <v>117068.0</v>
      </c>
      <c r="I368" s="11">
        <v>68480.0</v>
      </c>
      <c r="J368" s="11">
        <v>4385.0</v>
      </c>
      <c r="K368" s="11">
        <v>869.0</v>
      </c>
      <c r="L368" s="11">
        <v>442.0</v>
      </c>
      <c r="M368" s="13">
        <f t="shared" ref="M368:O368" si="370">IFERROR(G368/F368,"")</f>
        <v>0.1789199057</v>
      </c>
      <c r="N368" s="13">
        <f t="shared" si="370"/>
        <v>0.5361336533</v>
      </c>
      <c r="O368" s="14">
        <f t="shared" si="370"/>
        <v>0.584959169</v>
      </c>
      <c r="P368" s="13">
        <f t="shared" si="3"/>
        <v>0.03745686268</v>
      </c>
      <c r="Q368" s="13">
        <f t="shared" si="4"/>
        <v>0.007423036184</v>
      </c>
      <c r="R368" s="13">
        <f t="shared" si="5"/>
        <v>0.003775583422</v>
      </c>
      <c r="S368" s="14">
        <f t="shared" si="6"/>
        <v>3.229504299</v>
      </c>
      <c r="T368" s="14">
        <f t="shared" si="7"/>
        <v>0.994656794</v>
      </c>
      <c r="U368" s="14">
        <f t="shared" si="8"/>
        <v>0.7720408058</v>
      </c>
    </row>
    <row r="369" ht="15.75" customHeight="1">
      <c r="A369" s="9">
        <v>45910.5016187269</v>
      </c>
      <c r="B369" s="10">
        <v>12.0</v>
      </c>
      <c r="C369" s="10" t="s">
        <v>80</v>
      </c>
      <c r="D369" s="10" t="s">
        <v>1060</v>
      </c>
      <c r="E369" s="12" t="s">
        <v>62</v>
      </c>
      <c r="F369" s="11">
        <v>527224.0</v>
      </c>
      <c r="G369" s="11">
        <v>38096.0</v>
      </c>
      <c r="H369" s="11">
        <v>24282.0</v>
      </c>
      <c r="I369" s="11">
        <v>27806.0</v>
      </c>
      <c r="J369" s="11">
        <v>1057.0</v>
      </c>
      <c r="K369" s="11">
        <v>129.0</v>
      </c>
      <c r="L369" s="11">
        <v>95.0</v>
      </c>
      <c r="M369" s="13">
        <f t="shared" ref="M369:O369" si="371">IFERROR(G369/F369,"")</f>
        <v>0.07225771209</v>
      </c>
      <c r="N369" s="13">
        <f t="shared" si="371"/>
        <v>0.6373897522</v>
      </c>
      <c r="O369" s="14">
        <f t="shared" si="371"/>
        <v>1.145128078</v>
      </c>
      <c r="P369" s="13">
        <f t="shared" si="3"/>
        <v>0.04353018697</v>
      </c>
      <c r="Q369" s="13">
        <f t="shared" si="4"/>
        <v>0.005312577218</v>
      </c>
      <c r="R369" s="13">
        <f t="shared" si="5"/>
        <v>0.003912363067</v>
      </c>
      <c r="S369" s="14">
        <f t="shared" si="6"/>
        <v>1.295808077</v>
      </c>
      <c r="T369" s="14">
        <f t="shared" si="7"/>
        <v>1.176731968</v>
      </c>
      <c r="U369" s="14">
        <f t="shared" si="8"/>
        <v>0.5744057504</v>
      </c>
    </row>
    <row r="370" ht="15.75" customHeight="1">
      <c r="A370" s="9">
        <v>45912.2503502894</v>
      </c>
      <c r="B370" s="10">
        <v>6.0</v>
      </c>
      <c r="C370" s="10" t="s">
        <v>60</v>
      </c>
      <c r="D370" s="10" t="s">
        <v>1062</v>
      </c>
      <c r="E370" s="12" t="s">
        <v>62</v>
      </c>
      <c r="F370" s="11">
        <v>740046.0</v>
      </c>
      <c r="G370" s="11">
        <v>116505.0</v>
      </c>
      <c r="H370" s="11">
        <v>71388.0</v>
      </c>
      <c r="I370" s="11">
        <v>37345.0</v>
      </c>
      <c r="J370" s="11">
        <v>2137.0</v>
      </c>
      <c r="K370" s="11">
        <v>241.0</v>
      </c>
      <c r="L370" s="11">
        <v>220.0</v>
      </c>
      <c r="M370" s="13">
        <f t="shared" ref="M370:O370" si="372">IFERROR(G370/F370,"")</f>
        <v>0.157429403</v>
      </c>
      <c r="N370" s="13">
        <f t="shared" si="372"/>
        <v>0.6127462341</v>
      </c>
      <c r="O370" s="14">
        <f t="shared" si="372"/>
        <v>0.5231271362</v>
      </c>
      <c r="P370" s="13">
        <f t="shared" si="3"/>
        <v>0.02993500308</v>
      </c>
      <c r="Q370" s="13">
        <f t="shared" si="4"/>
        <v>0.003375917521</v>
      </c>
      <c r="R370" s="13">
        <f t="shared" si="5"/>
        <v>0.003081750434</v>
      </c>
      <c r="S370" s="14">
        <f t="shared" si="6"/>
        <v>2.731715053</v>
      </c>
      <c r="T370" s="14">
        <f t="shared" si="7"/>
        <v>1.123665781</v>
      </c>
      <c r="U370" s="14">
        <f t="shared" si="8"/>
        <v>0.3766299843</v>
      </c>
    </row>
    <row r="371" ht="15.75" customHeight="1">
      <c r="A371" s="9">
        <v>45913.2095334375</v>
      </c>
      <c r="B371" s="10">
        <v>5.0</v>
      </c>
      <c r="C371" s="10" t="s">
        <v>69</v>
      </c>
      <c r="D371" s="10" t="s">
        <v>1065</v>
      </c>
      <c r="E371" s="12" t="s">
        <v>62</v>
      </c>
      <c r="F371" s="11">
        <v>168110.0</v>
      </c>
      <c r="G371" s="11">
        <v>6498.0</v>
      </c>
      <c r="H371" s="11">
        <v>3688.0</v>
      </c>
      <c r="I371" s="11">
        <v>4339.0</v>
      </c>
      <c r="J371" s="11">
        <v>194.0</v>
      </c>
      <c r="K371" s="11">
        <v>47.0</v>
      </c>
      <c r="L371" s="11">
        <v>26.0</v>
      </c>
      <c r="M371" s="13">
        <f t="shared" ref="M371:O371" si="373">IFERROR(G371/F371,"")</f>
        <v>0.03865326274</v>
      </c>
      <c r="N371" s="13">
        <f t="shared" si="373"/>
        <v>0.567559249</v>
      </c>
      <c r="O371" s="14">
        <f t="shared" si="373"/>
        <v>1.176518438</v>
      </c>
      <c r="P371" s="13">
        <f t="shared" si="3"/>
        <v>0.05260303688</v>
      </c>
      <c r="Q371" s="13">
        <f t="shared" si="4"/>
        <v>0.01274403471</v>
      </c>
      <c r="R371" s="13">
        <f t="shared" si="5"/>
        <v>0.00704989154</v>
      </c>
      <c r="S371" s="14">
        <f t="shared" si="6"/>
        <v>0.6707114277</v>
      </c>
      <c r="T371" s="14">
        <f t="shared" si="7"/>
        <v>1.031880511</v>
      </c>
      <c r="U371" s="14">
        <f t="shared" si="8"/>
        <v>1.421772174</v>
      </c>
    </row>
    <row r="372" ht="15.75" customHeight="1">
      <c r="A372" s="9">
        <v>45915.2507416319</v>
      </c>
      <c r="B372" s="10">
        <v>6.0</v>
      </c>
      <c r="C372" s="10" t="s">
        <v>71</v>
      </c>
      <c r="D372" s="10" t="s">
        <v>1068</v>
      </c>
      <c r="E372" s="12" t="s">
        <v>62</v>
      </c>
      <c r="F372" s="11">
        <v>2547882.0</v>
      </c>
      <c r="G372" s="11">
        <v>243058.0</v>
      </c>
      <c r="H372" s="11">
        <v>135346.0</v>
      </c>
      <c r="I372" s="11">
        <v>98293.0</v>
      </c>
      <c r="J372" s="11">
        <v>3221.0</v>
      </c>
      <c r="K372" s="11">
        <v>917.0</v>
      </c>
      <c r="L372" s="11">
        <v>391.0</v>
      </c>
      <c r="M372" s="13">
        <f t="shared" ref="M372:O372" si="374">IFERROR(G372/F372,"")</f>
        <v>0.09539609762</v>
      </c>
      <c r="N372" s="13">
        <f t="shared" si="374"/>
        <v>0.556846514</v>
      </c>
      <c r="O372" s="14">
        <f t="shared" si="374"/>
        <v>0.7262349829</v>
      </c>
      <c r="P372" s="13">
        <f t="shared" si="3"/>
        <v>0.02379826519</v>
      </c>
      <c r="Q372" s="13">
        <f t="shared" si="4"/>
        <v>0.006775227934</v>
      </c>
      <c r="R372" s="13">
        <f t="shared" si="5"/>
        <v>0.002888892173</v>
      </c>
      <c r="S372" s="14">
        <f t="shared" si="6"/>
        <v>1.605495128</v>
      </c>
      <c r="T372" s="14">
        <f t="shared" si="7"/>
        <v>1.028035189</v>
      </c>
      <c r="U372" s="14">
        <f t="shared" si="8"/>
        <v>0.7539277735</v>
      </c>
    </row>
    <row r="373" ht="15.75" customHeight="1">
      <c r="A373" s="9">
        <v>45916.6289502199</v>
      </c>
      <c r="B373" s="10">
        <v>15.0</v>
      </c>
      <c r="C373" s="10" t="s">
        <v>59</v>
      </c>
      <c r="D373" s="10" t="s">
        <v>1070</v>
      </c>
      <c r="E373" s="12" t="s">
        <v>62</v>
      </c>
      <c r="F373" s="11">
        <v>15377.0</v>
      </c>
      <c r="G373" s="11">
        <v>1382.0</v>
      </c>
      <c r="H373" s="11">
        <v>849.0</v>
      </c>
      <c r="I373" s="11">
        <v>688.0</v>
      </c>
      <c r="J373" s="11">
        <v>40.0</v>
      </c>
      <c r="K373" s="11">
        <v>0.0</v>
      </c>
      <c r="L373" s="11">
        <v>0.0</v>
      </c>
      <c r="M373" s="13">
        <f t="shared" ref="M373:O373" si="375">IFERROR(G373/F373,"")</f>
        <v>0.08987448787</v>
      </c>
      <c r="N373" s="13">
        <f t="shared" si="375"/>
        <v>0.6143270622</v>
      </c>
      <c r="O373" s="14">
        <f t="shared" si="375"/>
        <v>0.8103651355</v>
      </c>
      <c r="P373" s="13">
        <f t="shared" si="3"/>
        <v>0.04711425206</v>
      </c>
      <c r="Q373" s="13">
        <f t="shared" si="4"/>
        <v>0</v>
      </c>
      <c r="R373" s="13">
        <f t="shared" si="5"/>
        <v>0</v>
      </c>
      <c r="S373" s="14">
        <f t="shared" si="6"/>
        <v>1.499061769</v>
      </c>
      <c r="T373" s="14">
        <f t="shared" si="7"/>
        <v>1.134154244</v>
      </c>
      <c r="U373" s="14">
        <f t="shared" si="8"/>
        <v>0</v>
      </c>
    </row>
    <row r="374" ht="15.75" customHeight="1">
      <c r="A374" s="9">
        <v>45917.212546412</v>
      </c>
      <c r="B374" s="10">
        <v>5.0</v>
      </c>
      <c r="C374" s="10" t="s">
        <v>80</v>
      </c>
      <c r="D374" s="10" t="s">
        <v>1073</v>
      </c>
      <c r="E374" s="12" t="s">
        <v>62</v>
      </c>
      <c r="F374" s="11">
        <v>5790566.0</v>
      </c>
      <c r="G374" s="11">
        <v>386220.0</v>
      </c>
      <c r="H374" s="11">
        <v>188133.0</v>
      </c>
      <c r="I374" s="11">
        <v>168437.0</v>
      </c>
      <c r="J374" s="11">
        <v>4887.0</v>
      </c>
      <c r="K374" s="11">
        <v>1107.0</v>
      </c>
      <c r="L374" s="11">
        <v>822.0</v>
      </c>
      <c r="M374" s="13">
        <f t="shared" ref="M374:O374" si="376">IFERROR(G374/F374,"")</f>
        <v>0.06669814315</v>
      </c>
      <c r="N374" s="13">
        <f t="shared" si="376"/>
        <v>0.4871135622</v>
      </c>
      <c r="O374" s="14">
        <f t="shared" si="376"/>
        <v>0.8953081065</v>
      </c>
      <c r="P374" s="13">
        <f t="shared" si="3"/>
        <v>0.025976304</v>
      </c>
      <c r="Q374" s="13">
        <f t="shared" si="4"/>
        <v>0.00588413516</v>
      </c>
      <c r="R374" s="13">
        <f t="shared" si="5"/>
        <v>0.004369249414</v>
      </c>
      <c r="S374" s="14">
        <f t="shared" si="6"/>
        <v>1.112491863</v>
      </c>
      <c r="T374" s="14">
        <f t="shared" si="7"/>
        <v>0.8992960722</v>
      </c>
      <c r="U374" s="14">
        <f t="shared" si="8"/>
        <v>0.636957631</v>
      </c>
    </row>
    <row r="375" ht="15.75" customHeight="1">
      <c r="A375" s="9">
        <v>45918.2510251157</v>
      </c>
      <c r="B375" s="10">
        <v>6.0</v>
      </c>
      <c r="C375" s="10" t="s">
        <v>84</v>
      </c>
      <c r="D375" s="10" t="s">
        <v>1076</v>
      </c>
      <c r="E375" s="12" t="s">
        <v>62</v>
      </c>
      <c r="F375" s="11">
        <v>57245.0</v>
      </c>
      <c r="G375" s="11">
        <v>7284.0</v>
      </c>
      <c r="H375" s="11">
        <v>5849.0</v>
      </c>
      <c r="I375" s="11">
        <v>4635.0</v>
      </c>
      <c r="J375" s="11">
        <v>89.0</v>
      </c>
      <c r="K375" s="11">
        <v>0.0</v>
      </c>
      <c r="L375" s="11">
        <v>16.0</v>
      </c>
      <c r="M375" s="13">
        <f t="shared" ref="M375:O375" si="377">IFERROR(G375/F375,"")</f>
        <v>0.1272425539</v>
      </c>
      <c r="N375" s="13">
        <f t="shared" si="377"/>
        <v>0.8029928611</v>
      </c>
      <c r="O375" s="14">
        <f t="shared" si="377"/>
        <v>0.7924431527</v>
      </c>
      <c r="P375" s="13">
        <f t="shared" si="3"/>
        <v>0.01521627629</v>
      </c>
      <c r="Q375" s="13">
        <f t="shared" si="4"/>
        <v>0</v>
      </c>
      <c r="R375" s="13">
        <f t="shared" si="5"/>
        <v>0.002735510344</v>
      </c>
      <c r="S375" s="14">
        <f t="shared" si="6"/>
        <v>2.092538401</v>
      </c>
      <c r="T375" s="14">
        <f t="shared" si="7"/>
        <v>1.462755254</v>
      </c>
      <c r="U375" s="14">
        <f t="shared" si="8"/>
        <v>0</v>
      </c>
    </row>
    <row r="376" ht="15.75" customHeight="1">
      <c r="A376" s="9">
        <v>45919.2152575</v>
      </c>
      <c r="B376" s="10">
        <v>5.0</v>
      </c>
      <c r="C376" s="10" t="s">
        <v>60</v>
      </c>
      <c r="D376" s="10" t="s">
        <v>1078</v>
      </c>
      <c r="E376" s="12" t="s">
        <v>62</v>
      </c>
      <c r="F376" s="11">
        <v>7530080.0</v>
      </c>
      <c r="G376" s="11">
        <v>485581.0</v>
      </c>
      <c r="H376" s="11">
        <v>318525.0</v>
      </c>
      <c r="I376" s="11">
        <v>378205.0</v>
      </c>
      <c r="J376" s="11">
        <v>6743.0</v>
      </c>
      <c r="K376" s="11">
        <v>2765.0</v>
      </c>
      <c r="L376" s="11">
        <v>1347.0</v>
      </c>
      <c r="M376" s="13">
        <f t="shared" ref="M376:O376" si="378">IFERROR(G376/F376,"")</f>
        <v>0.06448550347</v>
      </c>
      <c r="N376" s="13">
        <f t="shared" si="378"/>
        <v>0.6559667697</v>
      </c>
      <c r="O376" s="14">
        <f t="shared" si="378"/>
        <v>1.187363629</v>
      </c>
      <c r="P376" s="13">
        <f t="shared" si="3"/>
        <v>0.02116945295</v>
      </c>
      <c r="Q376" s="13">
        <f t="shared" si="4"/>
        <v>0.008680637313</v>
      </c>
      <c r="R376" s="13">
        <f t="shared" si="5"/>
        <v>0.004228867436</v>
      </c>
      <c r="S376" s="14">
        <f t="shared" si="6"/>
        <v>1.067980484</v>
      </c>
      <c r="T376" s="14">
        <f t="shared" si="7"/>
        <v>1.192614386</v>
      </c>
      <c r="U376" s="14">
        <f t="shared" si="8"/>
        <v>0.9684443635</v>
      </c>
    </row>
    <row r="377" ht="15.75" customHeight="1">
      <c r="A377" s="9">
        <v>45920.2088743634</v>
      </c>
      <c r="B377" s="10">
        <v>5.0</v>
      </c>
      <c r="C377" s="10" t="s">
        <v>69</v>
      </c>
      <c r="D377" s="10" t="s">
        <v>1081</v>
      </c>
      <c r="E377" s="12" t="s">
        <v>62</v>
      </c>
      <c r="F377" s="11">
        <v>261423.0</v>
      </c>
      <c r="G377" s="11">
        <v>45590.0</v>
      </c>
      <c r="H377" s="11">
        <v>30166.0</v>
      </c>
      <c r="I377" s="11">
        <v>12229.0</v>
      </c>
      <c r="J377" s="11">
        <v>1209.0</v>
      </c>
      <c r="K377" s="11">
        <v>279.0</v>
      </c>
      <c r="L377" s="11">
        <v>34.0</v>
      </c>
      <c r="M377" s="13">
        <f t="shared" ref="M377:O377" si="379">IFERROR(G377/F377,"")</f>
        <v>0.1743916947</v>
      </c>
      <c r="N377" s="13">
        <f t="shared" si="379"/>
        <v>0.661680193</v>
      </c>
      <c r="O377" s="14">
        <f t="shared" si="379"/>
        <v>0.4053901744</v>
      </c>
      <c r="P377" s="13">
        <f t="shared" si="3"/>
        <v>0.04007823377</v>
      </c>
      <c r="Q377" s="13">
        <f t="shared" si="4"/>
        <v>0.009248823178</v>
      </c>
      <c r="R377" s="13">
        <f t="shared" si="5"/>
        <v>0.001127096731</v>
      </c>
      <c r="S377" s="14">
        <f t="shared" si="6"/>
        <v>2.862611997</v>
      </c>
      <c r="T377" s="14">
        <f t="shared" si="7"/>
        <v>1.203001972</v>
      </c>
      <c r="U377" s="14">
        <f t="shared" si="8"/>
        <v>1.031833304</v>
      </c>
    </row>
    <row r="378" ht="15.75" customHeight="1">
      <c r="A378" s="9">
        <v>45922.2507132292</v>
      </c>
      <c r="B378" s="10">
        <v>6.0</v>
      </c>
      <c r="C378" s="10" t="s">
        <v>71</v>
      </c>
      <c r="D378" s="10" t="s">
        <v>1084</v>
      </c>
      <c r="E378" s="12" t="s">
        <v>62</v>
      </c>
      <c r="F378" s="11">
        <v>138133.0</v>
      </c>
      <c r="G378" s="11">
        <v>10155.0</v>
      </c>
      <c r="H378" s="11">
        <v>6238.0</v>
      </c>
      <c r="I378" s="11">
        <v>6856.0</v>
      </c>
      <c r="J378" s="11">
        <v>346.0</v>
      </c>
      <c r="K378" s="11">
        <v>39.0</v>
      </c>
      <c r="L378" s="11">
        <v>26.0</v>
      </c>
      <c r="M378" s="13">
        <f t="shared" ref="M378:O378" si="380">IFERROR(G378/F378,"")</f>
        <v>0.07351610404</v>
      </c>
      <c r="N378" s="13">
        <f t="shared" si="380"/>
        <v>0.6142786805</v>
      </c>
      <c r="O378" s="14">
        <f t="shared" si="380"/>
        <v>1.099070215</v>
      </c>
      <c r="P378" s="13">
        <f t="shared" si="3"/>
        <v>0.05546649567</v>
      </c>
      <c r="Q378" s="13">
        <f t="shared" si="4"/>
        <v>0.006252003847</v>
      </c>
      <c r="R378" s="13">
        <f t="shared" si="5"/>
        <v>0.004168002565</v>
      </c>
      <c r="S378" s="14">
        <f t="shared" si="6"/>
        <v>1.204526307</v>
      </c>
      <c r="T378" s="14">
        <f t="shared" si="7"/>
        <v>1.114662775</v>
      </c>
      <c r="U378" s="14">
        <f t="shared" si="8"/>
        <v>0.6992982081</v>
      </c>
    </row>
    <row r="379" ht="15.75" customHeight="1">
      <c r="A379" s="9">
        <v>45923.5353091667</v>
      </c>
      <c r="B379" s="10">
        <v>12.0</v>
      </c>
      <c r="C379" s="10" t="s">
        <v>59</v>
      </c>
      <c r="D379" s="10" t="s">
        <v>1086</v>
      </c>
      <c r="E379" s="12" t="s">
        <v>62</v>
      </c>
      <c r="F379" s="11">
        <v>3847.0</v>
      </c>
      <c r="G379" s="11">
        <v>207.0</v>
      </c>
      <c r="H379" s="11">
        <v>157.0</v>
      </c>
      <c r="I379" s="11">
        <v>95.0</v>
      </c>
      <c r="J379" s="11">
        <v>21.0</v>
      </c>
      <c r="K379" s="11">
        <v>0.0</v>
      </c>
      <c r="L379" s="11">
        <v>0.0</v>
      </c>
      <c r="M379" s="13">
        <f t="shared" ref="M379:O379" si="381">IFERROR(G379/F379,"")</f>
        <v>0.0538081622</v>
      </c>
      <c r="N379" s="13">
        <f t="shared" si="381"/>
        <v>0.7584541063</v>
      </c>
      <c r="O379" s="14">
        <f t="shared" si="381"/>
        <v>0.6050955414</v>
      </c>
      <c r="P379" s="13">
        <f t="shared" si="3"/>
        <v>0.1337579618</v>
      </c>
      <c r="Q379" s="13">
        <f t="shared" si="4"/>
        <v>0</v>
      </c>
      <c r="R379" s="13">
        <f t="shared" si="5"/>
        <v>0</v>
      </c>
      <c r="S379" s="14">
        <f t="shared" si="6"/>
        <v>0.8816210781</v>
      </c>
      <c r="T379" s="14">
        <f t="shared" si="7"/>
        <v>1.376281785</v>
      </c>
      <c r="U379" s="14">
        <f t="shared" si="8"/>
        <v>0</v>
      </c>
    </row>
    <row r="380" ht="15.75" customHeight="1">
      <c r="A380" s="9">
        <v>45924.2504565857</v>
      </c>
      <c r="B380" s="10">
        <v>6.0</v>
      </c>
      <c r="C380" s="10" t="s">
        <v>80</v>
      </c>
      <c r="D380" s="10" t="s">
        <v>1088</v>
      </c>
      <c r="E380" s="12" t="s">
        <v>62</v>
      </c>
      <c r="F380" s="11">
        <v>466596.0</v>
      </c>
      <c r="G380" s="11">
        <v>22316.0</v>
      </c>
      <c r="H380" s="11">
        <v>9806.0</v>
      </c>
      <c r="I380" s="11">
        <v>7833.0</v>
      </c>
      <c r="J380" s="11">
        <v>406.0</v>
      </c>
      <c r="K380" s="11">
        <v>396.0</v>
      </c>
      <c r="L380" s="11">
        <v>58.0</v>
      </c>
      <c r="M380" s="13">
        <f t="shared" ref="M380:O380" si="382">IFERROR(G380/F380,"")</f>
        <v>0.04782724241</v>
      </c>
      <c r="N380" s="13">
        <f t="shared" si="382"/>
        <v>0.4394156659</v>
      </c>
      <c r="O380" s="14">
        <f t="shared" si="382"/>
        <v>0.7987966551</v>
      </c>
      <c r="P380" s="13">
        <f t="shared" si="3"/>
        <v>0.04140322252</v>
      </c>
      <c r="Q380" s="13">
        <f t="shared" si="4"/>
        <v>0.04038343871</v>
      </c>
      <c r="R380" s="13">
        <f t="shared" si="5"/>
        <v>0.005914746074</v>
      </c>
      <c r="S380" s="14">
        <f t="shared" si="6"/>
        <v>0.7836265595</v>
      </c>
      <c r="T380" s="14">
        <f t="shared" si="7"/>
        <v>0.7973584323</v>
      </c>
      <c r="U380" s="14">
        <f t="shared" si="8"/>
        <v>4.516962404</v>
      </c>
    </row>
    <row r="381" ht="15.75" customHeight="1">
      <c r="A381" s="9">
        <v>45925.2919414699</v>
      </c>
      <c r="B381" s="10">
        <v>7.0</v>
      </c>
      <c r="C381" s="10" t="s">
        <v>84</v>
      </c>
      <c r="D381" s="10" t="s">
        <v>1090</v>
      </c>
      <c r="E381" s="12" t="s">
        <v>62</v>
      </c>
      <c r="F381" s="11">
        <v>694001.0</v>
      </c>
      <c r="G381" s="11">
        <v>127517.0</v>
      </c>
      <c r="H381" s="11">
        <v>62231.0</v>
      </c>
      <c r="I381" s="11">
        <v>29180.0</v>
      </c>
      <c r="J381" s="11">
        <v>832.0</v>
      </c>
      <c r="K381" s="11">
        <v>0.0</v>
      </c>
      <c r="L381" s="11">
        <v>138.0</v>
      </c>
      <c r="M381" s="13">
        <f t="shared" ref="M381:O381" si="383">IFERROR(G381/F381,"")</f>
        <v>0.1837418102</v>
      </c>
      <c r="N381" s="13">
        <f t="shared" si="383"/>
        <v>0.488021205</v>
      </c>
      <c r="O381" s="14">
        <f t="shared" si="383"/>
        <v>0.4688981376</v>
      </c>
      <c r="P381" s="13">
        <f t="shared" si="3"/>
        <v>0.01336954251</v>
      </c>
      <c r="Q381" s="13">
        <f t="shared" si="4"/>
        <v>0</v>
      </c>
      <c r="R381" s="13">
        <f t="shared" si="5"/>
        <v>0.002217544311</v>
      </c>
      <c r="S381" s="14">
        <f t="shared" si="6"/>
        <v>3.016092659</v>
      </c>
      <c r="T381" s="14">
        <f t="shared" si="7"/>
        <v>0.8849065497</v>
      </c>
      <c r="U381" s="14">
        <f t="shared" si="8"/>
        <v>0</v>
      </c>
    </row>
    <row r="382" ht="15.75" customHeight="1">
      <c r="A382" s="9">
        <v>45926.2504433681</v>
      </c>
      <c r="B382" s="10">
        <v>6.0</v>
      </c>
      <c r="C382" s="10" t="s">
        <v>60</v>
      </c>
      <c r="D382" s="10" t="s">
        <v>1093</v>
      </c>
      <c r="E382" s="12" t="s">
        <v>62</v>
      </c>
      <c r="F382" s="11">
        <v>61350.0</v>
      </c>
      <c r="G382" s="11">
        <v>2594.0</v>
      </c>
      <c r="H382" s="11">
        <v>1424.0</v>
      </c>
      <c r="I382" s="11">
        <v>1615.0</v>
      </c>
      <c r="J382" s="11">
        <v>100.0</v>
      </c>
      <c r="K382" s="11">
        <v>26.0</v>
      </c>
      <c r="L382" s="11">
        <v>6.0</v>
      </c>
      <c r="M382" s="13">
        <f t="shared" ref="M382:O382" si="384">IFERROR(G382/F382,"")</f>
        <v>0.04228198859</v>
      </c>
      <c r="N382" s="13">
        <f t="shared" si="384"/>
        <v>0.5489591365</v>
      </c>
      <c r="O382" s="14">
        <f t="shared" si="384"/>
        <v>1.134129213</v>
      </c>
      <c r="P382" s="13">
        <f t="shared" si="3"/>
        <v>0.0702247191</v>
      </c>
      <c r="Q382" s="13">
        <f t="shared" si="4"/>
        <v>0.01825842697</v>
      </c>
      <c r="R382" s="13">
        <f t="shared" si="5"/>
        <v>0.004213483146</v>
      </c>
      <c r="S382" s="14">
        <f t="shared" si="6"/>
        <v>0.7002556576</v>
      </c>
      <c r="T382" s="14">
        <f t="shared" si="7"/>
        <v>0.9954025161</v>
      </c>
      <c r="U382" s="14">
        <f t="shared" si="8"/>
        <v>2.046815824</v>
      </c>
    </row>
    <row r="383" ht="15.75" customHeight="1">
      <c r="A383" s="9">
        <v>45927.2505053704</v>
      </c>
      <c r="B383" s="10">
        <v>6.0</v>
      </c>
      <c r="C383" s="10" t="s">
        <v>69</v>
      </c>
      <c r="D383" s="10" t="s">
        <v>1095</v>
      </c>
      <c r="E383" s="12" t="s">
        <v>62</v>
      </c>
      <c r="F383" s="11">
        <v>94942.0</v>
      </c>
      <c r="G383" s="11">
        <v>12511.0</v>
      </c>
      <c r="H383" s="11">
        <v>7290.0</v>
      </c>
      <c r="I383" s="11">
        <v>4280.0</v>
      </c>
      <c r="J383" s="11">
        <v>551.0</v>
      </c>
      <c r="K383" s="11">
        <v>320.0</v>
      </c>
      <c r="L383" s="11">
        <v>20.0</v>
      </c>
      <c r="M383" s="13">
        <f t="shared" ref="M383:O383" si="385">IFERROR(G383/F383,"")</f>
        <v>0.1317751891</v>
      </c>
      <c r="N383" s="13">
        <f t="shared" si="385"/>
        <v>0.5826872352</v>
      </c>
      <c r="O383" s="14">
        <f t="shared" si="385"/>
        <v>0.5871056241</v>
      </c>
      <c r="P383" s="13">
        <f t="shared" si="3"/>
        <v>0.0755829904</v>
      </c>
      <c r="Q383" s="13">
        <f t="shared" si="4"/>
        <v>0.0438957476</v>
      </c>
      <c r="R383" s="13">
        <f t="shared" si="5"/>
        <v>0.002743484225</v>
      </c>
      <c r="S383" s="14">
        <f t="shared" si="6"/>
        <v>2.197944631</v>
      </c>
      <c r="T383" s="14">
        <f t="shared" si="7"/>
        <v>1.055784099</v>
      </c>
      <c r="U383" s="14">
        <f t="shared" si="8"/>
        <v>4.931877342</v>
      </c>
    </row>
    <row r="384" ht="15.75" customHeight="1">
      <c r="A384" s="9">
        <v>45929.0613148148</v>
      </c>
      <c r="B384" s="10">
        <v>1.0</v>
      </c>
      <c r="C384" s="10" t="s">
        <v>71</v>
      </c>
      <c r="D384" s="10" t="s">
        <v>1098</v>
      </c>
      <c r="E384" s="12" t="s">
        <v>62</v>
      </c>
      <c r="F384" s="11">
        <v>120054.0</v>
      </c>
      <c r="G384" s="11">
        <v>16371.0</v>
      </c>
      <c r="H384" s="11">
        <v>8816.0</v>
      </c>
      <c r="I384" s="11">
        <v>6601.0</v>
      </c>
      <c r="J384" s="11">
        <v>119.0</v>
      </c>
      <c r="K384" s="11">
        <v>0.0</v>
      </c>
      <c r="L384" s="11">
        <v>19.0</v>
      </c>
      <c r="M384" s="13">
        <f t="shared" ref="M384:O384" si="386">IFERROR(G384/F384,"")</f>
        <v>0.1363636364</v>
      </c>
      <c r="N384" s="13">
        <f t="shared" si="386"/>
        <v>0.5385132246</v>
      </c>
      <c r="O384" s="14">
        <f t="shared" si="386"/>
        <v>0.7487522686</v>
      </c>
      <c r="P384" s="13">
        <f t="shared" si="3"/>
        <v>0.01349818512</v>
      </c>
      <c r="Q384" s="13">
        <f t="shared" si="4"/>
        <v>0</v>
      </c>
      <c r="R384" s="13">
        <f t="shared" si="5"/>
        <v>0.002155172414</v>
      </c>
      <c r="S384" s="14">
        <f t="shared" si="6"/>
        <v>2.258394438</v>
      </c>
      <c r="T384" s="14">
        <f t="shared" si="7"/>
        <v>0.9727625309</v>
      </c>
      <c r="U384" s="14">
        <f t="shared" si="8"/>
        <v>0</v>
      </c>
    </row>
    <row r="385" ht="15.75" customHeight="1">
      <c r="A385" s="9">
        <v>45929.25039875</v>
      </c>
      <c r="B385" s="10">
        <v>6.0</v>
      </c>
      <c r="C385" s="10" t="s">
        <v>71</v>
      </c>
      <c r="D385" s="10" t="s">
        <v>1100</v>
      </c>
      <c r="E385" s="12" t="s">
        <v>62</v>
      </c>
      <c r="F385" s="11">
        <v>342385.0</v>
      </c>
      <c r="G385" s="11">
        <v>20344.0</v>
      </c>
      <c r="H385" s="11">
        <v>12565.0</v>
      </c>
      <c r="I385" s="11">
        <v>13000.0</v>
      </c>
      <c r="J385" s="11">
        <v>307.0</v>
      </c>
      <c r="K385" s="11">
        <v>200.0</v>
      </c>
      <c r="L385" s="11">
        <v>39.0</v>
      </c>
      <c r="M385" s="13">
        <f t="shared" ref="M385:O385" si="387">IFERROR(G385/F385,"")</f>
        <v>0.05941849088</v>
      </c>
      <c r="N385" s="13">
        <f t="shared" si="387"/>
        <v>0.6176268187</v>
      </c>
      <c r="O385" s="14">
        <f t="shared" si="387"/>
        <v>1.034619976</v>
      </c>
      <c r="P385" s="13">
        <f t="shared" si="3"/>
        <v>0.02443294867</v>
      </c>
      <c r="Q385" s="13">
        <f t="shared" si="4"/>
        <v>0.0159172304</v>
      </c>
      <c r="R385" s="13">
        <f t="shared" si="5"/>
        <v>0.003103859928</v>
      </c>
      <c r="S385" s="14">
        <f t="shared" si="6"/>
        <v>0.9840628549</v>
      </c>
      <c r="T385" s="14">
        <f t="shared" si="7"/>
        <v>1.115672188</v>
      </c>
      <c r="U385" s="14">
        <f t="shared" si="8"/>
        <v>1.795115398</v>
      </c>
    </row>
    <row r="386" ht="15.75" customHeight="1">
      <c r="A386" s="9">
        <v>45931.2500215278</v>
      </c>
      <c r="B386" s="10">
        <v>6.0</v>
      </c>
      <c r="C386" s="10" t="s">
        <v>80</v>
      </c>
      <c r="D386" s="10" t="s">
        <v>1103</v>
      </c>
      <c r="E386" s="12" t="s">
        <v>62</v>
      </c>
      <c r="F386" s="11">
        <v>1197947.0</v>
      </c>
      <c r="G386" s="11">
        <v>239792.0</v>
      </c>
      <c r="H386" s="11">
        <v>145721.0</v>
      </c>
      <c r="I386" s="11">
        <v>61155.0</v>
      </c>
      <c r="J386" s="11">
        <v>3009.0</v>
      </c>
      <c r="K386" s="11">
        <v>1022.0</v>
      </c>
      <c r="L386" s="11">
        <v>739.0</v>
      </c>
      <c r="M386" s="13">
        <f t="shared" ref="M386:O386" si="388">IFERROR(G386/F386,"")</f>
        <v>0.2001691227</v>
      </c>
      <c r="N386" s="13">
        <f t="shared" si="388"/>
        <v>0.6076975045</v>
      </c>
      <c r="O386" s="14">
        <f t="shared" si="388"/>
        <v>0.4196718387</v>
      </c>
      <c r="P386" s="13">
        <f t="shared" si="3"/>
        <v>0.02064904852</v>
      </c>
      <c r="Q386" s="13">
        <f t="shared" si="4"/>
        <v>0.007013402324</v>
      </c>
      <c r="R386" s="13">
        <f t="shared" si="5"/>
        <v>0.005071334948</v>
      </c>
      <c r="S386" s="14">
        <f t="shared" si="6"/>
        <v>3.368801861</v>
      </c>
      <c r="T386" s="14">
        <f t="shared" si="7"/>
        <v>1.101100768</v>
      </c>
      <c r="U386" s="14">
        <f t="shared" si="8"/>
        <v>0.7939531092</v>
      </c>
    </row>
    <row r="387" ht="15.75" customHeight="1">
      <c r="A387" s="9">
        <v>45932.2517379977</v>
      </c>
      <c r="B387" s="10">
        <v>6.0</v>
      </c>
      <c r="C387" s="10" t="s">
        <v>84</v>
      </c>
      <c r="D387" s="10" t="s">
        <v>1106</v>
      </c>
      <c r="E387" s="12" t="s">
        <v>62</v>
      </c>
      <c r="F387" s="11">
        <v>2615.0</v>
      </c>
      <c r="G387" s="11">
        <v>32.0</v>
      </c>
      <c r="H387" s="11">
        <v>7.0</v>
      </c>
      <c r="I387" s="11">
        <v>6.0</v>
      </c>
      <c r="J387" s="11">
        <v>3.0</v>
      </c>
      <c r="K387" s="11">
        <v>0.0</v>
      </c>
      <c r="L387" s="11">
        <v>0.0</v>
      </c>
      <c r="M387" s="13">
        <f t="shared" ref="M387:O387" si="389">IFERROR(G387/F387,"")</f>
        <v>0.01223709369</v>
      </c>
      <c r="N387" s="13">
        <f t="shared" si="389"/>
        <v>0.21875</v>
      </c>
      <c r="O387" s="14">
        <f t="shared" si="389"/>
        <v>0.8571428571</v>
      </c>
      <c r="P387" s="13">
        <f t="shared" si="3"/>
        <v>0.4285714286</v>
      </c>
      <c r="Q387" s="13">
        <f t="shared" si="4"/>
        <v>0</v>
      </c>
      <c r="R387" s="13">
        <f t="shared" si="5"/>
        <v>0</v>
      </c>
      <c r="S387" s="14">
        <f t="shared" si="6"/>
        <v>0.2082737072</v>
      </c>
      <c r="T387" s="14">
        <f t="shared" si="7"/>
        <v>0.3951468486</v>
      </c>
      <c r="U387" s="14">
        <f t="shared" si="8"/>
        <v>0</v>
      </c>
    </row>
    <row r="388" ht="15.75" customHeight="1">
      <c r="A388" s="9">
        <v>45933.2505280556</v>
      </c>
      <c r="B388" s="10">
        <v>6.0</v>
      </c>
      <c r="C388" s="10" t="s">
        <v>60</v>
      </c>
      <c r="D388" s="10" t="s">
        <v>1108</v>
      </c>
      <c r="E388" s="12" t="s">
        <v>62</v>
      </c>
      <c r="F388" s="11">
        <v>133224.0</v>
      </c>
      <c r="G388" s="11">
        <v>12982.0</v>
      </c>
      <c r="H388" s="11">
        <v>5216.0</v>
      </c>
      <c r="I388" s="11">
        <v>4219.0</v>
      </c>
      <c r="J388" s="11">
        <v>267.0</v>
      </c>
      <c r="K388" s="11">
        <v>189.0</v>
      </c>
      <c r="L388" s="11">
        <v>14.0</v>
      </c>
      <c r="M388" s="13">
        <f t="shared" ref="M388:O388" si="390">IFERROR(G388/F388,"")</f>
        <v>0.09744490482</v>
      </c>
      <c r="N388" s="13">
        <f t="shared" si="390"/>
        <v>0.4017870898</v>
      </c>
      <c r="O388" s="14">
        <f t="shared" si="390"/>
        <v>0.808857362</v>
      </c>
      <c r="P388" s="13">
        <f t="shared" si="3"/>
        <v>0.05118865031</v>
      </c>
      <c r="Q388" s="13">
        <f t="shared" si="4"/>
        <v>0.03623466258</v>
      </c>
      <c r="R388" s="13">
        <f t="shared" si="5"/>
        <v>0.00268404908</v>
      </c>
      <c r="S388" s="14">
        <f t="shared" si="6"/>
        <v>1.69086402</v>
      </c>
      <c r="T388" s="14">
        <f t="shared" si="7"/>
        <v>0.7257824108</v>
      </c>
      <c r="U388" s="14">
        <f t="shared" si="8"/>
        <v>4.137756401</v>
      </c>
    </row>
    <row r="389" ht="15.75" customHeight="1">
      <c r="A389" s="9">
        <v>45934.249962662</v>
      </c>
      <c r="B389" s="10">
        <v>5.0</v>
      </c>
      <c r="C389" s="10" t="s">
        <v>69</v>
      </c>
      <c r="D389" s="10" t="s">
        <v>1111</v>
      </c>
      <c r="E389" s="12" t="s">
        <v>62</v>
      </c>
      <c r="F389" s="11">
        <v>168902.0</v>
      </c>
      <c r="G389" s="11">
        <v>9656.0</v>
      </c>
      <c r="H389" s="11">
        <v>3897.0</v>
      </c>
      <c r="I389" s="11">
        <v>3635.0</v>
      </c>
      <c r="J389" s="11">
        <v>262.0</v>
      </c>
      <c r="K389" s="11">
        <v>62.0</v>
      </c>
      <c r="L389" s="11">
        <v>29.0</v>
      </c>
      <c r="M389" s="13">
        <f t="shared" ref="M389:O389" si="391">IFERROR(G389/F389,"")</f>
        <v>0.05716924607</v>
      </c>
      <c r="N389" s="13">
        <f t="shared" si="391"/>
        <v>0.4035832643</v>
      </c>
      <c r="O389" s="14">
        <f t="shared" si="391"/>
        <v>0.9327687965</v>
      </c>
      <c r="P389" s="13">
        <f t="shared" si="3"/>
        <v>0.06723120349</v>
      </c>
      <c r="Q389" s="13">
        <f t="shared" si="4"/>
        <v>0.01590967411</v>
      </c>
      <c r="R389" s="13">
        <f t="shared" si="5"/>
        <v>0.00744162176</v>
      </c>
      <c r="S389" s="14">
        <f t="shared" si="6"/>
        <v>1</v>
      </c>
      <c r="T389" s="14">
        <f t="shared" si="7"/>
        <v>0.7312615883</v>
      </c>
      <c r="U389" s="14">
        <f t="shared" si="8"/>
        <v>1.832777195</v>
      </c>
    </row>
    <row r="390" ht="15.75" customHeight="1">
      <c r="A390" s="9">
        <v>45936.2434488079</v>
      </c>
      <c r="B390" s="10">
        <v>5.0</v>
      </c>
      <c r="C390" s="10" t="s">
        <v>71</v>
      </c>
      <c r="D390" s="10" t="s">
        <v>1114</v>
      </c>
      <c r="E390" s="12" t="s">
        <v>62</v>
      </c>
      <c r="F390" s="11">
        <v>78643.0</v>
      </c>
      <c r="G390" s="11">
        <v>3023.0</v>
      </c>
      <c r="H390" s="11">
        <v>1619.0</v>
      </c>
      <c r="I390" s="11">
        <v>1599.0</v>
      </c>
      <c r="J390" s="11">
        <v>170.0</v>
      </c>
      <c r="K390" s="11">
        <v>67.0</v>
      </c>
      <c r="L390" s="11">
        <v>8.0</v>
      </c>
      <c r="M390" s="13">
        <f t="shared" ref="M390:O390" si="392">IFERROR(G390/F390,"")</f>
        <v>0.03843953054</v>
      </c>
      <c r="N390" s="13">
        <f t="shared" si="392"/>
        <v>0.5355607013</v>
      </c>
      <c r="O390" s="14">
        <f t="shared" si="392"/>
        <v>0.9876466955</v>
      </c>
      <c r="P390" s="13">
        <f t="shared" si="3"/>
        <v>0.1050030883</v>
      </c>
      <c r="Q390" s="13">
        <f t="shared" si="4"/>
        <v>0.04138357011</v>
      </c>
      <c r="R390" s="13">
        <f t="shared" si="5"/>
        <v>0.004941321804</v>
      </c>
      <c r="S390" s="14">
        <f t="shared" si="6"/>
        <v>0.6723812745</v>
      </c>
      <c r="T390" s="14">
        <f t="shared" si="7"/>
        <v>0.9718220681</v>
      </c>
      <c r="U390" s="14">
        <f t="shared" si="8"/>
        <v>4.684832359</v>
      </c>
    </row>
    <row r="391" ht="15.75" customHeight="1">
      <c r="A391" s="9">
        <v>45937.6430241088</v>
      </c>
      <c r="B391" s="10">
        <v>15.0</v>
      </c>
      <c r="C391" s="10" t="s">
        <v>59</v>
      </c>
      <c r="D391" s="10" t="s">
        <v>1117</v>
      </c>
      <c r="E391" s="12" t="s">
        <v>62</v>
      </c>
      <c r="F391" s="11">
        <v>10040.0</v>
      </c>
      <c r="G391" s="11">
        <v>457.0</v>
      </c>
      <c r="H391" s="11">
        <v>272.0</v>
      </c>
      <c r="I391" s="11">
        <v>258.0</v>
      </c>
      <c r="J391" s="11">
        <v>16.0</v>
      </c>
      <c r="K391" s="11">
        <v>0.0</v>
      </c>
      <c r="L391" s="11">
        <v>0.0</v>
      </c>
      <c r="M391" s="13">
        <f t="shared" ref="M391:O391" si="393">IFERROR(G391/F391,"")</f>
        <v>0.04551792829</v>
      </c>
      <c r="N391" s="13">
        <f t="shared" si="393"/>
        <v>0.5951859956</v>
      </c>
      <c r="O391" s="14">
        <f t="shared" si="393"/>
        <v>0.9485294118</v>
      </c>
      <c r="P391" s="13">
        <f t="shared" si="3"/>
        <v>0.05882352941</v>
      </c>
      <c r="Q391" s="13">
        <f t="shared" si="4"/>
        <v>0</v>
      </c>
      <c r="R391" s="13">
        <f t="shared" si="5"/>
        <v>0</v>
      </c>
      <c r="S391" s="14">
        <f t="shared" si="6"/>
        <v>0.7898271064</v>
      </c>
      <c r="T391" s="14">
        <f t="shared" si="7"/>
        <v>1.079223567</v>
      </c>
      <c r="U391" s="14">
        <f t="shared" si="8"/>
        <v>0</v>
      </c>
    </row>
    <row r="392" ht="15.75" customHeight="1">
      <c r="A392" s="9">
        <v>45938.2504922338</v>
      </c>
      <c r="B392" s="10">
        <v>6.0</v>
      </c>
      <c r="C392" s="10" t="s">
        <v>80</v>
      </c>
      <c r="D392" s="10" t="s">
        <v>1120</v>
      </c>
      <c r="E392" s="12" t="s">
        <v>62</v>
      </c>
      <c r="F392" s="11">
        <v>7553981.0</v>
      </c>
      <c r="G392" s="11">
        <v>573669.0</v>
      </c>
      <c r="H392" s="11">
        <v>241405.0</v>
      </c>
      <c r="I392" s="11">
        <v>214046.0</v>
      </c>
      <c r="J392" s="11">
        <v>6378.0</v>
      </c>
      <c r="K392" s="11">
        <v>1787.0</v>
      </c>
      <c r="L392" s="11">
        <v>2322.0</v>
      </c>
      <c r="M392" s="13">
        <f t="shared" ref="M392:O392" si="394">IFERROR(G392/F392,"")</f>
        <v>0.07594260563</v>
      </c>
      <c r="N392" s="13">
        <f t="shared" si="394"/>
        <v>0.4208088636</v>
      </c>
      <c r="O392" s="14">
        <f t="shared" si="394"/>
        <v>0.8866676332</v>
      </c>
      <c r="P392" s="13">
        <f t="shared" si="3"/>
        <v>0.02642033098</v>
      </c>
      <c r="Q392" s="13">
        <f t="shared" si="4"/>
        <v>0.007402497877</v>
      </c>
      <c r="R392" s="13">
        <f t="shared" si="5"/>
        <v>0.009618690582</v>
      </c>
      <c r="S392" s="14">
        <f t="shared" si="6"/>
        <v>1.317756118</v>
      </c>
      <c r="T392" s="14">
        <f t="shared" si="7"/>
        <v>0.7630334826</v>
      </c>
      <c r="U392" s="14">
        <f t="shared" si="8"/>
        <v>0.8453158053</v>
      </c>
    </row>
    <row r="393" ht="15.75" customHeight="1">
      <c r="A393" s="9">
        <v>45939.2503496412</v>
      </c>
      <c r="B393" s="10">
        <v>6.0</v>
      </c>
      <c r="C393" s="10" t="s">
        <v>84</v>
      </c>
      <c r="D393" s="10" t="s">
        <v>1123</v>
      </c>
      <c r="E393" s="12" t="s">
        <v>62</v>
      </c>
      <c r="F393" s="11">
        <v>23174.0</v>
      </c>
      <c r="G393" s="11">
        <v>180.0</v>
      </c>
      <c r="H393" s="11">
        <v>85.0</v>
      </c>
      <c r="I393" s="11">
        <v>73.0</v>
      </c>
      <c r="J393" s="11">
        <v>5.0</v>
      </c>
      <c r="K393" s="11">
        <v>0.0</v>
      </c>
      <c r="L393" s="11">
        <v>0.0</v>
      </c>
      <c r="M393" s="13">
        <f t="shared" ref="M393:O393" si="395">IFERROR(G393/F393,"")</f>
        <v>0.007767325451</v>
      </c>
      <c r="N393" s="13">
        <f t="shared" si="395"/>
        <v>0.4722222222</v>
      </c>
      <c r="O393" s="14">
        <f t="shared" si="395"/>
        <v>0.8588235294</v>
      </c>
      <c r="P393" s="13">
        <f t="shared" si="3"/>
        <v>0.05882352941</v>
      </c>
      <c r="Q393" s="13">
        <f t="shared" si="4"/>
        <v>0</v>
      </c>
      <c r="R393" s="13">
        <f t="shared" si="5"/>
        <v>0</v>
      </c>
      <c r="S393" s="14">
        <f t="shared" si="6"/>
        <v>0.133709065</v>
      </c>
      <c r="T393" s="14">
        <f t="shared" si="7"/>
        <v>0.855630059</v>
      </c>
      <c r="U393" s="14">
        <f t="shared" si="8"/>
        <v>0</v>
      </c>
    </row>
    <row r="394" ht="15.75" customHeight="1">
      <c r="A394" s="9">
        <v>45940.3752524421</v>
      </c>
      <c r="B394" s="10">
        <v>9.0</v>
      </c>
      <c r="C394" s="10" t="s">
        <v>60</v>
      </c>
      <c r="D394" s="10" t="s">
        <v>1125</v>
      </c>
      <c r="E394" s="12" t="s">
        <v>62</v>
      </c>
      <c r="F394" s="11">
        <v>540414.0</v>
      </c>
      <c r="G394" s="11">
        <v>104711.0</v>
      </c>
      <c r="H394" s="11">
        <v>57790.0</v>
      </c>
      <c r="I394" s="11">
        <v>29670.0</v>
      </c>
      <c r="J394" s="11">
        <v>989.0</v>
      </c>
      <c r="K394" s="11">
        <v>56.0</v>
      </c>
      <c r="L394" s="11">
        <v>225.0</v>
      </c>
      <c r="M394" s="13">
        <f t="shared" ref="M394:O394" si="396">IFERROR(G394/F394,"")</f>
        <v>0.1937607094</v>
      </c>
      <c r="N394" s="13">
        <f t="shared" si="396"/>
        <v>0.5518999914</v>
      </c>
      <c r="O394" s="14">
        <f t="shared" si="396"/>
        <v>0.5134106247</v>
      </c>
      <c r="P394" s="13">
        <f t="shared" si="3"/>
        <v>0.01711368749</v>
      </c>
      <c r="Q394" s="13">
        <f t="shared" si="4"/>
        <v>0.000969025783</v>
      </c>
      <c r="R394" s="13">
        <f t="shared" si="5"/>
        <v>0.003893407164</v>
      </c>
      <c r="S394" s="14">
        <f t="shared" si="6"/>
        <v>3.297781505</v>
      </c>
      <c r="T394" s="14">
        <f t="shared" si="7"/>
        <v>0.9969441936</v>
      </c>
      <c r="U394" s="14">
        <f t="shared" si="8"/>
        <v>0.1118216942</v>
      </c>
    </row>
    <row r="395" ht="15.75" customHeight="1">
      <c r="A395" s="9">
        <v>45941.2923975232</v>
      </c>
      <c r="B395" s="10">
        <v>7.0</v>
      </c>
      <c r="C395" s="10" t="s">
        <v>69</v>
      </c>
      <c r="D395" s="10" t="s">
        <v>1128</v>
      </c>
      <c r="E395" s="12" t="s">
        <v>62</v>
      </c>
      <c r="F395" s="11">
        <v>1802519.0</v>
      </c>
      <c r="G395" s="11">
        <v>126371.0</v>
      </c>
      <c r="H395" s="11">
        <v>60384.0</v>
      </c>
      <c r="I395" s="11">
        <v>50170.0</v>
      </c>
      <c r="J395" s="11">
        <v>1235.0</v>
      </c>
      <c r="K395" s="11">
        <v>650.0</v>
      </c>
      <c r="L395" s="11">
        <v>314.0</v>
      </c>
      <c r="M395" s="13">
        <f t="shared" ref="M395:O395" si="397">IFERROR(G395/F395,"")</f>
        <v>0.07010799886</v>
      </c>
      <c r="N395" s="13">
        <f t="shared" si="397"/>
        <v>0.477831148</v>
      </c>
      <c r="O395" s="14">
        <f t="shared" si="397"/>
        <v>0.8308492316</v>
      </c>
      <c r="P395" s="13">
        <f t="shared" si="3"/>
        <v>0.02045243773</v>
      </c>
      <c r="Q395" s="13">
        <f t="shared" si="4"/>
        <v>0.01076444091</v>
      </c>
      <c r="R395" s="13">
        <f t="shared" si="5"/>
        <v>0.005200052994</v>
      </c>
      <c r="S395" s="14">
        <f t="shared" si="6"/>
        <v>1.193228817</v>
      </c>
      <c r="T395" s="14">
        <f t="shared" si="7"/>
        <v>0.8631473019</v>
      </c>
      <c r="U395" s="14">
        <f t="shared" si="8"/>
        <v>1.242173367</v>
      </c>
    </row>
    <row r="396" ht="15.75" customHeight="1">
      <c r="A396" s="9">
        <v>45943.441340787</v>
      </c>
      <c r="B396" s="10">
        <v>10.0</v>
      </c>
      <c r="C396" s="10" t="s">
        <v>71</v>
      </c>
      <c r="D396" s="10" t="s">
        <v>1131</v>
      </c>
      <c r="E396" s="12" t="s">
        <v>62</v>
      </c>
      <c r="F396" s="11">
        <v>604264.0</v>
      </c>
      <c r="G396" s="11">
        <v>47680.0</v>
      </c>
      <c r="H396" s="11">
        <v>31841.0</v>
      </c>
      <c r="I396" s="11">
        <v>31731.0</v>
      </c>
      <c r="J396" s="11">
        <v>558.0</v>
      </c>
      <c r="K396" s="11">
        <v>89.0</v>
      </c>
      <c r="L396" s="11">
        <v>466.0</v>
      </c>
      <c r="M396" s="13">
        <f t="shared" ref="M396:O396" si="398">IFERROR(G396/F396,"")</f>
        <v>0.07890590868</v>
      </c>
      <c r="N396" s="13">
        <f t="shared" si="398"/>
        <v>0.6678062081</v>
      </c>
      <c r="O396" s="14">
        <f t="shared" si="398"/>
        <v>0.9965453346</v>
      </c>
      <c r="P396" s="13">
        <f t="shared" si="3"/>
        <v>0.01752457523</v>
      </c>
      <c r="Q396" s="13">
        <f t="shared" si="4"/>
        <v>0.002795138344</v>
      </c>
      <c r="R396" s="13">
        <f t="shared" si="5"/>
        <v>0.01463521874</v>
      </c>
      <c r="S396" s="14">
        <f t="shared" si="6"/>
        <v>1.358309928</v>
      </c>
      <c r="T396" s="14">
        <f t="shared" si="7"/>
        <v>1.202640477</v>
      </c>
      <c r="U396" s="14">
        <f t="shared" si="8"/>
        <v>0.3219969045</v>
      </c>
    </row>
    <row r="397" ht="15.75" customHeight="1">
      <c r="A397" s="9">
        <v>45944.2786271296</v>
      </c>
      <c r="B397" s="10">
        <v>6.0</v>
      </c>
      <c r="C397" s="10" t="s">
        <v>59</v>
      </c>
      <c r="D397" s="10" t="s">
        <v>1134</v>
      </c>
      <c r="E397" s="12" t="s">
        <v>62</v>
      </c>
      <c r="F397" s="11">
        <v>48169.0</v>
      </c>
      <c r="G397" s="11">
        <v>360.0</v>
      </c>
      <c r="H397" s="11">
        <v>120.0</v>
      </c>
      <c r="I397" s="11">
        <v>96.0</v>
      </c>
      <c r="J397" s="11">
        <v>3.0</v>
      </c>
      <c r="K397" s="11">
        <v>0.0</v>
      </c>
      <c r="L397" s="11">
        <v>3.0</v>
      </c>
      <c r="M397" s="13">
        <f t="shared" ref="M397:O397" si="399">IFERROR(G397/F397,"")</f>
        <v>0.007473686396</v>
      </c>
      <c r="N397" s="13">
        <f t="shared" si="399"/>
        <v>0.3333333333</v>
      </c>
      <c r="O397" s="14">
        <f t="shared" si="399"/>
        <v>0.8</v>
      </c>
      <c r="P397" s="13">
        <f t="shared" si="3"/>
        <v>0.025</v>
      </c>
      <c r="Q397" s="13">
        <f t="shared" si="4"/>
        <v>0</v>
      </c>
      <c r="R397" s="13">
        <f t="shared" si="5"/>
        <v>0.025</v>
      </c>
      <c r="S397" s="14">
        <f t="shared" si="6"/>
        <v>0.1272011485</v>
      </c>
      <c r="T397" s="14">
        <f t="shared" si="7"/>
        <v>0.5999695557</v>
      </c>
      <c r="U397" s="14">
        <f t="shared" si="8"/>
        <v>0</v>
      </c>
    </row>
    <row r="398" ht="15.75" customHeight="1">
      <c r="A398" s="9">
        <v>45945.2790791435</v>
      </c>
      <c r="B398" s="10">
        <v>6.0</v>
      </c>
      <c r="C398" s="10" t="s">
        <v>80</v>
      </c>
      <c r="D398" s="10" t="s">
        <v>1136</v>
      </c>
      <c r="E398" s="12" t="s">
        <v>62</v>
      </c>
      <c r="F398" s="11">
        <v>90530.0</v>
      </c>
      <c r="G398" s="11">
        <v>5259.0</v>
      </c>
      <c r="H398" s="11">
        <v>3423.0</v>
      </c>
      <c r="I398" s="11">
        <v>3226.0</v>
      </c>
      <c r="J398" s="11">
        <v>155.0</v>
      </c>
      <c r="K398" s="11">
        <v>69.0</v>
      </c>
      <c r="L398" s="11">
        <v>6.0</v>
      </c>
      <c r="M398" s="13">
        <f t="shared" ref="M398:O398" si="400">IFERROR(G398/F398,"")</f>
        <v>0.05809124047</v>
      </c>
      <c r="N398" s="13">
        <f t="shared" si="400"/>
        <v>0.6508841985</v>
      </c>
      <c r="O398" s="14">
        <f t="shared" si="400"/>
        <v>0.9424481449</v>
      </c>
      <c r="P398" s="13">
        <f t="shared" si="3"/>
        <v>0.04528191645</v>
      </c>
      <c r="Q398" s="13">
        <f t="shared" si="4"/>
        <v>0.02015775635</v>
      </c>
      <c r="R398" s="13">
        <f t="shared" si="5"/>
        <v>0.001752848379</v>
      </c>
      <c r="S398" s="14">
        <f t="shared" si="6"/>
        <v>1.007999224</v>
      </c>
      <c r="T398" s="14">
        <f t="shared" si="7"/>
        <v>1.175747839</v>
      </c>
      <c r="U398" s="14">
        <f t="shared" si="8"/>
        <v>2.301881112</v>
      </c>
    </row>
    <row r="399" ht="15.75" customHeight="1">
      <c r="A399" s="9">
        <v>45946.2790438426</v>
      </c>
      <c r="B399" s="10">
        <v>6.0</v>
      </c>
      <c r="C399" s="10" t="s">
        <v>84</v>
      </c>
      <c r="D399" s="10" t="s">
        <v>1139</v>
      </c>
      <c r="E399" s="12" t="s">
        <v>62</v>
      </c>
      <c r="F399" s="11">
        <v>10650.0</v>
      </c>
      <c r="G399" s="11">
        <v>847.0</v>
      </c>
      <c r="H399" s="11">
        <v>641.0</v>
      </c>
      <c r="I399" s="11">
        <v>593.0</v>
      </c>
      <c r="J399" s="11">
        <v>38.0</v>
      </c>
      <c r="K399" s="11">
        <v>0.0</v>
      </c>
      <c r="L399" s="11">
        <v>2.0</v>
      </c>
      <c r="M399" s="13">
        <f t="shared" ref="M399:O399" si="401">IFERROR(G399/F399,"")</f>
        <v>0.07953051643</v>
      </c>
      <c r="N399" s="13">
        <f t="shared" si="401"/>
        <v>0.7567886659</v>
      </c>
      <c r="O399" s="14">
        <f t="shared" si="401"/>
        <v>0.9251170047</v>
      </c>
      <c r="P399" s="13">
        <f t="shared" si="3"/>
        <v>0.05928237129</v>
      </c>
      <c r="Q399" s="13">
        <f t="shared" si="4"/>
        <v>0</v>
      </c>
      <c r="R399" s="13">
        <f t="shared" si="5"/>
        <v>0.003120124805</v>
      </c>
      <c r="S399" s="14">
        <f t="shared" si="6"/>
        <v>1.380013547</v>
      </c>
      <c r="T399" s="14">
        <f t="shared" si="7"/>
        <v>1.362150479</v>
      </c>
      <c r="U399" s="14">
        <f t="shared" si="8"/>
        <v>0</v>
      </c>
    </row>
    <row r="400" ht="15.75" customHeight="1">
      <c r="A400" s="9">
        <v>45947.2802564005</v>
      </c>
      <c r="B400" s="10">
        <v>6.0</v>
      </c>
      <c r="C400" s="10" t="s">
        <v>60</v>
      </c>
      <c r="D400" s="10" t="s">
        <v>1142</v>
      </c>
      <c r="E400" s="12" t="s">
        <v>62</v>
      </c>
      <c r="F400" s="11">
        <v>135081.0</v>
      </c>
      <c r="G400" s="11">
        <v>6592.0</v>
      </c>
      <c r="H400" s="11">
        <v>3538.0</v>
      </c>
      <c r="I400" s="11">
        <v>3881.0</v>
      </c>
      <c r="J400" s="11">
        <v>232.0</v>
      </c>
      <c r="K400" s="11">
        <v>119.0</v>
      </c>
      <c r="L400" s="11">
        <v>14.0</v>
      </c>
      <c r="M400" s="13">
        <f t="shared" ref="M400:O400" si="402">IFERROR(G400/F400,"")</f>
        <v>0.04880034942</v>
      </c>
      <c r="N400" s="13">
        <f t="shared" si="402"/>
        <v>0.536711165</v>
      </c>
      <c r="O400" s="14">
        <f t="shared" si="402"/>
        <v>1.096947428</v>
      </c>
      <c r="P400" s="13">
        <f t="shared" si="3"/>
        <v>0.06557377049</v>
      </c>
      <c r="Q400" s="13">
        <f t="shared" si="4"/>
        <v>0.03363482193</v>
      </c>
      <c r="R400" s="13">
        <f t="shared" si="5"/>
        <v>0.003957037875</v>
      </c>
      <c r="S400" s="14">
        <f t="shared" si="6"/>
        <v>0.846783679</v>
      </c>
      <c r="T400" s="14">
        <f t="shared" si="7"/>
        <v>0.9660310777</v>
      </c>
      <c r="U400" s="14">
        <f t="shared" si="8"/>
        <v>3.881323736</v>
      </c>
    </row>
    <row r="401" ht="15.75" customHeight="1">
      <c r="A401" s="9">
        <v>45948.2392705324</v>
      </c>
      <c r="B401" s="10">
        <v>5.0</v>
      </c>
      <c r="C401" s="10" t="s">
        <v>69</v>
      </c>
      <c r="D401" s="10" t="s">
        <v>1145</v>
      </c>
      <c r="E401" s="12" t="s">
        <v>62</v>
      </c>
      <c r="F401" s="11">
        <v>1304527.0</v>
      </c>
      <c r="G401" s="11">
        <v>53022.0</v>
      </c>
      <c r="H401" s="11">
        <v>34133.0</v>
      </c>
      <c r="I401" s="11">
        <v>42677.0</v>
      </c>
      <c r="J401" s="11">
        <v>1744.0</v>
      </c>
      <c r="K401" s="11">
        <v>583.0</v>
      </c>
      <c r="L401" s="11">
        <v>147.0</v>
      </c>
      <c r="M401" s="13">
        <f t="shared" ref="M401:O401" si="403">IFERROR(G401/F401,"")</f>
        <v>0.04064461678</v>
      </c>
      <c r="N401" s="13">
        <f t="shared" si="403"/>
        <v>0.6437516503</v>
      </c>
      <c r="O401" s="14">
        <f t="shared" si="403"/>
        <v>1.250314944</v>
      </c>
      <c r="P401" s="13">
        <f t="shared" si="3"/>
        <v>0.05109424897</v>
      </c>
      <c r="Q401" s="13">
        <f t="shared" si="4"/>
        <v>0.01708024492</v>
      </c>
      <c r="R401" s="13">
        <f t="shared" si="5"/>
        <v>0.004306682682</v>
      </c>
      <c r="S401" s="14">
        <f t="shared" si="6"/>
        <v>0.7109524714</v>
      </c>
      <c r="T401" s="14">
        <f t="shared" si="7"/>
        <v>1.159321046</v>
      </c>
      <c r="U401" s="14">
        <f t="shared" si="8"/>
        <v>1.974369562</v>
      </c>
    </row>
    <row r="402" ht="15.75" customHeight="1">
      <c r="A402" s="9">
        <v>45950.4812283102</v>
      </c>
      <c r="B402" s="10">
        <v>11.0</v>
      </c>
      <c r="C402" s="10" t="s">
        <v>71</v>
      </c>
      <c r="D402" s="10" t="s">
        <v>1146</v>
      </c>
      <c r="E402" s="12" t="s">
        <v>62</v>
      </c>
      <c r="F402" s="11">
        <v>138519.0</v>
      </c>
      <c r="G402" s="11">
        <v>7230.0</v>
      </c>
      <c r="H402" s="11">
        <v>4341.0</v>
      </c>
      <c r="I402" s="11">
        <v>3869.0</v>
      </c>
      <c r="J402" s="11">
        <v>280.0</v>
      </c>
      <c r="K402" s="11">
        <v>51.0</v>
      </c>
      <c r="L402" s="11">
        <v>17.0</v>
      </c>
      <c r="M402" s="13">
        <f t="shared" ref="M402:O402" si="404">IFERROR(G402/F402,"")</f>
        <v>0.05219500574</v>
      </c>
      <c r="N402" s="13">
        <f t="shared" si="404"/>
        <v>0.6004149378</v>
      </c>
      <c r="O402" s="14">
        <f t="shared" si="404"/>
        <v>0.8912692928</v>
      </c>
      <c r="P402" s="13">
        <f t="shared" si="3"/>
        <v>0.06450126699</v>
      </c>
      <c r="Q402" s="13">
        <f t="shared" si="4"/>
        <v>0.01174844506</v>
      </c>
      <c r="R402" s="13">
        <f t="shared" si="5"/>
        <v>0.003916148353</v>
      </c>
      <c r="S402" s="14">
        <f t="shared" si="6"/>
        <v>0.9056877566</v>
      </c>
      <c r="T402" s="14">
        <f t="shared" si="7"/>
        <v>1.088704969</v>
      </c>
      <c r="U402" s="14">
        <f t="shared" si="8"/>
        <v>1.355723505</v>
      </c>
    </row>
    <row r="403" ht="15.75" customHeight="1">
      <c r="A403" s="9">
        <v>45951.313304375</v>
      </c>
      <c r="B403" s="10">
        <v>7.0</v>
      </c>
      <c r="C403" s="10" t="s">
        <v>59</v>
      </c>
      <c r="D403" s="10" t="s">
        <v>1149</v>
      </c>
      <c r="E403" s="12" t="s">
        <v>62</v>
      </c>
      <c r="F403" s="11">
        <v>1798195.0</v>
      </c>
      <c r="G403" s="11">
        <v>109957.0</v>
      </c>
      <c r="H403" s="11">
        <v>87403.0</v>
      </c>
      <c r="I403" s="11">
        <v>91594.0</v>
      </c>
      <c r="J403" s="11">
        <v>2222.0</v>
      </c>
      <c r="K403" s="11">
        <v>380.0</v>
      </c>
      <c r="L403" s="11">
        <v>193.0</v>
      </c>
      <c r="M403" s="13">
        <f t="shared" ref="M403:O403" si="405">IFERROR(G403/F403,"")</f>
        <v>0.06114854062</v>
      </c>
      <c r="N403" s="13">
        <f t="shared" si="405"/>
        <v>0.7948834544</v>
      </c>
      <c r="O403" s="14">
        <f t="shared" si="405"/>
        <v>1.047950299</v>
      </c>
      <c r="P403" s="13">
        <f t="shared" si="3"/>
        <v>0.02542246834</v>
      </c>
      <c r="Q403" s="13">
        <f t="shared" si="4"/>
        <v>0.004347676853</v>
      </c>
      <c r="R403" s="13">
        <f t="shared" si="5"/>
        <v>0.002208162191</v>
      </c>
      <c r="S403" s="14">
        <f t="shared" si="6"/>
        <v>1.05262928</v>
      </c>
      <c r="T403" s="14">
        <f t="shared" si="7"/>
        <v>1.442386047</v>
      </c>
      <c r="U403" s="14">
        <f t="shared" si="8"/>
        <v>0.5025642712</v>
      </c>
    </row>
    <row r="404" ht="15.75" customHeight="1">
      <c r="A404" s="9">
        <v>45952.2684315278</v>
      </c>
      <c r="B404" s="10">
        <v>6.0</v>
      </c>
      <c r="C404" s="10" t="s">
        <v>80</v>
      </c>
      <c r="D404" s="10" t="s">
        <v>1152</v>
      </c>
      <c r="E404" s="12" t="s">
        <v>62</v>
      </c>
      <c r="F404" s="11">
        <v>144371.0</v>
      </c>
      <c r="G404" s="11">
        <v>7848.0</v>
      </c>
      <c r="H404" s="11">
        <v>3405.0</v>
      </c>
      <c r="I404" s="11">
        <v>3631.0</v>
      </c>
      <c r="J404" s="11">
        <v>112.0</v>
      </c>
      <c r="K404" s="11">
        <v>57.0</v>
      </c>
      <c r="L404" s="11">
        <v>8.0</v>
      </c>
      <c r="M404" s="13">
        <f t="shared" ref="M404:O404" si="406">IFERROR(G404/F404,"")</f>
        <v>0.05435994763</v>
      </c>
      <c r="N404" s="13">
        <f t="shared" si="406"/>
        <v>0.4338685015</v>
      </c>
      <c r="O404" s="14">
        <f t="shared" si="406"/>
        <v>1.066372981</v>
      </c>
      <c r="P404" s="13">
        <f t="shared" si="3"/>
        <v>0.0328928047</v>
      </c>
      <c r="Q404" s="13">
        <f t="shared" si="4"/>
        <v>0.01674008811</v>
      </c>
      <c r="R404" s="13">
        <f t="shared" si="5"/>
        <v>0.00234948605</v>
      </c>
      <c r="S404" s="14">
        <f t="shared" si="6"/>
        <v>0.943253829</v>
      </c>
      <c r="T404" s="14">
        <f t="shared" si="7"/>
        <v>0.7880460489</v>
      </c>
      <c r="U404" s="14">
        <f t="shared" si="8"/>
        <v>1.931739119</v>
      </c>
    </row>
    <row r="405" ht="15.75" customHeight="1">
      <c r="A405" s="9">
        <v>45953.250530544</v>
      </c>
      <c r="B405" s="10">
        <v>6.0</v>
      </c>
      <c r="C405" s="10" t="s">
        <v>84</v>
      </c>
      <c r="D405" s="10" t="s">
        <v>1155</v>
      </c>
      <c r="E405" s="12" t="s">
        <v>62</v>
      </c>
      <c r="F405" s="11">
        <v>2065453.0</v>
      </c>
      <c r="G405" s="11">
        <v>155669.0</v>
      </c>
      <c r="H405" s="11">
        <v>99514.0</v>
      </c>
      <c r="I405" s="11">
        <v>87439.0</v>
      </c>
      <c r="J405" s="11">
        <v>2554.0</v>
      </c>
      <c r="K405" s="11">
        <v>380.0</v>
      </c>
      <c r="L405" s="11">
        <v>339.0</v>
      </c>
      <c r="M405" s="13">
        <f t="shared" ref="M405:O405" si="407">IFERROR(G405/F405,"")</f>
        <v>0.07536797013</v>
      </c>
      <c r="N405" s="13">
        <f t="shared" si="407"/>
        <v>0.6392666491</v>
      </c>
      <c r="O405" s="14">
        <f t="shared" si="407"/>
        <v>0.878660289</v>
      </c>
      <c r="P405" s="13">
        <f t="shared" si="3"/>
        <v>0.02566473059</v>
      </c>
      <c r="Q405" s="13">
        <f t="shared" si="4"/>
        <v>0.003818558193</v>
      </c>
      <c r="R405" s="13">
        <f t="shared" si="5"/>
        <v>0.003406555861</v>
      </c>
      <c r="S405" s="14">
        <f t="shared" si="6"/>
        <v>1.318330664</v>
      </c>
      <c r="T405" s="14">
        <f t="shared" si="7"/>
        <v>1.160005646</v>
      </c>
      <c r="U405" s="14">
        <f t="shared" si="8"/>
        <v>0.4414014611</v>
      </c>
    </row>
    <row r="406" ht="15.75" customHeight="1">
      <c r="A406" s="9">
        <v>45954.2934196181</v>
      </c>
      <c r="B406" s="10">
        <v>7.0</v>
      </c>
      <c r="C406" s="10" t="s">
        <v>60</v>
      </c>
      <c r="D406" s="10" t="s">
        <v>1157</v>
      </c>
      <c r="E406" s="12" t="s">
        <v>62</v>
      </c>
      <c r="F406" s="11">
        <v>38444.0</v>
      </c>
      <c r="G406" s="11">
        <v>1349.0</v>
      </c>
      <c r="H406" s="11">
        <v>536.0</v>
      </c>
      <c r="I406" s="11">
        <v>627.0</v>
      </c>
      <c r="J406" s="11">
        <v>94.0</v>
      </c>
      <c r="K406" s="11">
        <v>36.0</v>
      </c>
      <c r="L406" s="11">
        <v>4.0</v>
      </c>
      <c r="M406" s="13">
        <f t="shared" ref="M406:O406" si="408">IFERROR(G406/F406,"")</f>
        <v>0.03509000104</v>
      </c>
      <c r="N406" s="13">
        <f t="shared" si="408"/>
        <v>0.3973313566</v>
      </c>
      <c r="O406" s="14">
        <f t="shared" si="408"/>
        <v>1.169776119</v>
      </c>
      <c r="P406" s="13">
        <f t="shared" si="3"/>
        <v>0.1753731343</v>
      </c>
      <c r="Q406" s="13">
        <f t="shared" si="4"/>
        <v>0.0671641791</v>
      </c>
      <c r="R406" s="13">
        <f t="shared" si="5"/>
        <v>0.007462686567</v>
      </c>
      <c r="S406" s="14">
        <f t="shared" si="6"/>
        <v>0.6088817095</v>
      </c>
      <c r="T406" s="14">
        <f t="shared" si="7"/>
        <v>0.7230815299</v>
      </c>
      <c r="U406" s="14">
        <f t="shared" si="8"/>
        <v>7.75047726</v>
      </c>
    </row>
    <row r="407" ht="15.75" customHeight="1">
      <c r="A407" s="9">
        <v>45955.3183511111</v>
      </c>
      <c r="B407" s="10">
        <v>7.0</v>
      </c>
      <c r="C407" s="10" t="s">
        <v>69</v>
      </c>
      <c r="D407" s="10" t="s">
        <v>1160</v>
      </c>
      <c r="E407" s="12" t="s">
        <v>62</v>
      </c>
      <c r="F407" s="11">
        <v>4.8166619E7</v>
      </c>
      <c r="G407" s="11">
        <v>3123535.0</v>
      </c>
      <c r="H407" s="11">
        <v>1072551.0</v>
      </c>
      <c r="I407" s="11">
        <v>924312.0</v>
      </c>
      <c r="J407" s="11">
        <v>19505.0</v>
      </c>
      <c r="K407" s="11">
        <v>4914.0</v>
      </c>
      <c r="L407" s="11">
        <v>8128.0</v>
      </c>
      <c r="M407" s="13">
        <f t="shared" ref="M407:O407" si="409">IFERROR(G407/F407,"")</f>
        <v>0.06484854168</v>
      </c>
      <c r="N407" s="13">
        <f t="shared" si="409"/>
        <v>0.3433772953</v>
      </c>
      <c r="O407" s="14">
        <f t="shared" si="409"/>
        <v>0.8617883905</v>
      </c>
      <c r="P407" s="13">
        <f t="shared" si="3"/>
        <v>0.01818561542</v>
      </c>
      <c r="Q407" s="13">
        <f t="shared" si="4"/>
        <v>0.004581600316</v>
      </c>
      <c r="R407" s="13">
        <f t="shared" si="5"/>
        <v>0.007578194417</v>
      </c>
      <c r="S407" s="14">
        <f t="shared" si="6"/>
        <v>1.134325641</v>
      </c>
      <c r="T407" s="14">
        <f t="shared" si="7"/>
        <v>0.6242820762</v>
      </c>
      <c r="U407" s="14">
        <f t="shared" si="8"/>
        <v>0.5296043615</v>
      </c>
    </row>
    <row r="408" ht="15.75" customHeight="1">
      <c r="A408" s="9">
        <v>45957.5032303125</v>
      </c>
      <c r="B408" s="10">
        <v>12.0</v>
      </c>
      <c r="C408" s="10" t="s">
        <v>71</v>
      </c>
      <c r="D408" s="10" t="s">
        <v>1162</v>
      </c>
      <c r="E408" s="12" t="s">
        <v>62</v>
      </c>
      <c r="F408" s="11">
        <v>25605.0</v>
      </c>
      <c r="G408" s="11">
        <v>4364.0</v>
      </c>
      <c r="H408" s="11">
        <v>1388.0</v>
      </c>
      <c r="I408" s="11">
        <v>896.0</v>
      </c>
      <c r="J408" s="11">
        <v>100.0</v>
      </c>
      <c r="K408" s="11">
        <v>70.0</v>
      </c>
      <c r="L408" s="11">
        <v>5.0</v>
      </c>
      <c r="M408" s="13">
        <f t="shared" ref="M408:O408" si="410">IFERROR(G408/F408,"")</f>
        <v>0.1704354618</v>
      </c>
      <c r="N408" s="13">
        <f t="shared" si="410"/>
        <v>0.3180568286</v>
      </c>
      <c r="O408" s="14">
        <f t="shared" si="410"/>
        <v>0.6455331412</v>
      </c>
      <c r="P408" s="13">
        <f t="shared" si="3"/>
        <v>0.07204610951</v>
      </c>
      <c r="Q408" s="13">
        <f t="shared" si="4"/>
        <v>0.05043227666</v>
      </c>
      <c r="R408" s="13">
        <f t="shared" si="5"/>
        <v>0.003602305476</v>
      </c>
      <c r="S408" s="14">
        <f t="shared" si="6"/>
        <v>2.957396189</v>
      </c>
      <c r="T408" s="14">
        <f t="shared" si="7"/>
        <v>0.5767179129</v>
      </c>
      <c r="U408" s="14">
        <f t="shared" si="8"/>
        <v>5.759029082</v>
      </c>
    </row>
    <row r="409" ht="15.75" customHeight="1">
      <c r="A409" s="9">
        <v>45958.2507519097</v>
      </c>
      <c r="B409" s="10">
        <v>6.0</v>
      </c>
      <c r="C409" s="10" t="s">
        <v>59</v>
      </c>
      <c r="D409" s="10" t="s">
        <v>1165</v>
      </c>
      <c r="E409" s="12" t="s">
        <v>62</v>
      </c>
      <c r="F409" s="11">
        <v>3507.0</v>
      </c>
      <c r="G409" s="11">
        <v>127.0</v>
      </c>
      <c r="H409" s="11">
        <v>76.0</v>
      </c>
      <c r="I409" s="11">
        <v>43.0</v>
      </c>
      <c r="J409" s="11">
        <v>6.0</v>
      </c>
      <c r="K409" s="11">
        <v>0.0</v>
      </c>
      <c r="L409" s="11">
        <v>0.0</v>
      </c>
      <c r="M409" s="13">
        <f t="shared" ref="M409:O409" si="411">IFERROR(G409/F409,"")</f>
        <v>0.03621328771</v>
      </c>
      <c r="N409" s="13">
        <f t="shared" si="411"/>
        <v>0.5984251969</v>
      </c>
      <c r="O409" s="14">
        <f t="shared" si="411"/>
        <v>0.5657894737</v>
      </c>
      <c r="P409" s="13">
        <f t="shared" si="3"/>
        <v>0.07894736842</v>
      </c>
      <c r="Q409" s="13">
        <f t="shared" si="4"/>
        <v>0</v>
      </c>
      <c r="R409" s="13">
        <f t="shared" si="5"/>
        <v>0</v>
      </c>
      <c r="S409" s="14">
        <f t="shared" si="6"/>
        <v>0.6233863732</v>
      </c>
      <c r="T409" s="14">
        <f t="shared" si="7"/>
        <v>1.084300066</v>
      </c>
      <c r="U409" s="14">
        <f t="shared" si="8"/>
        <v>0</v>
      </c>
    </row>
    <row r="410" ht="15.75" customHeight="1">
      <c r="A410" s="9">
        <v>45959.2503162269</v>
      </c>
      <c r="B410" s="10">
        <v>6.0</v>
      </c>
      <c r="C410" s="10" t="s">
        <v>80</v>
      </c>
      <c r="D410" s="10" t="s">
        <v>1167</v>
      </c>
      <c r="E410" s="12" t="s">
        <v>62</v>
      </c>
      <c r="F410" s="11">
        <v>48087.0</v>
      </c>
      <c r="G410" s="11">
        <v>1920.0</v>
      </c>
      <c r="H410" s="11">
        <v>1012.0</v>
      </c>
      <c r="I410" s="11">
        <v>1049.0</v>
      </c>
      <c r="J410" s="11">
        <v>118.0</v>
      </c>
      <c r="K410" s="11">
        <v>70.0</v>
      </c>
      <c r="L410" s="11">
        <v>7.0</v>
      </c>
      <c r="M410" s="13">
        <f t="shared" ref="M410:O410" si="412">IFERROR(G410/F410,"")</f>
        <v>0.03992763117</v>
      </c>
      <c r="N410" s="13">
        <f t="shared" si="412"/>
        <v>0.5270833333</v>
      </c>
      <c r="O410" s="14">
        <f t="shared" si="412"/>
        <v>1.036561265</v>
      </c>
      <c r="P410" s="13">
        <f t="shared" si="3"/>
        <v>0.1166007905</v>
      </c>
      <c r="Q410" s="13">
        <f t="shared" si="4"/>
        <v>0.06916996047</v>
      </c>
      <c r="R410" s="13">
        <f t="shared" si="5"/>
        <v>0.006916996047</v>
      </c>
      <c r="S410" s="14">
        <f t="shared" si="6"/>
        <v>0.692824269</v>
      </c>
      <c r="T410" s="14">
        <f t="shared" si="7"/>
        <v>0.9566500835</v>
      </c>
      <c r="U410" s="14">
        <f t="shared" si="8"/>
        <v>7.80085844</v>
      </c>
    </row>
    <row r="411" ht="15.75" customHeight="1">
      <c r="A411" s="9">
        <v>45960.417240625</v>
      </c>
      <c r="B411" s="10">
        <v>10.0</v>
      </c>
      <c r="C411" s="10" t="s">
        <v>84</v>
      </c>
      <c r="D411" s="10" t="s">
        <v>1170</v>
      </c>
      <c r="E411" s="12" t="s">
        <v>62</v>
      </c>
      <c r="F411" s="11">
        <v>2690.0</v>
      </c>
      <c r="G411" s="11">
        <v>25.0</v>
      </c>
      <c r="H411" s="11">
        <v>18.0</v>
      </c>
      <c r="I411" s="11">
        <v>19.0</v>
      </c>
      <c r="J411" s="11">
        <v>3.0</v>
      </c>
      <c r="K411" s="11">
        <v>0.0</v>
      </c>
      <c r="L411" s="11">
        <v>0.0</v>
      </c>
      <c r="M411" s="13">
        <f t="shared" ref="M411:O411" si="413">IFERROR(G411/F411,"")</f>
        <v>0.009293680297</v>
      </c>
      <c r="N411" s="13">
        <f t="shared" si="413"/>
        <v>0.72</v>
      </c>
      <c r="O411" s="14">
        <f t="shared" si="413"/>
        <v>1.055555556</v>
      </c>
      <c r="P411" s="13">
        <f t="shared" si="3"/>
        <v>0.1666666667</v>
      </c>
      <c r="Q411" s="13">
        <f t="shared" si="4"/>
        <v>0</v>
      </c>
      <c r="R411" s="13">
        <f t="shared" si="5"/>
        <v>0</v>
      </c>
      <c r="S411" s="14">
        <f t="shared" si="6"/>
        <v>0.1612639435</v>
      </c>
      <c r="T411" s="14">
        <f t="shared" si="7"/>
        <v>1.306791577</v>
      </c>
      <c r="U411" s="14">
        <f t="shared" si="8"/>
        <v>0</v>
      </c>
    </row>
    <row r="412" ht="15.75" customHeight="1">
      <c r="A412" s="9">
        <v>45961.250763044</v>
      </c>
      <c r="B412" s="10">
        <v>6.0</v>
      </c>
      <c r="C412" s="10" t="s">
        <v>60</v>
      </c>
      <c r="D412" s="10" t="s">
        <v>1173</v>
      </c>
      <c r="E412" s="12" t="s">
        <v>62</v>
      </c>
      <c r="F412" s="11">
        <v>25572.0</v>
      </c>
      <c r="G412" s="11">
        <v>2093.0</v>
      </c>
      <c r="H412" s="11">
        <v>685.0</v>
      </c>
      <c r="I412" s="11">
        <v>442.0</v>
      </c>
      <c r="J412" s="11">
        <v>69.0</v>
      </c>
      <c r="K412" s="11">
        <v>57.0</v>
      </c>
      <c r="L412" s="11">
        <v>0.0</v>
      </c>
      <c r="M412" s="13">
        <f t="shared" ref="M412:O412" si="414">IFERROR(G412/F412,"")</f>
        <v>0.08184733302</v>
      </c>
      <c r="N412" s="13">
        <f t="shared" si="414"/>
        <v>0.3272814142</v>
      </c>
      <c r="O412" s="14">
        <f t="shared" si="414"/>
        <v>0.6452554745</v>
      </c>
      <c r="P412" s="13">
        <f t="shared" si="3"/>
        <v>0.100729927</v>
      </c>
      <c r="Q412" s="13">
        <f t="shared" si="4"/>
        <v>0.08321167883</v>
      </c>
      <c r="R412" s="13">
        <f t="shared" si="5"/>
        <v>0</v>
      </c>
      <c r="S412" s="14">
        <f t="shared" si="6"/>
        <v>1.434363776</v>
      </c>
      <c r="T412" s="14">
        <f t="shared" si="7"/>
        <v>0.5911964318</v>
      </c>
      <c r="U412" s="14">
        <f t="shared" si="8"/>
        <v>9.502217828</v>
      </c>
    </row>
    <row r="413" ht="15.75" customHeight="1">
      <c r="A413" s="9">
        <v>45962.2847027315</v>
      </c>
      <c r="B413" s="10">
        <v>6.0</v>
      </c>
      <c r="C413" s="10" t="s">
        <v>69</v>
      </c>
      <c r="D413" s="10" t="s">
        <v>1001</v>
      </c>
      <c r="E413" s="12" t="s">
        <v>62</v>
      </c>
      <c r="F413" s="11">
        <v>147926.0</v>
      </c>
      <c r="G413" s="11">
        <v>9497.0</v>
      </c>
      <c r="H413" s="11">
        <v>5055.0</v>
      </c>
      <c r="I413" s="11">
        <v>6418.0</v>
      </c>
      <c r="J413" s="11">
        <v>258.0</v>
      </c>
      <c r="K413" s="11">
        <v>35.0</v>
      </c>
      <c r="L413" s="11">
        <v>20.0</v>
      </c>
      <c r="M413" s="13">
        <f t="shared" ref="M413:O413" si="415">IFERROR(G413/F413,"")</f>
        <v>0.06420101943</v>
      </c>
      <c r="N413" s="13">
        <f t="shared" si="415"/>
        <v>0.5322733495</v>
      </c>
      <c r="O413" s="14">
        <f t="shared" si="415"/>
        <v>1.269634026</v>
      </c>
      <c r="P413" s="13">
        <f t="shared" si="3"/>
        <v>0.05103857567</v>
      </c>
      <c r="Q413" s="13">
        <f t="shared" si="4"/>
        <v>0.006923837784</v>
      </c>
      <c r="R413" s="13">
        <f t="shared" si="5"/>
        <v>0.003956478734</v>
      </c>
      <c r="S413" s="14">
        <f t="shared" si="6"/>
        <v>1.122999232</v>
      </c>
      <c r="T413" s="14">
        <f t="shared" si="7"/>
        <v>0.9585617314</v>
      </c>
      <c r="U413" s="14">
        <f t="shared" si="8"/>
        <v>0.7976186005</v>
      </c>
    </row>
    <row r="414" ht="15.75" customHeight="1">
      <c r="A414" s="9">
        <v>45964.2665700926</v>
      </c>
      <c r="B414" s="10">
        <v>6.0</v>
      </c>
      <c r="C414" s="10" t="s">
        <v>71</v>
      </c>
      <c r="D414" s="10" t="s">
        <v>1177</v>
      </c>
      <c r="E414" s="12" t="s">
        <v>62</v>
      </c>
      <c r="F414" s="11">
        <v>8075.0</v>
      </c>
      <c r="G414" s="11">
        <v>543.0</v>
      </c>
      <c r="H414" s="11">
        <v>262.0</v>
      </c>
      <c r="I414" s="11">
        <v>244.0</v>
      </c>
      <c r="J414" s="11">
        <v>71.0</v>
      </c>
      <c r="K414" s="11">
        <v>18.0</v>
      </c>
      <c r="L414" s="11">
        <v>1.0</v>
      </c>
      <c r="M414" s="13">
        <f t="shared" ref="M414:O414" si="416">IFERROR(G414/F414,"")</f>
        <v>0.06724458204</v>
      </c>
      <c r="N414" s="13">
        <f t="shared" si="416"/>
        <v>0.4825046041</v>
      </c>
      <c r="O414" s="14">
        <f t="shared" si="416"/>
        <v>0.9312977099</v>
      </c>
      <c r="P414" s="13">
        <f t="shared" si="3"/>
        <v>0.2709923664</v>
      </c>
      <c r="Q414" s="13">
        <f t="shared" si="4"/>
        <v>0.06870229008</v>
      </c>
      <c r="R414" s="13">
        <f t="shared" si="5"/>
        <v>0.003816793893</v>
      </c>
      <c r="S414" s="14">
        <f t="shared" si="6"/>
        <v>1.166828009</v>
      </c>
      <c r="T414" s="14">
        <f t="shared" si="7"/>
        <v>0.8715893656</v>
      </c>
      <c r="U414" s="14">
        <f t="shared" si="8"/>
        <v>7.845342562</v>
      </c>
    </row>
    <row r="415" ht="15.75" customHeight="1">
      <c r="A415" s="9">
        <v>45965.2514758102</v>
      </c>
      <c r="B415" s="10">
        <v>6.0</v>
      </c>
      <c r="C415" s="10" t="s">
        <v>59</v>
      </c>
      <c r="D415" s="10" t="s">
        <v>1180</v>
      </c>
      <c r="E415" s="12" t="s">
        <v>62</v>
      </c>
      <c r="F415" s="11">
        <v>6792.0</v>
      </c>
      <c r="G415" s="11">
        <v>221.0</v>
      </c>
      <c r="H415" s="11">
        <v>152.0</v>
      </c>
      <c r="I415" s="11">
        <v>173.0</v>
      </c>
      <c r="J415" s="11">
        <v>11.0</v>
      </c>
      <c r="K415" s="11">
        <v>0.0</v>
      </c>
      <c r="L415" s="11">
        <v>0.0</v>
      </c>
      <c r="M415" s="13">
        <f t="shared" ref="M415:O415" si="417">IFERROR(G415/F415,"")</f>
        <v>0.03253828033</v>
      </c>
      <c r="N415" s="13">
        <f t="shared" si="417"/>
        <v>0.6877828054</v>
      </c>
      <c r="O415" s="14">
        <f t="shared" si="417"/>
        <v>1.138157895</v>
      </c>
      <c r="P415" s="13">
        <f t="shared" si="3"/>
        <v>0.07236842105</v>
      </c>
      <c r="Q415" s="13">
        <f t="shared" si="4"/>
        <v>0</v>
      </c>
      <c r="R415" s="13">
        <f t="shared" si="5"/>
        <v>0</v>
      </c>
      <c r="S415" s="14">
        <f t="shared" si="6"/>
        <v>0.5601236962</v>
      </c>
      <c r="T415" s="14">
        <f t="shared" si="7"/>
        <v>1.238615981</v>
      </c>
      <c r="U415" s="14">
        <f t="shared" si="8"/>
        <v>0</v>
      </c>
    </row>
    <row r="416" ht="15.75" customHeight="1">
      <c r="A416" s="9">
        <v>45966.7146221296</v>
      </c>
      <c r="B416" s="10">
        <v>17.0</v>
      </c>
      <c r="C416" s="10" t="s">
        <v>80</v>
      </c>
      <c r="D416" s="10" t="s">
        <v>1182</v>
      </c>
      <c r="E416" s="12" t="s">
        <v>62</v>
      </c>
      <c r="F416" s="11">
        <v>588990.0</v>
      </c>
      <c r="G416" s="11">
        <v>39447.0</v>
      </c>
      <c r="H416" s="11">
        <v>26490.0</v>
      </c>
      <c r="I416" s="11">
        <v>31209.0</v>
      </c>
      <c r="J416" s="11">
        <v>434.0</v>
      </c>
      <c r="K416" s="11">
        <v>234.0</v>
      </c>
      <c r="L416" s="11">
        <v>93.0</v>
      </c>
      <c r="M416" s="13">
        <f t="shared" ref="M416:O416" si="418">IFERROR(G416/F416,"")</f>
        <v>0.06697397239</v>
      </c>
      <c r="N416" s="13">
        <f t="shared" si="418"/>
        <v>0.671533957</v>
      </c>
      <c r="O416" s="14">
        <f t="shared" si="418"/>
        <v>1.178142695</v>
      </c>
      <c r="P416" s="13">
        <f t="shared" si="3"/>
        <v>0.01638354096</v>
      </c>
      <c r="Q416" s="13">
        <f t="shared" si="4"/>
        <v>0.008833522084</v>
      </c>
      <c r="R416" s="13">
        <f t="shared" si="5"/>
        <v>0.003510758777</v>
      </c>
      <c r="S416" s="14">
        <f t="shared" si="6"/>
        <v>1.171503509</v>
      </c>
      <c r="T416" s="14">
        <f t="shared" si="7"/>
        <v>1.216767471</v>
      </c>
      <c r="U416" s="14">
        <f t="shared" si="8"/>
        <v>1</v>
      </c>
    </row>
    <row r="417" ht="15.75" customHeight="1">
      <c r="A417" s="9">
        <v>45967.489560463</v>
      </c>
      <c r="B417" s="10">
        <v>11.0</v>
      </c>
      <c r="C417" s="10" t="s">
        <v>84</v>
      </c>
      <c r="D417" s="10" t="s">
        <v>1183</v>
      </c>
      <c r="E417" s="12" t="s">
        <v>62</v>
      </c>
      <c r="F417" s="11">
        <v>968.0</v>
      </c>
      <c r="G417" s="11">
        <v>11.0</v>
      </c>
      <c r="H417" s="11">
        <v>10.0</v>
      </c>
      <c r="I417" s="11">
        <v>9.0</v>
      </c>
      <c r="J417" s="11">
        <v>2.0</v>
      </c>
      <c r="K417" s="11">
        <v>0.0</v>
      </c>
      <c r="L417" s="11">
        <v>0.0</v>
      </c>
      <c r="M417" s="13">
        <f t="shared" ref="M417:O417" si="419">IFERROR(G417/F417,"")</f>
        <v>0.01136363636</v>
      </c>
      <c r="N417" s="13">
        <f t="shared" si="419"/>
        <v>0.9090909091</v>
      </c>
      <c r="O417" s="14">
        <f t="shared" si="419"/>
        <v>0.9</v>
      </c>
      <c r="P417" s="13">
        <f t="shared" si="3"/>
        <v>0.2</v>
      </c>
      <c r="Q417" s="13">
        <f t="shared" si="4"/>
        <v>0</v>
      </c>
      <c r="R417" s="13">
        <f t="shared" si="5"/>
        <v>0</v>
      </c>
      <c r="S417" s="14">
        <f t="shared" si="6"/>
        <v>0.1971818219</v>
      </c>
      <c r="T417" s="14">
        <f t="shared" si="7"/>
        <v>1.642168722</v>
      </c>
      <c r="U417" s="14">
        <f t="shared" si="8"/>
        <v>0</v>
      </c>
    </row>
    <row r="418" ht="15.75" customHeight="1">
      <c r="A418" s="9">
        <v>45968.2417682986</v>
      </c>
      <c r="B418" s="10">
        <v>5.0</v>
      </c>
      <c r="C418" s="10" t="s">
        <v>60</v>
      </c>
      <c r="D418" s="10" t="s">
        <v>1185</v>
      </c>
      <c r="E418" s="12" t="s">
        <v>62</v>
      </c>
      <c r="F418" s="11">
        <v>51542.0</v>
      </c>
      <c r="G418" s="11">
        <v>8165.0</v>
      </c>
      <c r="H418" s="11">
        <v>4021.0</v>
      </c>
      <c r="I418" s="11">
        <v>2180.0</v>
      </c>
      <c r="J418" s="11">
        <v>333.0</v>
      </c>
      <c r="K418" s="11">
        <v>41.0</v>
      </c>
      <c r="L418" s="11">
        <v>5.0</v>
      </c>
      <c r="M418" s="13">
        <f t="shared" ref="M418:O418" si="420">IFERROR(G418/F418,"")</f>
        <v>0.1584144969</v>
      </c>
      <c r="N418" s="13">
        <f t="shared" si="420"/>
        <v>0.4924678506</v>
      </c>
      <c r="O418" s="14">
        <f t="shared" si="420"/>
        <v>0.5421536931</v>
      </c>
      <c r="P418" s="13">
        <f t="shared" si="3"/>
        <v>0.08281522009</v>
      </c>
      <c r="Q418" s="13">
        <f t="shared" si="4"/>
        <v>0.01019646854</v>
      </c>
      <c r="R418" s="13">
        <f t="shared" si="5"/>
        <v>0.001243471773</v>
      </c>
      <c r="S418" s="14">
        <f t="shared" si="6"/>
        <v>2.776193281</v>
      </c>
      <c r="T418" s="14">
        <f t="shared" si="7"/>
        <v>0.8856301332</v>
      </c>
      <c r="U418" s="14">
        <f t="shared" si="8"/>
        <v>1.149938602</v>
      </c>
    </row>
    <row r="419" ht="15.75" customHeight="1">
      <c r="A419" s="9">
        <v>45969.2726652546</v>
      </c>
      <c r="B419" s="10">
        <v>6.0</v>
      </c>
      <c r="C419" s="10" t="s">
        <v>69</v>
      </c>
      <c r="D419" s="10" t="s">
        <v>1187</v>
      </c>
      <c r="E419" s="12" t="s">
        <v>62</v>
      </c>
      <c r="F419" s="11">
        <v>5716823.0</v>
      </c>
      <c r="G419" s="11">
        <v>299341.0</v>
      </c>
      <c r="H419" s="11">
        <v>171402.0</v>
      </c>
      <c r="I419" s="11">
        <v>213038.0</v>
      </c>
      <c r="J419" s="11">
        <v>4037.0</v>
      </c>
      <c r="K419" s="11">
        <v>1648.0</v>
      </c>
      <c r="L419" s="11">
        <v>504.0</v>
      </c>
      <c r="M419" s="13">
        <f t="shared" ref="M419:O419" si="421">IFERROR(G419/F419,"")</f>
        <v>0.05236142522</v>
      </c>
      <c r="N419" s="13">
        <f t="shared" si="421"/>
        <v>0.5725978065</v>
      </c>
      <c r="O419" s="14">
        <f t="shared" si="421"/>
        <v>1.242914318</v>
      </c>
      <c r="P419" s="13">
        <f t="shared" si="3"/>
        <v>0.02355281735</v>
      </c>
      <c r="Q419" s="13">
        <f t="shared" si="4"/>
        <v>0.009614823631</v>
      </c>
      <c r="R419" s="13">
        <f t="shared" si="5"/>
        <v>0.002940455771</v>
      </c>
      <c r="S419" s="14">
        <f t="shared" si="6"/>
        <v>0.9193587578</v>
      </c>
      <c r="T419" s="14">
        <f t="shared" si="7"/>
        <v>1.030676052</v>
      </c>
      <c r="U419" s="14">
        <f t="shared" si="8"/>
        <v>1.088447342</v>
      </c>
    </row>
    <row r="420" ht="15.75" customHeight="1">
      <c r="A420" s="9">
        <v>45971.5574229977</v>
      </c>
      <c r="B420" s="10">
        <v>13.0</v>
      </c>
      <c r="C420" s="10" t="s">
        <v>71</v>
      </c>
      <c r="D420" s="10" t="s">
        <v>1190</v>
      </c>
      <c r="E420" s="12" t="s">
        <v>62</v>
      </c>
      <c r="F420" s="11">
        <v>31813.0</v>
      </c>
      <c r="G420" s="11">
        <v>1418.0</v>
      </c>
      <c r="H420" s="11">
        <v>1008.0</v>
      </c>
      <c r="I420" s="11">
        <v>1151.0</v>
      </c>
      <c r="J420" s="11">
        <v>94.0</v>
      </c>
      <c r="K420" s="11">
        <v>39.0</v>
      </c>
      <c r="L420" s="11">
        <v>6.0</v>
      </c>
      <c r="M420" s="13">
        <f t="shared" ref="M420:O420" si="422">IFERROR(G420/F420,"")</f>
        <v>0.04457297331</v>
      </c>
      <c r="N420" s="13">
        <f t="shared" si="422"/>
        <v>0.7108603667</v>
      </c>
      <c r="O420" s="14">
        <f t="shared" si="422"/>
        <v>1.141865079</v>
      </c>
      <c r="P420" s="13">
        <f t="shared" si="3"/>
        <v>0.09325396825</v>
      </c>
      <c r="Q420" s="13">
        <f t="shared" si="4"/>
        <v>0.03869047619</v>
      </c>
      <c r="R420" s="13">
        <f t="shared" si="5"/>
        <v>0.005952380952</v>
      </c>
      <c r="S420" s="14">
        <f t="shared" si="6"/>
        <v>0.7811355113</v>
      </c>
      <c r="T420" s="14">
        <f t="shared" si="7"/>
        <v>1.284087926</v>
      </c>
      <c r="U420" s="14">
        <f t="shared" si="8"/>
        <v>4.343784619</v>
      </c>
    </row>
    <row r="421" ht="15.75" customHeight="1">
      <c r="A421" s="9">
        <v>45972.2908794907</v>
      </c>
      <c r="B421" s="10">
        <v>6.0</v>
      </c>
      <c r="C421" s="10" t="s">
        <v>59</v>
      </c>
      <c r="D421" s="10" t="s">
        <v>1191</v>
      </c>
      <c r="E421" s="12" t="s">
        <v>62</v>
      </c>
      <c r="F421" s="11">
        <v>4667.0</v>
      </c>
      <c r="G421" s="11">
        <v>113.0</v>
      </c>
      <c r="H421" s="11">
        <v>66.0</v>
      </c>
      <c r="I421" s="11">
        <v>83.0</v>
      </c>
      <c r="J421" s="11">
        <v>11.0</v>
      </c>
      <c r="K421" s="11">
        <v>0.0</v>
      </c>
      <c r="L421" s="11">
        <v>0.0</v>
      </c>
      <c r="M421" s="13">
        <f t="shared" ref="M421:O421" si="423">IFERROR(G421/F421,"")</f>
        <v>0.02421255625</v>
      </c>
      <c r="N421" s="13">
        <f t="shared" si="423"/>
        <v>0.5840707965</v>
      </c>
      <c r="O421" s="14">
        <f t="shared" si="423"/>
        <v>1.257575758</v>
      </c>
      <c r="P421" s="13">
        <f t="shared" si="3"/>
        <v>0.1666666667</v>
      </c>
      <c r="Q421" s="13">
        <f t="shared" si="4"/>
        <v>0</v>
      </c>
      <c r="R421" s="13">
        <f t="shared" si="5"/>
        <v>0</v>
      </c>
      <c r="S421" s="14">
        <f t="shared" si="6"/>
        <v>0.4251226077</v>
      </c>
      <c r="T421" s="14">
        <f t="shared" si="7"/>
        <v>1.051842844</v>
      </c>
      <c r="U421" s="14">
        <f t="shared" si="8"/>
        <v>0</v>
      </c>
    </row>
    <row r="422" ht="15.75" customHeight="1">
      <c r="A422" s="9">
        <v>45973.256474919</v>
      </c>
      <c r="B422" s="10">
        <v>6.0</v>
      </c>
      <c r="C422" s="10" t="s">
        <v>80</v>
      </c>
      <c r="D422" s="10" t="s">
        <v>1194</v>
      </c>
      <c r="E422" s="12" t="s">
        <v>62</v>
      </c>
      <c r="F422" s="11">
        <v>157694.0</v>
      </c>
      <c r="G422" s="11">
        <v>8723.0</v>
      </c>
      <c r="H422" s="11">
        <v>3967.0</v>
      </c>
      <c r="I422" s="11">
        <v>3595.0</v>
      </c>
      <c r="J422" s="11">
        <v>295.0</v>
      </c>
      <c r="K422" s="11">
        <v>55.0</v>
      </c>
      <c r="L422" s="11">
        <v>54.0</v>
      </c>
      <c r="M422" s="13">
        <f t="shared" ref="M422:O422" si="424">IFERROR(G422/F422,"")</f>
        <v>0.05531599173</v>
      </c>
      <c r="N422" s="13">
        <f t="shared" si="424"/>
        <v>0.4547747335</v>
      </c>
      <c r="O422" s="14">
        <f t="shared" si="424"/>
        <v>0.9062263675</v>
      </c>
      <c r="P422" s="13">
        <f t="shared" si="3"/>
        <v>0.07436349887</v>
      </c>
      <c r="Q422" s="13">
        <f t="shared" si="4"/>
        <v>0.01386438114</v>
      </c>
      <c r="R422" s="13">
        <f t="shared" si="5"/>
        <v>0.01361230149</v>
      </c>
      <c r="S422" s="14">
        <f t="shared" si="6"/>
        <v>0.977679739</v>
      </c>
      <c r="T422" s="14">
        <f t="shared" si="7"/>
        <v>0.8214985269</v>
      </c>
      <c r="U422" s="14">
        <f t="shared" si="8"/>
        <v>1.556555812</v>
      </c>
    </row>
    <row r="423" ht="15.75" customHeight="1">
      <c r="A423" s="9">
        <v>45974.2526739815</v>
      </c>
      <c r="B423" s="10">
        <v>6.0</v>
      </c>
      <c r="C423" s="10" t="s">
        <v>84</v>
      </c>
      <c r="D423" s="10" t="s">
        <v>1195</v>
      </c>
      <c r="E423" s="12" t="s">
        <v>62</v>
      </c>
      <c r="F423" s="11">
        <v>14203.0</v>
      </c>
      <c r="G423" s="11">
        <v>996.0</v>
      </c>
      <c r="H423" s="11">
        <v>738.0</v>
      </c>
      <c r="I423" s="11">
        <v>830.0</v>
      </c>
      <c r="J423" s="11">
        <v>75.0</v>
      </c>
      <c r="K423" s="11">
        <v>0.0</v>
      </c>
      <c r="L423" s="11">
        <v>5.0</v>
      </c>
      <c r="M423" s="13">
        <f t="shared" ref="M423:O423" si="425">IFERROR(G423/F423,"")</f>
        <v>0.07012602971</v>
      </c>
      <c r="N423" s="13">
        <f t="shared" si="425"/>
        <v>0.7409638554</v>
      </c>
      <c r="O423" s="14">
        <f t="shared" si="425"/>
        <v>1.124661247</v>
      </c>
      <c r="P423" s="13">
        <f t="shared" si="3"/>
        <v>0.1016260163</v>
      </c>
      <c r="Q423" s="13">
        <f t="shared" si="4"/>
        <v>0</v>
      </c>
      <c r="R423" s="13">
        <f t="shared" si="5"/>
        <v>0.006775067751</v>
      </c>
      <c r="S423" s="14">
        <f t="shared" si="6"/>
        <v>1.239439017</v>
      </c>
      <c r="T423" s="14">
        <f t="shared" si="7"/>
        <v>1.338466434</v>
      </c>
      <c r="U423" s="14">
        <f t="shared" si="8"/>
        <v>0</v>
      </c>
    </row>
    <row r="424" ht="15.75" customHeight="1">
      <c r="A424" s="9">
        <v>45975.4232787269</v>
      </c>
      <c r="B424" s="10">
        <v>10.0</v>
      </c>
      <c r="C424" s="10" t="s">
        <v>60</v>
      </c>
      <c r="D424" s="10" t="s">
        <v>1198</v>
      </c>
      <c r="E424" s="12" t="s">
        <v>62</v>
      </c>
      <c r="F424" s="11">
        <v>37919.0</v>
      </c>
      <c r="G424" s="11">
        <v>1339.0</v>
      </c>
      <c r="H424" s="11">
        <v>783.0</v>
      </c>
      <c r="I424" s="11">
        <v>935.0</v>
      </c>
      <c r="J424" s="11">
        <v>99.0</v>
      </c>
      <c r="K424" s="11">
        <v>34.0</v>
      </c>
      <c r="L424" s="11">
        <v>7.0</v>
      </c>
      <c r="M424" s="13">
        <f t="shared" ref="M424:O424" si="426">IFERROR(G424/F424,"")</f>
        <v>0.03531211266</v>
      </c>
      <c r="N424" s="13">
        <f t="shared" si="426"/>
        <v>0.5847647498</v>
      </c>
      <c r="O424" s="14">
        <f t="shared" si="426"/>
        <v>1.19412516</v>
      </c>
      <c r="P424" s="13">
        <f t="shared" si="3"/>
        <v>0.1264367816</v>
      </c>
      <c r="Q424" s="13">
        <f t="shared" si="4"/>
        <v>0.04342273308</v>
      </c>
      <c r="R424" s="13">
        <f t="shared" si="5"/>
        <v>0.008939974457</v>
      </c>
      <c r="S424" s="14">
        <f t="shared" si="6"/>
        <v>0.6200079523</v>
      </c>
      <c r="T424" s="14">
        <f t="shared" si="7"/>
        <v>1.05257655</v>
      </c>
      <c r="U424" s="14">
        <f t="shared" si="8"/>
        <v>4.915676065</v>
      </c>
    </row>
    <row r="425" ht="15.75" customHeight="1">
      <c r="A425" s="9">
        <v>45976.2577071181</v>
      </c>
      <c r="B425" s="10">
        <v>6.0</v>
      </c>
      <c r="C425" s="10" t="s">
        <v>69</v>
      </c>
      <c r="D425" s="10" t="s">
        <v>1199</v>
      </c>
      <c r="E425" s="12" t="s">
        <v>62</v>
      </c>
      <c r="F425" s="11">
        <v>131172.0</v>
      </c>
      <c r="G425" s="11">
        <v>15882.0</v>
      </c>
      <c r="H425" s="11">
        <v>7141.0</v>
      </c>
      <c r="I425" s="11">
        <v>4393.0</v>
      </c>
      <c r="J425" s="11">
        <v>557.0</v>
      </c>
      <c r="K425" s="11">
        <v>182.0</v>
      </c>
      <c r="L425" s="11">
        <v>22.0</v>
      </c>
      <c r="M425" s="13">
        <f t="shared" ref="M425:O425" si="427">IFERROR(G425/F425,"")</f>
        <v>0.121077669</v>
      </c>
      <c r="N425" s="13">
        <f t="shared" si="427"/>
        <v>0.4496285103</v>
      </c>
      <c r="O425" s="14">
        <f t="shared" si="427"/>
        <v>0.6151799468</v>
      </c>
      <c r="P425" s="13">
        <f t="shared" si="3"/>
        <v>0.07800028007</v>
      </c>
      <c r="Q425" s="13">
        <f t="shared" si="4"/>
        <v>0.02548662652</v>
      </c>
      <c r="R425" s="13">
        <f t="shared" si="5"/>
        <v>0.003080801008</v>
      </c>
      <c r="S425" s="14">
        <f t="shared" si="6"/>
        <v>2.139981227</v>
      </c>
      <c r="T425" s="14">
        <f t="shared" si="7"/>
        <v>0.8095296562</v>
      </c>
      <c r="U425" s="14">
        <f t="shared" si="8"/>
        <v>2.874333949</v>
      </c>
    </row>
    <row r="426" ht="15.75" customHeight="1">
      <c r="A426" s="9">
        <v>45978.2919796759</v>
      </c>
      <c r="B426" s="10">
        <v>7.0</v>
      </c>
      <c r="C426" s="10" t="s">
        <v>71</v>
      </c>
      <c r="D426" s="10" t="s">
        <v>1202</v>
      </c>
      <c r="E426" s="12" t="s">
        <v>62</v>
      </c>
      <c r="F426" s="11">
        <v>128806.0</v>
      </c>
      <c r="G426" s="11">
        <v>25133.0</v>
      </c>
      <c r="H426" s="11">
        <v>17829.0</v>
      </c>
      <c r="I426" s="11">
        <v>10063.0</v>
      </c>
      <c r="J426" s="11">
        <v>713.0</v>
      </c>
      <c r="K426" s="11">
        <v>692.0</v>
      </c>
      <c r="L426" s="11">
        <v>31.0</v>
      </c>
      <c r="M426" s="13">
        <f t="shared" ref="M426:O426" si="428">IFERROR(G426/F426,"")</f>
        <v>0.195122898</v>
      </c>
      <c r="N426" s="13">
        <f t="shared" si="428"/>
        <v>0.7093860661</v>
      </c>
      <c r="O426" s="14">
        <f t="shared" si="428"/>
        <v>0.564417522</v>
      </c>
      <c r="P426" s="13">
        <f t="shared" si="3"/>
        <v>0.03999102586</v>
      </c>
      <c r="Q426" s="13">
        <f t="shared" si="4"/>
        <v>0.03881316956</v>
      </c>
      <c r="R426" s="13">
        <f t="shared" si="5"/>
        <v>0.001738740255</v>
      </c>
      <c r="S426" s="14">
        <f t="shared" si="6"/>
        <v>3.485393411</v>
      </c>
      <c r="T426" s="14">
        <f t="shared" si="7"/>
        <v>1.28142477</v>
      </c>
      <c r="U426" s="14">
        <f t="shared" si="8"/>
        <v>4.357559419</v>
      </c>
    </row>
    <row r="427" ht="15.75" customHeight="1">
      <c r="A427" s="9">
        <v>45979.2929043287</v>
      </c>
      <c r="B427" s="10">
        <v>7.0</v>
      </c>
      <c r="C427" s="10" t="s">
        <v>59</v>
      </c>
      <c r="D427" s="10" t="s">
        <v>1204</v>
      </c>
      <c r="E427" s="12" t="s">
        <v>62</v>
      </c>
      <c r="F427" s="11">
        <v>2152.0</v>
      </c>
      <c r="G427" s="11">
        <v>18.0</v>
      </c>
      <c r="H427" s="11">
        <v>9.0</v>
      </c>
      <c r="I427" s="11">
        <v>12.0</v>
      </c>
      <c r="J427" s="11">
        <v>3.0</v>
      </c>
      <c r="K427" s="11">
        <v>0.0</v>
      </c>
      <c r="L427" s="11">
        <v>0.0</v>
      </c>
      <c r="M427" s="13">
        <f t="shared" ref="M427:O427" si="429">IFERROR(G427/F427,"")</f>
        <v>0.008364312268</v>
      </c>
      <c r="N427" s="13">
        <f t="shared" si="429"/>
        <v>0.5</v>
      </c>
      <c r="O427" s="14">
        <f t="shared" si="429"/>
        <v>1.333333333</v>
      </c>
      <c r="P427" s="13">
        <f t="shared" si="3"/>
        <v>0.3333333333</v>
      </c>
      <c r="Q427" s="13">
        <f t="shared" si="4"/>
        <v>0</v>
      </c>
      <c r="R427" s="13">
        <f t="shared" si="5"/>
        <v>0</v>
      </c>
      <c r="S427" s="14">
        <f t="shared" si="6"/>
        <v>0.1499984303</v>
      </c>
      <c r="T427" s="14">
        <f t="shared" si="7"/>
        <v>0.905961239</v>
      </c>
      <c r="U427" s="14">
        <f t="shared" si="8"/>
        <v>0</v>
      </c>
    </row>
    <row r="428" ht="15.75" customHeight="1">
      <c r="A428" s="9">
        <v>45980.2084531019</v>
      </c>
      <c r="B428" s="10">
        <v>5.0</v>
      </c>
      <c r="C428" s="10" t="s">
        <v>80</v>
      </c>
      <c r="D428" s="10" t="s">
        <v>1206</v>
      </c>
      <c r="E428" s="12" t="s">
        <v>62</v>
      </c>
      <c r="F428" s="11">
        <v>8594800.0</v>
      </c>
      <c r="G428" s="11">
        <v>473743.0</v>
      </c>
      <c r="H428" s="11">
        <v>482547.0</v>
      </c>
      <c r="I428" s="11">
        <v>406248.0</v>
      </c>
      <c r="J428" s="11">
        <v>5993.0</v>
      </c>
      <c r="K428" s="11">
        <v>1067.0</v>
      </c>
      <c r="L428" s="11">
        <v>1536.0</v>
      </c>
      <c r="M428" s="13">
        <f t="shared" ref="M428:O428" si="430">IFERROR(G428/F428,"")</f>
        <v>0.05511972355</v>
      </c>
      <c r="N428" s="13">
        <f t="shared" si="430"/>
        <v>1.018583916</v>
      </c>
      <c r="O428" s="14">
        <f t="shared" si="430"/>
        <v>0.8418827596</v>
      </c>
      <c r="P428" s="13">
        <f t="shared" si="3"/>
        <v>0.01241951561</v>
      </c>
      <c r="Q428" s="13">
        <f t="shared" si="4"/>
        <v>0.002211183574</v>
      </c>
      <c r="R428" s="13">
        <f t="shared" si="5"/>
        <v>0.003183109625</v>
      </c>
      <c r="S428" s="14">
        <f t="shared" si="6"/>
        <v>0.9845790692</v>
      </c>
      <c r="T428" s="14">
        <f t="shared" si="7"/>
        <v>1.839503028</v>
      </c>
      <c r="U428" s="14">
        <f t="shared" si="8"/>
        <v>0.2482498574</v>
      </c>
    </row>
    <row r="429" ht="15.75" customHeight="1">
      <c r="A429" s="9">
        <v>45981.2923340625</v>
      </c>
      <c r="B429" s="10">
        <v>7.0</v>
      </c>
      <c r="C429" s="10" t="s">
        <v>84</v>
      </c>
      <c r="D429" s="10" t="s">
        <v>1207</v>
      </c>
      <c r="E429" s="12" t="s">
        <v>62</v>
      </c>
      <c r="F429" s="11">
        <v>2675.0</v>
      </c>
      <c r="G429" s="11">
        <v>41.0</v>
      </c>
      <c r="H429" s="11">
        <v>17.0</v>
      </c>
      <c r="I429" s="11">
        <v>26.0</v>
      </c>
      <c r="J429" s="11">
        <v>2.0</v>
      </c>
      <c r="K429" s="11">
        <v>0.0</v>
      </c>
      <c r="L429" s="11">
        <v>0.0</v>
      </c>
      <c r="M429" s="13">
        <f t="shared" ref="M429:O429" si="431">IFERROR(G429/F429,"")</f>
        <v>0.0153271028</v>
      </c>
      <c r="N429" s="13">
        <f t="shared" si="431"/>
        <v>0.4146341463</v>
      </c>
      <c r="O429" s="14">
        <f t="shared" si="431"/>
        <v>1.529411765</v>
      </c>
      <c r="P429" s="13">
        <f t="shared" si="3"/>
        <v>0.1176470588</v>
      </c>
      <c r="Q429" s="13">
        <f t="shared" si="4"/>
        <v>0</v>
      </c>
      <c r="R429" s="13">
        <f t="shared" si="5"/>
        <v>0</v>
      </c>
      <c r="S429" s="14">
        <f t="shared" si="6"/>
        <v>0.2748631673</v>
      </c>
      <c r="T429" s="14">
        <f t="shared" si="7"/>
        <v>0.7512849299</v>
      </c>
      <c r="U429" s="14">
        <f t="shared" si="8"/>
        <v>0</v>
      </c>
    </row>
    <row r="430" ht="15.75" customHeight="1">
      <c r="A430" s="9">
        <v>45982.3091164699</v>
      </c>
      <c r="B430" s="10">
        <v>7.0</v>
      </c>
      <c r="C430" s="10" t="s">
        <v>60</v>
      </c>
      <c r="D430" s="10" t="s">
        <v>1209</v>
      </c>
      <c r="E430" s="12" t="s">
        <v>62</v>
      </c>
      <c r="F430" s="11">
        <v>42188.0</v>
      </c>
      <c r="G430" s="11">
        <v>2194.0</v>
      </c>
      <c r="H430" s="11">
        <v>1223.0</v>
      </c>
      <c r="I430" s="11">
        <v>1157.0</v>
      </c>
      <c r="J430" s="11">
        <v>102.0</v>
      </c>
      <c r="K430" s="11">
        <v>97.0</v>
      </c>
      <c r="L430" s="11">
        <v>4.0</v>
      </c>
      <c r="M430" s="13">
        <f t="shared" ref="M430:O430" si="432">IFERROR(G430/F430,"")</f>
        <v>0.05200530957</v>
      </c>
      <c r="N430" s="13">
        <f t="shared" si="432"/>
        <v>0.5574293528</v>
      </c>
      <c r="O430" s="14">
        <f t="shared" si="432"/>
        <v>0.9460343418</v>
      </c>
      <c r="P430" s="13">
        <f t="shared" si="3"/>
        <v>0.08340147179</v>
      </c>
      <c r="Q430" s="13">
        <f t="shared" si="4"/>
        <v>0.07931316435</v>
      </c>
      <c r="R430" s="13">
        <f t="shared" si="5"/>
        <v>0.003270645953</v>
      </c>
      <c r="S430" s="14">
        <f t="shared" si="6"/>
        <v>0.9386958377</v>
      </c>
      <c r="T430" s="14">
        <f t="shared" si="7"/>
        <v>1.010018774</v>
      </c>
      <c r="U430" s="14">
        <f t="shared" si="8"/>
        <v>8.911177497</v>
      </c>
    </row>
    <row r="431" ht="15.75" customHeight="1">
      <c r="A431" s="9">
        <v>45983.2507456134</v>
      </c>
      <c r="B431" s="10">
        <v>6.0</v>
      </c>
      <c r="C431" s="10" t="s">
        <v>69</v>
      </c>
      <c r="D431" s="10" t="s">
        <v>1211</v>
      </c>
      <c r="E431" s="12" t="s">
        <v>62</v>
      </c>
      <c r="F431" s="11">
        <v>195223.0</v>
      </c>
      <c r="G431" s="11">
        <v>17962.0</v>
      </c>
      <c r="H431" s="11">
        <v>11707.0</v>
      </c>
      <c r="I431" s="11">
        <v>14263.0</v>
      </c>
      <c r="J431" s="11">
        <v>397.0</v>
      </c>
      <c r="K431" s="11">
        <v>72.0</v>
      </c>
      <c r="L431" s="11">
        <v>46.0</v>
      </c>
      <c r="M431" s="13">
        <f t="shared" ref="M431:O431" si="433">IFERROR(G431/F431,"")</f>
        <v>0.09200760156</v>
      </c>
      <c r="N431" s="13">
        <f t="shared" si="433"/>
        <v>0.6517648369</v>
      </c>
      <c r="O431" s="14">
        <f t="shared" si="433"/>
        <v>1.218330913</v>
      </c>
      <c r="P431" s="13">
        <f t="shared" si="3"/>
        <v>0.0339113351</v>
      </c>
      <c r="Q431" s="13">
        <f t="shared" si="4"/>
        <v>0.006150166567</v>
      </c>
      <c r="R431" s="13">
        <f t="shared" si="5"/>
        <v>0.003929273084</v>
      </c>
      <c r="S431" s="14">
        <f t="shared" si="6"/>
        <v>1.660737208</v>
      </c>
      <c r="T431" s="14">
        <f t="shared" si="7"/>
        <v>1.180947358</v>
      </c>
      <c r="U431" s="14">
        <f t="shared" si="8"/>
        <v>0.6909978484</v>
      </c>
    </row>
    <row r="432" ht="15.75" customHeight="1">
      <c r="A432" s="9">
        <v>45985.3120562037</v>
      </c>
      <c r="B432" s="10">
        <v>7.0</v>
      </c>
      <c r="C432" s="10" t="s">
        <v>71</v>
      </c>
      <c r="D432" s="10" t="s">
        <v>1213</v>
      </c>
      <c r="E432" s="12" t="s">
        <v>62</v>
      </c>
      <c r="F432" s="11">
        <v>126578.0</v>
      </c>
      <c r="G432" s="11">
        <v>9950.0</v>
      </c>
      <c r="H432" s="11">
        <v>6040.0</v>
      </c>
      <c r="I432" s="11">
        <v>6235.0</v>
      </c>
      <c r="J432" s="11">
        <v>305.0</v>
      </c>
      <c r="K432" s="11">
        <v>54.0</v>
      </c>
      <c r="L432" s="11">
        <v>22.0</v>
      </c>
      <c r="M432" s="13">
        <f t="shared" ref="M432:O432" si="434">IFERROR(G432/F432,"")</f>
        <v>0.07860765694</v>
      </c>
      <c r="N432" s="13">
        <f t="shared" si="434"/>
        <v>0.6070351759</v>
      </c>
      <c r="O432" s="14">
        <f t="shared" si="434"/>
        <v>1.032284768</v>
      </c>
      <c r="P432" s="13">
        <f t="shared" si="3"/>
        <v>0.05049668874</v>
      </c>
      <c r="Q432" s="13">
        <f t="shared" si="4"/>
        <v>0.008940397351</v>
      </c>
      <c r="R432" s="13">
        <f t="shared" si="5"/>
        <v>0.003642384106</v>
      </c>
      <c r="S432" s="14">
        <f t="shared" si="6"/>
        <v>1.41996609</v>
      </c>
      <c r="T432" s="14">
        <f t="shared" si="7"/>
        <v>1.096270054</v>
      </c>
      <c r="U432" s="14">
        <f t="shared" si="8"/>
        <v>1.003739533</v>
      </c>
    </row>
    <row r="433" ht="15.75" customHeight="1">
      <c r="A433" s="9">
        <v>45986.2926025</v>
      </c>
      <c r="B433" s="10">
        <v>7.0</v>
      </c>
      <c r="C433" s="10" t="s">
        <v>59</v>
      </c>
      <c r="D433" s="10" t="s">
        <v>1215</v>
      </c>
      <c r="E433" s="12" t="s">
        <v>62</v>
      </c>
      <c r="F433" s="11">
        <v>917.0</v>
      </c>
      <c r="G433" s="11">
        <v>8.0</v>
      </c>
      <c r="H433" s="11">
        <v>3.0</v>
      </c>
      <c r="I433" s="11">
        <v>2.0</v>
      </c>
      <c r="J433" s="11">
        <v>2.0</v>
      </c>
      <c r="K433" s="11">
        <v>0.0</v>
      </c>
      <c r="L433" s="11">
        <v>0.0</v>
      </c>
      <c r="M433" s="13">
        <f t="shared" ref="M433:O433" si="435">IFERROR(G433/F433,"")</f>
        <v>0.008724100327</v>
      </c>
      <c r="N433" s="13">
        <f t="shared" si="435"/>
        <v>0.375</v>
      </c>
      <c r="O433" s="14">
        <f t="shared" si="435"/>
        <v>0.6666666667</v>
      </c>
      <c r="P433" s="13">
        <f t="shared" si="3"/>
        <v>0.6666666667</v>
      </c>
      <c r="Q433" s="13">
        <f t="shared" si="4"/>
        <v>0</v>
      </c>
      <c r="R433" s="13">
        <f t="shared" si="5"/>
        <v>0</v>
      </c>
      <c r="S433" s="14">
        <f t="shared" si="6"/>
        <v>0.1574700109</v>
      </c>
      <c r="T433" s="14">
        <f t="shared" si="7"/>
        <v>0.6794709292</v>
      </c>
      <c r="U433" s="14">
        <f t="shared" si="8"/>
        <v>0</v>
      </c>
    </row>
    <row r="434" ht="15.75" customHeight="1">
      <c r="A434" s="9">
        <v>45987.2928015972</v>
      </c>
      <c r="B434" s="10">
        <v>7.0</v>
      </c>
      <c r="C434" s="10" t="s">
        <v>80</v>
      </c>
      <c r="D434" s="10" t="s">
        <v>1216</v>
      </c>
      <c r="E434" s="12" t="s">
        <v>62</v>
      </c>
      <c r="F434" s="11">
        <v>704926.0</v>
      </c>
      <c r="G434" s="11">
        <v>90782.0</v>
      </c>
      <c r="H434" s="11">
        <v>30930.0</v>
      </c>
      <c r="I434" s="11">
        <v>31468.0</v>
      </c>
      <c r="J434" s="11">
        <v>1482.0</v>
      </c>
      <c r="K434" s="11">
        <v>353.0</v>
      </c>
      <c r="L434" s="11">
        <v>217.0</v>
      </c>
      <c r="M434" s="13">
        <f t="shared" ref="M434:O434" si="436">IFERROR(G434/F434,"")</f>
        <v>0.1287823119</v>
      </c>
      <c r="N434" s="13">
        <f t="shared" si="436"/>
        <v>0.3407063074</v>
      </c>
      <c r="O434" s="14">
        <f t="shared" si="436"/>
        <v>1.017394116</v>
      </c>
      <c r="P434" s="13">
        <f t="shared" si="3"/>
        <v>0.04791464597</v>
      </c>
      <c r="Q434" s="13">
        <f t="shared" si="4"/>
        <v>0.01141286777</v>
      </c>
      <c r="R434" s="13">
        <f t="shared" si="5"/>
        <v>0.007015842224</v>
      </c>
      <c r="S434" s="14">
        <f t="shared" si="6"/>
        <v>2.316971909</v>
      </c>
      <c r="T434" s="14">
        <f t="shared" si="7"/>
        <v>0.618377962</v>
      </c>
      <c r="U434" s="14">
        <f t="shared" si="8"/>
        <v>1.281324097</v>
      </c>
    </row>
    <row r="435" ht="15.75" customHeight="1">
      <c r="A435" s="9">
        <v>45988.2925475232</v>
      </c>
      <c r="B435" s="10">
        <v>7.0</v>
      </c>
      <c r="C435" s="10" t="s">
        <v>84</v>
      </c>
      <c r="D435" s="10" t="s">
        <v>1218</v>
      </c>
      <c r="E435" s="12" t="s">
        <v>62</v>
      </c>
      <c r="F435" s="11">
        <v>6859.0</v>
      </c>
      <c r="G435" s="11">
        <v>380.0</v>
      </c>
      <c r="H435" s="11">
        <v>234.0</v>
      </c>
      <c r="I435" s="11">
        <v>238.0</v>
      </c>
      <c r="J435" s="11">
        <v>15.0</v>
      </c>
      <c r="K435" s="11">
        <v>0.0</v>
      </c>
      <c r="L435" s="11">
        <v>0.0</v>
      </c>
      <c r="M435" s="13">
        <f t="shared" ref="M435:O435" si="437">IFERROR(G435/F435,"")</f>
        <v>0.05540166205</v>
      </c>
      <c r="N435" s="13">
        <f t="shared" si="437"/>
        <v>0.6157894737</v>
      </c>
      <c r="O435" s="14">
        <f t="shared" si="437"/>
        <v>1.017094017</v>
      </c>
      <c r="P435" s="13">
        <f t="shared" si="3"/>
        <v>0.0641025641</v>
      </c>
      <c r="Q435" s="13">
        <f t="shared" si="4"/>
        <v>0</v>
      </c>
      <c r="R435" s="13">
        <f t="shared" si="5"/>
        <v>0</v>
      </c>
      <c r="S435" s="14">
        <f t="shared" si="6"/>
        <v>1.000773773</v>
      </c>
      <c r="T435" s="14">
        <f t="shared" si="7"/>
        <v>1.112079804</v>
      </c>
      <c r="U435" s="14">
        <f t="shared" si="8"/>
        <v>0</v>
      </c>
    </row>
    <row r="436" ht="15.75" customHeight="1">
      <c r="A436" s="9">
        <v>45989.7649134607</v>
      </c>
      <c r="B436" s="10">
        <v>18.0</v>
      </c>
      <c r="C436" s="10" t="s">
        <v>60</v>
      </c>
      <c r="D436" s="10" t="s">
        <v>1220</v>
      </c>
      <c r="E436" s="12" t="s">
        <v>62</v>
      </c>
      <c r="F436" s="11">
        <v>21214.0</v>
      </c>
      <c r="G436" s="11">
        <v>546.0</v>
      </c>
      <c r="H436" s="11">
        <v>223.0</v>
      </c>
      <c r="I436" s="11">
        <v>209.0</v>
      </c>
      <c r="J436" s="11">
        <v>56.0</v>
      </c>
      <c r="K436" s="11">
        <v>9.0</v>
      </c>
      <c r="L436" s="11">
        <v>0.0</v>
      </c>
      <c r="M436" s="13">
        <f t="shared" ref="M436:O436" si="438">IFERROR(G436/F436,"")</f>
        <v>0.02573772037</v>
      </c>
      <c r="N436" s="13">
        <f t="shared" si="438"/>
        <v>0.4084249084</v>
      </c>
      <c r="O436" s="14">
        <f t="shared" si="438"/>
        <v>0.9372197309</v>
      </c>
      <c r="P436" s="13">
        <f t="shared" si="3"/>
        <v>0.2511210762</v>
      </c>
      <c r="Q436" s="13">
        <f t="shared" si="4"/>
        <v>0.04035874439</v>
      </c>
      <c r="R436" s="13">
        <f t="shared" si="5"/>
        <v>0</v>
      </c>
      <c r="S436" s="14">
        <f t="shared" si="6"/>
        <v>0.4669421164</v>
      </c>
      <c r="T436" s="14">
        <f t="shared" si="7"/>
        <v>0.7425428335</v>
      </c>
      <c r="U436" s="14">
        <f t="shared" si="8"/>
        <v>4.534479715</v>
      </c>
    </row>
    <row r="437" ht="15.75" customHeight="1">
      <c r="A437" s="9">
        <v>45990.3729148958</v>
      </c>
      <c r="B437" s="10">
        <v>8.0</v>
      </c>
      <c r="C437" s="10" t="s">
        <v>69</v>
      </c>
      <c r="D437" s="10" t="s">
        <v>1222</v>
      </c>
      <c r="E437" s="12" t="s">
        <v>62</v>
      </c>
      <c r="F437" s="11">
        <v>17718.0</v>
      </c>
      <c r="G437" s="11">
        <v>1812.0</v>
      </c>
      <c r="H437" s="11">
        <v>754.0</v>
      </c>
      <c r="I437" s="11">
        <v>423.0</v>
      </c>
      <c r="J437" s="11">
        <v>128.0</v>
      </c>
      <c r="K437" s="11">
        <v>23.0</v>
      </c>
      <c r="L437" s="11">
        <v>1.0</v>
      </c>
      <c r="M437" s="13">
        <f t="shared" ref="M437:O437" si="439">IFERROR(G437/F437,"")</f>
        <v>0.1022688791</v>
      </c>
      <c r="N437" s="13">
        <f t="shared" si="439"/>
        <v>0.4161147903</v>
      </c>
      <c r="O437" s="14">
        <f t="shared" si="439"/>
        <v>0.5610079576</v>
      </c>
      <c r="P437" s="13">
        <f t="shared" si="3"/>
        <v>0.1697612732</v>
      </c>
      <c r="Q437" s="13">
        <f t="shared" si="4"/>
        <v>0.03050397878</v>
      </c>
      <c r="R437" s="13">
        <f t="shared" si="5"/>
        <v>0.001326259947</v>
      </c>
      <c r="S437" s="14">
        <f t="shared" si="6"/>
        <v>1.852097917</v>
      </c>
      <c r="T437" s="14">
        <f t="shared" si="7"/>
        <v>0.7572644701</v>
      </c>
      <c r="U437" s="14">
        <f t="shared" si="8"/>
        <v>3.424685527</v>
      </c>
    </row>
    <row r="438" ht="15.75" customHeight="1">
      <c r="A438" s="9">
        <v>45992.6810001273</v>
      </c>
      <c r="B438" s="10">
        <v>16.0</v>
      </c>
      <c r="C438" s="10" t="s">
        <v>71</v>
      </c>
      <c r="D438" s="10" t="s">
        <v>1224</v>
      </c>
      <c r="E438" s="12" t="s">
        <v>62</v>
      </c>
      <c r="F438" s="11">
        <v>36992.0</v>
      </c>
      <c r="G438" s="11">
        <v>1325.0</v>
      </c>
      <c r="H438" s="11">
        <v>428.0</v>
      </c>
      <c r="I438" s="11">
        <v>527.0</v>
      </c>
      <c r="J438" s="11">
        <v>95.0</v>
      </c>
      <c r="K438" s="11">
        <v>11.0</v>
      </c>
      <c r="L438" s="11">
        <v>7.0</v>
      </c>
      <c r="M438" s="13">
        <f t="shared" ref="M438:O438" si="440">IFERROR(G438/F438,"")</f>
        <v>0.03581855536</v>
      </c>
      <c r="N438" s="13">
        <f t="shared" si="440"/>
        <v>0.3230188679</v>
      </c>
      <c r="O438" s="14">
        <f t="shared" si="440"/>
        <v>1.231308411</v>
      </c>
      <c r="P438" s="13">
        <f t="shared" si="3"/>
        <v>0.2219626168</v>
      </c>
      <c r="Q438" s="13">
        <f t="shared" si="4"/>
        <v>0.02570093458</v>
      </c>
      <c r="R438" s="13">
        <f t="shared" si="5"/>
        <v>0.01635514019</v>
      </c>
      <c r="S438" s="14">
        <f t="shared" si="6"/>
        <v>0.6486770203</v>
      </c>
      <c r="T438" s="14">
        <f t="shared" si="7"/>
        <v>0.5878443102</v>
      </c>
      <c r="U438" s="14">
        <f t="shared" si="8"/>
        <v>2.885447152</v>
      </c>
    </row>
    <row r="439" ht="15.75" customHeight="1">
      <c r="A439" s="9">
        <v>45993.2507519792</v>
      </c>
      <c r="B439" s="10">
        <v>6.0</v>
      </c>
      <c r="C439" s="10" t="s">
        <v>59</v>
      </c>
      <c r="D439" s="10" t="s">
        <v>1226</v>
      </c>
      <c r="E439" s="12" t="s">
        <v>62</v>
      </c>
      <c r="F439" s="11">
        <v>2719.0</v>
      </c>
      <c r="G439" s="11">
        <v>70.0</v>
      </c>
      <c r="H439" s="11">
        <v>28.0</v>
      </c>
      <c r="I439" s="11">
        <v>31.0</v>
      </c>
      <c r="J439" s="11">
        <v>8.0</v>
      </c>
      <c r="K439" s="11">
        <v>0.0</v>
      </c>
      <c r="L439" s="11">
        <v>0.0</v>
      </c>
      <c r="M439" s="13">
        <f t="shared" ref="M439:O439" si="441">IFERROR(G439/F439,"")</f>
        <v>0.0257447591</v>
      </c>
      <c r="N439" s="13">
        <f t="shared" si="441"/>
        <v>0.4</v>
      </c>
      <c r="O439" s="14">
        <f t="shared" si="441"/>
        <v>1.107142857</v>
      </c>
      <c r="P439" s="13">
        <f t="shared" si="3"/>
        <v>0.2857142857</v>
      </c>
      <c r="Q439" s="13">
        <f t="shared" si="4"/>
        <v>0</v>
      </c>
      <c r="R439" s="13">
        <f t="shared" si="5"/>
        <v>0</v>
      </c>
      <c r="S439" s="14">
        <f t="shared" si="6"/>
        <v>0.4662397312</v>
      </c>
      <c r="T439" s="14">
        <f t="shared" si="7"/>
        <v>0.7279380477</v>
      </c>
      <c r="U439" s="14">
        <f t="shared" si="8"/>
        <v>0</v>
      </c>
    </row>
    <row r="440" ht="15.75" customHeight="1">
      <c r="A440" s="9">
        <v>45994.5158303241</v>
      </c>
      <c r="B440" s="10">
        <v>12.0</v>
      </c>
      <c r="C440" s="10" t="s">
        <v>80</v>
      </c>
      <c r="D440" s="10" t="s">
        <v>1228</v>
      </c>
      <c r="E440" s="12" t="s">
        <v>62</v>
      </c>
      <c r="F440" s="11">
        <v>189073.0</v>
      </c>
      <c r="G440" s="11">
        <v>50457.0</v>
      </c>
      <c r="H440" s="11">
        <v>18347.0</v>
      </c>
      <c r="I440" s="11">
        <v>14105.0</v>
      </c>
      <c r="J440" s="11">
        <v>782.0</v>
      </c>
      <c r="K440" s="11">
        <v>1010.0</v>
      </c>
      <c r="L440" s="11">
        <v>35.0</v>
      </c>
      <c r="M440" s="13">
        <f t="shared" ref="M440:O440" si="442">IFERROR(G440/F440,"")</f>
        <v>0.2668651791</v>
      </c>
      <c r="N440" s="13">
        <f t="shared" si="442"/>
        <v>0.3636165448</v>
      </c>
      <c r="O440" s="14">
        <f t="shared" si="442"/>
        <v>0.768790538</v>
      </c>
      <c r="P440" s="13">
        <f t="shared" si="3"/>
        <v>0.04262277212</v>
      </c>
      <c r="Q440" s="13">
        <f t="shared" si="4"/>
        <v>0.05504987191</v>
      </c>
      <c r="R440" s="13">
        <f t="shared" si="5"/>
        <v>0.001907668829</v>
      </c>
      <c r="S440" s="14">
        <f t="shared" si="6"/>
        <v>4.832950615</v>
      </c>
      <c r="T440" s="14">
        <f t="shared" si="7"/>
        <v>0.6668034879</v>
      </c>
      <c r="U440" s="14">
        <f t="shared" si="8"/>
        <v>6.180456031</v>
      </c>
    </row>
    <row r="441" ht="15.75" customHeight="1">
      <c r="A441" s="9">
        <v>45995.5612596065</v>
      </c>
      <c r="B441" s="10">
        <v>13.0</v>
      </c>
      <c r="C441" s="10" t="s">
        <v>84</v>
      </c>
      <c r="D441" s="10" t="s">
        <v>1230</v>
      </c>
      <c r="E441" s="12" t="s">
        <v>62</v>
      </c>
      <c r="F441" s="11">
        <v>890.0</v>
      </c>
      <c r="G441" s="11">
        <v>10.0</v>
      </c>
      <c r="H441" s="11">
        <v>6.0</v>
      </c>
      <c r="I441" s="11">
        <v>3.0</v>
      </c>
      <c r="J441" s="11">
        <v>4.0</v>
      </c>
      <c r="K441" s="11">
        <v>0.0</v>
      </c>
      <c r="L441" s="11">
        <v>0.0</v>
      </c>
      <c r="M441" s="13">
        <f t="shared" ref="M441:O441" si="443">IFERROR(G441/F441,"")</f>
        <v>0.01123595506</v>
      </c>
      <c r="N441" s="13">
        <f t="shared" si="443"/>
        <v>0.6</v>
      </c>
      <c r="O441" s="14">
        <f t="shared" si="443"/>
        <v>0.5</v>
      </c>
      <c r="P441" s="13">
        <f t="shared" si="3"/>
        <v>0.6666666667</v>
      </c>
      <c r="Q441" s="13">
        <f t="shared" si="4"/>
        <v>0</v>
      </c>
      <c r="R441" s="13">
        <f t="shared" si="5"/>
        <v>0</v>
      </c>
      <c r="S441" s="14">
        <f t="shared" si="6"/>
        <v>0.2034840817</v>
      </c>
      <c r="T441" s="14">
        <f t="shared" si="7"/>
        <v>1.100285723</v>
      </c>
      <c r="U441" s="14">
        <f t="shared" si="8"/>
        <v>0</v>
      </c>
    </row>
    <row r="442" ht="15.75" customHeight="1">
      <c r="A442" s="9">
        <v>45996.270235463</v>
      </c>
      <c r="B442" s="10">
        <v>6.0</v>
      </c>
      <c r="C442" s="10" t="s">
        <v>60</v>
      </c>
      <c r="D442" s="10" t="s">
        <v>1232</v>
      </c>
      <c r="E442" s="12" t="s">
        <v>62</v>
      </c>
      <c r="F442" s="11">
        <v>781808.0</v>
      </c>
      <c r="G442" s="11">
        <v>57090.0</v>
      </c>
      <c r="H442" s="11">
        <v>34705.0</v>
      </c>
      <c r="I442" s="11">
        <v>37115.0</v>
      </c>
      <c r="J442" s="11">
        <v>599.0</v>
      </c>
      <c r="K442" s="11">
        <v>143.0</v>
      </c>
      <c r="L442" s="11">
        <v>101.0</v>
      </c>
      <c r="M442" s="13">
        <f t="shared" ref="M442:O442" si="444">IFERROR(G442/F442,"")</f>
        <v>0.07302304402</v>
      </c>
      <c r="N442" s="13">
        <f t="shared" si="444"/>
        <v>0.6078998073</v>
      </c>
      <c r="O442" s="14">
        <f t="shared" si="444"/>
        <v>1.069442443</v>
      </c>
      <c r="P442" s="13">
        <f t="shared" si="3"/>
        <v>0.01725976084</v>
      </c>
      <c r="Q442" s="13">
        <f t="shared" si="4"/>
        <v>0.00412044374</v>
      </c>
      <c r="R442" s="13">
        <f t="shared" si="5"/>
        <v>0.002910243481</v>
      </c>
      <c r="S442" s="14">
        <f t="shared" si="6"/>
        <v>1.324807878</v>
      </c>
      <c r="T442" s="14">
        <f t="shared" si="7"/>
        <v>1.122276567</v>
      </c>
      <c r="U442" s="14">
        <f t="shared" si="8"/>
        <v>0.4629496986</v>
      </c>
    </row>
    <row r="443" ht="15.75" customHeight="1">
      <c r="A443" s="9">
        <v>45997.3546677083</v>
      </c>
      <c r="B443" s="10">
        <v>8.0</v>
      </c>
      <c r="C443" s="10" t="s">
        <v>69</v>
      </c>
      <c r="D443" s="10" t="s">
        <v>1234</v>
      </c>
      <c r="E443" s="12" t="s">
        <v>62</v>
      </c>
      <c r="F443" s="11">
        <v>20831.0</v>
      </c>
      <c r="G443" s="11">
        <v>657.0</v>
      </c>
      <c r="H443" s="11">
        <v>326.0</v>
      </c>
      <c r="I443" s="11">
        <v>343.0</v>
      </c>
      <c r="J443" s="11">
        <v>108.0</v>
      </c>
      <c r="K443" s="11">
        <v>9.0</v>
      </c>
      <c r="L443" s="11">
        <v>0.0</v>
      </c>
      <c r="M443" s="13">
        <f t="shared" ref="M443:O443" si="445">IFERROR(G443/F443,"")</f>
        <v>0.03153953243</v>
      </c>
      <c r="N443" s="13">
        <f t="shared" si="445"/>
        <v>0.496194825</v>
      </c>
      <c r="O443" s="14">
        <f t="shared" si="445"/>
        <v>1.052147239</v>
      </c>
      <c r="P443" s="13">
        <f t="shared" si="3"/>
        <v>0.3312883436</v>
      </c>
      <c r="Q443" s="13">
        <f t="shared" si="4"/>
        <v>0.02760736196</v>
      </c>
      <c r="R443" s="13">
        <f t="shared" si="5"/>
        <v>0</v>
      </c>
      <c r="S443" s="14">
        <f t="shared" si="6"/>
        <v>0.5722004828</v>
      </c>
      <c r="T443" s="14">
        <f t="shared" si="7"/>
        <v>0.9194198227</v>
      </c>
      <c r="U443" s="14">
        <f t="shared" si="8"/>
        <v>3.101806676</v>
      </c>
    </row>
    <row r="444" ht="15.75" customHeight="1">
      <c r="A444" s="9">
        <v>45999.510909294</v>
      </c>
      <c r="B444" s="10">
        <v>12.0</v>
      </c>
      <c r="C444" s="10" t="s">
        <v>71</v>
      </c>
      <c r="D444" s="10" t="s">
        <v>1235</v>
      </c>
      <c r="E444" s="12" t="s">
        <v>62</v>
      </c>
      <c r="F444" s="11">
        <v>109426.0</v>
      </c>
      <c r="G444" s="11">
        <v>9263.0</v>
      </c>
      <c r="H444" s="11">
        <v>5339.0</v>
      </c>
      <c r="I444" s="11">
        <v>6243.0</v>
      </c>
      <c r="J444" s="11">
        <v>167.0</v>
      </c>
      <c r="K444" s="11">
        <v>38.0</v>
      </c>
      <c r="L444" s="11">
        <v>15.0</v>
      </c>
      <c r="M444" s="13">
        <f t="shared" ref="M444:O444" si="446">IFERROR(G444/F444,"")</f>
        <v>0.08465081425</v>
      </c>
      <c r="N444" s="13">
        <f t="shared" si="446"/>
        <v>0.5763791428</v>
      </c>
      <c r="O444" s="14">
        <f t="shared" si="446"/>
        <v>1.169320097</v>
      </c>
      <c r="P444" s="13">
        <f t="shared" si="3"/>
        <v>0.03127926578</v>
      </c>
      <c r="Q444" s="13">
        <f t="shared" si="4"/>
        <v>0.007117437722</v>
      </c>
      <c r="R444" s="13">
        <f t="shared" si="5"/>
        <v>0.00280951489</v>
      </c>
      <c r="S444" s="14">
        <f t="shared" si="6"/>
        <v>1.535762678</v>
      </c>
      <c r="T444" s="14">
        <f t="shared" si="7"/>
        <v>1.064084571</v>
      </c>
      <c r="U444" s="14">
        <f t="shared" si="8"/>
        <v>0.7984771994</v>
      </c>
    </row>
    <row r="445" ht="15.75" customHeight="1">
      <c r="A445" s="9">
        <v>46000.5279790046</v>
      </c>
      <c r="B445" s="10">
        <v>12.0</v>
      </c>
      <c r="C445" s="10" t="s">
        <v>59</v>
      </c>
      <c r="D445" s="10" t="s">
        <v>1237</v>
      </c>
      <c r="E445" s="12" t="s">
        <v>62</v>
      </c>
      <c r="F445" s="11">
        <v>32473.0</v>
      </c>
      <c r="G445" s="11">
        <v>3757.0</v>
      </c>
      <c r="H445" s="11">
        <v>2580.0</v>
      </c>
      <c r="I445" s="11">
        <v>2151.0</v>
      </c>
      <c r="J445" s="11">
        <v>123.0</v>
      </c>
      <c r="K445" s="11">
        <v>0.0</v>
      </c>
      <c r="L445" s="11">
        <v>9.0</v>
      </c>
      <c r="M445" s="13">
        <f t="shared" ref="M445:O445" si="447">IFERROR(G445/F445,"")</f>
        <v>0.1156961168</v>
      </c>
      <c r="N445" s="13">
        <f t="shared" si="447"/>
        <v>0.6867181262</v>
      </c>
      <c r="O445" s="14">
        <f t="shared" si="447"/>
        <v>0.8337209302</v>
      </c>
      <c r="P445" s="13">
        <f t="shared" si="3"/>
        <v>0.0476744186</v>
      </c>
      <c r="Q445" s="13">
        <f t="shared" si="4"/>
        <v>0</v>
      </c>
      <c r="R445" s="13">
        <f t="shared" si="5"/>
        <v>0.003488372093</v>
      </c>
      <c r="S445" s="14">
        <f t="shared" si="6"/>
        <v>2.098996681</v>
      </c>
      <c r="T445" s="14">
        <f t="shared" si="7"/>
        <v>1.26778731</v>
      </c>
      <c r="U445" s="14">
        <f t="shared" si="8"/>
        <v>0</v>
      </c>
    </row>
    <row r="446" ht="15.75" customHeight="1">
      <c r="A446" s="9">
        <v>46002.2655757639</v>
      </c>
      <c r="B446" s="10">
        <v>6.0</v>
      </c>
      <c r="C446" s="10" t="s">
        <v>84</v>
      </c>
      <c r="D446" s="10" t="s">
        <v>1239</v>
      </c>
      <c r="E446" s="12" t="s">
        <v>62</v>
      </c>
      <c r="F446" s="11">
        <v>10491.0</v>
      </c>
      <c r="G446" s="11">
        <v>1214.0</v>
      </c>
      <c r="H446" s="11">
        <v>866.0</v>
      </c>
      <c r="I446" s="11">
        <v>613.0</v>
      </c>
      <c r="J446" s="11">
        <v>193.0</v>
      </c>
      <c r="K446" s="11">
        <v>8.0</v>
      </c>
      <c r="L446" s="11">
        <v>2.0</v>
      </c>
      <c r="M446" s="13">
        <f t="shared" ref="M446:O446" si="448">IFERROR(G446/F446,"")</f>
        <v>0.1157182347</v>
      </c>
      <c r="N446" s="13">
        <f t="shared" si="448"/>
        <v>0.7133443163</v>
      </c>
      <c r="O446" s="14">
        <f t="shared" si="448"/>
        <v>0.707852194</v>
      </c>
      <c r="P446" s="13">
        <f t="shared" si="3"/>
        <v>0.2228637413</v>
      </c>
      <c r="Q446" s="13">
        <f t="shared" si="4"/>
        <v>0.009237875289</v>
      </c>
      <c r="R446" s="13">
        <f t="shared" si="5"/>
        <v>0.002309468822</v>
      </c>
      <c r="S446" s="14">
        <f t="shared" si="6"/>
        <v>2.132315916</v>
      </c>
      <c r="T446" s="14">
        <f t="shared" si="7"/>
        <v>1.319359763</v>
      </c>
      <c r="U446" s="14">
        <f t="shared" si="8"/>
        <v>1.035751652</v>
      </c>
    </row>
    <row r="447" ht="15.75" customHeight="1">
      <c r="A447" s="9">
        <v>46002.5626814931</v>
      </c>
      <c r="B447" s="10">
        <v>13.0</v>
      </c>
      <c r="C447" s="10" t="s">
        <v>84</v>
      </c>
      <c r="D447" s="10" t="s">
        <v>1241</v>
      </c>
      <c r="E447" s="12" t="s">
        <v>62</v>
      </c>
      <c r="F447" s="11">
        <v>2256.0</v>
      </c>
      <c r="G447" s="11">
        <v>51.0</v>
      </c>
      <c r="H447" s="11">
        <v>30.0</v>
      </c>
      <c r="I447" s="11">
        <v>36.0</v>
      </c>
      <c r="J447" s="11">
        <v>6.0</v>
      </c>
      <c r="K447" s="11">
        <v>0.0</v>
      </c>
      <c r="L447" s="11">
        <v>0.0</v>
      </c>
      <c r="M447" s="13">
        <f t="shared" ref="M447:O447" si="449">IFERROR(G447/F447,"")</f>
        <v>0.02260638298</v>
      </c>
      <c r="N447" s="13">
        <f t="shared" si="449"/>
        <v>0.5882352941</v>
      </c>
      <c r="O447" s="14">
        <f t="shared" si="449"/>
        <v>1.2</v>
      </c>
      <c r="P447" s="13">
        <f t="shared" si="3"/>
        <v>0.2</v>
      </c>
      <c r="Q447" s="13">
        <f t="shared" si="4"/>
        <v>0</v>
      </c>
      <c r="R447" s="13">
        <f t="shared" si="5"/>
        <v>0</v>
      </c>
      <c r="S447" s="14">
        <f t="shared" si="6"/>
        <v>0.4165631317</v>
      </c>
      <c r="T447" s="14">
        <f t="shared" si="7"/>
        <v>1.087965461</v>
      </c>
      <c r="U447" s="14">
        <f t="shared" si="8"/>
        <v>0</v>
      </c>
    </row>
    <row r="448" ht="15.75" customHeight="1">
      <c r="A448" s="9">
        <v>46003.5258871181</v>
      </c>
      <c r="B448" s="10">
        <v>12.0</v>
      </c>
      <c r="C448" s="10" t="s">
        <v>60</v>
      </c>
      <c r="D448" s="10" t="s">
        <v>1243</v>
      </c>
      <c r="E448" s="12" t="s">
        <v>62</v>
      </c>
      <c r="F448" s="11">
        <v>80279.0</v>
      </c>
      <c r="G448" s="11">
        <v>15421.0</v>
      </c>
      <c r="H448" s="11">
        <v>7032.0</v>
      </c>
      <c r="I448" s="11">
        <v>4771.0</v>
      </c>
      <c r="J448" s="11">
        <v>518.0</v>
      </c>
      <c r="K448" s="11">
        <v>55.0</v>
      </c>
      <c r="L448" s="11">
        <v>34.0</v>
      </c>
      <c r="M448" s="13">
        <f t="shared" ref="M448:O448" si="450">IFERROR(G448/F448,"")</f>
        <v>0.1920925771</v>
      </c>
      <c r="N448" s="13">
        <f t="shared" si="450"/>
        <v>0.4560015563</v>
      </c>
      <c r="O448" s="14">
        <f t="shared" si="450"/>
        <v>0.6784698521</v>
      </c>
      <c r="P448" s="13">
        <f t="shared" si="3"/>
        <v>0.0736632537</v>
      </c>
      <c r="Q448" s="13">
        <f t="shared" si="4"/>
        <v>0.007821387941</v>
      </c>
      <c r="R448" s="13">
        <f t="shared" si="5"/>
        <v>0.004835039818</v>
      </c>
      <c r="S448" s="14">
        <f t="shared" si="6"/>
        <v>3.539650088</v>
      </c>
      <c r="T448" s="14">
        <f t="shared" si="7"/>
        <v>0.8433937042</v>
      </c>
      <c r="U448" s="14">
        <f t="shared" si="8"/>
        <v>0.8769349257</v>
      </c>
    </row>
    <row r="449" ht="15.75" customHeight="1">
      <c r="A449" s="9">
        <v>46004.2611026042</v>
      </c>
      <c r="B449" s="10">
        <v>6.0</v>
      </c>
      <c r="C449" s="10" t="s">
        <v>69</v>
      </c>
      <c r="D449" s="10" t="s">
        <v>1245</v>
      </c>
      <c r="E449" s="12" t="s">
        <v>62</v>
      </c>
      <c r="F449" s="11">
        <v>17139.0</v>
      </c>
      <c r="G449" s="11">
        <v>1624.0</v>
      </c>
      <c r="H449" s="11">
        <v>847.0</v>
      </c>
      <c r="I449" s="11">
        <v>651.0</v>
      </c>
      <c r="J449" s="11">
        <v>127.0</v>
      </c>
      <c r="K449" s="11">
        <v>38.0</v>
      </c>
      <c r="L449" s="11">
        <v>2.0</v>
      </c>
      <c r="M449" s="13">
        <f t="shared" ref="M449:O449" si="451">IFERROR(G449/F449,"")</f>
        <v>0.09475465313</v>
      </c>
      <c r="N449" s="13">
        <f t="shared" si="451"/>
        <v>0.5215517241</v>
      </c>
      <c r="O449" s="14">
        <f t="shared" si="451"/>
        <v>0.7685950413</v>
      </c>
      <c r="P449" s="13">
        <f t="shared" si="3"/>
        <v>0.1499409681</v>
      </c>
      <c r="Q449" s="13">
        <f t="shared" si="4"/>
        <v>0.04486422668</v>
      </c>
      <c r="R449" s="13">
        <f t="shared" si="5"/>
        <v>0.002361275089</v>
      </c>
      <c r="S449" s="14">
        <f t="shared" si="6"/>
        <v>1.746024346</v>
      </c>
      <c r="T449" s="14">
        <f t="shared" si="7"/>
        <v>0.9646314457</v>
      </c>
      <c r="U449" s="14">
        <f t="shared" si="8"/>
        <v>5.030182314</v>
      </c>
    </row>
    <row r="450" ht="15.75" customHeight="1">
      <c r="A450" s="9">
        <v>46006.2505261806</v>
      </c>
      <c r="B450" s="10">
        <v>6.0</v>
      </c>
      <c r="C450" s="10" t="s">
        <v>71</v>
      </c>
      <c r="D450" s="10" t="s">
        <v>1247</v>
      </c>
      <c r="E450" s="12" t="s">
        <v>62</v>
      </c>
      <c r="F450" s="11">
        <v>38344.0</v>
      </c>
      <c r="G450" s="11">
        <v>7487.0</v>
      </c>
      <c r="H450" s="11">
        <v>2874.0</v>
      </c>
      <c r="I450" s="11">
        <v>2025.0</v>
      </c>
      <c r="J450" s="11">
        <v>306.0</v>
      </c>
      <c r="K450" s="11">
        <v>49.0</v>
      </c>
      <c r="L450" s="11">
        <v>2.0</v>
      </c>
      <c r="M450" s="13">
        <f t="shared" ref="M450:O450" si="452">IFERROR(G450/F450,"")</f>
        <v>0.1952587106</v>
      </c>
      <c r="N450" s="13">
        <f t="shared" si="452"/>
        <v>0.3838653666</v>
      </c>
      <c r="O450" s="14">
        <f t="shared" si="452"/>
        <v>0.7045929019</v>
      </c>
      <c r="P450" s="13">
        <f t="shared" si="3"/>
        <v>0.1064718163</v>
      </c>
      <c r="Q450" s="13">
        <f t="shared" si="4"/>
        <v>0.01704940849</v>
      </c>
      <c r="R450" s="13">
        <f t="shared" si="5"/>
        <v>0.0006958942241</v>
      </c>
      <c r="S450" s="14">
        <f t="shared" si="6"/>
        <v>3.591959137</v>
      </c>
      <c r="T450" s="14">
        <f t="shared" si="7"/>
        <v>0.7112799441</v>
      </c>
      <c r="U450" s="14">
        <f t="shared" si="8"/>
        <v>1.910458913</v>
      </c>
    </row>
    <row r="451" ht="15.75" customHeight="1">
      <c r="A451" s="9">
        <v>46007.427250162</v>
      </c>
      <c r="B451" s="10">
        <v>10.0</v>
      </c>
      <c r="C451" s="10" t="s">
        <v>59</v>
      </c>
      <c r="D451" s="10" t="s">
        <v>1250</v>
      </c>
      <c r="E451" s="12" t="s">
        <v>62</v>
      </c>
      <c r="F451" s="11">
        <v>22877.0</v>
      </c>
      <c r="G451" s="11">
        <v>3505.0</v>
      </c>
      <c r="H451" s="11">
        <v>2370.0</v>
      </c>
      <c r="I451" s="11">
        <v>1231.0</v>
      </c>
      <c r="J451" s="11">
        <v>186.0</v>
      </c>
      <c r="K451" s="11">
        <v>0.0</v>
      </c>
      <c r="L451" s="11">
        <v>5.0</v>
      </c>
      <c r="M451" s="13">
        <f t="shared" ref="M451:O451" si="453">IFERROR(G451/F451,"")</f>
        <v>0.1532106482</v>
      </c>
      <c r="N451" s="13">
        <f t="shared" si="453"/>
        <v>0.6761768902</v>
      </c>
      <c r="O451" s="14">
        <f t="shared" si="453"/>
        <v>0.5194092827</v>
      </c>
      <c r="P451" s="13">
        <f t="shared" si="3"/>
        <v>0.07848101266</v>
      </c>
      <c r="Q451" s="13">
        <f t="shared" si="4"/>
        <v>0</v>
      </c>
      <c r="R451" s="13">
        <f t="shared" si="5"/>
        <v>0.002109704641</v>
      </c>
      <c r="S451" s="14">
        <f t="shared" si="6"/>
        <v>2.818447311</v>
      </c>
      <c r="T451" s="14">
        <f t="shared" si="7"/>
        <v>1.255636555</v>
      </c>
      <c r="U451" s="14">
        <f t="shared" si="8"/>
        <v>0</v>
      </c>
    </row>
    <row r="452" ht="15.75" customHeight="1">
      <c r="A452" s="9">
        <v>46008.5359501042</v>
      </c>
      <c r="B452" s="10">
        <v>12.0</v>
      </c>
      <c r="C452" s="10" t="s">
        <v>80</v>
      </c>
      <c r="D452" s="10" t="s">
        <v>1252</v>
      </c>
      <c r="E452" s="12" t="s">
        <v>62</v>
      </c>
      <c r="F452" s="11">
        <v>3763967.0</v>
      </c>
      <c r="G452" s="11">
        <v>165371.0</v>
      </c>
      <c r="H452" s="11">
        <v>107585.0</v>
      </c>
      <c r="I452" s="11">
        <v>101081.0</v>
      </c>
      <c r="J452" s="11">
        <v>1942.0</v>
      </c>
      <c r="K452" s="11">
        <v>506.0</v>
      </c>
      <c r="L452" s="11">
        <v>426.0</v>
      </c>
      <c r="M452" s="13">
        <f t="shared" ref="M452:O452" si="454">IFERROR(G452/F452,"")</f>
        <v>0.04393529486</v>
      </c>
      <c r="N452" s="13">
        <f t="shared" si="454"/>
        <v>0.6505675118</v>
      </c>
      <c r="O452" s="14">
        <f t="shared" si="454"/>
        <v>0.9395454757</v>
      </c>
      <c r="P452" s="13">
        <f t="shared" si="3"/>
        <v>0.01805084352</v>
      </c>
      <c r="Q452" s="13">
        <f t="shared" si="4"/>
        <v>0.004703257889</v>
      </c>
      <c r="R452" s="13">
        <f t="shared" si="5"/>
        <v>0.003959659804</v>
      </c>
      <c r="S452" s="14">
        <f t="shared" si="6"/>
        <v>0.8109485432</v>
      </c>
      <c r="T452" s="14">
        <f t="shared" si="7"/>
        <v>1.205463331</v>
      </c>
      <c r="U452" s="14">
        <f t="shared" si="8"/>
        <v>0.5091276665</v>
      </c>
    </row>
    <row r="453" ht="15.75" customHeight="1">
      <c r="A453" s="9">
        <v>46009.4268487732</v>
      </c>
      <c r="B453" s="10">
        <v>10.0</v>
      </c>
      <c r="C453" s="10" t="s">
        <v>84</v>
      </c>
      <c r="D453" s="10" t="s">
        <v>1254</v>
      </c>
      <c r="E453" s="12" t="s">
        <v>62</v>
      </c>
      <c r="F453" s="11">
        <v>34341.0</v>
      </c>
      <c r="G453" s="11">
        <v>3173.0</v>
      </c>
      <c r="H453" s="11">
        <v>1608.0</v>
      </c>
      <c r="I453" s="11">
        <v>1734.0</v>
      </c>
      <c r="J453" s="11">
        <v>73.0</v>
      </c>
      <c r="K453" s="11">
        <v>19.0</v>
      </c>
      <c r="L453" s="11">
        <v>4.0</v>
      </c>
      <c r="M453" s="13">
        <f t="shared" ref="M453:O453" si="455">IFERROR(G453/F453,"")</f>
        <v>0.09239684342</v>
      </c>
      <c r="N453" s="13">
        <f t="shared" si="455"/>
        <v>0.5067759218</v>
      </c>
      <c r="O453" s="14">
        <f t="shared" si="455"/>
        <v>1.078358209</v>
      </c>
      <c r="P453" s="13">
        <f t="shared" si="3"/>
        <v>0.04539800995</v>
      </c>
      <c r="Q453" s="13">
        <f t="shared" si="4"/>
        <v>0.0118159204</v>
      </c>
      <c r="R453" s="13">
        <f t="shared" si="5"/>
        <v>0.002487562189</v>
      </c>
      <c r="S453" s="14">
        <f t="shared" si="6"/>
        <v>1.717152931</v>
      </c>
      <c r="T453" s="14">
        <f t="shared" si="7"/>
        <v>0.941064952</v>
      </c>
      <c r="U453" s="14">
        <f t="shared" si="8"/>
        <v>1.277559336</v>
      </c>
    </row>
    <row r="454" ht="15.75" customHeight="1">
      <c r="A454" s="9">
        <v>46010.4327907986</v>
      </c>
      <c r="B454" s="10">
        <v>10.0</v>
      </c>
      <c r="C454" s="10" t="s">
        <v>60</v>
      </c>
      <c r="D454" s="10" t="s">
        <v>1256</v>
      </c>
      <c r="E454" s="12" t="s">
        <v>62</v>
      </c>
      <c r="F454" s="11">
        <v>16346.0</v>
      </c>
      <c r="G454" s="11">
        <v>1912.0</v>
      </c>
      <c r="H454" s="11">
        <v>1135.0</v>
      </c>
      <c r="I454" s="11">
        <v>954.0</v>
      </c>
      <c r="J454" s="11">
        <v>93.0</v>
      </c>
      <c r="K454" s="11">
        <v>24.0</v>
      </c>
      <c r="L454" s="11">
        <v>1.0</v>
      </c>
      <c r="M454" s="13">
        <f t="shared" ref="M454:O454" si="456">IFERROR(G454/F454,"")</f>
        <v>0.1169705127</v>
      </c>
      <c r="N454" s="13">
        <f t="shared" si="456"/>
        <v>0.5936192469</v>
      </c>
      <c r="O454" s="14">
        <f t="shared" si="456"/>
        <v>0.8405286344</v>
      </c>
      <c r="P454" s="13">
        <f t="shared" si="3"/>
        <v>0.08193832599</v>
      </c>
      <c r="Q454" s="13">
        <f t="shared" si="4"/>
        <v>0.02114537445</v>
      </c>
      <c r="R454" s="13">
        <f t="shared" si="5"/>
        <v>0.0008810572687</v>
      </c>
      <c r="S454" s="14">
        <f t="shared" si="6"/>
        <v>2.203465522</v>
      </c>
      <c r="T454" s="14">
        <f t="shared" si="7"/>
        <v>1.104177421</v>
      </c>
      <c r="U454" s="14">
        <f t="shared" si="8"/>
        <v>2.241917977</v>
      </c>
    </row>
    <row r="455" ht="15.75" customHeight="1">
      <c r="A455" s="9">
        <v>46011.4966624884</v>
      </c>
      <c r="B455" s="10">
        <v>11.0</v>
      </c>
      <c r="C455" s="10" t="s">
        <v>69</v>
      </c>
      <c r="D455" s="10" t="s">
        <v>1258</v>
      </c>
      <c r="E455" s="12" t="s">
        <v>62</v>
      </c>
      <c r="F455" s="11">
        <v>1210142.0</v>
      </c>
      <c r="G455" s="11">
        <v>59885.0</v>
      </c>
      <c r="H455" s="11">
        <v>35224.0</v>
      </c>
      <c r="I455" s="11">
        <v>31022.0</v>
      </c>
      <c r="J455" s="11">
        <v>921.0</v>
      </c>
      <c r="K455" s="11">
        <v>274.0</v>
      </c>
      <c r="L455" s="11">
        <v>115.0</v>
      </c>
      <c r="M455" s="13">
        <f t="shared" ref="M455:O455" si="457">IFERROR(G455/F455,"")</f>
        <v>0.0494859281</v>
      </c>
      <c r="N455" s="13">
        <f t="shared" si="457"/>
        <v>0.5881940386</v>
      </c>
      <c r="O455" s="14">
        <f t="shared" si="457"/>
        <v>0.8807063366</v>
      </c>
      <c r="P455" s="13">
        <f t="shared" si="3"/>
        <v>0.02614694526</v>
      </c>
      <c r="Q455" s="13">
        <f t="shared" si="4"/>
        <v>0.007778787191</v>
      </c>
      <c r="R455" s="13">
        <f t="shared" si="5"/>
        <v>0.003264819441</v>
      </c>
      <c r="S455" s="14">
        <f t="shared" si="6"/>
        <v>0.9465879362</v>
      </c>
      <c r="T455" s="14">
        <f t="shared" si="7"/>
        <v>1.097098706</v>
      </c>
      <c r="U455" s="14">
        <f t="shared" si="8"/>
        <v>0.8247384262</v>
      </c>
    </row>
    <row r="456" ht="15.75" customHeight="1">
      <c r="A456" s="9">
        <v>46013.4526852546</v>
      </c>
      <c r="B456" s="10">
        <v>10.0</v>
      </c>
      <c r="C456" s="10" t="s">
        <v>71</v>
      </c>
      <c r="D456" s="10" t="s">
        <v>1260</v>
      </c>
      <c r="E456" s="12" t="s">
        <v>62</v>
      </c>
      <c r="F456" s="11">
        <v>210700.0</v>
      </c>
      <c r="G456" s="11">
        <v>52714.0</v>
      </c>
      <c r="H456" s="11">
        <v>26058.0</v>
      </c>
      <c r="I456" s="11">
        <v>15739.0</v>
      </c>
      <c r="J456" s="11">
        <v>1304.0</v>
      </c>
      <c r="K456" s="11">
        <v>254.0</v>
      </c>
      <c r="L456" s="11">
        <v>61.0</v>
      </c>
      <c r="M456" s="13">
        <f t="shared" ref="M456:O456" si="458">IFERROR(G456/F456,"")</f>
        <v>0.2501850973</v>
      </c>
      <c r="N456" s="13">
        <f t="shared" si="458"/>
        <v>0.4943278825</v>
      </c>
      <c r="O456" s="14">
        <f t="shared" si="458"/>
        <v>0.603998772</v>
      </c>
      <c r="P456" s="13">
        <f t="shared" si="3"/>
        <v>0.05004221352</v>
      </c>
      <c r="Q456" s="13">
        <f t="shared" si="4"/>
        <v>0.009747486377</v>
      </c>
      <c r="R456" s="13">
        <f t="shared" si="5"/>
        <v>0.002340931768</v>
      </c>
      <c r="S456" s="14">
        <f t="shared" si="6"/>
        <v>4.785647234</v>
      </c>
      <c r="T456" s="14">
        <f t="shared" si="7"/>
        <v>0.9248823474</v>
      </c>
      <c r="U456" s="14">
        <f t="shared" si="8"/>
        <v>1.006851597</v>
      </c>
    </row>
    <row r="457" ht="15.75" customHeight="1">
      <c r="A457" s="9">
        <v>46014.2921443403</v>
      </c>
      <c r="B457" s="10">
        <v>7.0</v>
      </c>
      <c r="C457" s="10" t="s">
        <v>59</v>
      </c>
      <c r="D457" s="10" t="s">
        <v>1262</v>
      </c>
      <c r="E457" s="12" t="s">
        <v>62</v>
      </c>
      <c r="F457" s="11">
        <v>26251.0</v>
      </c>
      <c r="G457" s="11">
        <v>1107.0</v>
      </c>
      <c r="H457" s="11">
        <v>404.0</v>
      </c>
      <c r="I457" s="11">
        <v>320.0</v>
      </c>
      <c r="J457" s="11">
        <v>48.0</v>
      </c>
      <c r="K457" s="11">
        <v>15.0</v>
      </c>
      <c r="L457" s="11">
        <v>2.0</v>
      </c>
      <c r="M457" s="13">
        <f t="shared" ref="M457:O457" si="459">IFERROR(G457/F457,"")</f>
        <v>0.0421698221</v>
      </c>
      <c r="N457" s="13">
        <f t="shared" si="459"/>
        <v>0.3649503162</v>
      </c>
      <c r="O457" s="14">
        <f t="shared" si="459"/>
        <v>0.7920792079</v>
      </c>
      <c r="P457" s="13">
        <f t="shared" si="3"/>
        <v>0.1188118812</v>
      </c>
      <c r="Q457" s="13">
        <f t="shared" si="4"/>
        <v>0.03712871287</v>
      </c>
      <c r="R457" s="13">
        <f t="shared" si="5"/>
        <v>0.00495049505</v>
      </c>
      <c r="S457" s="14">
        <f t="shared" si="6"/>
        <v>0.8079282971</v>
      </c>
      <c r="T457" s="14">
        <f t="shared" si="7"/>
        <v>0.6842061898</v>
      </c>
      <c r="U457" s="14">
        <f t="shared" si="8"/>
        <v>3.809055118</v>
      </c>
    </row>
    <row r="458" ht="15.75" customHeight="1">
      <c r="A458" s="9">
        <v>46014.4189106482</v>
      </c>
      <c r="B458" s="10">
        <v>10.0</v>
      </c>
      <c r="C458" s="10" t="s">
        <v>59</v>
      </c>
      <c r="D458" s="10" t="s">
        <v>1264</v>
      </c>
      <c r="E458" s="12" t="s">
        <v>62</v>
      </c>
      <c r="F458" s="11">
        <v>2963.0</v>
      </c>
      <c r="G458" s="11">
        <v>74.0</v>
      </c>
      <c r="H458" s="11">
        <v>44.0</v>
      </c>
      <c r="I458" s="11">
        <v>47.0</v>
      </c>
      <c r="J458" s="11">
        <v>8.0</v>
      </c>
      <c r="K458" s="11">
        <v>0.0</v>
      </c>
      <c r="L458" s="11">
        <v>0.0</v>
      </c>
      <c r="M458" s="13">
        <f t="shared" ref="M458:O458" si="460">IFERROR(G458/F458,"")</f>
        <v>0.02497468782</v>
      </c>
      <c r="N458" s="13">
        <f t="shared" si="460"/>
        <v>0.5945945946</v>
      </c>
      <c r="O458" s="14">
        <f t="shared" si="460"/>
        <v>1.068181818</v>
      </c>
      <c r="P458" s="13">
        <f t="shared" si="3"/>
        <v>0.1818181818</v>
      </c>
      <c r="Q458" s="13">
        <f t="shared" si="4"/>
        <v>0</v>
      </c>
      <c r="R458" s="13">
        <f t="shared" si="5"/>
        <v>0</v>
      </c>
      <c r="S458" s="14">
        <f t="shared" si="6"/>
        <v>0.4784880749</v>
      </c>
      <c r="T458" s="14">
        <f t="shared" si="7"/>
        <v>1.114741607</v>
      </c>
      <c r="U458" s="14">
        <f t="shared" si="8"/>
        <v>0</v>
      </c>
    </row>
    <row r="459" ht="15.75" customHeight="1">
      <c r="A459" s="9">
        <v>46015.4225750232</v>
      </c>
      <c r="B459" s="10">
        <v>10.0</v>
      </c>
      <c r="C459" s="10" t="s">
        <v>80</v>
      </c>
      <c r="D459" s="10" t="s">
        <v>1265</v>
      </c>
      <c r="E459" s="12" t="s">
        <v>62</v>
      </c>
      <c r="F459" s="11">
        <v>109444.0</v>
      </c>
      <c r="G459" s="11">
        <v>2818.0</v>
      </c>
      <c r="H459" s="11">
        <v>1550.0</v>
      </c>
      <c r="I459" s="11">
        <v>1808.0</v>
      </c>
      <c r="J459" s="11">
        <v>96.0</v>
      </c>
      <c r="K459" s="11">
        <v>22.0</v>
      </c>
      <c r="L459" s="11">
        <v>8.0</v>
      </c>
      <c r="M459" s="13">
        <f t="shared" ref="M459:O459" si="461">IFERROR(G459/F459,"")</f>
        <v>0.02574832791</v>
      </c>
      <c r="N459" s="13">
        <f t="shared" si="461"/>
        <v>0.5500354862</v>
      </c>
      <c r="O459" s="14">
        <f t="shared" si="461"/>
        <v>1.166451613</v>
      </c>
      <c r="P459" s="13">
        <f t="shared" si="3"/>
        <v>0.06193548387</v>
      </c>
      <c r="Q459" s="13">
        <f t="shared" si="4"/>
        <v>0.01419354839</v>
      </c>
      <c r="R459" s="13">
        <f t="shared" si="5"/>
        <v>0.005161290323</v>
      </c>
      <c r="S459" s="14">
        <f t="shared" si="6"/>
        <v>0.4925249968</v>
      </c>
      <c r="T459" s="14">
        <f t="shared" si="7"/>
        <v>1.029110697</v>
      </c>
      <c r="U459" s="14">
        <f t="shared" si="8"/>
        <v>1.466100727</v>
      </c>
    </row>
    <row r="460" ht="15.75" customHeight="1">
      <c r="A460" s="9">
        <v>46016.692273507</v>
      </c>
      <c r="B460" s="10">
        <v>16.0</v>
      </c>
      <c r="C460" s="10" t="s">
        <v>84</v>
      </c>
      <c r="D460" s="10" t="s">
        <v>1267</v>
      </c>
      <c r="E460" s="12" t="s">
        <v>62</v>
      </c>
      <c r="F460" s="11">
        <v>1639.0</v>
      </c>
      <c r="G460" s="11">
        <v>47.0</v>
      </c>
      <c r="H460" s="11">
        <v>31.0</v>
      </c>
      <c r="I460" s="11">
        <v>35.0</v>
      </c>
      <c r="J460" s="11">
        <v>4.0</v>
      </c>
      <c r="K460" s="11">
        <v>0.0</v>
      </c>
      <c r="L460" s="11">
        <v>0.0</v>
      </c>
      <c r="M460" s="13">
        <f t="shared" ref="M460:O460" si="462">IFERROR(G460/F460,"")</f>
        <v>0.02867602196</v>
      </c>
      <c r="N460" s="13">
        <f t="shared" si="462"/>
        <v>0.6595744681</v>
      </c>
      <c r="O460" s="14">
        <f t="shared" si="462"/>
        <v>1.129032258</v>
      </c>
      <c r="P460" s="13">
        <f t="shared" si="3"/>
        <v>0.1290322581</v>
      </c>
      <c r="Q460" s="13">
        <f t="shared" si="4"/>
        <v>0</v>
      </c>
      <c r="R460" s="13">
        <f t="shared" si="5"/>
        <v>0</v>
      </c>
      <c r="S460" s="14">
        <f t="shared" si="6"/>
        <v>0.5514056585</v>
      </c>
      <c r="T460" s="14">
        <f t="shared" si="7"/>
        <v>1.23155875</v>
      </c>
      <c r="U460" s="14">
        <f t="shared" si="8"/>
        <v>0</v>
      </c>
    </row>
    <row r="461" ht="15.75" customHeight="1">
      <c r="A461" s="9">
        <v>46017.3828573032</v>
      </c>
      <c r="B461" s="10">
        <v>9.0</v>
      </c>
      <c r="C461" s="10" t="s">
        <v>60</v>
      </c>
      <c r="D461" s="10" t="s">
        <v>1268</v>
      </c>
      <c r="E461" s="12" t="s">
        <v>62</v>
      </c>
      <c r="F461" s="11">
        <v>960445.0</v>
      </c>
      <c r="G461" s="11">
        <v>65628.0</v>
      </c>
      <c r="H461" s="11">
        <v>40342.0</v>
      </c>
      <c r="I461" s="11">
        <v>35442.0</v>
      </c>
      <c r="J461" s="11">
        <v>565.0</v>
      </c>
      <c r="K461" s="11">
        <v>148.0</v>
      </c>
      <c r="L461" s="11">
        <v>94.0</v>
      </c>
      <c r="M461" s="13">
        <f t="shared" ref="M461:O461" si="463">IFERROR(G461/F461,"")</f>
        <v>0.06833082582</v>
      </c>
      <c r="N461" s="13">
        <f t="shared" si="463"/>
        <v>0.6147071372</v>
      </c>
      <c r="O461" s="14">
        <f t="shared" si="463"/>
        <v>0.8785384959</v>
      </c>
      <c r="P461" s="13">
        <f t="shared" si="3"/>
        <v>0.01400525507</v>
      </c>
      <c r="Q461" s="13">
        <f t="shared" si="4"/>
        <v>0.003668633186</v>
      </c>
      <c r="R461" s="13">
        <f t="shared" si="5"/>
        <v>0.002330077835</v>
      </c>
      <c r="S461" s="14">
        <f t="shared" si="6"/>
        <v>1.311528197</v>
      </c>
      <c r="T461" s="14">
        <f t="shared" si="7"/>
        <v>1.150110686</v>
      </c>
      <c r="U461" s="14">
        <f t="shared" si="8"/>
        <v>0.3789458164</v>
      </c>
    </row>
    <row r="462" ht="15.75" customHeight="1">
      <c r="A462" s="9">
        <v>46018.2750852431</v>
      </c>
      <c r="B462" s="10">
        <v>6.0</v>
      </c>
      <c r="C462" s="10" t="s">
        <v>69</v>
      </c>
      <c r="D462" s="10" t="s">
        <v>1270</v>
      </c>
      <c r="E462" s="12" t="s">
        <v>62</v>
      </c>
      <c r="F462" s="11">
        <v>27588.0</v>
      </c>
      <c r="G462" s="11">
        <v>639.0</v>
      </c>
      <c r="H462" s="11">
        <v>276.0</v>
      </c>
      <c r="I462" s="11">
        <v>301.0</v>
      </c>
      <c r="J462" s="11">
        <v>63.0</v>
      </c>
      <c r="K462" s="11">
        <v>8.0</v>
      </c>
      <c r="L462" s="11">
        <v>1.0</v>
      </c>
      <c r="M462" s="13">
        <f t="shared" ref="M462:O462" si="464">IFERROR(G462/F462,"")</f>
        <v>0.02316224445</v>
      </c>
      <c r="N462" s="13">
        <f t="shared" si="464"/>
        <v>0.4319248826</v>
      </c>
      <c r="O462" s="14">
        <f t="shared" si="464"/>
        <v>1.09057971</v>
      </c>
      <c r="P462" s="13">
        <f t="shared" si="3"/>
        <v>0.2282608696</v>
      </c>
      <c r="Q462" s="13">
        <f t="shared" si="4"/>
        <v>0.02898550725</v>
      </c>
      <c r="R462" s="13">
        <f t="shared" si="5"/>
        <v>0.003623188406</v>
      </c>
      <c r="S462" s="14">
        <f t="shared" si="6"/>
        <v>0.4453823013</v>
      </c>
      <c r="T462" s="14">
        <f t="shared" si="7"/>
        <v>0.8064909946</v>
      </c>
      <c r="U462" s="14">
        <f t="shared" si="8"/>
        <v>3.014668637</v>
      </c>
    </row>
    <row r="463" ht="15.75" customHeight="1">
      <c r="A463" s="9">
        <v>46020.5098302662</v>
      </c>
      <c r="B463" s="10">
        <v>12.0</v>
      </c>
      <c r="C463" s="10" t="s">
        <v>71</v>
      </c>
      <c r="D463" s="10" t="s">
        <v>1272</v>
      </c>
      <c r="E463" s="12" t="s">
        <v>62</v>
      </c>
      <c r="F463" s="11">
        <v>215825.0</v>
      </c>
      <c r="G463" s="11">
        <v>9044.0</v>
      </c>
      <c r="H463" s="11">
        <v>4824.0</v>
      </c>
      <c r="I463" s="11">
        <v>5358.0</v>
      </c>
      <c r="J463" s="11">
        <v>184.0</v>
      </c>
      <c r="K463" s="11">
        <v>43.0</v>
      </c>
      <c r="L463" s="11">
        <v>21.0</v>
      </c>
      <c r="M463" s="13">
        <f t="shared" ref="M463:O463" si="465">IFERROR(G463/F463,"")</f>
        <v>0.04190432063</v>
      </c>
      <c r="N463" s="13">
        <f t="shared" si="465"/>
        <v>0.5333923043</v>
      </c>
      <c r="O463" s="14">
        <f t="shared" si="465"/>
        <v>1.110696517</v>
      </c>
      <c r="P463" s="13">
        <f t="shared" si="3"/>
        <v>0.03814262023</v>
      </c>
      <c r="Q463" s="13">
        <f t="shared" si="4"/>
        <v>0.008913764511</v>
      </c>
      <c r="R463" s="13">
        <f t="shared" si="5"/>
        <v>0.004353233831</v>
      </c>
      <c r="S463" s="14">
        <f t="shared" si="6"/>
        <v>0.805770045</v>
      </c>
      <c r="T463" s="14">
        <f t="shared" si="7"/>
        <v>1.002102218</v>
      </c>
      <c r="U463" s="14">
        <f t="shared" si="8"/>
        <v>0.9144680143</v>
      </c>
    </row>
    <row r="464" ht="15.75" customHeight="1">
      <c r="A464" s="9">
        <v>46021.1730879861</v>
      </c>
      <c r="B464" s="10">
        <v>4.0</v>
      </c>
      <c r="C464" s="10" t="s">
        <v>59</v>
      </c>
      <c r="D464" s="10" t="s">
        <v>1274</v>
      </c>
      <c r="E464" s="12" t="s">
        <v>62</v>
      </c>
      <c r="F464" s="11">
        <v>2570.0</v>
      </c>
      <c r="G464" s="11">
        <v>17.0</v>
      </c>
      <c r="H464" s="11">
        <v>3.0</v>
      </c>
      <c r="I464" s="11">
        <v>1.0</v>
      </c>
      <c r="J464" s="11">
        <v>3.0</v>
      </c>
      <c r="K464" s="11">
        <v>0.0</v>
      </c>
      <c r="L464" s="11">
        <v>0.0</v>
      </c>
      <c r="M464" s="13">
        <f t="shared" ref="M464:O464" si="466">IFERROR(G464/F464,"")</f>
        <v>0.006614785992</v>
      </c>
      <c r="N464" s="13">
        <f t="shared" si="466"/>
        <v>0.1764705882</v>
      </c>
      <c r="O464" s="14">
        <f t="shared" si="466"/>
        <v>0.3333333333</v>
      </c>
      <c r="P464" s="13">
        <f t="shared" si="3"/>
        <v>1</v>
      </c>
      <c r="Q464" s="13">
        <f t="shared" si="4"/>
        <v>0</v>
      </c>
      <c r="R464" s="13">
        <f t="shared" si="5"/>
        <v>0</v>
      </c>
      <c r="S464" s="14">
        <f t="shared" si="6"/>
        <v>0.1271944355</v>
      </c>
      <c r="T464" s="14">
        <f t="shared" si="7"/>
        <v>0.3315412812</v>
      </c>
      <c r="U464" s="14">
        <f t="shared" si="8"/>
        <v>0</v>
      </c>
    </row>
    <row r="465" ht="15.75" customHeight="1">
      <c r="A465" s="9">
        <v>46022.4310446065</v>
      </c>
      <c r="B465" s="10">
        <v>10.0</v>
      </c>
      <c r="C465" s="10" t="s">
        <v>80</v>
      </c>
      <c r="D465" s="10" t="s">
        <v>1276</v>
      </c>
      <c r="E465" s="12" t="s">
        <v>62</v>
      </c>
      <c r="F465" s="11">
        <v>20064.0</v>
      </c>
      <c r="G465" s="11">
        <v>470.0</v>
      </c>
      <c r="H465" s="11">
        <v>164.0</v>
      </c>
      <c r="I465" s="11">
        <v>177.0</v>
      </c>
      <c r="J465" s="11">
        <v>57.0</v>
      </c>
      <c r="K465" s="11">
        <v>8.0</v>
      </c>
      <c r="L465" s="11">
        <v>4.0</v>
      </c>
      <c r="M465" s="13">
        <f t="shared" ref="M465:O465" si="467">IFERROR(G465/F465,"")</f>
        <v>0.02342503987</v>
      </c>
      <c r="N465" s="13">
        <f t="shared" si="467"/>
        <v>0.3489361702</v>
      </c>
      <c r="O465" s="14">
        <f t="shared" si="467"/>
        <v>1.079268293</v>
      </c>
      <c r="P465" s="13">
        <f t="shared" si="3"/>
        <v>0.3475609756</v>
      </c>
      <c r="Q465" s="13">
        <f t="shared" si="4"/>
        <v>0.0487804878</v>
      </c>
      <c r="R465" s="13">
        <f t="shared" si="5"/>
        <v>0.0243902439</v>
      </c>
      <c r="S465" s="14">
        <f t="shared" si="6"/>
        <v>0.4716641584</v>
      </c>
      <c r="T465" s="14">
        <f t="shared" si="7"/>
        <v>0.6566923875</v>
      </c>
      <c r="U465" s="14">
        <f t="shared" si="8"/>
        <v>4.891756726</v>
      </c>
    </row>
    <row r="466" ht="15.75" customHeight="1">
      <c r="A466" s="9">
        <v>46023.5364953125</v>
      </c>
      <c r="B466" s="10">
        <v>12.0</v>
      </c>
      <c r="C466" s="10" t="s">
        <v>84</v>
      </c>
      <c r="D466" s="10" t="s">
        <v>1277</v>
      </c>
      <c r="E466" s="12" t="s">
        <v>62</v>
      </c>
      <c r="F466" s="11">
        <v>1662.0</v>
      </c>
      <c r="G466" s="11">
        <v>11.0</v>
      </c>
      <c r="H466" s="11">
        <v>3.0</v>
      </c>
      <c r="I466" s="11">
        <v>2.0</v>
      </c>
      <c r="J466" s="11">
        <v>3.0</v>
      </c>
      <c r="K466" s="11">
        <v>0.0</v>
      </c>
      <c r="L466" s="11">
        <v>0.0</v>
      </c>
      <c r="M466" s="13">
        <f t="shared" ref="M466:O466" si="468">IFERROR(G466/F466,"")</f>
        <v>0.006618531889</v>
      </c>
      <c r="N466" s="13">
        <f t="shared" si="468"/>
        <v>0.2727272727</v>
      </c>
      <c r="O466" s="14">
        <f t="shared" si="468"/>
        <v>0.6666666667</v>
      </c>
      <c r="P466" s="13">
        <f t="shared" si="3"/>
        <v>1</v>
      </c>
      <c r="Q466" s="13">
        <f t="shared" si="4"/>
        <v>0</v>
      </c>
      <c r="R466" s="13">
        <f t="shared" si="5"/>
        <v>0</v>
      </c>
      <c r="S466" s="14">
        <f t="shared" si="6"/>
        <v>0.1327865489</v>
      </c>
      <c r="T466" s="14">
        <f t="shared" si="7"/>
        <v>0.5141579732</v>
      </c>
      <c r="U466" s="14">
        <f t="shared" si="8"/>
        <v>0</v>
      </c>
    </row>
    <row r="467" ht="15.75" customHeight="1">
      <c r="A467" s="9">
        <v>46024.576603287</v>
      </c>
      <c r="B467" s="10">
        <v>13.0</v>
      </c>
      <c r="C467" s="10" t="s">
        <v>60</v>
      </c>
      <c r="D467" s="10" t="s">
        <v>1279</v>
      </c>
      <c r="E467" s="12" t="s">
        <v>62</v>
      </c>
      <c r="F467" s="11">
        <v>703533.0</v>
      </c>
      <c r="G467" s="11">
        <v>33215.0</v>
      </c>
      <c r="H467" s="11">
        <v>13996.0</v>
      </c>
      <c r="I467" s="11">
        <v>11919.0</v>
      </c>
      <c r="J467" s="11">
        <v>856.0</v>
      </c>
      <c r="K467" s="11">
        <v>155.0</v>
      </c>
      <c r="L467" s="11">
        <v>58.0</v>
      </c>
      <c r="M467" s="13">
        <f t="shared" ref="M467:O467" si="469">IFERROR(G467/F467,"")</f>
        <v>0.04721171573</v>
      </c>
      <c r="N467" s="13">
        <f t="shared" si="469"/>
        <v>0.4213758844</v>
      </c>
      <c r="O467" s="14">
        <f t="shared" si="469"/>
        <v>0.8516004573</v>
      </c>
      <c r="P467" s="13">
        <f t="shared" si="3"/>
        <v>0.06116033152</v>
      </c>
      <c r="Q467" s="13">
        <f t="shared" si="4"/>
        <v>0.01107459274</v>
      </c>
      <c r="R467" s="13">
        <f t="shared" si="5"/>
        <v>0.004144041155</v>
      </c>
      <c r="S467" s="14">
        <f t="shared" si="6"/>
        <v>0.9540432511</v>
      </c>
      <c r="T467" s="14">
        <f t="shared" si="7"/>
        <v>0.7943971591</v>
      </c>
      <c r="U467" s="14">
        <f t="shared" si="8"/>
        <v>1.151824845</v>
      </c>
    </row>
    <row r="468" ht="15.75" customHeight="1">
      <c r="A468" s="9">
        <v>46034.482555706</v>
      </c>
      <c r="B468" s="10">
        <v>11.0</v>
      </c>
      <c r="C468" s="10" t="s">
        <v>71</v>
      </c>
      <c r="D468" s="10" t="s">
        <v>1281</v>
      </c>
      <c r="E468" s="12" t="s">
        <v>62</v>
      </c>
      <c r="F468" s="11">
        <v>20171.0</v>
      </c>
      <c r="G468" s="11">
        <v>689.0</v>
      </c>
      <c r="H468" s="11">
        <v>365.0</v>
      </c>
      <c r="I468" s="11">
        <v>475.0</v>
      </c>
      <c r="J468" s="11">
        <v>57.0</v>
      </c>
      <c r="K468" s="11">
        <v>33.0</v>
      </c>
      <c r="L468" s="11">
        <v>3.0</v>
      </c>
      <c r="M468" s="13">
        <f t="shared" ref="M468:O468" si="470">IFERROR(G468/F468,"")</f>
        <v>0.03415794953</v>
      </c>
      <c r="N468" s="13">
        <f t="shared" si="470"/>
        <v>0.5297532656</v>
      </c>
      <c r="O468" s="14">
        <f t="shared" si="470"/>
        <v>1.301369863</v>
      </c>
      <c r="P468" s="13">
        <f t="shared" si="3"/>
        <v>0.1561643836</v>
      </c>
      <c r="Q468" s="13">
        <f t="shared" si="4"/>
        <v>0.0904109589</v>
      </c>
      <c r="R468" s="13">
        <f t="shared" si="5"/>
        <v>0.008219178082</v>
      </c>
      <c r="S468" s="14">
        <f t="shared" si="6"/>
        <v>0.6999529704</v>
      </c>
      <c r="T468" s="14">
        <f t="shared" si="7"/>
        <v>1.001038779</v>
      </c>
      <c r="U468" s="14">
        <f t="shared" si="8"/>
        <v>8.769863014</v>
      </c>
    </row>
    <row r="469" ht="15.75" customHeight="1">
      <c r="A469" s="9">
        <v>46035.4415543287</v>
      </c>
      <c r="B469" s="10">
        <v>10.0</v>
      </c>
      <c r="C469" s="10" t="s">
        <v>59</v>
      </c>
      <c r="D469" s="10" t="s">
        <v>1283</v>
      </c>
      <c r="E469" s="12" t="s">
        <v>62</v>
      </c>
      <c r="F469" s="11">
        <v>10019.0</v>
      </c>
      <c r="G469" s="11">
        <v>272.0</v>
      </c>
      <c r="H469" s="11">
        <v>159.0</v>
      </c>
      <c r="I469" s="11">
        <v>137.0</v>
      </c>
      <c r="J469" s="11">
        <v>12.0</v>
      </c>
      <c r="K469" s="11">
        <v>0.0</v>
      </c>
      <c r="L469" s="11">
        <v>0.0</v>
      </c>
      <c r="M469" s="13">
        <f t="shared" ref="M469:O469" si="471">IFERROR(G469/F469,"")</f>
        <v>0.02714841801</v>
      </c>
      <c r="N469" s="13">
        <f t="shared" si="471"/>
        <v>0.5845588235</v>
      </c>
      <c r="O469" s="14">
        <f t="shared" si="471"/>
        <v>0.8616352201</v>
      </c>
      <c r="P469" s="13">
        <f t="shared" si="3"/>
        <v>0.07547169811</v>
      </c>
      <c r="Q469" s="13">
        <f t="shared" si="4"/>
        <v>0</v>
      </c>
      <c r="R469" s="13">
        <f t="shared" si="5"/>
        <v>0</v>
      </c>
      <c r="S469" s="14">
        <f t="shared" si="6"/>
        <v>0.5563160577</v>
      </c>
      <c r="T469" s="14">
        <f t="shared" si="7"/>
        <v>1.104601121</v>
      </c>
      <c r="U469" s="14">
        <f t="shared" si="8"/>
        <v>0</v>
      </c>
    </row>
    <row r="470" ht="15.75" customHeight="1">
      <c r="A470" s="9">
        <v>46036.4695548032</v>
      </c>
      <c r="B470" s="10">
        <v>11.0</v>
      </c>
      <c r="C470" s="10" t="s">
        <v>80</v>
      </c>
      <c r="D470" s="10" t="s">
        <v>1285</v>
      </c>
      <c r="E470" s="12" t="s">
        <v>62</v>
      </c>
      <c r="F470" s="11">
        <v>2047682.0</v>
      </c>
      <c r="G470" s="11">
        <v>207689.0</v>
      </c>
      <c r="H470" s="11">
        <v>81725.0</v>
      </c>
      <c r="I470" s="11">
        <v>78620.0</v>
      </c>
      <c r="J470" s="11">
        <v>1451.0</v>
      </c>
      <c r="K470" s="11">
        <v>513.0</v>
      </c>
      <c r="L470" s="11">
        <v>317.0</v>
      </c>
      <c r="M470" s="13">
        <f t="shared" ref="M470:O470" si="472">IFERROR(G470/F470,"")</f>
        <v>0.1014263934</v>
      </c>
      <c r="N470" s="13">
        <f t="shared" si="472"/>
        <v>0.3934970075</v>
      </c>
      <c r="O470" s="14">
        <f t="shared" si="472"/>
        <v>0.9620067299</v>
      </c>
      <c r="P470" s="13">
        <f t="shared" si="3"/>
        <v>0.01775466504</v>
      </c>
      <c r="Q470" s="13">
        <f t="shared" si="4"/>
        <v>0.006277148975</v>
      </c>
      <c r="R470" s="13">
        <f t="shared" si="5"/>
        <v>0.003878862037</v>
      </c>
      <c r="S470" s="14">
        <f t="shared" si="6"/>
        <v>2.089334777</v>
      </c>
      <c r="T470" s="14">
        <f t="shared" si="7"/>
        <v>0.7450570816</v>
      </c>
      <c r="U470" s="14">
        <f t="shared" si="8"/>
        <v>0.6061492782</v>
      </c>
    </row>
    <row r="471" ht="15.75" customHeight="1">
      <c r="A471" s="9">
        <v>46037.5270272222</v>
      </c>
      <c r="B471" s="10">
        <v>12.0</v>
      </c>
      <c r="C471" s="10" t="s">
        <v>84</v>
      </c>
      <c r="D471" s="10" t="s">
        <v>1287</v>
      </c>
      <c r="E471" s="12" t="s">
        <v>62</v>
      </c>
      <c r="F471" s="11">
        <v>93748.0</v>
      </c>
      <c r="G471" s="11">
        <v>2388.0</v>
      </c>
      <c r="H471" s="11">
        <v>1135.0</v>
      </c>
      <c r="I471" s="11">
        <v>537.0</v>
      </c>
      <c r="J471" s="11">
        <v>18.0</v>
      </c>
      <c r="K471" s="11">
        <v>0.0</v>
      </c>
      <c r="L471" s="11">
        <v>9.0</v>
      </c>
      <c r="M471" s="13">
        <f t="shared" ref="M471:O471" si="473">IFERROR(G471/F471,"")</f>
        <v>0.02547254341</v>
      </c>
      <c r="N471" s="13">
        <f t="shared" si="473"/>
        <v>0.4752931323</v>
      </c>
      <c r="O471" s="14">
        <f t="shared" si="473"/>
        <v>0.4731277533</v>
      </c>
      <c r="P471" s="13">
        <f t="shared" si="3"/>
        <v>0.01585903084</v>
      </c>
      <c r="Q471" s="13">
        <f t="shared" si="4"/>
        <v>0</v>
      </c>
      <c r="R471" s="13">
        <f t="shared" si="5"/>
        <v>0.007929515419</v>
      </c>
      <c r="S471" s="14">
        <f t="shared" si="6"/>
        <v>0.5274986793</v>
      </c>
      <c r="T471" s="14">
        <f t="shared" si="7"/>
        <v>0.9017419111</v>
      </c>
      <c r="U471" s="14">
        <f t="shared" si="8"/>
        <v>0</v>
      </c>
    </row>
    <row r="472" ht="15.75" customHeight="1">
      <c r="A472" s="9">
        <v>46038.4842809838</v>
      </c>
      <c r="B472" s="10">
        <v>11.0</v>
      </c>
      <c r="C472" s="10" t="s">
        <v>60</v>
      </c>
      <c r="D472" s="10" t="s">
        <v>1289</v>
      </c>
      <c r="E472" s="12" t="s">
        <v>62</v>
      </c>
      <c r="F472" s="11">
        <v>853642.0</v>
      </c>
      <c r="G472" s="11">
        <v>32595.0</v>
      </c>
      <c r="H472" s="11">
        <v>15606.0</v>
      </c>
      <c r="I472" s="11">
        <v>13542.0</v>
      </c>
      <c r="J472" s="11">
        <v>221.0</v>
      </c>
      <c r="K472" s="11">
        <v>310.0</v>
      </c>
      <c r="L472" s="11">
        <v>63.0</v>
      </c>
      <c r="M472" s="13">
        <f t="shared" ref="M472:O472" si="474">IFERROR(G472/F472,"")</f>
        <v>0.03818345395</v>
      </c>
      <c r="N472" s="13">
        <f t="shared" si="474"/>
        <v>0.4787850897</v>
      </c>
      <c r="O472" s="14">
        <f t="shared" si="474"/>
        <v>0.8677431757</v>
      </c>
      <c r="P472" s="13">
        <f t="shared" si="3"/>
        <v>0.01416122004</v>
      </c>
      <c r="Q472" s="13">
        <f t="shared" si="4"/>
        <v>0.01986415481</v>
      </c>
      <c r="R472" s="13">
        <f t="shared" si="5"/>
        <v>0.004036908881</v>
      </c>
      <c r="S472" s="14">
        <f t="shared" si="6"/>
        <v>0.7996449582</v>
      </c>
      <c r="T472" s="14">
        <f t="shared" si="7"/>
        <v>0.909028837</v>
      </c>
      <c r="U472" s="14">
        <f t="shared" si="8"/>
        <v>1.918170677</v>
      </c>
    </row>
    <row r="473" ht="15.75" customHeight="1">
      <c r="A473" s="9">
        <v>46039.2517759954</v>
      </c>
      <c r="B473" s="10">
        <v>6.0</v>
      </c>
      <c r="C473" s="10" t="s">
        <v>69</v>
      </c>
      <c r="D473" s="10" t="s">
        <v>1291</v>
      </c>
      <c r="E473" s="12" t="s">
        <v>62</v>
      </c>
      <c r="F473" s="11">
        <v>80515.0</v>
      </c>
      <c r="G473" s="11">
        <v>11122.0</v>
      </c>
      <c r="H473" s="11">
        <v>5313.0</v>
      </c>
      <c r="I473" s="11">
        <v>5282.0</v>
      </c>
      <c r="J473" s="11">
        <v>300.0</v>
      </c>
      <c r="K473" s="11">
        <v>204.0</v>
      </c>
      <c r="L473" s="11">
        <v>23.0</v>
      </c>
      <c r="M473" s="13">
        <f t="shared" ref="M473:O473" si="475">IFERROR(G473/F473,"")</f>
        <v>0.1381357511</v>
      </c>
      <c r="N473" s="13">
        <f t="shared" si="475"/>
        <v>0.4777018522</v>
      </c>
      <c r="O473" s="14">
        <f t="shared" si="475"/>
        <v>0.994165255</v>
      </c>
      <c r="P473" s="13">
        <f t="shared" si="3"/>
        <v>0.05646527386</v>
      </c>
      <c r="Q473" s="13">
        <f t="shared" si="4"/>
        <v>0.03839638622</v>
      </c>
      <c r="R473" s="13">
        <f t="shared" si="5"/>
        <v>0.004329004329</v>
      </c>
      <c r="S473" s="14">
        <f t="shared" si="6"/>
        <v>2.860586989</v>
      </c>
      <c r="T473" s="14">
        <f t="shared" si="7"/>
        <v>0.9063118144</v>
      </c>
      <c r="U473" s="14">
        <f t="shared" si="8"/>
        <v>3.724449464</v>
      </c>
    </row>
    <row r="474" ht="15.75" customHeight="1">
      <c r="A474" s="9">
        <v>46041.4923403241</v>
      </c>
      <c r="B474" s="10">
        <v>11.0</v>
      </c>
      <c r="C474" s="10" t="s">
        <v>71</v>
      </c>
      <c r="D474" s="10" t="s">
        <v>1293</v>
      </c>
      <c r="E474" s="12" t="s">
        <v>62</v>
      </c>
      <c r="F474" s="11">
        <v>8006.0</v>
      </c>
      <c r="G474" s="11">
        <v>315.0</v>
      </c>
      <c r="H474" s="11">
        <v>170.0</v>
      </c>
      <c r="I474" s="11">
        <v>230.0</v>
      </c>
      <c r="J474" s="11">
        <v>21.0</v>
      </c>
      <c r="K474" s="11">
        <v>15.0</v>
      </c>
      <c r="L474" s="11">
        <v>0.0</v>
      </c>
      <c r="M474" s="13">
        <f t="shared" ref="M474:O474" si="476">IFERROR(G474/F474,"")</f>
        <v>0.03934549088</v>
      </c>
      <c r="N474" s="13">
        <f t="shared" si="476"/>
        <v>0.5396825397</v>
      </c>
      <c r="O474" s="14">
        <f t="shared" si="476"/>
        <v>1.352941176</v>
      </c>
      <c r="P474" s="13">
        <f t="shared" si="3"/>
        <v>0.1235294118</v>
      </c>
      <c r="Q474" s="13">
        <f t="shared" si="4"/>
        <v>0.08823529412</v>
      </c>
      <c r="R474" s="13">
        <f t="shared" si="5"/>
        <v>0</v>
      </c>
      <c r="S474" s="14">
        <f t="shared" si="6"/>
        <v>0.7950844289</v>
      </c>
      <c r="T474" s="14">
        <f t="shared" si="7"/>
        <v>1.02695979</v>
      </c>
      <c r="U474" s="14">
        <f t="shared" si="8"/>
        <v>8.653515065</v>
      </c>
    </row>
    <row r="475" ht="15.75" customHeight="1">
      <c r="A475" s="9">
        <v>46042.5392189005</v>
      </c>
      <c r="B475" s="10">
        <v>12.0</v>
      </c>
      <c r="C475" s="10" t="s">
        <v>59</v>
      </c>
      <c r="D475" s="10" t="s">
        <v>1295</v>
      </c>
      <c r="E475" s="12" t="s">
        <v>62</v>
      </c>
      <c r="F475" s="11">
        <v>4618.0</v>
      </c>
      <c r="G475" s="11">
        <v>223.0</v>
      </c>
      <c r="H475" s="11">
        <v>147.0</v>
      </c>
      <c r="I475" s="11">
        <v>111.0</v>
      </c>
      <c r="J475" s="11">
        <v>3.0</v>
      </c>
      <c r="K475" s="11">
        <v>0.0</v>
      </c>
      <c r="L475" s="11">
        <v>0.0</v>
      </c>
      <c r="M475" s="13">
        <f t="shared" ref="M475:O475" si="477">IFERROR(G475/F475,"")</f>
        <v>0.04828930273</v>
      </c>
      <c r="N475" s="13">
        <f t="shared" si="477"/>
        <v>0.6591928251</v>
      </c>
      <c r="O475" s="14">
        <f t="shared" si="477"/>
        <v>0.7551020408</v>
      </c>
      <c r="P475" s="13">
        <f t="shared" si="3"/>
        <v>0.02040816327</v>
      </c>
      <c r="Q475" s="13">
        <f t="shared" si="4"/>
        <v>0</v>
      </c>
      <c r="R475" s="13">
        <f t="shared" si="5"/>
        <v>0</v>
      </c>
      <c r="S475" s="14">
        <f t="shared" si="6"/>
        <v>0.9877614672</v>
      </c>
      <c r="T475" s="14">
        <f t="shared" si="7"/>
        <v>1.257367867</v>
      </c>
      <c r="U475" s="14">
        <f t="shared" si="8"/>
        <v>0</v>
      </c>
    </row>
    <row r="476" ht="15.75" customHeight="1">
      <c r="A476" s="9">
        <v>46043.5335797569</v>
      </c>
      <c r="B476" s="10">
        <v>12.0</v>
      </c>
      <c r="C476" s="10" t="s">
        <v>80</v>
      </c>
      <c r="D476" s="10" t="s">
        <v>1297</v>
      </c>
      <c r="E476" s="12" t="s">
        <v>62</v>
      </c>
      <c r="F476" s="11">
        <v>10462.0</v>
      </c>
      <c r="G476" s="11">
        <v>588.0</v>
      </c>
      <c r="H476" s="11">
        <v>248.0</v>
      </c>
      <c r="I476" s="11">
        <v>147.0</v>
      </c>
      <c r="J476" s="11">
        <v>33.0</v>
      </c>
      <c r="K476" s="11">
        <v>23.0</v>
      </c>
      <c r="L476" s="11">
        <v>1.0</v>
      </c>
      <c r="M476" s="13">
        <f t="shared" ref="M476:O476" si="478">IFERROR(G476/F476,"")</f>
        <v>0.05620340279</v>
      </c>
      <c r="N476" s="13">
        <f t="shared" si="478"/>
        <v>0.4217687075</v>
      </c>
      <c r="O476" s="14">
        <f t="shared" si="478"/>
        <v>0.5927419355</v>
      </c>
      <c r="P476" s="13">
        <f t="shared" si="3"/>
        <v>0.1330645161</v>
      </c>
      <c r="Q476" s="13">
        <f t="shared" si="4"/>
        <v>0.09274193548</v>
      </c>
      <c r="R476" s="13">
        <f t="shared" si="5"/>
        <v>0.004032258065</v>
      </c>
      <c r="S476" s="14">
        <f t="shared" si="6"/>
        <v>1.177022061</v>
      </c>
      <c r="T476" s="14">
        <f t="shared" si="7"/>
        <v>0.8044966506</v>
      </c>
      <c r="U476" s="14">
        <f t="shared" si="8"/>
        <v>9.045457937</v>
      </c>
    </row>
    <row r="477" ht="15.75" customHeight="1">
      <c r="A477" s="9">
        <v>46044.6310852083</v>
      </c>
      <c r="B477" s="10">
        <v>15.0</v>
      </c>
      <c r="C477" s="10" t="s">
        <v>84</v>
      </c>
      <c r="D477" s="10" t="s">
        <v>1299</v>
      </c>
      <c r="E477" s="12" t="s">
        <v>62</v>
      </c>
      <c r="F477" s="11">
        <v>3950.0</v>
      </c>
      <c r="G477" s="11">
        <v>73.0</v>
      </c>
      <c r="H477" s="11">
        <v>52.0</v>
      </c>
      <c r="I477" s="11">
        <v>52.0</v>
      </c>
      <c r="J477" s="11">
        <v>9.0</v>
      </c>
      <c r="K477" s="11">
        <v>0.0</v>
      </c>
      <c r="L477" s="11">
        <v>0.0</v>
      </c>
      <c r="M477" s="13">
        <f t="shared" ref="M477:O477" si="479">IFERROR(G477/F477,"")</f>
        <v>0.01848101266</v>
      </c>
      <c r="N477" s="13">
        <f t="shared" si="479"/>
        <v>0.7123287671</v>
      </c>
      <c r="O477" s="14">
        <f t="shared" si="479"/>
        <v>1</v>
      </c>
      <c r="P477" s="13">
        <f t="shared" si="3"/>
        <v>0.1730769231</v>
      </c>
      <c r="Q477" s="13">
        <f t="shared" si="4"/>
        <v>0</v>
      </c>
      <c r="R477" s="13">
        <f t="shared" si="5"/>
        <v>0</v>
      </c>
      <c r="S477" s="14">
        <f t="shared" si="6"/>
        <v>0.4083042849</v>
      </c>
      <c r="T477" s="14">
        <f t="shared" si="7"/>
        <v>1.361970354</v>
      </c>
      <c r="U477" s="14">
        <f t="shared" si="8"/>
        <v>0</v>
      </c>
    </row>
    <row r="478" ht="15.75" customHeight="1">
      <c r="A478" s="9">
        <v>46045.5274634607</v>
      </c>
      <c r="B478" s="10">
        <v>12.0</v>
      </c>
      <c r="C478" s="10" t="s">
        <v>60</v>
      </c>
      <c r="D478" s="10" t="s">
        <v>1301</v>
      </c>
      <c r="E478" s="12" t="s">
        <v>62</v>
      </c>
      <c r="F478" s="11">
        <v>18517.0</v>
      </c>
      <c r="G478" s="11">
        <v>1128.0</v>
      </c>
      <c r="H478" s="11">
        <v>693.0</v>
      </c>
      <c r="I478" s="11">
        <v>812.0</v>
      </c>
      <c r="J478" s="11">
        <v>50.0</v>
      </c>
      <c r="K478" s="11">
        <v>16.0</v>
      </c>
      <c r="L478" s="11">
        <v>1.0</v>
      </c>
      <c r="M478" s="13">
        <f t="shared" ref="M478:O478" si="480">IFERROR(G478/F478,"")</f>
        <v>0.06091699519</v>
      </c>
      <c r="N478" s="13">
        <f t="shared" si="480"/>
        <v>0.6143617021</v>
      </c>
      <c r="O478" s="14">
        <f t="shared" si="480"/>
        <v>1.171717172</v>
      </c>
      <c r="P478" s="13">
        <f t="shared" si="3"/>
        <v>0.07215007215</v>
      </c>
      <c r="Q478" s="13">
        <f t="shared" si="4"/>
        <v>0.02308802309</v>
      </c>
      <c r="R478" s="13">
        <f t="shared" si="5"/>
        <v>0.001443001443</v>
      </c>
      <c r="S478" s="14">
        <f t="shared" si="6"/>
        <v>1.317486586</v>
      </c>
      <c r="T478" s="14">
        <f t="shared" si="7"/>
        <v>1.171855386</v>
      </c>
      <c r="U478" s="14">
        <f t="shared" si="8"/>
        <v>2.25185878</v>
      </c>
    </row>
    <row r="479" ht="15.75" customHeight="1">
      <c r="A479" s="9">
        <v>46046.5140740625</v>
      </c>
      <c r="B479" s="10">
        <v>12.0</v>
      </c>
      <c r="C479" s="10" t="s">
        <v>69</v>
      </c>
      <c r="D479" s="10" t="s">
        <v>1303</v>
      </c>
      <c r="E479" s="12" t="s">
        <v>62</v>
      </c>
      <c r="F479" s="11">
        <v>11370.0</v>
      </c>
      <c r="G479" s="11">
        <v>616.0</v>
      </c>
      <c r="H479" s="11">
        <v>431.0</v>
      </c>
      <c r="I479" s="11">
        <v>584.0</v>
      </c>
      <c r="J479" s="11">
        <v>54.0</v>
      </c>
      <c r="K479" s="11">
        <v>39.0</v>
      </c>
      <c r="L479" s="11">
        <v>0.0</v>
      </c>
      <c r="M479" s="13">
        <f t="shared" ref="M479:O479" si="481">IFERROR(G479/F479,"")</f>
        <v>0.05417766051</v>
      </c>
      <c r="N479" s="13">
        <f t="shared" si="481"/>
        <v>0.6996753247</v>
      </c>
      <c r="O479" s="14">
        <f t="shared" si="481"/>
        <v>1.354988399</v>
      </c>
      <c r="P479" s="13">
        <f t="shared" si="3"/>
        <v>0.1252900232</v>
      </c>
      <c r="Q479" s="13">
        <f t="shared" si="4"/>
        <v>0.09048723898</v>
      </c>
      <c r="R479" s="13">
        <f t="shared" si="5"/>
        <v>0</v>
      </c>
      <c r="S479" s="14">
        <f t="shared" si="6"/>
        <v>1.134598591</v>
      </c>
      <c r="T479" s="14">
        <f t="shared" si="7"/>
        <v>1.330395504</v>
      </c>
      <c r="U479" s="14">
        <f t="shared" si="8"/>
        <v>8.825549195</v>
      </c>
    </row>
    <row r="480" ht="15.75" customHeight="1">
      <c r="A480" s="9">
        <v>46048.5847785069</v>
      </c>
      <c r="B480" s="10">
        <v>14.0</v>
      </c>
      <c r="C480" s="10" t="s">
        <v>71</v>
      </c>
      <c r="D480" s="10" t="s">
        <v>1305</v>
      </c>
      <c r="E480" s="12" t="s">
        <v>62</v>
      </c>
      <c r="F480" s="11">
        <v>527806.0</v>
      </c>
      <c r="G480" s="11">
        <v>23890.0</v>
      </c>
      <c r="H480" s="11">
        <v>10863.0</v>
      </c>
      <c r="I480" s="11">
        <v>10001.0</v>
      </c>
      <c r="J480" s="11">
        <v>285.0</v>
      </c>
      <c r="K480" s="11">
        <v>113.0</v>
      </c>
      <c r="L480" s="11">
        <v>54.0</v>
      </c>
      <c r="M480" s="13">
        <f t="shared" ref="M480:O480" si="482">IFERROR(G480/F480,"")</f>
        <v>0.04526284279</v>
      </c>
      <c r="N480" s="13">
        <f t="shared" si="482"/>
        <v>0.4547090833</v>
      </c>
      <c r="O480" s="14">
        <f t="shared" si="482"/>
        <v>0.9206480714</v>
      </c>
      <c r="P480" s="13">
        <f t="shared" si="3"/>
        <v>0.02623584645</v>
      </c>
      <c r="Q480" s="13">
        <f t="shared" si="4"/>
        <v>0.01040228298</v>
      </c>
      <c r="R480" s="13">
        <f t="shared" si="5"/>
        <v>0.004971002486</v>
      </c>
      <c r="S480" s="14">
        <f t="shared" si="6"/>
        <v>0.9587205652</v>
      </c>
      <c r="T480" s="14">
        <f t="shared" si="7"/>
        <v>0.8639472583</v>
      </c>
      <c r="U480" s="14">
        <f t="shared" si="8"/>
        <v>1.009021449</v>
      </c>
    </row>
    <row r="481" ht="15.75" customHeight="1">
      <c r="A481" s="9">
        <v>46049.4479420602</v>
      </c>
      <c r="B481" s="10">
        <v>10.0</v>
      </c>
      <c r="C481" s="10" t="s">
        <v>59</v>
      </c>
      <c r="D481" s="10" t="s">
        <v>1306</v>
      </c>
      <c r="E481" s="12" t="s">
        <v>62</v>
      </c>
      <c r="F481" s="11">
        <v>5562.0</v>
      </c>
      <c r="G481" s="11">
        <v>223.0</v>
      </c>
      <c r="H481" s="11">
        <v>111.0</v>
      </c>
      <c r="I481" s="11">
        <v>108.0</v>
      </c>
      <c r="J481" s="11">
        <v>7.0</v>
      </c>
      <c r="K481" s="11">
        <v>0.0</v>
      </c>
      <c r="L481" s="11">
        <v>1.0</v>
      </c>
      <c r="M481" s="13">
        <f t="shared" ref="M481:O481" si="483">IFERROR(G481/F481,"")</f>
        <v>0.04009349155</v>
      </c>
      <c r="N481" s="13">
        <f t="shared" si="483"/>
        <v>0.4977578475</v>
      </c>
      <c r="O481" s="14">
        <f t="shared" si="483"/>
        <v>0.972972973</v>
      </c>
      <c r="P481" s="13">
        <f t="shared" si="3"/>
        <v>0.06306306306</v>
      </c>
      <c r="Q481" s="13">
        <f t="shared" si="4"/>
        <v>0</v>
      </c>
      <c r="R481" s="13">
        <f t="shared" si="5"/>
        <v>0.009009009009</v>
      </c>
      <c r="S481" s="14">
        <f t="shared" si="6"/>
        <v>0.8302768788</v>
      </c>
      <c r="T481" s="14">
        <f t="shared" si="7"/>
        <v>0.9471814577</v>
      </c>
      <c r="U481" s="14">
        <f t="shared" si="8"/>
        <v>0</v>
      </c>
    </row>
    <row r="482" ht="15.75" customHeight="1">
      <c r="A482" s="9">
        <v>46050.5722733218</v>
      </c>
      <c r="B482" s="10">
        <v>13.0</v>
      </c>
      <c r="C482" s="10" t="s">
        <v>80</v>
      </c>
      <c r="D482" s="10" t="s">
        <v>1308</v>
      </c>
      <c r="E482" s="12" t="s">
        <v>62</v>
      </c>
      <c r="F482" s="11">
        <v>12273.0</v>
      </c>
      <c r="G482" s="11">
        <v>699.0</v>
      </c>
      <c r="H482" s="11">
        <v>424.0</v>
      </c>
      <c r="I482" s="11">
        <v>699.0</v>
      </c>
      <c r="J482" s="11">
        <v>47.0</v>
      </c>
      <c r="K482" s="11">
        <v>10.0</v>
      </c>
      <c r="L482" s="11">
        <v>0.0</v>
      </c>
      <c r="M482" s="13">
        <f t="shared" ref="M482:O482" si="484">IFERROR(G482/F482,"")</f>
        <v>0.0569542899</v>
      </c>
      <c r="N482" s="13">
        <f t="shared" si="484"/>
        <v>0.6065808298</v>
      </c>
      <c r="O482" s="14">
        <f t="shared" si="484"/>
        <v>1.648584906</v>
      </c>
      <c r="P482" s="13">
        <f t="shared" si="3"/>
        <v>0.1108490566</v>
      </c>
      <c r="Q482" s="13">
        <f t="shared" si="4"/>
        <v>0.02358490566</v>
      </c>
      <c r="R482" s="13">
        <f t="shared" si="5"/>
        <v>0</v>
      </c>
      <c r="S482" s="14">
        <f t="shared" si="6"/>
        <v>1.179439062</v>
      </c>
      <c r="T482" s="14">
        <f t="shared" si="7"/>
        <v>1.159780631</v>
      </c>
      <c r="U482" s="14">
        <f t="shared" si="8"/>
        <v>2.287735849</v>
      </c>
    </row>
    <row r="483" ht="15.75" customHeight="1">
      <c r="A483" s="9">
        <v>46051.5315199769</v>
      </c>
      <c r="B483" s="10">
        <v>12.0</v>
      </c>
      <c r="C483" s="10" t="s">
        <v>84</v>
      </c>
      <c r="D483" s="10" t="s">
        <v>1310</v>
      </c>
      <c r="E483" s="12" t="s">
        <v>62</v>
      </c>
      <c r="F483" s="11">
        <v>3837562.0</v>
      </c>
      <c r="G483" s="11">
        <v>321480.0</v>
      </c>
      <c r="H483" s="11">
        <v>195100.0</v>
      </c>
      <c r="I483" s="11">
        <v>68264.0</v>
      </c>
      <c r="J483" s="11">
        <v>1464.0</v>
      </c>
      <c r="K483" s="11">
        <v>0.0</v>
      </c>
      <c r="L483" s="11">
        <v>481.0</v>
      </c>
      <c r="M483" s="13">
        <f t="shared" ref="M483:O483" si="485">IFERROR(G483/F483,"")</f>
        <v>0.08377193645</v>
      </c>
      <c r="N483" s="13">
        <f t="shared" si="485"/>
        <v>0.6068806769</v>
      </c>
      <c r="O483" s="14">
        <f t="shared" si="485"/>
        <v>0.3498923629</v>
      </c>
      <c r="P483" s="13">
        <f t="shared" si="3"/>
        <v>0.007503844182</v>
      </c>
      <c r="Q483" s="13">
        <f t="shared" si="4"/>
        <v>0</v>
      </c>
      <c r="R483" s="13">
        <f t="shared" si="5"/>
        <v>0.002465402358</v>
      </c>
      <c r="S483" s="14">
        <f t="shared" si="6"/>
        <v>1.734792837</v>
      </c>
      <c r="T483" s="14">
        <f t="shared" si="7"/>
        <v>1.163605926</v>
      </c>
      <c r="U483" s="14">
        <f t="shared" si="8"/>
        <v>0</v>
      </c>
    </row>
    <row r="484" ht="15.75" customHeight="1">
      <c r="A484" s="9">
        <v>46052.5272030903</v>
      </c>
      <c r="B484" s="10">
        <v>12.0</v>
      </c>
      <c r="C484" s="10" t="s">
        <v>60</v>
      </c>
      <c r="D484" s="10" t="s">
        <v>1312</v>
      </c>
      <c r="E484" s="12" t="s">
        <v>62</v>
      </c>
      <c r="F484" s="11">
        <v>700418.0</v>
      </c>
      <c r="G484" s="11">
        <v>62996.0</v>
      </c>
      <c r="H484" s="11">
        <v>35635.0</v>
      </c>
      <c r="I484" s="11">
        <v>22750.0</v>
      </c>
      <c r="J484" s="11">
        <v>1744.0</v>
      </c>
      <c r="K484" s="11">
        <v>460.0</v>
      </c>
      <c r="L484" s="11">
        <v>79.0</v>
      </c>
      <c r="M484" s="13">
        <f t="shared" ref="M484:O484" si="486">IFERROR(G484/F484,"")</f>
        <v>0.08994057834</v>
      </c>
      <c r="N484" s="13">
        <f t="shared" si="486"/>
        <v>0.5656708362</v>
      </c>
      <c r="O484" s="14">
        <f t="shared" si="486"/>
        <v>0.6384172864</v>
      </c>
      <c r="P484" s="13">
        <f t="shared" si="3"/>
        <v>0.04894064824</v>
      </c>
      <c r="Q484" s="13">
        <f t="shared" si="4"/>
        <v>0.01290865722</v>
      </c>
      <c r="R484" s="13">
        <f t="shared" si="5"/>
        <v>0.002216921566</v>
      </c>
      <c r="S484" s="14">
        <f t="shared" si="6"/>
        <v>1.905047867</v>
      </c>
      <c r="T484" s="14">
        <f t="shared" si="7"/>
        <v>1.081560853</v>
      </c>
      <c r="U484" s="14">
        <f t="shared" si="8"/>
        <v>1.25213975</v>
      </c>
    </row>
    <row r="485" ht="15.75" customHeight="1">
      <c r="A485" s="9">
        <v>46053.4861148611</v>
      </c>
      <c r="B485" s="10">
        <v>11.0</v>
      </c>
      <c r="C485" s="10" t="s">
        <v>69</v>
      </c>
      <c r="D485" s="10" t="s">
        <v>1314</v>
      </c>
      <c r="E485" s="12" t="s">
        <v>62</v>
      </c>
      <c r="F485" s="11">
        <v>3138888.0</v>
      </c>
      <c r="G485" s="11">
        <v>228430.0</v>
      </c>
      <c r="H485" s="11">
        <v>109439.0</v>
      </c>
      <c r="I485" s="11">
        <v>89779.0</v>
      </c>
      <c r="J485" s="11">
        <v>3298.0</v>
      </c>
      <c r="K485" s="11">
        <v>867.0</v>
      </c>
      <c r="L485" s="11">
        <v>586.0</v>
      </c>
      <c r="M485" s="13">
        <f t="shared" ref="M485:O485" si="487">IFERROR(G485/F485,"")</f>
        <v>0.0727741799</v>
      </c>
      <c r="N485" s="13">
        <f t="shared" si="487"/>
        <v>0.4790920632</v>
      </c>
      <c r="O485" s="14">
        <f t="shared" si="487"/>
        <v>0.8203565457</v>
      </c>
      <c r="P485" s="13">
        <f t="shared" si="3"/>
        <v>0.03013550928</v>
      </c>
      <c r="Q485" s="13">
        <f t="shared" si="4"/>
        <v>0.007922221512</v>
      </c>
      <c r="R485" s="13">
        <f t="shared" si="5"/>
        <v>0.005354581091</v>
      </c>
      <c r="S485" s="14">
        <f t="shared" si="6"/>
        <v>1.524050342</v>
      </c>
      <c r="T485" s="14">
        <f t="shared" si="7"/>
        <v>0.9138372604</v>
      </c>
      <c r="U485" s="14">
        <f t="shared" si="8"/>
        <v>0.7650047609</v>
      </c>
    </row>
    <row r="486" ht="15.75" customHeight="1">
      <c r="A486" s="9">
        <v>46055.4885729167</v>
      </c>
      <c r="B486" s="10">
        <v>11.0</v>
      </c>
      <c r="C486" s="10" t="s">
        <v>71</v>
      </c>
      <c r="D486" s="10" t="s">
        <v>1316</v>
      </c>
      <c r="E486" s="12" t="s">
        <v>62</v>
      </c>
      <c r="F486" s="11">
        <v>70845.0</v>
      </c>
      <c r="G486" s="11">
        <v>2135.0</v>
      </c>
      <c r="H486" s="11">
        <v>787.0</v>
      </c>
      <c r="I486" s="11">
        <v>780.0</v>
      </c>
      <c r="J486" s="11">
        <v>97.0</v>
      </c>
      <c r="K486" s="11">
        <v>27.0</v>
      </c>
      <c r="L486" s="11">
        <v>12.0</v>
      </c>
      <c r="M486" s="13">
        <f t="shared" ref="M486:O486" si="488">IFERROR(G486/F486,"")</f>
        <v>0.03013621286</v>
      </c>
      <c r="N486" s="13">
        <f t="shared" si="488"/>
        <v>0.368618267</v>
      </c>
      <c r="O486" s="14">
        <f t="shared" si="488"/>
        <v>0.9911054638</v>
      </c>
      <c r="P486" s="13">
        <f t="shared" si="3"/>
        <v>0.123252859</v>
      </c>
      <c r="Q486" s="13">
        <f t="shared" si="4"/>
        <v>0.03430749682</v>
      </c>
      <c r="R486" s="13">
        <f t="shared" si="5"/>
        <v>0.01524777637</v>
      </c>
      <c r="S486" s="14">
        <f t="shared" si="6"/>
        <v>0.6383206455</v>
      </c>
      <c r="T486" s="14">
        <f t="shared" si="7"/>
        <v>0.7014422559</v>
      </c>
      <c r="U486" s="14">
        <f t="shared" si="8"/>
        <v>3.327827192</v>
      </c>
    </row>
    <row r="487" ht="15.75" customHeight="1">
      <c r="A487" s="9">
        <v>46056.5442917245</v>
      </c>
      <c r="B487" s="10">
        <v>13.0</v>
      </c>
      <c r="C487" s="10" t="s">
        <v>59</v>
      </c>
      <c r="D487" s="10" t="s">
        <v>1317</v>
      </c>
      <c r="E487" s="12" t="s">
        <v>62</v>
      </c>
      <c r="F487" s="11">
        <v>3284.0</v>
      </c>
      <c r="G487" s="11">
        <v>72.0</v>
      </c>
      <c r="H487" s="11">
        <v>39.0</v>
      </c>
      <c r="I487" s="11">
        <v>14.0</v>
      </c>
      <c r="J487" s="11">
        <v>1.0</v>
      </c>
      <c r="K487" s="11">
        <v>0.0</v>
      </c>
      <c r="L487" s="11">
        <v>0.0</v>
      </c>
      <c r="M487" s="13">
        <f t="shared" ref="M487:O487" si="489">IFERROR(G487/F487,"")</f>
        <v>0.02192448234</v>
      </c>
      <c r="N487" s="13">
        <f t="shared" si="489"/>
        <v>0.5416666667</v>
      </c>
      <c r="O487" s="14">
        <f t="shared" si="489"/>
        <v>0.358974359</v>
      </c>
      <c r="P487" s="13">
        <f t="shared" si="3"/>
        <v>0.02564102564</v>
      </c>
      <c r="Q487" s="13">
        <f t="shared" si="4"/>
        <v>0</v>
      </c>
      <c r="R487" s="13">
        <f t="shared" si="5"/>
        <v>0</v>
      </c>
      <c r="S487" s="14">
        <f t="shared" si="6"/>
        <v>0.459146566</v>
      </c>
      <c r="T487" s="14">
        <f t="shared" si="7"/>
        <v>1.029950425</v>
      </c>
      <c r="U487" s="14">
        <f t="shared" si="8"/>
        <v>0</v>
      </c>
    </row>
    <row r="488" ht="15.75" customHeight="1">
      <c r="A488" s="9">
        <v>46057.5397097107</v>
      </c>
      <c r="B488" s="10">
        <v>12.0</v>
      </c>
      <c r="C488" s="10" t="s">
        <v>80</v>
      </c>
      <c r="D488" s="10" t="s">
        <v>1319</v>
      </c>
      <c r="E488" s="12" t="s">
        <v>62</v>
      </c>
      <c r="F488" s="11">
        <v>1379665.0</v>
      </c>
      <c r="G488" s="11">
        <v>58527.0</v>
      </c>
      <c r="H488" s="11">
        <v>43840.0</v>
      </c>
      <c r="I488" s="11">
        <v>60136.0</v>
      </c>
      <c r="J488" s="11">
        <v>1351.0</v>
      </c>
      <c r="K488" s="11">
        <v>137.0</v>
      </c>
      <c r="L488" s="11">
        <v>209.0</v>
      </c>
      <c r="M488" s="13">
        <f t="shared" ref="M488:O488" si="490">IFERROR(G488/F488,"")</f>
        <v>0.04242116746</v>
      </c>
      <c r="N488" s="13">
        <f t="shared" si="490"/>
        <v>0.7490559913</v>
      </c>
      <c r="O488" s="14">
        <f t="shared" si="490"/>
        <v>1.371715328</v>
      </c>
      <c r="P488" s="13">
        <f t="shared" si="3"/>
        <v>0.03081660584</v>
      </c>
      <c r="Q488" s="13">
        <f t="shared" si="4"/>
        <v>0.003125</v>
      </c>
      <c r="R488" s="13">
        <f t="shared" si="5"/>
        <v>0.004767335766</v>
      </c>
      <c r="S488" s="14">
        <f t="shared" si="6"/>
        <v>0.8985305195</v>
      </c>
      <c r="T488" s="14">
        <f t="shared" si="7"/>
        <v>1.43219269</v>
      </c>
      <c r="U488" s="14">
        <f t="shared" si="8"/>
        <v>0.300414823</v>
      </c>
    </row>
    <row r="489" ht="15.75" customHeight="1">
      <c r="A489" s="9">
        <v>46058.5538940857</v>
      </c>
      <c r="B489" s="10">
        <v>13.0</v>
      </c>
      <c r="C489" s="10" t="s">
        <v>84</v>
      </c>
      <c r="D489" s="10" t="s">
        <v>1321</v>
      </c>
      <c r="E489" s="12" t="s">
        <v>62</v>
      </c>
      <c r="F489" s="11">
        <v>1934.0</v>
      </c>
      <c r="G489" s="11">
        <v>63.0</v>
      </c>
      <c r="H489" s="11">
        <v>35.0</v>
      </c>
      <c r="I489" s="11">
        <v>36.0</v>
      </c>
      <c r="J489" s="11">
        <v>4.0</v>
      </c>
      <c r="K489" s="11">
        <v>0.0</v>
      </c>
      <c r="L489" s="11">
        <v>0.0</v>
      </c>
      <c r="M489" s="13">
        <f t="shared" ref="M489:O489" si="491">IFERROR(G489/F489,"")</f>
        <v>0.03257497415</v>
      </c>
      <c r="N489" s="13">
        <f t="shared" si="491"/>
        <v>0.5555555556</v>
      </c>
      <c r="O489" s="14">
        <f t="shared" si="491"/>
        <v>1.028571429</v>
      </c>
      <c r="P489" s="13">
        <f t="shared" si="3"/>
        <v>0.1142857143</v>
      </c>
      <c r="Q489" s="13">
        <f t="shared" si="4"/>
        <v>0</v>
      </c>
      <c r="R489" s="13">
        <f t="shared" si="5"/>
        <v>0</v>
      </c>
      <c r="S489" s="14">
        <f t="shared" si="6"/>
        <v>0.6745795095</v>
      </c>
      <c r="T489" s="14">
        <f t="shared" si="7"/>
        <v>1.065197429</v>
      </c>
      <c r="U489" s="14">
        <f t="shared" si="8"/>
        <v>0</v>
      </c>
    </row>
    <row r="490" ht="15.75" customHeight="1">
      <c r="A490" s="9">
        <v>46059.5312786574</v>
      </c>
      <c r="B490" s="10">
        <v>12.0</v>
      </c>
      <c r="C490" s="10" t="s">
        <v>60</v>
      </c>
      <c r="D490" s="10" t="s">
        <v>1322</v>
      </c>
      <c r="E490" s="12" t="s">
        <v>62</v>
      </c>
      <c r="F490" s="11">
        <v>119268.0</v>
      </c>
      <c r="G490" s="11">
        <v>33795.0</v>
      </c>
      <c r="H490" s="11">
        <v>14455.0</v>
      </c>
      <c r="I490" s="11">
        <v>6517.0</v>
      </c>
      <c r="J490" s="11">
        <v>1142.0</v>
      </c>
      <c r="K490" s="11">
        <v>129.0</v>
      </c>
      <c r="L490" s="11">
        <v>39.0</v>
      </c>
      <c r="M490" s="13">
        <f t="shared" ref="M490:O490" si="492">IFERROR(G490/F490,"")</f>
        <v>0.2833534561</v>
      </c>
      <c r="N490" s="13">
        <f t="shared" si="492"/>
        <v>0.427725995</v>
      </c>
      <c r="O490" s="14">
        <f t="shared" si="492"/>
        <v>0.4508474576</v>
      </c>
      <c r="P490" s="13">
        <f t="shared" si="3"/>
        <v>0.07900380491</v>
      </c>
      <c r="Q490" s="13">
        <f t="shared" si="4"/>
        <v>0.008924247665</v>
      </c>
      <c r="R490" s="13">
        <f t="shared" si="5"/>
        <v>0.002698028364</v>
      </c>
      <c r="S490" s="14">
        <f t="shared" si="6"/>
        <v>6.001761464</v>
      </c>
      <c r="T490" s="14">
        <f t="shared" si="7"/>
        <v>0.817810752</v>
      </c>
      <c r="U490" s="14">
        <f t="shared" si="8"/>
        <v>0.8058307763</v>
      </c>
    </row>
    <row r="491" ht="15.75" customHeight="1">
      <c r="A491" s="9">
        <v>46060.4448231366</v>
      </c>
      <c r="B491" s="10">
        <v>10.0</v>
      </c>
      <c r="C491" s="10" t="s">
        <v>69</v>
      </c>
      <c r="D491" s="10" t="s">
        <v>1324</v>
      </c>
      <c r="E491" s="12" t="s">
        <v>62</v>
      </c>
      <c r="F491" s="11">
        <v>141515.0</v>
      </c>
      <c r="G491" s="11">
        <v>5487.0</v>
      </c>
      <c r="H491" s="11">
        <v>1460.0</v>
      </c>
      <c r="I491" s="11">
        <v>1110.0</v>
      </c>
      <c r="J491" s="11">
        <v>92.0</v>
      </c>
      <c r="K491" s="11">
        <v>20.0</v>
      </c>
      <c r="L491" s="11">
        <v>43.0</v>
      </c>
      <c r="M491" s="13">
        <f t="shared" ref="M491:O491" si="493">IFERROR(G491/F491,"")</f>
        <v>0.03877327492</v>
      </c>
      <c r="N491" s="13">
        <f t="shared" si="493"/>
        <v>0.26608347</v>
      </c>
      <c r="O491" s="14">
        <f t="shared" si="493"/>
        <v>0.7602739726</v>
      </c>
      <c r="P491" s="13">
        <f t="shared" si="3"/>
        <v>0.06301369863</v>
      </c>
      <c r="Q491" s="13">
        <f t="shared" si="4"/>
        <v>0.01369863014</v>
      </c>
      <c r="R491" s="13">
        <f t="shared" si="5"/>
        <v>0.02945205479</v>
      </c>
      <c r="S491" s="14">
        <f t="shared" si="6"/>
        <v>0.8119970979</v>
      </c>
      <c r="T491" s="14">
        <f t="shared" si="7"/>
        <v>0.5075370852</v>
      </c>
      <c r="U491" s="14">
        <f t="shared" si="8"/>
        <v>1.275663212</v>
      </c>
    </row>
    <row r="492" ht="15.75" customHeight="1">
      <c r="A492" s="9">
        <v>46062.4908048727</v>
      </c>
      <c r="B492" s="10">
        <v>11.0</v>
      </c>
      <c r="C492" s="10" t="s">
        <v>71</v>
      </c>
      <c r="D492" s="10" t="s">
        <v>1326</v>
      </c>
      <c r="E492" s="12" t="s">
        <v>62</v>
      </c>
      <c r="F492" s="11">
        <v>68201.0</v>
      </c>
      <c r="G492" s="11">
        <v>1746.0</v>
      </c>
      <c r="H492" s="11">
        <v>608.0</v>
      </c>
      <c r="I492" s="11">
        <v>172.0</v>
      </c>
      <c r="J492" s="11">
        <v>41.0</v>
      </c>
      <c r="K492" s="11">
        <v>11.0</v>
      </c>
      <c r="L492" s="11">
        <v>26.0</v>
      </c>
      <c r="M492" s="13">
        <f t="shared" ref="M492:O492" si="494">IFERROR(G492/F492,"")</f>
        <v>0.02560079764</v>
      </c>
      <c r="N492" s="13">
        <f t="shared" si="494"/>
        <v>0.3482245132</v>
      </c>
      <c r="O492" s="14">
        <f t="shared" si="494"/>
        <v>0.2828947368</v>
      </c>
      <c r="P492" s="13">
        <f t="shared" si="3"/>
        <v>0.06743421053</v>
      </c>
      <c r="Q492" s="13">
        <f t="shared" si="4"/>
        <v>0.01809210526</v>
      </c>
      <c r="R492" s="13">
        <f t="shared" si="5"/>
        <v>0.04276315789</v>
      </c>
      <c r="S492" s="14">
        <f t="shared" si="6"/>
        <v>0.5301546346</v>
      </c>
      <c r="T492" s="14">
        <f t="shared" si="7"/>
        <v>0.667670141</v>
      </c>
      <c r="U492" s="14">
        <f t="shared" si="8"/>
        <v>1.739243712</v>
      </c>
    </row>
    <row r="493" ht="15.75" customHeight="1">
      <c r="A493" s="9">
        <v>46063.2930308681</v>
      </c>
      <c r="B493" s="10">
        <v>7.0</v>
      </c>
      <c r="C493" s="10" t="s">
        <v>59</v>
      </c>
      <c r="D493" s="10" t="s">
        <v>1328</v>
      </c>
      <c r="E493" s="12" t="s">
        <v>62</v>
      </c>
      <c r="F493" s="11">
        <v>973816.0</v>
      </c>
      <c r="G493" s="11">
        <v>77356.0</v>
      </c>
      <c r="H493" s="11">
        <v>58428.0</v>
      </c>
      <c r="I493" s="11">
        <v>23020.0</v>
      </c>
      <c r="J493" s="11">
        <v>801.0</v>
      </c>
      <c r="K493" s="11">
        <v>0.0</v>
      </c>
      <c r="L493" s="11">
        <v>129.0</v>
      </c>
      <c r="M493" s="13">
        <f t="shared" ref="M493:O493" si="495">IFERROR(G493/F493,"")</f>
        <v>0.07943595094</v>
      </c>
      <c r="N493" s="13">
        <f t="shared" si="495"/>
        <v>0.7553130979</v>
      </c>
      <c r="O493" s="14">
        <f t="shared" si="495"/>
        <v>0.3939891833</v>
      </c>
      <c r="P493" s="13">
        <f t="shared" si="3"/>
        <v>0.01370918053</v>
      </c>
      <c r="Q493" s="13">
        <f t="shared" si="4"/>
        <v>0</v>
      </c>
      <c r="R493" s="13">
        <f t="shared" si="5"/>
        <v>0.002207845554</v>
      </c>
      <c r="S493" s="14">
        <f t="shared" si="6"/>
        <v>1.624868594</v>
      </c>
      <c r="T493" s="14">
        <f t="shared" si="7"/>
        <v>1.450972537</v>
      </c>
      <c r="U493" s="14">
        <f t="shared" si="8"/>
        <v>0</v>
      </c>
    </row>
    <row r="494" ht="15.75" customHeight="1">
      <c r="A494" s="9">
        <v>46064.506319294</v>
      </c>
      <c r="B494" s="10">
        <v>12.0</v>
      </c>
      <c r="C494" s="10" t="s">
        <v>80</v>
      </c>
      <c r="D494" s="10" t="s">
        <v>1330</v>
      </c>
      <c r="E494" s="12" t="s">
        <v>62</v>
      </c>
      <c r="F494" s="11">
        <v>76281.0</v>
      </c>
      <c r="G494" s="11">
        <v>10986.0</v>
      </c>
      <c r="H494" s="11">
        <v>6402.0</v>
      </c>
      <c r="I494" s="11">
        <v>3339.0</v>
      </c>
      <c r="J494" s="11">
        <v>438.0</v>
      </c>
      <c r="K494" s="11">
        <v>46.0</v>
      </c>
      <c r="L494" s="11">
        <v>35.0</v>
      </c>
      <c r="M494" s="13">
        <f t="shared" ref="M494:O494" si="496">IFERROR(G494/F494,"")</f>
        <v>0.1440201361</v>
      </c>
      <c r="N494" s="13">
        <f t="shared" si="496"/>
        <v>0.5827416712</v>
      </c>
      <c r="O494" s="14">
        <f t="shared" si="496"/>
        <v>0.5215557638</v>
      </c>
      <c r="P494" s="13">
        <f t="shared" si="3"/>
        <v>0.06841611996</v>
      </c>
      <c r="Q494" s="13">
        <f t="shared" si="4"/>
        <v>0.007185254608</v>
      </c>
      <c r="R494" s="13">
        <f t="shared" si="5"/>
        <v>0.00546704155</v>
      </c>
      <c r="S494" s="14">
        <f t="shared" si="6"/>
        <v>2.945943157</v>
      </c>
      <c r="T494" s="14">
        <f t="shared" si="7"/>
        <v>1.11575937</v>
      </c>
      <c r="U494" s="14">
        <f t="shared" si="8"/>
        <v>0.693839976</v>
      </c>
    </row>
    <row r="495" ht="15.75" customHeight="1">
      <c r="A495" s="9">
        <v>46065.2517389236</v>
      </c>
      <c r="B495" s="10">
        <v>6.0</v>
      </c>
      <c r="C495" s="10" t="s">
        <v>84</v>
      </c>
      <c r="D495" s="10" t="s">
        <v>1333</v>
      </c>
      <c r="E495" s="12" t="s">
        <v>62</v>
      </c>
      <c r="F495" s="11">
        <v>1853.0</v>
      </c>
      <c r="G495" s="11">
        <v>22.0</v>
      </c>
      <c r="H495" s="11">
        <v>15.0</v>
      </c>
      <c r="I495" s="11">
        <v>11.0</v>
      </c>
      <c r="J495" s="11">
        <v>3.0</v>
      </c>
      <c r="K495" s="11">
        <v>0.0</v>
      </c>
      <c r="L495" s="11">
        <v>0.0</v>
      </c>
      <c r="M495" s="13">
        <f t="shared" ref="M495:O495" si="497">IFERROR(G495/F495,"")</f>
        <v>0.01187263896</v>
      </c>
      <c r="N495" s="13">
        <f t="shared" si="497"/>
        <v>0.6818181818</v>
      </c>
      <c r="O495" s="14">
        <f t="shared" si="497"/>
        <v>0.7333333333</v>
      </c>
      <c r="P495" s="13">
        <f t="shared" si="3"/>
        <v>0.2</v>
      </c>
      <c r="Q495" s="13">
        <f t="shared" si="4"/>
        <v>0</v>
      </c>
      <c r="R495" s="13">
        <f t="shared" si="5"/>
        <v>0</v>
      </c>
      <c r="S495" s="14">
        <f t="shared" si="6"/>
        <v>0.2458647836</v>
      </c>
      <c r="T495" s="14">
        <f t="shared" si="7"/>
        <v>1.303634211</v>
      </c>
      <c r="U495" s="14">
        <f t="shared" si="8"/>
        <v>0</v>
      </c>
    </row>
    <row r="496" ht="15.75" customHeight="1">
      <c r="A496" s="9">
        <v>46066.2503115278</v>
      </c>
      <c r="B496" s="10">
        <v>6.0</v>
      </c>
      <c r="C496" s="10" t="s">
        <v>60</v>
      </c>
      <c r="D496" s="10" t="s">
        <v>1334</v>
      </c>
      <c r="E496" s="12" t="s">
        <v>62</v>
      </c>
      <c r="F496" s="11">
        <v>47890.0</v>
      </c>
      <c r="G496" s="11">
        <v>2387.0</v>
      </c>
      <c r="H496" s="11">
        <v>838.0</v>
      </c>
      <c r="I496" s="11">
        <v>710.0</v>
      </c>
      <c r="J496" s="11">
        <v>64.0</v>
      </c>
      <c r="K496" s="11">
        <v>26.0</v>
      </c>
      <c r="L496" s="11">
        <v>11.0</v>
      </c>
      <c r="M496" s="13">
        <f t="shared" ref="M496:O496" si="498">IFERROR(G496/F496,"")</f>
        <v>0.0498433911</v>
      </c>
      <c r="N496" s="13">
        <f t="shared" si="498"/>
        <v>0.3510682866</v>
      </c>
      <c r="O496" s="14">
        <f t="shared" si="498"/>
        <v>0.8472553699</v>
      </c>
      <c r="P496" s="13">
        <f t="shared" si="3"/>
        <v>0.07637231504</v>
      </c>
      <c r="Q496" s="13">
        <f t="shared" si="4"/>
        <v>0.03102625298</v>
      </c>
      <c r="R496" s="13">
        <f t="shared" si="5"/>
        <v>0.01312649165</v>
      </c>
      <c r="S496" s="14">
        <f t="shared" si="6"/>
        <v>1.03218287</v>
      </c>
      <c r="T496" s="14">
        <f t="shared" si="7"/>
        <v>0.6712414555</v>
      </c>
      <c r="U496" s="14">
        <f t="shared" si="8"/>
        <v>3.009546539</v>
      </c>
    </row>
    <row r="497" ht="15.75" customHeight="1">
      <c r="A497" s="9">
        <v>46067.2523373264</v>
      </c>
      <c r="B497" s="10">
        <v>6.0</v>
      </c>
      <c r="C497" s="10" t="s">
        <v>69</v>
      </c>
      <c r="D497" s="10" t="s">
        <v>1335</v>
      </c>
      <c r="E497" s="12" t="s">
        <v>62</v>
      </c>
      <c r="F497" s="11">
        <v>56368.0</v>
      </c>
      <c r="G497" s="11">
        <v>1263.0</v>
      </c>
      <c r="H497" s="11">
        <v>577.0</v>
      </c>
      <c r="I497" s="11">
        <v>703.0</v>
      </c>
      <c r="J497" s="11">
        <v>55.0</v>
      </c>
      <c r="K497" s="11">
        <v>47.0</v>
      </c>
      <c r="L497" s="11">
        <v>9.0</v>
      </c>
      <c r="M497" s="13">
        <f t="shared" ref="M497:O497" si="499">IFERROR(G497/F497,"")</f>
        <v>0.02240632983</v>
      </c>
      <c r="N497" s="13">
        <f t="shared" si="499"/>
        <v>0.4568487728</v>
      </c>
      <c r="O497" s="14">
        <f t="shared" si="499"/>
        <v>1.218370884</v>
      </c>
      <c r="P497" s="13">
        <f t="shared" si="3"/>
        <v>0.09532062392</v>
      </c>
      <c r="Q497" s="13">
        <f t="shared" si="4"/>
        <v>0.08145580589</v>
      </c>
      <c r="R497" s="13">
        <f t="shared" si="5"/>
        <v>0.01559792028</v>
      </c>
      <c r="S497" s="14">
        <f t="shared" si="6"/>
        <v>0.4583232306</v>
      </c>
      <c r="T497" s="14">
        <f t="shared" si="7"/>
        <v>0.8747157171</v>
      </c>
      <c r="U497" s="14">
        <f t="shared" si="8"/>
        <v>8.122526938</v>
      </c>
    </row>
    <row r="498" ht="15.75" customHeight="1">
      <c r="A498" s="9">
        <v>46069.5032025579</v>
      </c>
      <c r="B498" s="10">
        <v>12.0</v>
      </c>
      <c r="C498" s="10" t="s">
        <v>71</v>
      </c>
      <c r="D498" s="10" t="s">
        <v>1337</v>
      </c>
      <c r="E498" s="12" t="s">
        <v>62</v>
      </c>
      <c r="F498" s="11">
        <v>53943.0</v>
      </c>
      <c r="G498" s="11">
        <v>10898.0</v>
      </c>
      <c r="H498" s="11">
        <v>6694.0</v>
      </c>
      <c r="I498" s="11">
        <v>3121.0</v>
      </c>
      <c r="J498" s="11">
        <v>434.0</v>
      </c>
      <c r="K498" s="11">
        <v>198.0</v>
      </c>
      <c r="L498" s="11">
        <v>17.0</v>
      </c>
      <c r="M498" s="13">
        <f t="shared" ref="M498:O498" si="500">IFERROR(G498/F498,"")</f>
        <v>0.2020280667</v>
      </c>
      <c r="N498" s="13">
        <f t="shared" si="500"/>
        <v>0.6142411452</v>
      </c>
      <c r="O498" s="14">
        <f t="shared" si="500"/>
        <v>0.4662384225</v>
      </c>
      <c r="P498" s="13">
        <f t="shared" si="3"/>
        <v>0.06483417986</v>
      </c>
      <c r="Q498" s="13">
        <f t="shared" si="4"/>
        <v>0.02957872722</v>
      </c>
      <c r="R498" s="13">
        <f t="shared" si="5"/>
        <v>0.00253958769</v>
      </c>
      <c r="S498" s="14">
        <f t="shared" si="6"/>
        <v>4.183702295</v>
      </c>
      <c r="T498" s="14">
        <f t="shared" si="7"/>
        <v>1.177718559</v>
      </c>
      <c r="U498" s="14">
        <f t="shared" si="8"/>
        <v>3.034497929</v>
      </c>
    </row>
    <row r="499" ht="15.75" customHeight="1">
      <c r="A499" s="9">
        <v>46070.2504768171</v>
      </c>
      <c r="B499" s="10">
        <v>6.0</v>
      </c>
      <c r="C499" s="10" t="s">
        <v>59</v>
      </c>
      <c r="D499" s="10" t="s">
        <v>1339</v>
      </c>
      <c r="E499" s="12" t="s">
        <v>62</v>
      </c>
      <c r="F499" s="11">
        <v>6414.0</v>
      </c>
      <c r="G499" s="11">
        <v>148.0</v>
      </c>
      <c r="H499" s="11">
        <v>85.0</v>
      </c>
      <c r="I499" s="11">
        <v>84.0</v>
      </c>
      <c r="J499" s="11">
        <v>4.0</v>
      </c>
      <c r="K499" s="11">
        <v>0.0</v>
      </c>
      <c r="L499" s="11">
        <v>1.0</v>
      </c>
      <c r="M499" s="13">
        <f t="shared" ref="M499:O499" si="501">IFERROR(G499/F499,"")</f>
        <v>0.02307452448</v>
      </c>
      <c r="N499" s="13">
        <f t="shared" si="501"/>
        <v>0.5743243243</v>
      </c>
      <c r="O499" s="14">
        <f t="shared" si="501"/>
        <v>0.9882352941</v>
      </c>
      <c r="P499" s="13">
        <f t="shared" si="3"/>
        <v>0.04705882353</v>
      </c>
      <c r="Q499" s="13">
        <f t="shared" si="4"/>
        <v>0</v>
      </c>
      <c r="R499" s="13">
        <f t="shared" si="5"/>
        <v>0.01176470588</v>
      </c>
      <c r="S499" s="14">
        <f t="shared" si="6"/>
        <v>0.4719912044</v>
      </c>
      <c r="T499" s="14">
        <f t="shared" si="7"/>
        <v>1.099642908</v>
      </c>
      <c r="U499" s="14">
        <f t="shared" si="8"/>
        <v>0</v>
      </c>
    </row>
    <row r="500" ht="15.75" customHeight="1">
      <c r="A500" s="9">
        <v>46071.25079</v>
      </c>
      <c r="B500" s="10">
        <v>6.0</v>
      </c>
      <c r="C500" s="10" t="s">
        <v>80</v>
      </c>
      <c r="D500" s="10" t="s">
        <v>1341</v>
      </c>
      <c r="E500" s="12" t="s">
        <v>62</v>
      </c>
      <c r="F500" s="11">
        <v>53628.0</v>
      </c>
      <c r="G500" s="11">
        <v>489.0</v>
      </c>
      <c r="H500" s="11">
        <v>88.0</v>
      </c>
      <c r="I500" s="11">
        <v>50.0</v>
      </c>
      <c r="J500" s="11">
        <v>19.0</v>
      </c>
      <c r="K500" s="11">
        <v>7.0</v>
      </c>
      <c r="L500" s="11">
        <v>10.0</v>
      </c>
      <c r="M500" s="13">
        <f t="shared" ref="M500:O500" si="502">IFERROR(G500/F500,"")</f>
        <v>0.009118371</v>
      </c>
      <c r="N500" s="13">
        <f t="shared" si="502"/>
        <v>0.1799591002</v>
      </c>
      <c r="O500" s="14">
        <f t="shared" si="502"/>
        <v>0.5681818182</v>
      </c>
      <c r="P500" s="13">
        <f t="shared" si="3"/>
        <v>0.2159090909</v>
      </c>
      <c r="Q500" s="13">
        <f t="shared" si="4"/>
        <v>0.07954545455</v>
      </c>
      <c r="R500" s="13">
        <f t="shared" si="5"/>
        <v>0.1136363636</v>
      </c>
      <c r="S500" s="14">
        <f t="shared" si="6"/>
        <v>0.1888279699</v>
      </c>
      <c r="T500" s="14">
        <f t="shared" si="7"/>
        <v>0.3450455475</v>
      </c>
      <c r="U500" s="14">
        <f t="shared" si="8"/>
        <v>7.715909091</v>
      </c>
    </row>
    <row r="501" ht="15.75" customHeight="1">
      <c r="A501" s="9">
        <v>46072.2506305903</v>
      </c>
      <c r="B501" s="10">
        <v>6.0</v>
      </c>
      <c r="C501" s="10" t="s">
        <v>84</v>
      </c>
      <c r="D501" s="10" t="s">
        <v>1343</v>
      </c>
      <c r="E501" s="12" t="s">
        <v>62</v>
      </c>
      <c r="F501" s="11">
        <v>2223.0</v>
      </c>
      <c r="G501" s="11">
        <v>67.0</v>
      </c>
      <c r="H501" s="11">
        <v>39.0</v>
      </c>
      <c r="I501" s="11">
        <v>43.0</v>
      </c>
      <c r="J501" s="11">
        <v>2.0</v>
      </c>
      <c r="K501" s="11">
        <v>0.0</v>
      </c>
      <c r="L501" s="11">
        <v>0.0</v>
      </c>
      <c r="M501" s="13">
        <f t="shared" ref="M501:O501" si="503">IFERROR(G501/F501,"")</f>
        <v>0.03013945119</v>
      </c>
      <c r="N501" s="13">
        <f t="shared" si="503"/>
        <v>0.5820895522</v>
      </c>
      <c r="O501" s="14">
        <f t="shared" si="503"/>
        <v>1.102564103</v>
      </c>
      <c r="P501" s="13">
        <f t="shared" si="3"/>
        <v>0.05128205128</v>
      </c>
      <c r="Q501" s="13">
        <f t="shared" si="4"/>
        <v>0</v>
      </c>
      <c r="R501" s="13">
        <f t="shared" si="5"/>
        <v>0</v>
      </c>
      <c r="S501" s="14">
        <f t="shared" si="6"/>
        <v>0.6241434332</v>
      </c>
      <c r="T501" s="14">
        <f t="shared" si="7"/>
        <v>1.120348484</v>
      </c>
      <c r="U501" s="14">
        <f t="shared" si="8"/>
        <v>0</v>
      </c>
    </row>
    <row r="502" ht="15.75" customHeight="1">
      <c r="A502" s="9">
        <v>46073.4726466435</v>
      </c>
      <c r="B502" s="10">
        <v>11.0</v>
      </c>
      <c r="C502" s="10" t="s">
        <v>60</v>
      </c>
      <c r="D502" s="10" t="s">
        <v>1344</v>
      </c>
      <c r="E502" s="12" t="s">
        <v>62</v>
      </c>
      <c r="F502" s="11">
        <v>15565.0</v>
      </c>
      <c r="G502" s="11">
        <v>582.0</v>
      </c>
      <c r="H502" s="11">
        <v>291.0</v>
      </c>
      <c r="I502" s="11">
        <v>333.0</v>
      </c>
      <c r="J502" s="11">
        <v>42.0</v>
      </c>
      <c r="K502" s="11">
        <v>3.0</v>
      </c>
      <c r="L502" s="11">
        <v>0.0</v>
      </c>
      <c r="M502" s="13">
        <f t="shared" ref="M502:O502" si="504">IFERROR(G502/F502,"")</f>
        <v>0.03739158368</v>
      </c>
      <c r="N502" s="13">
        <f t="shared" si="504"/>
        <v>0.5</v>
      </c>
      <c r="O502" s="14">
        <f t="shared" si="504"/>
        <v>1.144329897</v>
      </c>
      <c r="P502" s="13">
        <f t="shared" si="3"/>
        <v>0.1443298969</v>
      </c>
      <c r="Q502" s="13">
        <f t="shared" si="4"/>
        <v>0.01030927835</v>
      </c>
      <c r="R502" s="13">
        <f t="shared" si="5"/>
        <v>0</v>
      </c>
      <c r="S502" s="14">
        <f t="shared" si="6"/>
        <v>0.7648477711</v>
      </c>
      <c r="T502" s="14">
        <f t="shared" si="7"/>
        <v>0.9605106421</v>
      </c>
      <c r="U502" s="14">
        <f t="shared" si="8"/>
        <v>0.9955095308</v>
      </c>
    </row>
    <row r="503" ht="15.75" customHeight="1">
      <c r="A503" s="9">
        <v>46074.2507050695</v>
      </c>
      <c r="B503" s="10">
        <v>6.0</v>
      </c>
      <c r="C503" s="10" t="s">
        <v>69</v>
      </c>
      <c r="D503" s="10" t="s">
        <v>1346</v>
      </c>
      <c r="E503" s="12" t="s">
        <v>62</v>
      </c>
      <c r="F503" s="11">
        <v>118625.0</v>
      </c>
      <c r="G503" s="11">
        <v>9712.0</v>
      </c>
      <c r="H503" s="11">
        <v>5562.0</v>
      </c>
      <c r="I503" s="11">
        <v>5512.0</v>
      </c>
      <c r="J503" s="11">
        <v>179.0</v>
      </c>
      <c r="K503" s="11">
        <v>234.0</v>
      </c>
      <c r="L503" s="11">
        <v>11.0</v>
      </c>
      <c r="M503" s="13">
        <f t="shared" ref="M503:O503" si="505">IFERROR(G503/F503,"")</f>
        <v>0.08187144362</v>
      </c>
      <c r="N503" s="13">
        <f t="shared" si="505"/>
        <v>0.572693575</v>
      </c>
      <c r="O503" s="14">
        <f t="shared" si="505"/>
        <v>0.9910104279</v>
      </c>
      <c r="P503" s="13">
        <f t="shared" si="3"/>
        <v>0.0321826681</v>
      </c>
      <c r="Q503" s="13">
        <f t="shared" si="4"/>
        <v>0.04207119741</v>
      </c>
      <c r="R503" s="13">
        <f t="shared" si="5"/>
        <v>0.001977705861</v>
      </c>
      <c r="S503" s="14">
        <f t="shared" si="6"/>
        <v>1.695436442</v>
      </c>
      <c r="T503" s="14">
        <f t="shared" si="7"/>
        <v>1.098057102</v>
      </c>
      <c r="U503" s="14">
        <f t="shared" si="8"/>
        <v>4.044419624</v>
      </c>
    </row>
    <row r="504" ht="15.75" customHeight="1">
      <c r="A504" s="9">
        <v>46076.54221625</v>
      </c>
      <c r="B504" s="10">
        <v>13.0</v>
      </c>
      <c r="C504" s="10" t="s">
        <v>71</v>
      </c>
      <c r="D504" s="10" t="s">
        <v>1347</v>
      </c>
      <c r="E504" s="12" t="s">
        <v>62</v>
      </c>
      <c r="F504" s="11">
        <v>1132749.0</v>
      </c>
      <c r="G504" s="11">
        <v>67188.0</v>
      </c>
      <c r="H504" s="11">
        <v>27583.0</v>
      </c>
      <c r="I504" s="11">
        <v>21572.0</v>
      </c>
      <c r="J504" s="11">
        <v>991.0</v>
      </c>
      <c r="K504" s="11">
        <v>500.0</v>
      </c>
      <c r="L504" s="11">
        <v>153.0</v>
      </c>
      <c r="M504" s="13">
        <f t="shared" ref="M504:O504" si="506">IFERROR(G504/F504,"")</f>
        <v>0.05931411107</v>
      </c>
      <c r="N504" s="13">
        <f t="shared" si="506"/>
        <v>0.4105346193</v>
      </c>
      <c r="O504" s="14">
        <f t="shared" si="506"/>
        <v>0.7820759163</v>
      </c>
      <c r="P504" s="13">
        <f t="shared" si="3"/>
        <v>0.03592792662</v>
      </c>
      <c r="Q504" s="13">
        <f t="shared" si="4"/>
        <v>0.01812710728</v>
      </c>
      <c r="R504" s="13">
        <f t="shared" si="5"/>
        <v>0.005546894827</v>
      </c>
      <c r="S504" s="14">
        <f t="shared" si="6"/>
        <v>1.228307466</v>
      </c>
      <c r="T504" s="14">
        <f t="shared" si="7"/>
        <v>0.7901564914</v>
      </c>
      <c r="U504" s="14">
        <f t="shared" si="8"/>
        <v>1.600835448</v>
      </c>
    </row>
    <row r="505" ht="15.75" customHeight="1">
      <c r="A505" s="9">
        <v>46077.691131331</v>
      </c>
      <c r="B505" s="10">
        <v>16.0</v>
      </c>
      <c r="C505" s="10" t="s">
        <v>59</v>
      </c>
      <c r="D505" s="10" t="s">
        <v>1349</v>
      </c>
      <c r="E505" s="12" t="s">
        <v>62</v>
      </c>
      <c r="F505" s="11">
        <v>2552.0</v>
      </c>
      <c r="G505" s="11">
        <v>36.0</v>
      </c>
      <c r="H505" s="11">
        <v>26.0</v>
      </c>
      <c r="I505" s="11">
        <v>27.0</v>
      </c>
      <c r="J505" s="11">
        <v>3.0</v>
      </c>
      <c r="K505" s="11">
        <v>0.0</v>
      </c>
      <c r="L505" s="11">
        <v>0.0</v>
      </c>
      <c r="M505" s="13">
        <f t="shared" ref="M505:O505" si="507">IFERROR(G505/F505,"")</f>
        <v>0.01410658307</v>
      </c>
      <c r="N505" s="13">
        <f t="shared" si="507"/>
        <v>0.7222222222</v>
      </c>
      <c r="O505" s="14">
        <f t="shared" si="507"/>
        <v>1.038461538</v>
      </c>
      <c r="P505" s="13">
        <f t="shared" si="3"/>
        <v>0.1153846154</v>
      </c>
      <c r="Q505" s="13">
        <f t="shared" si="4"/>
        <v>0</v>
      </c>
      <c r="R505" s="13">
        <f t="shared" si="5"/>
        <v>0</v>
      </c>
      <c r="S505" s="14">
        <f t="shared" si="6"/>
        <v>0.2921264602</v>
      </c>
      <c r="T505" s="14">
        <f t="shared" si="7"/>
        <v>1.390062008</v>
      </c>
      <c r="U505" s="14">
        <f t="shared" si="8"/>
        <v>0</v>
      </c>
    </row>
    <row r="506" ht="15.75" customHeight="1">
      <c r="A506" s="9">
        <v>46078.4937182523</v>
      </c>
      <c r="B506" s="10">
        <v>11.0</v>
      </c>
      <c r="C506" s="10" t="s">
        <v>80</v>
      </c>
      <c r="D506" s="10" t="s">
        <v>1351</v>
      </c>
      <c r="E506" s="12" t="s">
        <v>62</v>
      </c>
      <c r="F506" s="11">
        <v>491044.0</v>
      </c>
      <c r="G506" s="11">
        <v>17834.0</v>
      </c>
      <c r="H506" s="11">
        <v>8814.0</v>
      </c>
      <c r="I506" s="11">
        <v>5345.0</v>
      </c>
      <c r="J506" s="11">
        <v>113.0</v>
      </c>
      <c r="K506" s="11">
        <v>320.0</v>
      </c>
      <c r="L506" s="11">
        <v>33.0</v>
      </c>
      <c r="M506" s="13">
        <f t="shared" ref="M506:O506" si="508">IFERROR(G506/F506,"")</f>
        <v>0.03631853765</v>
      </c>
      <c r="N506" s="13">
        <f t="shared" si="508"/>
        <v>0.494224515</v>
      </c>
      <c r="O506" s="14">
        <f t="shared" si="508"/>
        <v>0.606421602</v>
      </c>
      <c r="P506" s="13">
        <f t="shared" si="3"/>
        <v>0.01282051282</v>
      </c>
      <c r="Q506" s="13">
        <f t="shared" si="4"/>
        <v>0.03630587701</v>
      </c>
      <c r="R506" s="13">
        <f t="shared" si="5"/>
        <v>0.003744043567</v>
      </c>
      <c r="S506" s="14">
        <f t="shared" si="6"/>
        <v>0.7521031697</v>
      </c>
      <c r="T506" s="14">
        <f t="shared" si="7"/>
        <v>0.9476040287</v>
      </c>
      <c r="U506" s="14">
        <f t="shared" si="8"/>
        <v>3.194917177</v>
      </c>
    </row>
    <row r="507" ht="15.75" customHeight="1">
      <c r="A507" s="9">
        <v>46079.506832338</v>
      </c>
      <c r="B507" s="10">
        <v>12.0</v>
      </c>
      <c r="C507" s="10" t="s">
        <v>84</v>
      </c>
      <c r="D507" s="10" t="s">
        <v>1352</v>
      </c>
      <c r="E507" s="12" t="s">
        <v>62</v>
      </c>
      <c r="F507" s="11">
        <v>1751.0</v>
      </c>
      <c r="G507" s="11">
        <v>21.0</v>
      </c>
      <c r="H507" s="11">
        <v>9.0</v>
      </c>
      <c r="I507" s="11">
        <v>5.0</v>
      </c>
      <c r="J507" s="11">
        <v>1.0</v>
      </c>
      <c r="K507" s="11">
        <v>0.0</v>
      </c>
      <c r="L507" s="11">
        <v>0.0</v>
      </c>
      <c r="M507" s="13">
        <f t="shared" ref="M507:O507" si="509">IFERROR(G507/F507,"")</f>
        <v>0.01199314677</v>
      </c>
      <c r="N507" s="13">
        <f t="shared" si="509"/>
        <v>0.4285714286</v>
      </c>
      <c r="O507" s="14">
        <f t="shared" si="509"/>
        <v>0.5555555556</v>
      </c>
      <c r="P507" s="13">
        <f t="shared" si="3"/>
        <v>0.1111111111</v>
      </c>
      <c r="Q507" s="13">
        <f t="shared" si="4"/>
        <v>0</v>
      </c>
      <c r="R507" s="13">
        <f t="shared" si="5"/>
        <v>0</v>
      </c>
      <c r="S507" s="14">
        <f t="shared" si="6"/>
        <v>0.2511626989</v>
      </c>
      <c r="T507" s="14">
        <f t="shared" si="7"/>
        <v>0.8232948361</v>
      </c>
      <c r="U507" s="14">
        <f t="shared" si="8"/>
        <v>0</v>
      </c>
    </row>
    <row r="508" ht="15.75" customHeight="1">
      <c r="A508" s="9">
        <v>46080.2510791782</v>
      </c>
      <c r="B508" s="10">
        <v>6.0</v>
      </c>
      <c r="C508" s="10" t="s">
        <v>60</v>
      </c>
      <c r="D508" s="10" t="s">
        <v>1354</v>
      </c>
      <c r="E508" s="12" t="s">
        <v>62</v>
      </c>
      <c r="F508" s="11">
        <v>963865.0</v>
      </c>
      <c r="G508" s="11">
        <v>99189.0</v>
      </c>
      <c r="H508" s="11">
        <v>50407.0</v>
      </c>
      <c r="I508" s="11">
        <v>42779.0</v>
      </c>
      <c r="J508" s="11">
        <v>1473.0</v>
      </c>
      <c r="K508" s="11">
        <v>693.0</v>
      </c>
      <c r="L508" s="11">
        <v>158.0</v>
      </c>
      <c r="M508" s="13">
        <f t="shared" ref="M508:O508" si="510">IFERROR(G508/F508,"")</f>
        <v>0.1029075649</v>
      </c>
      <c r="N508" s="13">
        <f t="shared" si="510"/>
        <v>0.5081914325</v>
      </c>
      <c r="O508" s="14">
        <f t="shared" si="510"/>
        <v>0.8486718115</v>
      </c>
      <c r="P508" s="13">
        <f t="shared" si="3"/>
        <v>0.02922213185</v>
      </c>
      <c r="Q508" s="13">
        <f t="shared" si="4"/>
        <v>0.01374809054</v>
      </c>
      <c r="R508" s="13">
        <f t="shared" si="5"/>
        <v>0.00313448529</v>
      </c>
      <c r="S508" s="14">
        <f t="shared" si="6"/>
        <v>2.155109265</v>
      </c>
      <c r="T508" s="14">
        <f t="shared" si="7"/>
        <v>0.9814322477</v>
      </c>
      <c r="U508" s="14">
        <f t="shared" si="8"/>
        <v>1.1664903</v>
      </c>
    </row>
    <row r="509" ht="15.75" customHeight="1">
      <c r="A509" s="9">
        <v>46081.2504177083</v>
      </c>
      <c r="B509" s="10">
        <v>6.0</v>
      </c>
      <c r="C509" s="10" t="s">
        <v>69</v>
      </c>
      <c r="D509" s="10" t="s">
        <v>1355</v>
      </c>
      <c r="E509" s="12" t="s">
        <v>62</v>
      </c>
      <c r="F509" s="11">
        <v>2012885.0</v>
      </c>
      <c r="G509" s="11">
        <v>164828.0</v>
      </c>
      <c r="H509" s="11">
        <v>95473.0</v>
      </c>
      <c r="I509" s="11">
        <v>94658.0</v>
      </c>
      <c r="J509" s="11">
        <v>2191.0</v>
      </c>
      <c r="K509" s="11">
        <v>529.0</v>
      </c>
      <c r="L509" s="11">
        <v>256.0</v>
      </c>
      <c r="M509" s="13">
        <f t="shared" ref="M509:O509" si="511">IFERROR(G509/F509,"")</f>
        <v>0.08188644657</v>
      </c>
      <c r="N509" s="13">
        <f t="shared" si="511"/>
        <v>0.5792280438</v>
      </c>
      <c r="O509" s="14">
        <f t="shared" si="511"/>
        <v>0.9914635551</v>
      </c>
      <c r="P509" s="13">
        <f t="shared" si="3"/>
        <v>0.02294889655</v>
      </c>
      <c r="Q509" s="13">
        <f t="shared" si="4"/>
        <v>0.005540833534</v>
      </c>
      <c r="R509" s="13">
        <f t="shared" si="5"/>
        <v>0.002681386361</v>
      </c>
      <c r="S509" s="14">
        <f t="shared" si="6"/>
        <v>1.695747131</v>
      </c>
      <c r="T509" s="14">
        <f t="shared" si="7"/>
        <v>1.114840935</v>
      </c>
      <c r="U509" s="14">
        <f t="shared" si="8"/>
        <v>0.4713277176</v>
      </c>
    </row>
    <row r="510" ht="15.75" customHeight="1">
      <c r="A510" s="9">
        <v>46083.4837538889</v>
      </c>
      <c r="B510" s="10">
        <v>11.0</v>
      </c>
      <c r="C510" s="10" t="s">
        <v>71</v>
      </c>
      <c r="D510" s="10" t="s">
        <v>1357</v>
      </c>
      <c r="E510" s="12" t="s">
        <v>62</v>
      </c>
      <c r="F510" s="11">
        <v>209.0</v>
      </c>
      <c r="G510" s="11">
        <v>20.0</v>
      </c>
      <c r="H510" s="11">
        <v>18.0</v>
      </c>
      <c r="I510" s="11">
        <v>19.0</v>
      </c>
      <c r="J510" s="11">
        <v>1.0</v>
      </c>
      <c r="K510" s="11">
        <v>1.0</v>
      </c>
      <c r="L510" s="11">
        <v>0.0</v>
      </c>
      <c r="M510" s="13">
        <f t="shared" ref="M510:O510" si="512">IFERROR(G510/F510,"")</f>
        <v>0.0956937799</v>
      </c>
      <c r="N510" s="13">
        <f t="shared" si="512"/>
        <v>0.9</v>
      </c>
      <c r="O510" s="14">
        <f t="shared" si="512"/>
        <v>1.055555556</v>
      </c>
      <c r="P510" s="13">
        <f t="shared" si="3"/>
        <v>0.05555555556</v>
      </c>
      <c r="Q510" s="13">
        <f t="shared" si="4"/>
        <v>0.05555555556</v>
      </c>
      <c r="R510" s="13">
        <f t="shared" si="5"/>
        <v>0</v>
      </c>
      <c r="S510" s="14">
        <f t="shared" si="6"/>
        <v>1.981676572</v>
      </c>
      <c r="T510" s="14">
        <f t="shared" si="7"/>
        <v>1.732231117</v>
      </c>
      <c r="U510" s="14">
        <f t="shared" si="8"/>
        <v>4.792134831</v>
      </c>
    </row>
    <row r="511" ht="15.75" customHeight="1">
      <c r="A511" s="9">
        <v>46083.5443805671</v>
      </c>
      <c r="B511" s="10">
        <v>13.0</v>
      </c>
      <c r="C511" s="10" t="s">
        <v>71</v>
      </c>
      <c r="D511" s="10" t="s">
        <v>1358</v>
      </c>
      <c r="E511" s="12" t="s">
        <v>62</v>
      </c>
      <c r="F511" s="11">
        <v>88664.0</v>
      </c>
      <c r="G511" s="11">
        <v>1127.0</v>
      </c>
      <c r="H511" s="11">
        <v>330.0</v>
      </c>
      <c r="I511" s="11">
        <v>320.0</v>
      </c>
      <c r="J511" s="11">
        <v>45.0</v>
      </c>
      <c r="K511" s="11">
        <v>51.0</v>
      </c>
      <c r="L511" s="11">
        <v>8.0</v>
      </c>
      <c r="M511" s="13">
        <f t="shared" ref="M511:O511" si="513">IFERROR(G511/F511,"")</f>
        <v>0.0127109086</v>
      </c>
      <c r="N511" s="13">
        <f t="shared" si="513"/>
        <v>0.2928127773</v>
      </c>
      <c r="O511" s="14">
        <f t="shared" si="513"/>
        <v>0.9696969697</v>
      </c>
      <c r="P511" s="13">
        <f t="shared" si="3"/>
        <v>0.1363636364</v>
      </c>
      <c r="Q511" s="13">
        <f t="shared" si="4"/>
        <v>0.1545454545</v>
      </c>
      <c r="R511" s="13">
        <f t="shared" si="5"/>
        <v>0.02424242424</v>
      </c>
      <c r="S511" s="14">
        <f t="shared" si="6"/>
        <v>0.2632241072</v>
      </c>
      <c r="T511" s="14">
        <f t="shared" si="7"/>
        <v>0.563577116</v>
      </c>
      <c r="U511" s="14">
        <f t="shared" si="8"/>
        <v>13.3308478</v>
      </c>
    </row>
    <row r="512" ht="15.75" customHeight="1">
      <c r="A512" s="9">
        <v>46084.4826965972</v>
      </c>
      <c r="B512" s="10">
        <v>11.0</v>
      </c>
      <c r="C512" s="10" t="s">
        <v>59</v>
      </c>
      <c r="D512" s="10" t="s">
        <v>1360</v>
      </c>
      <c r="E512" s="12" t="s">
        <v>62</v>
      </c>
      <c r="F512" s="11">
        <v>3903.0</v>
      </c>
      <c r="G512" s="11">
        <v>32.0</v>
      </c>
      <c r="H512" s="11">
        <v>14.0</v>
      </c>
      <c r="I512" s="11">
        <v>11.0</v>
      </c>
      <c r="J512" s="11">
        <v>2.0</v>
      </c>
      <c r="K512" s="11">
        <v>0.0</v>
      </c>
      <c r="L512" s="11">
        <v>0.0</v>
      </c>
      <c r="M512" s="13">
        <f t="shared" ref="M512:O512" si="514">IFERROR(G512/F512,"")</f>
        <v>0.008198821419</v>
      </c>
      <c r="N512" s="13">
        <f t="shared" si="514"/>
        <v>0.4375</v>
      </c>
      <c r="O512" s="14">
        <f t="shared" si="514"/>
        <v>0.7857142857</v>
      </c>
      <c r="P512" s="13">
        <f t="shared" si="3"/>
        <v>0.1428571429</v>
      </c>
      <c r="Q512" s="13">
        <f t="shared" si="4"/>
        <v>0</v>
      </c>
      <c r="R512" s="13">
        <f t="shared" si="5"/>
        <v>0</v>
      </c>
      <c r="S512" s="14">
        <f t="shared" si="6"/>
        <v>0.1717012353</v>
      </c>
      <c r="T512" s="14">
        <f t="shared" si="7"/>
        <v>0.8449111513</v>
      </c>
      <c r="U512" s="14">
        <f t="shared" si="8"/>
        <v>0</v>
      </c>
    </row>
    <row r="513" ht="15.75" customHeight="1">
      <c r="A513" s="9">
        <v>46085.483306713</v>
      </c>
      <c r="B513" s="10">
        <v>11.0</v>
      </c>
      <c r="C513" s="10" t="s">
        <v>80</v>
      </c>
      <c r="D513" s="10" t="s">
        <v>1357</v>
      </c>
      <c r="E513" s="12" t="s">
        <v>62</v>
      </c>
      <c r="F513" s="11">
        <v>13478.0</v>
      </c>
      <c r="G513" s="11">
        <v>1695.0</v>
      </c>
      <c r="H513" s="11">
        <v>897.0</v>
      </c>
      <c r="I513" s="11">
        <v>0.0</v>
      </c>
      <c r="J513" s="11">
        <v>92.0</v>
      </c>
      <c r="K513" s="11">
        <v>29.0</v>
      </c>
      <c r="L513" s="11">
        <v>5.0</v>
      </c>
      <c r="M513" s="13">
        <f t="shared" ref="M513:O513" si="515">IFERROR(G513/F513,"")</f>
        <v>0.1257604986</v>
      </c>
      <c r="N513" s="13">
        <f t="shared" si="515"/>
        <v>0.5292035398</v>
      </c>
      <c r="O513" s="14">
        <f t="shared" si="515"/>
        <v>0</v>
      </c>
      <c r="P513" s="13">
        <f t="shared" si="3"/>
        <v>0.1025641026</v>
      </c>
      <c r="Q513" s="13">
        <f t="shared" si="4"/>
        <v>0.03232998885</v>
      </c>
      <c r="R513" s="13">
        <f t="shared" si="5"/>
        <v>0.005574136009</v>
      </c>
      <c r="S513" s="14">
        <f t="shared" si="6"/>
        <v>2.572440843</v>
      </c>
      <c r="T513" s="14">
        <f t="shared" si="7"/>
        <v>1.016611264</v>
      </c>
      <c r="U513" s="14">
        <f t="shared" si="8"/>
        <v>2.743116818</v>
      </c>
    </row>
    <row r="514" ht="15.75" customHeight="1">
      <c r="A514" s="9">
        <v>46086.497163588</v>
      </c>
      <c r="B514" s="10">
        <v>11.0</v>
      </c>
      <c r="C514" s="10" t="s">
        <v>84</v>
      </c>
      <c r="D514" s="10" t="s">
        <v>1363</v>
      </c>
      <c r="E514" s="12" t="s">
        <v>62</v>
      </c>
      <c r="F514" s="11">
        <v>1429.0</v>
      </c>
      <c r="G514" s="11">
        <v>19.0</v>
      </c>
      <c r="H514" s="11">
        <v>10.0</v>
      </c>
      <c r="I514" s="11">
        <v>26.0</v>
      </c>
      <c r="J514" s="11">
        <v>3.0</v>
      </c>
      <c r="K514" s="11">
        <v>0.0</v>
      </c>
      <c r="L514" s="11">
        <v>0.0</v>
      </c>
      <c r="M514" s="13">
        <f t="shared" ref="M514:O514" si="516">IFERROR(G514/F514,"")</f>
        <v>0.0132960112</v>
      </c>
      <c r="N514" s="13">
        <f t="shared" si="516"/>
        <v>0.5263157895</v>
      </c>
      <c r="O514" s="14">
        <f t="shared" si="516"/>
        <v>2.6</v>
      </c>
      <c r="P514" s="13">
        <f t="shared" si="3"/>
        <v>0.3</v>
      </c>
      <c r="Q514" s="13">
        <f t="shared" si="4"/>
        <v>0</v>
      </c>
      <c r="R514" s="13">
        <f t="shared" si="5"/>
        <v>0</v>
      </c>
      <c r="S514" s="14">
        <f t="shared" si="6"/>
        <v>0.2784475268</v>
      </c>
      <c r="T514" s="14">
        <f t="shared" si="7"/>
        <v>1.007722294</v>
      </c>
      <c r="U514" s="14">
        <f t="shared" si="8"/>
        <v>0</v>
      </c>
    </row>
    <row r="515" ht="15.75" customHeight="1">
      <c r="A515" s="9">
        <v>46087.2596935764</v>
      </c>
      <c r="B515" s="10">
        <v>6.0</v>
      </c>
      <c r="C515" s="10" t="s">
        <v>60</v>
      </c>
      <c r="D515" s="10" t="s">
        <v>1365</v>
      </c>
      <c r="E515" s="12" t="s">
        <v>62</v>
      </c>
      <c r="F515" s="11">
        <v>102812.0</v>
      </c>
      <c r="G515" s="11">
        <v>6125.0</v>
      </c>
      <c r="H515" s="11">
        <v>2199.0</v>
      </c>
      <c r="I515" s="11">
        <v>550.0</v>
      </c>
      <c r="J515" s="11">
        <v>136.0</v>
      </c>
      <c r="K515" s="11">
        <v>52.0</v>
      </c>
      <c r="L515" s="11">
        <v>37.0</v>
      </c>
      <c r="M515" s="13">
        <f t="shared" ref="M515:O515" si="517">IFERROR(G515/F515,"")</f>
        <v>0.05957475781</v>
      </c>
      <c r="N515" s="13">
        <f t="shared" si="517"/>
        <v>0.3590204082</v>
      </c>
      <c r="O515" s="14">
        <f t="shared" si="517"/>
        <v>0.250113688</v>
      </c>
      <c r="P515" s="13">
        <f t="shared" si="3"/>
        <v>0.06184629377</v>
      </c>
      <c r="Q515" s="13">
        <f t="shared" si="4"/>
        <v>0.02364711232</v>
      </c>
      <c r="R515" s="13">
        <f t="shared" si="5"/>
        <v>0.01682582992</v>
      </c>
      <c r="S515" s="14">
        <f t="shared" si="6"/>
        <v>1.247625602</v>
      </c>
      <c r="T515" s="14">
        <f t="shared" si="7"/>
        <v>0.6874064516</v>
      </c>
      <c r="U515" s="14">
        <f t="shared" si="8"/>
        <v>1.912842572</v>
      </c>
    </row>
    <row r="516" ht="15.75" customHeight="1">
      <c r="A516" s="9">
        <v>46088.2508774421</v>
      </c>
      <c r="B516" s="10">
        <v>6.0</v>
      </c>
      <c r="C516" s="10" t="s">
        <v>69</v>
      </c>
      <c r="D516" s="10" t="s">
        <v>1367</v>
      </c>
      <c r="E516" s="12" t="s">
        <v>62</v>
      </c>
      <c r="F516" s="11">
        <v>14550.0</v>
      </c>
      <c r="G516" s="11">
        <v>877.0</v>
      </c>
      <c r="H516" s="11">
        <v>525.0</v>
      </c>
      <c r="I516" s="11">
        <v>574.0</v>
      </c>
      <c r="J516" s="11">
        <v>33.0</v>
      </c>
      <c r="K516" s="11">
        <v>8.0</v>
      </c>
      <c r="L516" s="11">
        <v>2.0</v>
      </c>
      <c r="M516" s="13">
        <f t="shared" ref="M516:O516" si="518">IFERROR(G516/F516,"")</f>
        <v>0.06027491409</v>
      </c>
      <c r="N516" s="13">
        <f t="shared" si="518"/>
        <v>0.598631699</v>
      </c>
      <c r="O516" s="14">
        <f t="shared" si="518"/>
        <v>1.093333333</v>
      </c>
      <c r="P516" s="13">
        <f t="shared" si="3"/>
        <v>0.06285714286</v>
      </c>
      <c r="Q516" s="13">
        <f t="shared" si="4"/>
        <v>0.01523809524</v>
      </c>
      <c r="R516" s="13">
        <f t="shared" si="5"/>
        <v>0.00380952381</v>
      </c>
      <c r="S516" s="14">
        <f t="shared" si="6"/>
        <v>1.262288404</v>
      </c>
      <c r="T516" s="14">
        <f t="shared" si="7"/>
        <v>1.149984235</v>
      </c>
      <c r="U516" s="14">
        <f t="shared" si="8"/>
        <v>1.172848049</v>
      </c>
    </row>
    <row r="517" ht="15.75" customHeight="1">
      <c r="A517" s="9">
        <v>46090.2557090625</v>
      </c>
      <c r="B517" s="10">
        <v>6.0</v>
      </c>
      <c r="C517" s="10" t="s">
        <v>71</v>
      </c>
      <c r="D517" s="10" t="s">
        <v>1369</v>
      </c>
      <c r="E517" s="12" t="s">
        <v>62</v>
      </c>
      <c r="F517" s="11">
        <v>1067084.0</v>
      </c>
      <c r="G517" s="11">
        <v>115300.0</v>
      </c>
      <c r="H517" s="11">
        <v>45094.0</v>
      </c>
      <c r="I517" s="11">
        <v>40529.0</v>
      </c>
      <c r="J517" s="11">
        <v>1030.0</v>
      </c>
      <c r="K517" s="11">
        <v>232.0</v>
      </c>
      <c r="L517" s="11">
        <v>146.0</v>
      </c>
      <c r="M517" s="13">
        <f t="shared" ref="M517:O517" si="519">IFERROR(G517/F517,"")</f>
        <v>0.1080514749</v>
      </c>
      <c r="N517" s="13">
        <f t="shared" si="519"/>
        <v>0.3911014744</v>
      </c>
      <c r="O517" s="14">
        <f t="shared" si="519"/>
        <v>0.89876702</v>
      </c>
      <c r="P517" s="13">
        <f t="shared" si="3"/>
        <v>0.02284117621</v>
      </c>
      <c r="Q517" s="13">
        <f t="shared" si="4"/>
        <v>0.005144808622</v>
      </c>
      <c r="R517" s="13">
        <f t="shared" si="5"/>
        <v>0.003237681288</v>
      </c>
      <c r="S517" s="14">
        <f t="shared" si="6"/>
        <v>2.183478799</v>
      </c>
      <c r="T517" s="14">
        <f t="shared" si="7"/>
        <v>0.7498805129</v>
      </c>
      <c r="U517" s="14">
        <f t="shared" si="8"/>
        <v>0.3985549027</v>
      </c>
    </row>
    <row r="518" ht="15.75" customHeight="1">
      <c r="A518" s="9">
        <v>46091.5403608796</v>
      </c>
      <c r="B518" s="10">
        <v>12.0</v>
      </c>
      <c r="C518" s="10" t="s">
        <v>59</v>
      </c>
      <c r="D518" s="10" t="s">
        <v>1371</v>
      </c>
      <c r="E518" s="12" t="s">
        <v>62</v>
      </c>
      <c r="F518" s="11">
        <v>2257.0</v>
      </c>
      <c r="G518" s="11">
        <v>37.0</v>
      </c>
      <c r="H518" s="11">
        <v>29.0</v>
      </c>
      <c r="I518" s="11">
        <v>38.0</v>
      </c>
      <c r="J518" s="11">
        <v>3.0</v>
      </c>
      <c r="K518" s="11">
        <v>0.0</v>
      </c>
      <c r="L518" s="11">
        <v>0.0</v>
      </c>
      <c r="M518" s="13">
        <f t="shared" ref="M518:O518" si="520">IFERROR(G518/F518,"")</f>
        <v>0.01639344262</v>
      </c>
      <c r="N518" s="13">
        <f t="shared" si="520"/>
        <v>0.7837837838</v>
      </c>
      <c r="O518" s="14">
        <f t="shared" si="520"/>
        <v>1.310344828</v>
      </c>
      <c r="P518" s="13">
        <f t="shared" si="3"/>
        <v>0.1034482759</v>
      </c>
      <c r="Q518" s="13">
        <f t="shared" si="4"/>
        <v>0</v>
      </c>
      <c r="R518" s="13">
        <f t="shared" si="5"/>
        <v>0</v>
      </c>
      <c r="S518" s="14">
        <f t="shared" si="6"/>
        <v>0.3394839374</v>
      </c>
      <c r="T518" s="14">
        <f t="shared" si="7"/>
        <v>1.508549622</v>
      </c>
      <c r="U518" s="14">
        <f t="shared" si="8"/>
        <v>0</v>
      </c>
    </row>
    <row r="519" ht="15.75" customHeight="1">
      <c r="A519" s="9">
        <v>46092.2506774884</v>
      </c>
      <c r="B519" s="10">
        <v>6.0</v>
      </c>
      <c r="C519" s="10" t="s">
        <v>80</v>
      </c>
      <c r="D519" s="10" t="s">
        <v>1373</v>
      </c>
      <c r="E519" s="12" t="s">
        <v>62</v>
      </c>
      <c r="F519" s="11">
        <v>1009160.0</v>
      </c>
      <c r="G519" s="11">
        <v>45154.0</v>
      </c>
      <c r="H519" s="11">
        <v>22616.0</v>
      </c>
      <c r="I519" s="11">
        <v>17012.0</v>
      </c>
      <c r="J519" s="11">
        <v>891.0</v>
      </c>
      <c r="K519" s="11">
        <v>257.0</v>
      </c>
      <c r="L519" s="11">
        <v>69.0</v>
      </c>
      <c r="M519" s="13">
        <f t="shared" ref="M519:O519" si="521">IFERROR(G519/F519,"")</f>
        <v>0.04474414364</v>
      </c>
      <c r="N519" s="13">
        <f t="shared" si="521"/>
        <v>0.5008637109</v>
      </c>
      <c r="O519" s="14">
        <f t="shared" si="521"/>
        <v>0.7522108242</v>
      </c>
      <c r="P519" s="13">
        <f t="shared" si="3"/>
        <v>0.03939688716</v>
      </c>
      <c r="Q519" s="13">
        <f t="shared" si="4"/>
        <v>0.01136363636</v>
      </c>
      <c r="R519" s="13">
        <f t="shared" si="5"/>
        <v>0.003050937389</v>
      </c>
      <c r="S519" s="14">
        <f t="shared" si="6"/>
        <v>0.9265850016</v>
      </c>
      <c r="T519" s="14">
        <f t="shared" si="7"/>
        <v>0.9640130061</v>
      </c>
      <c r="U519" s="14">
        <f t="shared" si="8"/>
        <v>0.8690375982</v>
      </c>
    </row>
    <row r="520" ht="15.75" customHeight="1">
      <c r="A520" s="9">
        <v>46093.4925071412</v>
      </c>
      <c r="B520" s="10">
        <v>11.0</v>
      </c>
      <c r="C520" s="10" t="s">
        <v>84</v>
      </c>
      <c r="D520" s="10" t="s">
        <v>1375</v>
      </c>
      <c r="E520" s="12" t="s">
        <v>62</v>
      </c>
      <c r="F520" s="11">
        <v>1157655.0</v>
      </c>
      <c r="G520" s="11">
        <v>74146.0</v>
      </c>
      <c r="H520" s="11">
        <v>46624.0</v>
      </c>
      <c r="I520" s="11">
        <v>42343.0</v>
      </c>
      <c r="J520" s="11">
        <v>967.0</v>
      </c>
      <c r="K520" s="11">
        <v>0.0</v>
      </c>
      <c r="L520" s="11">
        <v>166.0</v>
      </c>
      <c r="M520" s="13">
        <f t="shared" ref="M520:O520" si="522">IFERROR(G520/F520,"")</f>
        <v>0.06404844276</v>
      </c>
      <c r="N520" s="13">
        <f t="shared" si="522"/>
        <v>0.6288134222</v>
      </c>
      <c r="O520" s="14">
        <f t="shared" si="522"/>
        <v>0.9081803363</v>
      </c>
      <c r="P520" s="13">
        <f t="shared" si="3"/>
        <v>0.02074039121</v>
      </c>
      <c r="Q520" s="13">
        <f t="shared" si="4"/>
        <v>0</v>
      </c>
      <c r="R520" s="13">
        <f t="shared" si="5"/>
        <v>0.003560398078</v>
      </c>
      <c r="S520" s="14">
        <f t="shared" si="6"/>
        <v>1.326348469</v>
      </c>
      <c r="T520" s="14">
        <f t="shared" si="7"/>
        <v>1.210277974</v>
      </c>
      <c r="U520" s="14">
        <f t="shared" si="8"/>
        <v>0</v>
      </c>
    </row>
    <row r="521" ht="15.75" customHeight="1">
      <c r="A521" s="9">
        <v>46094.2883759722</v>
      </c>
      <c r="B521" s="10">
        <v>6.0</v>
      </c>
      <c r="C521" s="10" t="s">
        <v>60</v>
      </c>
      <c r="D521" s="10" t="s">
        <v>1377</v>
      </c>
      <c r="E521" s="12" t="s">
        <v>62</v>
      </c>
      <c r="F521" s="11">
        <v>317415.0</v>
      </c>
      <c r="G521" s="11">
        <v>17315.0</v>
      </c>
      <c r="H521" s="11">
        <v>12389.0</v>
      </c>
      <c r="I521" s="11">
        <v>13532.0</v>
      </c>
      <c r="J521" s="11">
        <v>250.0</v>
      </c>
      <c r="K521" s="11">
        <v>162.0</v>
      </c>
      <c r="L521" s="11">
        <v>44.0</v>
      </c>
      <c r="M521" s="13">
        <f t="shared" ref="M521:O521" si="523">IFERROR(G521/F521,"")</f>
        <v>0.05455003702</v>
      </c>
      <c r="N521" s="13">
        <f t="shared" si="523"/>
        <v>0.715506786</v>
      </c>
      <c r="O521" s="14">
        <f t="shared" si="523"/>
        <v>1.092259262</v>
      </c>
      <c r="P521" s="13">
        <f t="shared" si="3"/>
        <v>0.02017919122</v>
      </c>
      <c r="Q521" s="13">
        <f t="shared" si="4"/>
        <v>0.01307611591</v>
      </c>
      <c r="R521" s="13">
        <f t="shared" si="5"/>
        <v>0.003551537654</v>
      </c>
      <c r="S521" s="14">
        <f t="shared" si="6"/>
        <v>1.129650542</v>
      </c>
      <c r="T521" s="14">
        <f t="shared" si="7"/>
        <v>1.377136799</v>
      </c>
      <c r="U521" s="14">
        <f t="shared" si="8"/>
        <v>0.9511223299</v>
      </c>
    </row>
    <row r="522" ht="15.75" customHeight="1">
      <c r="A522" s="9">
        <v>46095.2929389699</v>
      </c>
      <c r="B522" s="10">
        <v>7.0</v>
      </c>
      <c r="C522" s="10" t="s">
        <v>69</v>
      </c>
      <c r="D522" s="10" t="s">
        <v>1379</v>
      </c>
      <c r="E522" s="12" t="s">
        <v>62</v>
      </c>
      <c r="F522" s="11">
        <v>14780.0</v>
      </c>
      <c r="G522" s="11">
        <v>587.0</v>
      </c>
      <c r="H522" s="11">
        <v>199.0</v>
      </c>
      <c r="I522" s="11">
        <v>237.0</v>
      </c>
      <c r="J522" s="11">
        <v>34.0</v>
      </c>
      <c r="K522" s="11">
        <v>28.0</v>
      </c>
      <c r="L522" s="11">
        <v>3.0</v>
      </c>
      <c r="M522" s="13">
        <f t="shared" ref="M522:O522" si="524">IFERROR(G522/F522,"")</f>
        <v>0.03971583221</v>
      </c>
      <c r="N522" s="13">
        <f t="shared" si="524"/>
        <v>0.339011925</v>
      </c>
      <c r="O522" s="14">
        <f t="shared" si="524"/>
        <v>1.190954774</v>
      </c>
      <c r="P522" s="13">
        <f t="shared" si="3"/>
        <v>0.1708542714</v>
      </c>
      <c r="Q522" s="13">
        <f t="shared" si="4"/>
        <v>0.1407035176</v>
      </c>
      <c r="R522" s="13">
        <f t="shared" si="5"/>
        <v>0.01507537688</v>
      </c>
      <c r="S522" s="14">
        <f t="shared" si="6"/>
        <v>0.8025681993</v>
      </c>
      <c r="T522" s="14">
        <f t="shared" si="7"/>
        <v>0.6500063356</v>
      </c>
      <c r="U522" s="14">
        <f t="shared" si="8"/>
        <v>10.23440434</v>
      </c>
    </row>
    <row r="523" ht="15.75" customHeight="1">
      <c r="A523" s="9">
        <v>46096.475695463</v>
      </c>
      <c r="B523" s="10">
        <v>11.0</v>
      </c>
      <c r="C523" s="10" t="s">
        <v>77</v>
      </c>
      <c r="D523" s="10" t="s">
        <v>1380</v>
      </c>
      <c r="E523" s="12" t="s">
        <v>62</v>
      </c>
      <c r="F523" s="11">
        <v>9092.0</v>
      </c>
      <c r="G523" s="11">
        <v>690.0</v>
      </c>
      <c r="H523" s="11">
        <v>366.0</v>
      </c>
      <c r="I523" s="11">
        <v>279.0</v>
      </c>
      <c r="J523" s="11">
        <v>64.0</v>
      </c>
      <c r="K523" s="11">
        <v>24.0</v>
      </c>
      <c r="L523" s="11">
        <v>2.0</v>
      </c>
      <c r="M523" s="13">
        <f t="shared" ref="M523:O523" si="525">IFERROR(G523/F523,"")</f>
        <v>0.07589089309</v>
      </c>
      <c r="N523" s="13">
        <f t="shared" si="525"/>
        <v>0.5304347826</v>
      </c>
      <c r="O523" s="14">
        <f t="shared" si="525"/>
        <v>0.762295082</v>
      </c>
      <c r="P523" s="13">
        <f t="shared" si="3"/>
        <v>0.174863388</v>
      </c>
      <c r="Q523" s="13">
        <f t="shared" si="4"/>
        <v>0.06557377049</v>
      </c>
      <c r="R523" s="13">
        <f t="shared" si="5"/>
        <v>0.005464480874</v>
      </c>
      <c r="S523" s="14">
        <f t="shared" si="6"/>
        <v>1.571588091</v>
      </c>
      <c r="T523" s="14">
        <f t="shared" si="7"/>
        <v>1.01418963</v>
      </c>
      <c r="U523" s="14">
        <f t="shared" si="8"/>
        <v>4.769663852</v>
      </c>
    </row>
    <row r="524" ht="15.75" customHeight="1">
      <c r="A524" s="9">
        <v>46097.2512060764</v>
      </c>
      <c r="B524" s="10">
        <v>6.0</v>
      </c>
      <c r="C524" s="10" t="s">
        <v>71</v>
      </c>
      <c r="D524" s="10" t="s">
        <v>1382</v>
      </c>
      <c r="E524" s="12" t="s">
        <v>62</v>
      </c>
      <c r="F524" s="11">
        <v>116064.0</v>
      </c>
      <c r="G524" s="11">
        <v>10787.0</v>
      </c>
      <c r="H524" s="11">
        <v>7328.0</v>
      </c>
      <c r="I524" s="11">
        <v>5342.0</v>
      </c>
      <c r="J524" s="11">
        <v>137.0</v>
      </c>
      <c r="K524" s="11">
        <v>128.0</v>
      </c>
      <c r="L524" s="11">
        <v>27.0</v>
      </c>
      <c r="M524" s="13">
        <f t="shared" ref="M524:O524" si="526">IFERROR(G524/F524,"")</f>
        <v>0.09294010201</v>
      </c>
      <c r="N524" s="13">
        <f t="shared" si="526"/>
        <v>0.6793362381</v>
      </c>
      <c r="O524" s="14">
        <f t="shared" si="526"/>
        <v>0.7289847162</v>
      </c>
      <c r="P524" s="13">
        <f t="shared" si="3"/>
        <v>0.01869541485</v>
      </c>
      <c r="Q524" s="13">
        <f t="shared" si="4"/>
        <v>0.01746724891</v>
      </c>
      <c r="R524" s="13">
        <f t="shared" si="5"/>
        <v>0.003684497817</v>
      </c>
      <c r="S524" s="14">
        <f t="shared" si="6"/>
        <v>1.924651978</v>
      </c>
      <c r="T524" s="14">
        <f t="shared" si="7"/>
        <v>1.298888742</v>
      </c>
      <c r="U524" s="14">
        <f t="shared" si="8"/>
        <v>1.270521812</v>
      </c>
    </row>
    <row r="525" ht="15.75" customHeight="1">
      <c r="A525" s="9">
        <v>46098.2508931597</v>
      </c>
      <c r="B525" s="10">
        <v>6.0</v>
      </c>
      <c r="C525" s="10" t="s">
        <v>59</v>
      </c>
      <c r="D525" s="10" t="s">
        <v>1384</v>
      </c>
      <c r="E525" s="12" t="s">
        <v>62</v>
      </c>
      <c r="F525" s="11">
        <v>2040.0</v>
      </c>
      <c r="G525" s="11">
        <v>31.0</v>
      </c>
      <c r="H525" s="11">
        <v>19.0</v>
      </c>
      <c r="I525" s="11">
        <v>28.0</v>
      </c>
      <c r="J525" s="11">
        <v>3.0</v>
      </c>
      <c r="K525" s="11">
        <v>0.0</v>
      </c>
      <c r="L525" s="11">
        <v>0.0</v>
      </c>
      <c r="M525" s="13">
        <f t="shared" ref="M525:O525" si="527">IFERROR(G525/F525,"")</f>
        <v>0.01519607843</v>
      </c>
      <c r="N525" s="13">
        <f t="shared" si="527"/>
        <v>0.6129032258</v>
      </c>
      <c r="O525" s="14">
        <f t="shared" si="527"/>
        <v>1.473684211</v>
      </c>
      <c r="P525" s="13">
        <f t="shared" si="3"/>
        <v>0.1578947368</v>
      </c>
      <c r="Q525" s="13">
        <f t="shared" si="4"/>
        <v>0</v>
      </c>
      <c r="R525" s="13">
        <f t="shared" si="5"/>
        <v>0</v>
      </c>
      <c r="S525" s="14">
        <f t="shared" si="6"/>
        <v>0.3182390864</v>
      </c>
      <c r="T525" s="14">
        <f t="shared" si="7"/>
        <v>1.169073437</v>
      </c>
      <c r="U525" s="14">
        <f t="shared" si="8"/>
        <v>0</v>
      </c>
    </row>
    <row r="526" ht="15.75" customHeight="1">
      <c r="A526" s="9">
        <v>46099.2503485764</v>
      </c>
      <c r="B526" s="10">
        <v>6.0</v>
      </c>
      <c r="C526" s="10" t="s">
        <v>80</v>
      </c>
      <c r="D526" s="10" t="s">
        <v>1386</v>
      </c>
      <c r="E526" s="12" t="s">
        <v>62</v>
      </c>
      <c r="F526" s="11">
        <v>34031.0</v>
      </c>
      <c r="G526" s="11">
        <v>1254.0</v>
      </c>
      <c r="H526" s="11">
        <v>434.0</v>
      </c>
      <c r="I526" s="11">
        <v>419.0</v>
      </c>
      <c r="J526" s="11">
        <v>43.0</v>
      </c>
      <c r="K526" s="11">
        <v>21.0</v>
      </c>
      <c r="L526" s="11">
        <v>8.0</v>
      </c>
      <c r="M526" s="13">
        <f t="shared" ref="M526:O526" si="528">IFERROR(G526/F526,"")</f>
        <v>0.03684875555</v>
      </c>
      <c r="N526" s="13">
        <f t="shared" si="528"/>
        <v>0.346092504</v>
      </c>
      <c r="O526" s="14">
        <f t="shared" si="528"/>
        <v>0.965437788</v>
      </c>
      <c r="P526" s="13">
        <f t="shared" si="3"/>
        <v>0.09907834101</v>
      </c>
      <c r="Q526" s="13">
        <f t="shared" si="4"/>
        <v>0.04838709677</v>
      </c>
      <c r="R526" s="13">
        <f t="shared" si="5"/>
        <v>0.01843317972</v>
      </c>
      <c r="S526" s="14">
        <f t="shared" si="6"/>
        <v>0.7860572931</v>
      </c>
      <c r="T526" s="14">
        <f t="shared" si="7"/>
        <v>0.6639189438</v>
      </c>
      <c r="U526" s="14">
        <f t="shared" si="8"/>
        <v>3.511882252</v>
      </c>
    </row>
    <row r="527" ht="15.75" customHeight="1">
      <c r="A527" s="9">
        <v>46100.5297311111</v>
      </c>
      <c r="B527" s="10">
        <v>12.0</v>
      </c>
      <c r="C527" s="10" t="s">
        <v>84</v>
      </c>
      <c r="D527" s="10" t="s">
        <v>1388</v>
      </c>
      <c r="E527" s="12" t="s">
        <v>62</v>
      </c>
      <c r="F527" s="11">
        <v>1276.0</v>
      </c>
      <c r="G527" s="11">
        <v>33.0</v>
      </c>
      <c r="H527" s="11">
        <v>16.0</v>
      </c>
      <c r="I527" s="11">
        <v>27.0</v>
      </c>
      <c r="J527" s="11">
        <v>3.0</v>
      </c>
      <c r="K527" s="11">
        <v>0.0</v>
      </c>
      <c r="L527" s="11">
        <v>0.0</v>
      </c>
      <c r="M527" s="13">
        <f t="shared" ref="M527:O527" si="529">IFERROR(G527/F527,"")</f>
        <v>0.02586206897</v>
      </c>
      <c r="N527" s="13">
        <f t="shared" si="529"/>
        <v>0.4848484848</v>
      </c>
      <c r="O527" s="14">
        <f t="shared" si="529"/>
        <v>1.6875</v>
      </c>
      <c r="P527" s="13">
        <f t="shared" si="3"/>
        <v>0.1875</v>
      </c>
      <c r="Q527" s="13">
        <f t="shared" si="4"/>
        <v>0</v>
      </c>
      <c r="R527" s="13">
        <f t="shared" si="5"/>
        <v>0</v>
      </c>
      <c r="S527" s="14">
        <f t="shared" si="6"/>
        <v>0.5416082338</v>
      </c>
      <c r="T527" s="14">
        <f t="shared" si="7"/>
        <v>0.924817264</v>
      </c>
      <c r="U527" s="14">
        <f t="shared" si="8"/>
        <v>0</v>
      </c>
    </row>
    <row r="528" ht="15.75" customHeight="1">
      <c r="A528" s="9">
        <v>46101.2511552778</v>
      </c>
      <c r="B528" s="10">
        <v>6.0</v>
      </c>
      <c r="C528" s="10" t="s">
        <v>60</v>
      </c>
      <c r="D528" s="10" t="s">
        <v>1389</v>
      </c>
      <c r="E528" s="12" t="s">
        <v>62</v>
      </c>
      <c r="F528" s="11">
        <v>725454.0</v>
      </c>
      <c r="G528" s="11">
        <v>12428.0</v>
      </c>
      <c r="H528" s="11">
        <v>1757.0</v>
      </c>
      <c r="I528" s="11">
        <v>1140.0</v>
      </c>
      <c r="J528" s="11">
        <v>118.0</v>
      </c>
      <c r="K528" s="11">
        <v>55.0</v>
      </c>
      <c r="L528" s="11">
        <v>93.0</v>
      </c>
      <c r="M528" s="13">
        <f t="shared" ref="M528:O528" si="530">IFERROR(G528/F528,"")</f>
        <v>0.0171313412</v>
      </c>
      <c r="N528" s="13">
        <f t="shared" si="530"/>
        <v>0.1413743161</v>
      </c>
      <c r="O528" s="14">
        <f t="shared" si="530"/>
        <v>0.6488332385</v>
      </c>
      <c r="P528" s="13">
        <f t="shared" si="3"/>
        <v>0.0671599317</v>
      </c>
      <c r="Q528" s="13">
        <f t="shared" si="4"/>
        <v>0.031303358</v>
      </c>
      <c r="R528" s="13">
        <f t="shared" si="5"/>
        <v>0.05293113261</v>
      </c>
      <c r="S528" s="14">
        <f t="shared" si="6"/>
        <v>0.3587677174</v>
      </c>
      <c r="T528" s="14">
        <f t="shared" si="7"/>
        <v>0.2696624044</v>
      </c>
      <c r="U528" s="14">
        <f t="shared" si="8"/>
        <v>2.229234797</v>
      </c>
    </row>
    <row r="529" ht="15.75" customHeight="1">
      <c r="A529" s="9">
        <v>46102.2506233912</v>
      </c>
      <c r="B529" s="10">
        <v>6.0</v>
      </c>
      <c r="C529" s="10" t="s">
        <v>69</v>
      </c>
      <c r="D529" s="10" t="s">
        <v>1391</v>
      </c>
      <c r="E529" s="12" t="s">
        <v>62</v>
      </c>
      <c r="F529" s="11">
        <v>878352.0</v>
      </c>
      <c r="G529" s="11">
        <v>50219.0</v>
      </c>
      <c r="H529" s="11">
        <v>25094.0</v>
      </c>
      <c r="I529" s="11">
        <v>18808.0</v>
      </c>
      <c r="J529" s="11">
        <v>410.0</v>
      </c>
      <c r="K529" s="11">
        <v>295.0</v>
      </c>
      <c r="L529" s="11">
        <v>61.0</v>
      </c>
      <c r="M529" s="13">
        <f t="shared" ref="M529:O529" si="531">IFERROR(G529/F529,"")</f>
        <v>0.05717411698</v>
      </c>
      <c r="N529" s="13">
        <f t="shared" si="531"/>
        <v>0.4996913519</v>
      </c>
      <c r="O529" s="14">
        <f t="shared" si="531"/>
        <v>0.749501873</v>
      </c>
      <c r="P529" s="13">
        <f t="shared" si="3"/>
        <v>0.01633856699</v>
      </c>
      <c r="Q529" s="13">
        <f t="shared" si="4"/>
        <v>0.0117557982</v>
      </c>
      <c r="R529" s="13">
        <f t="shared" si="5"/>
        <v>0.002430859967</v>
      </c>
      <c r="S529" s="14">
        <f t="shared" si="6"/>
        <v>1.211015446</v>
      </c>
      <c r="T529" s="14">
        <f t="shared" si="7"/>
        <v>0.9554082872</v>
      </c>
      <c r="U529" s="14">
        <f t="shared" si="8"/>
        <v>0.8432266108</v>
      </c>
    </row>
    <row r="530" ht="15.75" customHeight="1">
      <c r="A530" s="9">
        <v>46104.2543769097</v>
      </c>
      <c r="B530" s="10">
        <v>6.0</v>
      </c>
      <c r="C530" s="10" t="s">
        <v>71</v>
      </c>
      <c r="D530" s="10" t="s">
        <v>1393</v>
      </c>
      <c r="E530" s="12" t="s">
        <v>62</v>
      </c>
      <c r="F530" s="11">
        <v>327330.0</v>
      </c>
      <c r="G530" s="11">
        <v>68209.0</v>
      </c>
      <c r="H530" s="11">
        <v>45372.0</v>
      </c>
      <c r="I530" s="11">
        <v>23554.0</v>
      </c>
      <c r="J530" s="11">
        <v>1530.0</v>
      </c>
      <c r="K530" s="11">
        <v>260.0</v>
      </c>
      <c r="L530" s="11">
        <v>106.0</v>
      </c>
      <c r="M530" s="13">
        <f t="shared" ref="M530:O530" si="532">IFERROR(G530/F530,"")</f>
        <v>0.2083799224</v>
      </c>
      <c r="N530" s="13">
        <f t="shared" si="532"/>
        <v>0.6651908106</v>
      </c>
      <c r="O530" s="14">
        <f t="shared" si="532"/>
        <v>0.5191307414</v>
      </c>
      <c r="P530" s="13">
        <f t="shared" si="3"/>
        <v>0.03372123777</v>
      </c>
      <c r="Q530" s="13">
        <f t="shared" si="4"/>
        <v>0.005730406418</v>
      </c>
      <c r="R530" s="13">
        <f t="shared" si="5"/>
        <v>0.002336242617</v>
      </c>
      <c r="S530" s="14">
        <f t="shared" si="6"/>
        <v>4.413733312</v>
      </c>
      <c r="T530" s="14">
        <f t="shared" si="7"/>
        <v>1.27184273</v>
      </c>
      <c r="U530" s="14">
        <f t="shared" si="8"/>
        <v>0.4051775486</v>
      </c>
    </row>
    <row r="531" ht="15.75" customHeight="1">
      <c r="A531" s="9">
        <v>46105.5318287616</v>
      </c>
      <c r="B531" s="10">
        <v>12.0</v>
      </c>
      <c r="C531" s="10" t="s">
        <v>59</v>
      </c>
      <c r="D531" s="10" t="s">
        <v>1395</v>
      </c>
      <c r="E531" s="12" t="s">
        <v>62</v>
      </c>
      <c r="F531" s="11">
        <v>2176.0</v>
      </c>
      <c r="G531" s="11">
        <v>35.0</v>
      </c>
      <c r="H531" s="11">
        <v>21.0</v>
      </c>
      <c r="I531" s="11">
        <v>22.0</v>
      </c>
      <c r="J531" s="11">
        <v>2.0</v>
      </c>
      <c r="K531" s="11">
        <v>0.0</v>
      </c>
      <c r="L531" s="11">
        <v>0.0</v>
      </c>
      <c r="M531" s="13">
        <f t="shared" ref="M531:O531" si="533">IFERROR(G531/F531,"")</f>
        <v>0.01608455882</v>
      </c>
      <c r="N531" s="13">
        <f t="shared" si="533"/>
        <v>0.6</v>
      </c>
      <c r="O531" s="14">
        <f t="shared" si="533"/>
        <v>1.047619048</v>
      </c>
      <c r="P531" s="13">
        <f t="shared" si="3"/>
        <v>0.09523809524</v>
      </c>
      <c r="Q531" s="13">
        <f t="shared" si="4"/>
        <v>0</v>
      </c>
      <c r="R531" s="13">
        <f t="shared" si="5"/>
        <v>0</v>
      </c>
      <c r="S531" s="14">
        <f t="shared" si="6"/>
        <v>0.3406899871</v>
      </c>
      <c r="T531" s="14">
        <f t="shared" si="7"/>
        <v>1.147198106</v>
      </c>
      <c r="U531" s="14">
        <f t="shared" si="8"/>
        <v>0</v>
      </c>
    </row>
    <row r="532" ht="15.75" customHeight="1">
      <c r="A532" s="9">
        <v>46106.2951391204</v>
      </c>
      <c r="B532" s="10">
        <v>7.0</v>
      </c>
      <c r="C532" s="10" t="s">
        <v>80</v>
      </c>
      <c r="D532" s="10" t="s">
        <v>1397</v>
      </c>
      <c r="E532" s="12" t="s">
        <v>62</v>
      </c>
      <c r="F532" s="11">
        <v>544316.0</v>
      </c>
      <c r="G532" s="11">
        <v>9585.0</v>
      </c>
      <c r="H532" s="11">
        <v>1968.0</v>
      </c>
      <c r="I532" s="11">
        <v>1483.0</v>
      </c>
      <c r="J532" s="11">
        <v>116.0</v>
      </c>
      <c r="K532" s="11">
        <v>31.0</v>
      </c>
      <c r="L532" s="11">
        <v>46.0</v>
      </c>
      <c r="M532" s="13">
        <f t="shared" ref="M532:O532" si="534">IFERROR(G532/F532,"")</f>
        <v>0.01760925639</v>
      </c>
      <c r="N532" s="13">
        <f t="shared" si="534"/>
        <v>0.2053208138</v>
      </c>
      <c r="O532" s="14">
        <f t="shared" si="534"/>
        <v>0.7535569106</v>
      </c>
      <c r="P532" s="13">
        <f t="shared" si="3"/>
        <v>0.05894308943</v>
      </c>
      <c r="Q532" s="13">
        <f t="shared" si="4"/>
        <v>0.01575203252</v>
      </c>
      <c r="R532" s="13">
        <f t="shared" si="5"/>
        <v>0.02337398374</v>
      </c>
      <c r="S532" s="14">
        <f t="shared" si="6"/>
        <v>0.3729848856</v>
      </c>
      <c r="T532" s="14">
        <f t="shared" si="7"/>
        <v>0.3925727477</v>
      </c>
      <c r="U532" s="14">
        <f t="shared" si="8"/>
        <v>1.109802291</v>
      </c>
    </row>
    <row r="533" ht="15.75" customHeight="1">
      <c r="A533" s="9">
        <v>46107.5621147454</v>
      </c>
      <c r="B533" s="10">
        <v>13.0</v>
      </c>
      <c r="C533" s="10" t="s">
        <v>84</v>
      </c>
      <c r="D533" s="10" t="s">
        <v>1399</v>
      </c>
      <c r="E533" s="12" t="s">
        <v>62</v>
      </c>
      <c r="F533" s="11">
        <v>1351.0</v>
      </c>
      <c r="G533" s="11">
        <v>11.0</v>
      </c>
      <c r="H533" s="11">
        <v>8.0</v>
      </c>
      <c r="I533" s="11">
        <v>13.0</v>
      </c>
      <c r="J533" s="11">
        <v>4.0</v>
      </c>
      <c r="K533" s="11">
        <v>0.0</v>
      </c>
      <c r="L533" s="11">
        <v>0.0</v>
      </c>
      <c r="M533" s="13">
        <f t="shared" ref="M533:O533" si="535">IFERROR(G533/F533,"")</f>
        <v>0.00814211695</v>
      </c>
      <c r="N533" s="13">
        <f t="shared" si="535"/>
        <v>0.7272727273</v>
      </c>
      <c r="O533" s="14">
        <f t="shared" si="535"/>
        <v>1.625</v>
      </c>
      <c r="P533" s="13">
        <f t="shared" si="3"/>
        <v>0.5</v>
      </c>
      <c r="Q533" s="13">
        <f t="shared" si="4"/>
        <v>0</v>
      </c>
      <c r="R533" s="13">
        <f t="shared" si="5"/>
        <v>0</v>
      </c>
      <c r="S533" s="14">
        <f t="shared" si="6"/>
        <v>0.1633539928</v>
      </c>
      <c r="T533" s="14">
        <f t="shared" si="7"/>
        <v>1.405586592</v>
      </c>
      <c r="U533" s="14">
        <f t="shared" si="8"/>
        <v>0</v>
      </c>
    </row>
    <row r="534" ht="15.75" customHeight="1">
      <c r="A534" s="9">
        <v>46108.2778741898</v>
      </c>
      <c r="B534" s="10">
        <v>6.0</v>
      </c>
      <c r="C534" s="10" t="s">
        <v>60</v>
      </c>
      <c r="D534" s="10" t="s">
        <v>1401</v>
      </c>
      <c r="E534" s="12" t="s">
        <v>62</v>
      </c>
      <c r="F534" s="11">
        <v>485704.0</v>
      </c>
      <c r="G534" s="11">
        <v>47844.0</v>
      </c>
      <c r="H534" s="11">
        <v>23559.0</v>
      </c>
      <c r="I534" s="11">
        <v>25082.0</v>
      </c>
      <c r="J534" s="11">
        <v>423.0</v>
      </c>
      <c r="K534" s="11">
        <v>655.0</v>
      </c>
      <c r="L534" s="11">
        <v>110.0</v>
      </c>
      <c r="M534" s="13">
        <f t="shared" ref="M534:O534" si="536">IFERROR(G534/F534,"")</f>
        <v>0.09850443892</v>
      </c>
      <c r="N534" s="13">
        <f t="shared" si="536"/>
        <v>0.4924128417</v>
      </c>
      <c r="O534" s="14">
        <f t="shared" si="536"/>
        <v>1.064646207</v>
      </c>
      <c r="P534" s="13">
        <f t="shared" si="3"/>
        <v>0.01795492169</v>
      </c>
      <c r="Q534" s="13">
        <f t="shared" si="4"/>
        <v>0.02780253831</v>
      </c>
      <c r="R534" s="13">
        <f t="shared" si="5"/>
        <v>0.004669128571</v>
      </c>
      <c r="S534" s="14">
        <f t="shared" si="6"/>
        <v>2.007576376</v>
      </c>
      <c r="T534" s="14">
        <f t="shared" si="7"/>
        <v>0.952934302</v>
      </c>
      <c r="U534" s="14">
        <f t="shared" si="8"/>
        <v>1.78027437</v>
      </c>
    </row>
    <row r="535" ht="15.75" customHeight="1">
      <c r="A535" s="9">
        <v>46109.2921509607</v>
      </c>
      <c r="B535" s="10">
        <v>7.0</v>
      </c>
      <c r="C535" s="10" t="s">
        <v>69</v>
      </c>
      <c r="D535" s="10" t="s">
        <v>1403</v>
      </c>
      <c r="E535" s="12" t="s">
        <v>62</v>
      </c>
      <c r="F535" s="11">
        <v>2855138.0</v>
      </c>
      <c r="G535" s="11">
        <v>317033.0</v>
      </c>
      <c r="H535" s="11">
        <v>139292.0</v>
      </c>
      <c r="I535" s="11">
        <v>105572.0</v>
      </c>
      <c r="J535" s="11">
        <v>3976.0</v>
      </c>
      <c r="K535" s="11">
        <v>1970.0</v>
      </c>
      <c r="L535" s="11">
        <v>653.0</v>
      </c>
      <c r="M535" s="13">
        <f t="shared" ref="M535:O535" si="537">IFERROR(G535/F535,"")</f>
        <v>0.1110394664</v>
      </c>
      <c r="N535" s="13">
        <f t="shared" si="537"/>
        <v>0.4393612021</v>
      </c>
      <c r="O535" s="14">
        <f t="shared" si="537"/>
        <v>0.757918617</v>
      </c>
      <c r="P535" s="13">
        <f t="shared" si="3"/>
        <v>0.02854435287</v>
      </c>
      <c r="Q535" s="13">
        <f t="shared" si="4"/>
        <v>0.0141429515</v>
      </c>
      <c r="R535" s="13">
        <f t="shared" si="5"/>
        <v>0.004687993567</v>
      </c>
      <c r="S535" s="14">
        <f t="shared" si="6"/>
        <v>2.227767091</v>
      </c>
      <c r="T535" s="14">
        <f t="shared" si="7"/>
        <v>0.8491452954</v>
      </c>
      <c r="U535" s="14">
        <f t="shared" si="8"/>
        <v>0.897849308</v>
      </c>
    </row>
    <row r="536" ht="15.75" customHeight="1">
      <c r="A536" s="9">
        <v>46111.2501045602</v>
      </c>
      <c r="B536" s="10">
        <v>6.0</v>
      </c>
      <c r="C536" s="10" t="s">
        <v>71</v>
      </c>
      <c r="D536" s="10" t="s">
        <v>1405</v>
      </c>
      <c r="E536" s="12" t="s">
        <v>62</v>
      </c>
      <c r="F536" s="11">
        <v>590625.0</v>
      </c>
      <c r="G536" s="11">
        <v>25850.0</v>
      </c>
      <c r="H536" s="11">
        <v>14418.0</v>
      </c>
      <c r="I536" s="11">
        <v>14788.0</v>
      </c>
      <c r="J536" s="11">
        <v>547.0</v>
      </c>
      <c r="K536" s="11">
        <v>524.0</v>
      </c>
      <c r="L536" s="11">
        <v>59.0</v>
      </c>
      <c r="M536" s="13">
        <f t="shared" ref="M536:O536" si="538">IFERROR(G536/F536,"")</f>
        <v>0.04376719577</v>
      </c>
      <c r="N536" s="13">
        <f t="shared" si="538"/>
        <v>0.5577562863</v>
      </c>
      <c r="O536" s="14">
        <f t="shared" si="538"/>
        <v>1.025662366</v>
      </c>
      <c r="P536" s="13">
        <f t="shared" si="3"/>
        <v>0.03793868775</v>
      </c>
      <c r="Q536" s="13">
        <f t="shared" si="4"/>
        <v>0.03634345956</v>
      </c>
      <c r="R536" s="13">
        <f t="shared" si="5"/>
        <v>0.004092107088</v>
      </c>
      <c r="S536" s="14">
        <f t="shared" si="6"/>
        <v>0.8735318977</v>
      </c>
      <c r="T536" s="14">
        <f t="shared" si="7"/>
        <v>1.077965292</v>
      </c>
      <c r="U536" s="14">
        <f t="shared" si="8"/>
        <v>2.307223498</v>
      </c>
    </row>
    <row r="537" ht="15.75" customHeight="1">
      <c r="A537" s="9">
        <v>46112.4899185764</v>
      </c>
      <c r="B537" s="10">
        <v>11.0</v>
      </c>
      <c r="C537" s="10" t="s">
        <v>59</v>
      </c>
      <c r="D537" s="10" t="s">
        <v>1407</v>
      </c>
      <c r="E537" s="12" t="s">
        <v>62</v>
      </c>
      <c r="F537" s="11">
        <v>1522.0</v>
      </c>
      <c r="G537" s="11">
        <v>20.0</v>
      </c>
      <c r="H537" s="11">
        <v>7.0</v>
      </c>
      <c r="I537" s="11">
        <v>9.0</v>
      </c>
      <c r="J537" s="11">
        <v>3.0</v>
      </c>
      <c r="K537" s="11">
        <v>0.0</v>
      </c>
      <c r="L537" s="11">
        <v>0.0</v>
      </c>
      <c r="M537" s="13">
        <f t="shared" ref="M537:O537" si="539">IFERROR(G537/F537,"")</f>
        <v>0.01314060447</v>
      </c>
      <c r="N537" s="13">
        <f t="shared" si="539"/>
        <v>0.35</v>
      </c>
      <c r="O537" s="14">
        <f t="shared" si="539"/>
        <v>1.285714286</v>
      </c>
      <c r="P537" s="13">
        <f t="shared" si="3"/>
        <v>0.4285714286</v>
      </c>
      <c r="Q537" s="13">
        <f t="shared" si="4"/>
        <v>0</v>
      </c>
      <c r="R537" s="13">
        <f t="shared" si="5"/>
        <v>0</v>
      </c>
      <c r="S537" s="14">
        <f t="shared" si="6"/>
        <v>0.2629511669</v>
      </c>
      <c r="T537" s="14">
        <f t="shared" si="7"/>
        <v>0.6773320625</v>
      </c>
      <c r="U537" s="14">
        <f t="shared" si="8"/>
        <v>0</v>
      </c>
    </row>
    <row r="538" ht="15.75" customHeight="1">
      <c r="A538" s="9">
        <v>46113.2517030671</v>
      </c>
      <c r="B538" s="10">
        <v>6.0</v>
      </c>
      <c r="C538" s="10" t="s">
        <v>80</v>
      </c>
      <c r="D538" s="10" t="s">
        <v>1409</v>
      </c>
      <c r="E538" s="12" t="s">
        <v>62</v>
      </c>
      <c r="F538" s="11">
        <v>970923.0</v>
      </c>
      <c r="G538" s="11">
        <v>107697.0</v>
      </c>
      <c r="H538" s="11">
        <v>26578.0</v>
      </c>
      <c r="I538" s="11">
        <v>21138.0</v>
      </c>
      <c r="J538" s="11">
        <v>686.0</v>
      </c>
      <c r="K538" s="11">
        <v>163.0</v>
      </c>
      <c r="L538" s="11">
        <v>174.0</v>
      </c>
      <c r="M538" s="13">
        <f t="shared" ref="M538:O538" si="540">IFERROR(G538/F538,"")</f>
        <v>0.1109222873</v>
      </c>
      <c r="N538" s="13">
        <f t="shared" si="540"/>
        <v>0.2467849615</v>
      </c>
      <c r="O538" s="14">
        <f t="shared" si="540"/>
        <v>0.7953194371</v>
      </c>
      <c r="P538" s="13">
        <f t="shared" si="3"/>
        <v>0.02581082098</v>
      </c>
      <c r="Q538" s="13">
        <f t="shared" si="4"/>
        <v>0.006132891865</v>
      </c>
      <c r="R538" s="13">
        <f t="shared" si="5"/>
        <v>0.006546768004</v>
      </c>
      <c r="S538" s="14">
        <f t="shared" si="6"/>
        <v>2.219619726</v>
      </c>
      <c r="T538" s="14">
        <f t="shared" si="7"/>
        <v>0.4775867628</v>
      </c>
      <c r="U538" s="14">
        <f t="shared" si="8"/>
        <v>0.384422836</v>
      </c>
    </row>
    <row r="539" ht="15.75" customHeight="1">
      <c r="A539" s="9">
        <v>46114.2932734838</v>
      </c>
      <c r="B539" s="10">
        <v>7.0</v>
      </c>
      <c r="C539" s="10" t="s">
        <v>84</v>
      </c>
      <c r="D539" s="10" t="s">
        <v>1411</v>
      </c>
      <c r="E539" s="12" t="s">
        <v>62</v>
      </c>
      <c r="F539" s="11">
        <v>1361.0</v>
      </c>
      <c r="G539" s="11">
        <v>21.0</v>
      </c>
      <c r="H539" s="11">
        <v>6.0</v>
      </c>
      <c r="I539" s="11">
        <v>7.0</v>
      </c>
      <c r="J539" s="11">
        <v>3.0</v>
      </c>
      <c r="K539" s="11">
        <v>0.0</v>
      </c>
      <c r="L539" s="11">
        <v>1.0</v>
      </c>
      <c r="M539" s="13">
        <f t="shared" ref="M539:O539" si="541">IFERROR(G539/F539,"")</f>
        <v>0.01542983101</v>
      </c>
      <c r="N539" s="13">
        <f t="shared" si="541"/>
        <v>0.2857142857</v>
      </c>
      <c r="O539" s="14">
        <f t="shared" si="541"/>
        <v>1.166666667</v>
      </c>
      <c r="P539" s="13">
        <f t="shared" si="3"/>
        <v>0.5</v>
      </c>
      <c r="Q539" s="13">
        <f t="shared" si="4"/>
        <v>0</v>
      </c>
      <c r="R539" s="13">
        <f t="shared" si="5"/>
        <v>0.1666666667</v>
      </c>
      <c r="S539" s="14">
        <f t="shared" si="6"/>
        <v>0.2967310413</v>
      </c>
      <c r="T539" s="14">
        <f t="shared" si="7"/>
        <v>0.5521947326</v>
      </c>
      <c r="U539" s="14">
        <f t="shared" si="8"/>
        <v>0</v>
      </c>
    </row>
    <row r="540" ht="15.75" customHeight="1">
      <c r="A540" s="9">
        <v>46115.2922791435</v>
      </c>
      <c r="B540" s="10">
        <v>7.0</v>
      </c>
      <c r="C540" s="10" t="s">
        <v>60</v>
      </c>
      <c r="D540" s="10" t="s">
        <v>1413</v>
      </c>
      <c r="E540" s="12" t="s">
        <v>62</v>
      </c>
      <c r="F540" s="11">
        <v>169399.0</v>
      </c>
      <c r="G540" s="11">
        <v>5931.0</v>
      </c>
      <c r="H540" s="11">
        <v>1366.0</v>
      </c>
      <c r="I540" s="11">
        <v>1380.0</v>
      </c>
      <c r="J540" s="11">
        <v>65.0</v>
      </c>
      <c r="K540" s="11">
        <v>35.0</v>
      </c>
      <c r="L540" s="11">
        <v>54.0</v>
      </c>
      <c r="M540" s="13">
        <f t="shared" ref="M540:O540" si="542">IFERROR(G540/F540,"")</f>
        <v>0.03501201306</v>
      </c>
      <c r="N540" s="13">
        <f t="shared" si="542"/>
        <v>0.2303152925</v>
      </c>
      <c r="O540" s="14">
        <f t="shared" si="542"/>
        <v>1.010248902</v>
      </c>
      <c r="P540" s="13">
        <f t="shared" si="3"/>
        <v>0.04758418741</v>
      </c>
      <c r="Q540" s="13">
        <f t="shared" si="4"/>
        <v>0.02562225476</v>
      </c>
      <c r="R540" s="13">
        <f t="shared" si="5"/>
        <v>0.03953147877</v>
      </c>
      <c r="S540" s="14">
        <f t="shared" si="6"/>
        <v>0.6595025058</v>
      </c>
      <c r="T540" s="14">
        <f t="shared" si="7"/>
        <v>0.4442052234</v>
      </c>
      <c r="U540" s="14">
        <f t="shared" si="8"/>
        <v>1.606057967</v>
      </c>
    </row>
    <row r="541" ht="15.75" customHeight="1">
      <c r="A541" s="9">
        <v>46116.2931759259</v>
      </c>
      <c r="B541" s="10">
        <v>7.0</v>
      </c>
      <c r="C541" s="10" t="s">
        <v>69</v>
      </c>
      <c r="D541" s="10" t="s">
        <v>1415</v>
      </c>
      <c r="E541" s="12" t="s">
        <v>62</v>
      </c>
      <c r="F541" s="11">
        <v>591045.0</v>
      </c>
      <c r="G541" s="11">
        <v>95361.0</v>
      </c>
      <c r="H541" s="11">
        <v>32985.0</v>
      </c>
      <c r="I541" s="11">
        <v>17237.0</v>
      </c>
      <c r="J541" s="11">
        <v>881.0</v>
      </c>
      <c r="K541" s="11">
        <v>628.0</v>
      </c>
      <c r="L541" s="11">
        <v>120.0</v>
      </c>
      <c r="M541" s="13">
        <f t="shared" ref="M541:O541" si="543">IFERROR(G541/F541,"")</f>
        <v>0.1613430449</v>
      </c>
      <c r="N541" s="13">
        <f t="shared" si="543"/>
        <v>0.3458961211</v>
      </c>
      <c r="O541" s="14">
        <f t="shared" si="543"/>
        <v>0.5225708655</v>
      </c>
      <c r="P541" s="13">
        <f t="shared" si="3"/>
        <v>0.0267091102</v>
      </c>
      <c r="Q541" s="13">
        <f t="shared" si="4"/>
        <v>0.0190389571</v>
      </c>
      <c r="R541" s="13">
        <f t="shared" si="5"/>
        <v>0.003638017281</v>
      </c>
      <c r="S541" s="14">
        <f t="shared" si="6"/>
        <v>2.978036398</v>
      </c>
      <c r="T541" s="14">
        <f t="shared" si="7"/>
        <v>0.6657466936</v>
      </c>
      <c r="U541" s="14">
        <f t="shared" si="8"/>
        <v>1.18363138</v>
      </c>
    </row>
    <row r="542" ht="15.75" customHeight="1">
      <c r="A542" s="9">
        <v>46118.2513131482</v>
      </c>
      <c r="B542" s="10">
        <v>6.0</v>
      </c>
      <c r="C542" s="10" t="s">
        <v>71</v>
      </c>
      <c r="D542" s="10" t="s">
        <v>1417</v>
      </c>
      <c r="E542" s="12" t="s">
        <v>62</v>
      </c>
      <c r="F542" s="11">
        <v>63631.0</v>
      </c>
      <c r="G542" s="11">
        <v>4845.0</v>
      </c>
      <c r="H542" s="11">
        <v>2534.0</v>
      </c>
      <c r="I542" s="11">
        <v>2822.0</v>
      </c>
      <c r="J542" s="11">
        <v>129.0</v>
      </c>
      <c r="K542" s="11">
        <v>148.0</v>
      </c>
      <c r="L542" s="11">
        <v>7.0</v>
      </c>
      <c r="M542" s="13">
        <f t="shared" ref="M542:O542" si="544">IFERROR(G542/F542,"")</f>
        <v>0.07614213198</v>
      </c>
      <c r="N542" s="13">
        <f t="shared" si="544"/>
        <v>0.5230134159</v>
      </c>
      <c r="O542" s="14">
        <f t="shared" si="544"/>
        <v>1.113654301</v>
      </c>
      <c r="P542" s="13">
        <f t="shared" si="3"/>
        <v>0.05090765588</v>
      </c>
      <c r="Q542" s="13">
        <f t="shared" si="4"/>
        <v>0.05840568272</v>
      </c>
      <c r="R542" s="13">
        <f t="shared" si="5"/>
        <v>0.002762430939</v>
      </c>
      <c r="S542" s="14">
        <f t="shared" si="6"/>
        <v>1.40541565</v>
      </c>
      <c r="T542" s="14">
        <f t="shared" si="7"/>
        <v>1.006644571</v>
      </c>
      <c r="U542" s="14">
        <f t="shared" si="8"/>
        <v>3.631018153</v>
      </c>
    </row>
    <row r="543" ht="15.75" customHeight="1">
      <c r="A543" s="9">
        <v>46119.4595650926</v>
      </c>
      <c r="B543" s="10">
        <v>11.0</v>
      </c>
      <c r="C543" s="10" t="s">
        <v>59</v>
      </c>
      <c r="D543" s="10" t="s">
        <v>1418</v>
      </c>
      <c r="E543" s="12" t="s">
        <v>62</v>
      </c>
      <c r="F543" s="11">
        <v>1990.0</v>
      </c>
      <c r="G543" s="11">
        <v>39.0</v>
      </c>
      <c r="H543" s="11">
        <v>24.0</v>
      </c>
      <c r="I543" s="11">
        <v>42.0</v>
      </c>
      <c r="J543" s="11">
        <v>5.0</v>
      </c>
      <c r="K543" s="11">
        <v>0.0</v>
      </c>
      <c r="L543" s="11">
        <v>0.0</v>
      </c>
      <c r="M543" s="13">
        <f t="shared" ref="M543:O543" si="545">IFERROR(G543/F543,"")</f>
        <v>0.01959798995</v>
      </c>
      <c r="N543" s="13">
        <f t="shared" si="545"/>
        <v>0.6153846154</v>
      </c>
      <c r="O543" s="14">
        <f t="shared" si="545"/>
        <v>1.75</v>
      </c>
      <c r="P543" s="13">
        <f t="shared" si="3"/>
        <v>0.2083333333</v>
      </c>
      <c r="Q543" s="13">
        <f t="shared" si="4"/>
        <v>0</v>
      </c>
      <c r="R543" s="13">
        <f t="shared" si="5"/>
        <v>0</v>
      </c>
      <c r="S543" s="14">
        <f t="shared" si="6"/>
        <v>0.3691568222</v>
      </c>
      <c r="T543" s="14">
        <f t="shared" si="7"/>
        <v>1.186881937</v>
      </c>
      <c r="U543" s="14">
        <f t="shared" si="8"/>
        <v>0</v>
      </c>
    </row>
    <row r="544" ht="15.75" customHeight="1">
      <c r="A544" s="9">
        <v>46120.2927243171</v>
      </c>
      <c r="B544" s="10">
        <v>7.0</v>
      </c>
      <c r="C544" s="10" t="s">
        <v>80</v>
      </c>
      <c r="D544" s="10" t="s">
        <v>1420</v>
      </c>
      <c r="E544" s="12" t="s">
        <v>62</v>
      </c>
      <c r="F544" s="11">
        <v>142075.0</v>
      </c>
      <c r="G544" s="11">
        <v>15167.0</v>
      </c>
      <c r="H544" s="11">
        <v>7428.0</v>
      </c>
      <c r="I544" s="11">
        <v>8442.0</v>
      </c>
      <c r="J544" s="11">
        <v>204.0</v>
      </c>
      <c r="K544" s="11">
        <v>115.0</v>
      </c>
      <c r="L544" s="11">
        <v>22.0</v>
      </c>
      <c r="M544" s="13">
        <f t="shared" ref="M544:O544" si="546">IFERROR(G544/F544,"")</f>
        <v>0.1067534753</v>
      </c>
      <c r="N544" s="13">
        <f t="shared" si="546"/>
        <v>0.4897474781</v>
      </c>
      <c r="O544" s="14">
        <f t="shared" si="546"/>
        <v>1.136510501</v>
      </c>
      <c r="P544" s="13">
        <f t="shared" si="3"/>
        <v>0.02746365105</v>
      </c>
      <c r="Q544" s="13">
        <f t="shared" si="4"/>
        <v>0.01548196015</v>
      </c>
      <c r="R544" s="13">
        <f t="shared" si="5"/>
        <v>0.00296176629</v>
      </c>
      <c r="S544" s="14">
        <f t="shared" si="6"/>
        <v>2.01085794</v>
      </c>
      <c r="T544" s="14">
        <f t="shared" si="7"/>
        <v>0.9445677077</v>
      </c>
      <c r="U544" s="14">
        <f t="shared" si="8"/>
        <v>0.9228510528</v>
      </c>
    </row>
    <row r="545" ht="15.75" customHeight="1">
      <c r="A545" s="9">
        <v>46121.2920454051</v>
      </c>
      <c r="B545" s="10">
        <v>7.0</v>
      </c>
      <c r="C545" s="10" t="s">
        <v>84</v>
      </c>
      <c r="D545" s="10" t="s">
        <v>1422</v>
      </c>
      <c r="E545" s="12" t="s">
        <v>62</v>
      </c>
      <c r="F545" s="11">
        <v>2107.0</v>
      </c>
      <c r="G545" s="11">
        <v>35.0</v>
      </c>
      <c r="H545" s="11">
        <v>19.0</v>
      </c>
      <c r="I545" s="11">
        <v>21.0</v>
      </c>
      <c r="J545" s="11">
        <v>4.0</v>
      </c>
      <c r="K545" s="11">
        <v>0.0</v>
      </c>
      <c r="L545" s="11">
        <v>0.0</v>
      </c>
      <c r="M545" s="13">
        <f t="shared" ref="M545:O545" si="547">IFERROR(G545/F545,"")</f>
        <v>0.01661129568</v>
      </c>
      <c r="N545" s="13">
        <f t="shared" si="547"/>
        <v>0.5428571429</v>
      </c>
      <c r="O545" s="14">
        <f t="shared" si="547"/>
        <v>1.105263158</v>
      </c>
      <c r="P545" s="13">
        <f t="shared" si="3"/>
        <v>0.2105263158</v>
      </c>
      <c r="Q545" s="13">
        <f t="shared" si="4"/>
        <v>0</v>
      </c>
      <c r="R545" s="13">
        <f t="shared" si="5"/>
        <v>0</v>
      </c>
      <c r="S545" s="14">
        <f t="shared" si="6"/>
        <v>0.3055577568</v>
      </c>
      <c r="T545" s="14">
        <f t="shared" si="7"/>
        <v>1.046999423</v>
      </c>
      <c r="U545" s="14">
        <f t="shared" si="8"/>
        <v>0</v>
      </c>
    </row>
    <row r="546" ht="15.75" customHeight="1">
      <c r="A546" s="9">
        <v>46122.5463789815</v>
      </c>
      <c r="B546" s="10">
        <v>13.0</v>
      </c>
      <c r="C546" s="10" t="s">
        <v>60</v>
      </c>
      <c r="D546" s="10" t="s">
        <v>1424</v>
      </c>
      <c r="E546" s="12" t="s">
        <v>62</v>
      </c>
      <c r="F546" s="11">
        <v>71271.0</v>
      </c>
      <c r="G546" s="11">
        <v>2234.0</v>
      </c>
      <c r="H546" s="11">
        <v>1174.0</v>
      </c>
      <c r="I546" s="11">
        <v>471.0</v>
      </c>
      <c r="J546" s="11">
        <v>112.0</v>
      </c>
      <c r="K546" s="11">
        <v>53.0</v>
      </c>
      <c r="L546" s="11">
        <v>23.0</v>
      </c>
      <c r="M546" s="13">
        <f t="shared" ref="M546:O546" si="548">IFERROR(G546/F546,"")</f>
        <v>0.0313451474</v>
      </c>
      <c r="N546" s="13">
        <f t="shared" si="548"/>
        <v>0.5255147717</v>
      </c>
      <c r="O546" s="14">
        <f t="shared" si="548"/>
        <v>0.4011925043</v>
      </c>
      <c r="P546" s="13">
        <f t="shared" si="3"/>
        <v>0.09540034072</v>
      </c>
      <c r="Q546" s="13">
        <f t="shared" si="4"/>
        <v>0.04514480409</v>
      </c>
      <c r="R546" s="13">
        <f t="shared" si="5"/>
        <v>0.0195911414</v>
      </c>
      <c r="S546" s="14">
        <f t="shared" si="6"/>
        <v>0.5765807261</v>
      </c>
      <c r="T546" s="14">
        <f t="shared" si="7"/>
        <v>1.013551484</v>
      </c>
      <c r="U546" s="14">
        <f t="shared" si="8"/>
        <v>2.690998399</v>
      </c>
    </row>
    <row r="547" ht="15.75" customHeight="1">
      <c r="A547" s="9">
        <v>46123.254675544</v>
      </c>
      <c r="B547" s="10">
        <v>6.0</v>
      </c>
      <c r="C547" s="10" t="s">
        <v>69</v>
      </c>
      <c r="D547" s="10" t="s">
        <v>1426</v>
      </c>
      <c r="E547" s="12" t="s">
        <v>62</v>
      </c>
      <c r="F547" s="11">
        <v>27173.0</v>
      </c>
      <c r="G547" s="11">
        <v>1975.0</v>
      </c>
      <c r="H547" s="11">
        <v>970.0</v>
      </c>
      <c r="I547" s="11">
        <v>1552.0</v>
      </c>
      <c r="J547" s="11">
        <v>103.0</v>
      </c>
      <c r="K547" s="11">
        <v>33.0</v>
      </c>
      <c r="L547" s="11">
        <v>7.0</v>
      </c>
      <c r="M547" s="13">
        <f t="shared" ref="M547:O547" si="549">IFERROR(G547/F547,"")</f>
        <v>0.07268244213</v>
      </c>
      <c r="N547" s="13">
        <f t="shared" si="549"/>
        <v>0.4911392405</v>
      </c>
      <c r="O547" s="14">
        <f t="shared" si="549"/>
        <v>1.6</v>
      </c>
      <c r="P547" s="13">
        <f t="shared" si="3"/>
        <v>0.106185567</v>
      </c>
      <c r="Q547" s="13">
        <f t="shared" si="4"/>
        <v>0.03402061856</v>
      </c>
      <c r="R547" s="13">
        <f t="shared" si="5"/>
        <v>0.007216494845</v>
      </c>
      <c r="S547" s="14">
        <f t="shared" si="6"/>
        <v>1.332399502</v>
      </c>
      <c r="T547" s="14">
        <f t="shared" si="7"/>
        <v>0.9492157556</v>
      </c>
      <c r="U547" s="14">
        <f t="shared" si="8"/>
        <v>1.947680412</v>
      </c>
    </row>
    <row r="548" ht="15.75" customHeight="1">
      <c r="A548" s="9">
        <v>46125.2524693982</v>
      </c>
      <c r="B548" s="10">
        <v>6.0</v>
      </c>
      <c r="C548" s="10" t="s">
        <v>71</v>
      </c>
      <c r="D548" s="10" t="s">
        <v>1428</v>
      </c>
      <c r="E548" s="12" t="s">
        <v>62</v>
      </c>
      <c r="F548" s="11">
        <v>407368.0</v>
      </c>
      <c r="G548" s="11">
        <v>16589.0</v>
      </c>
      <c r="H548" s="11">
        <v>8619.0</v>
      </c>
      <c r="I548" s="11">
        <v>10122.0</v>
      </c>
      <c r="J548" s="11">
        <v>652.0</v>
      </c>
      <c r="K548" s="11">
        <v>249.0</v>
      </c>
      <c r="L548" s="11">
        <v>56.0</v>
      </c>
      <c r="M548" s="13">
        <f t="shared" ref="M548:O548" si="550">IFERROR(G548/F548,"")</f>
        <v>0.04072239351</v>
      </c>
      <c r="N548" s="13">
        <f t="shared" si="550"/>
        <v>0.519561155</v>
      </c>
      <c r="O548" s="14">
        <f t="shared" si="550"/>
        <v>1.174382179</v>
      </c>
      <c r="P548" s="13">
        <f t="shared" si="3"/>
        <v>0.07564682678</v>
      </c>
      <c r="Q548" s="13">
        <f t="shared" si="4"/>
        <v>0.02888966237</v>
      </c>
      <c r="R548" s="13">
        <f t="shared" si="5"/>
        <v>0.006497273466</v>
      </c>
      <c r="S548" s="14">
        <f t="shared" si="6"/>
        <v>0.7353702708</v>
      </c>
      <c r="T548" s="14">
        <f t="shared" si="7"/>
        <v>1.002068844</v>
      </c>
      <c r="U548" s="14">
        <f t="shared" si="8"/>
        <v>1.647892509</v>
      </c>
    </row>
    <row r="549" ht="15.75" customHeight="1">
      <c r="A549" s="9">
        <v>46126.5189804977</v>
      </c>
      <c r="B549" s="10">
        <v>12.0</v>
      </c>
      <c r="C549" s="10" t="s">
        <v>59</v>
      </c>
      <c r="D549" s="10" t="s">
        <v>1429</v>
      </c>
      <c r="E549" s="12" t="s">
        <v>62</v>
      </c>
      <c r="F549" s="11">
        <v>4687.0</v>
      </c>
      <c r="G549" s="11">
        <v>200.0</v>
      </c>
      <c r="H549" s="11">
        <v>106.0</v>
      </c>
      <c r="I549" s="11">
        <v>115.0</v>
      </c>
      <c r="J549" s="11">
        <v>5.0</v>
      </c>
      <c r="K549" s="11">
        <v>0.0</v>
      </c>
      <c r="L549" s="11">
        <v>2.0</v>
      </c>
      <c r="M549" s="13">
        <f t="shared" ref="M549:O549" si="551">IFERROR(G549/F549,"")</f>
        <v>0.04267121826</v>
      </c>
      <c r="N549" s="13">
        <f t="shared" si="551"/>
        <v>0.53</v>
      </c>
      <c r="O549" s="14">
        <f t="shared" si="551"/>
        <v>1.08490566</v>
      </c>
      <c r="P549" s="13">
        <f t="shared" si="3"/>
        <v>0.04716981132</v>
      </c>
      <c r="Q549" s="13">
        <f t="shared" si="4"/>
        <v>0</v>
      </c>
      <c r="R549" s="13">
        <f t="shared" si="5"/>
        <v>0.01886792453</v>
      </c>
      <c r="S549" s="14">
        <f t="shared" si="6"/>
        <v>0.7592283767</v>
      </c>
      <c r="T549" s="14">
        <f t="shared" si="7"/>
        <v>1.027030882</v>
      </c>
      <c r="U549" s="14">
        <f t="shared" si="8"/>
        <v>0</v>
      </c>
    </row>
    <row r="550" ht="15.75" customHeight="1">
      <c r="A550" s="9">
        <v>46127.4167912153</v>
      </c>
      <c r="B550" s="10">
        <v>10.0</v>
      </c>
      <c r="C550" s="10" t="s">
        <v>80</v>
      </c>
      <c r="D550" s="10" t="s">
        <v>1431</v>
      </c>
      <c r="E550" s="12" t="s">
        <v>62</v>
      </c>
      <c r="F550" s="11">
        <v>23274.0</v>
      </c>
      <c r="G550" s="11">
        <v>1846.0</v>
      </c>
      <c r="H550" s="11">
        <v>899.0</v>
      </c>
      <c r="I550" s="11">
        <v>1098.0</v>
      </c>
      <c r="J550" s="11">
        <v>84.0</v>
      </c>
      <c r="K550" s="11">
        <v>57.0</v>
      </c>
      <c r="L550" s="11">
        <v>4.0</v>
      </c>
      <c r="M550" s="13">
        <f t="shared" ref="M550:O550" si="552">IFERROR(G550/F550,"")</f>
        <v>0.07931597491</v>
      </c>
      <c r="N550" s="13">
        <f t="shared" si="552"/>
        <v>0.4869989166</v>
      </c>
      <c r="O550" s="14">
        <f t="shared" si="552"/>
        <v>1.221357063</v>
      </c>
      <c r="P550" s="13">
        <f t="shared" si="3"/>
        <v>0.09343715239</v>
      </c>
      <c r="Q550" s="13">
        <f t="shared" si="4"/>
        <v>0.06340378198</v>
      </c>
      <c r="R550" s="13">
        <f t="shared" si="5"/>
        <v>0.004449388209</v>
      </c>
      <c r="S550" s="14">
        <f t="shared" si="6"/>
        <v>1.411230832</v>
      </c>
      <c r="T550" s="14">
        <f t="shared" si="7"/>
        <v>0.9437036358</v>
      </c>
      <c r="U550" s="14">
        <f t="shared" si="8"/>
        <v>3.603448276</v>
      </c>
    </row>
    <row r="551" ht="15.75" customHeight="1">
      <c r="A551" s="9">
        <v>46128.5676090394</v>
      </c>
      <c r="B551" s="10">
        <v>13.0</v>
      </c>
      <c r="C551" s="10" t="s">
        <v>84</v>
      </c>
      <c r="D551" s="10" t="s">
        <v>1433</v>
      </c>
      <c r="E551" s="12" t="s">
        <v>62</v>
      </c>
      <c r="F551" s="11">
        <v>96322.0</v>
      </c>
      <c r="G551" s="11">
        <v>12803.0</v>
      </c>
      <c r="H551" s="11">
        <v>9245.0</v>
      </c>
      <c r="I551" s="11">
        <v>8153.0</v>
      </c>
      <c r="J551" s="11">
        <v>617.0</v>
      </c>
      <c r="K551" s="11">
        <v>0.0</v>
      </c>
      <c r="L551" s="11">
        <v>36.0</v>
      </c>
      <c r="M551" s="13">
        <f t="shared" ref="M551:O551" si="553">IFERROR(G551/F551,"")</f>
        <v>0.1329187517</v>
      </c>
      <c r="N551" s="13">
        <f t="shared" si="553"/>
        <v>0.7220963837</v>
      </c>
      <c r="O551" s="14">
        <f t="shared" si="553"/>
        <v>0.8818820984</v>
      </c>
      <c r="P551" s="13">
        <f t="shared" si="3"/>
        <v>0.06673877772</v>
      </c>
      <c r="Q551" s="13">
        <f t="shared" si="4"/>
        <v>0</v>
      </c>
      <c r="R551" s="13">
        <f t="shared" si="5"/>
        <v>0.003893996755</v>
      </c>
      <c r="S551" s="14">
        <f t="shared" si="6"/>
        <v>2.333779456</v>
      </c>
      <c r="T551" s="14">
        <f t="shared" si="7"/>
        <v>1.395582368</v>
      </c>
      <c r="U551" s="14">
        <f t="shared" si="8"/>
        <v>0</v>
      </c>
    </row>
    <row r="552" ht="15.75" customHeight="1">
      <c r="A552" s="9">
        <v>46129.2926776157</v>
      </c>
      <c r="B552" s="10">
        <v>7.0</v>
      </c>
      <c r="C552" s="10" t="s">
        <v>60</v>
      </c>
      <c r="D552" s="10" t="s">
        <v>1434</v>
      </c>
      <c r="E552" s="12" t="s">
        <v>62</v>
      </c>
      <c r="F552" s="11">
        <v>34438.0</v>
      </c>
      <c r="G552" s="11">
        <v>2205.0</v>
      </c>
      <c r="H552" s="11">
        <v>1024.0</v>
      </c>
      <c r="I552" s="11">
        <v>1039.0</v>
      </c>
      <c r="J552" s="11">
        <v>96.0</v>
      </c>
      <c r="K552" s="11">
        <v>129.0</v>
      </c>
      <c r="L552" s="11">
        <v>5.0</v>
      </c>
      <c r="M552" s="13">
        <f t="shared" ref="M552:O552" si="554">IFERROR(G552/F552,"")</f>
        <v>0.06402810848</v>
      </c>
      <c r="N552" s="13">
        <f t="shared" si="554"/>
        <v>0.464399093</v>
      </c>
      <c r="O552" s="14">
        <f t="shared" si="554"/>
        <v>1.014648438</v>
      </c>
      <c r="P552" s="13">
        <f t="shared" si="3"/>
        <v>0.09375</v>
      </c>
      <c r="Q552" s="13">
        <f t="shared" si="4"/>
        <v>0.1259765625</v>
      </c>
      <c r="R552" s="13">
        <f t="shared" si="5"/>
        <v>0.0048828125</v>
      </c>
      <c r="S552" s="14">
        <f t="shared" si="6"/>
        <v>1.122036314</v>
      </c>
      <c r="T552" s="14">
        <f t="shared" si="7"/>
        <v>0.8956787045</v>
      </c>
      <c r="U552" s="14">
        <f t="shared" si="8"/>
        <v>7.059999662</v>
      </c>
    </row>
    <row r="553" ht="15.75" customHeight="1">
      <c r="A553" s="9">
        <v>46130.2924414468</v>
      </c>
      <c r="B553" s="10">
        <v>7.0</v>
      </c>
      <c r="C553" s="10" t="s">
        <v>69</v>
      </c>
      <c r="D553" s="10" t="s">
        <v>1436</v>
      </c>
      <c r="E553" s="12" t="s">
        <v>62</v>
      </c>
      <c r="F553" s="11">
        <v>2864643.0</v>
      </c>
      <c r="G553" s="11">
        <v>385068.0</v>
      </c>
      <c r="H553" s="11">
        <v>164775.0</v>
      </c>
      <c r="I553" s="11">
        <v>138509.0</v>
      </c>
      <c r="J553" s="11">
        <v>2104.0</v>
      </c>
      <c r="K553" s="11">
        <v>935.0</v>
      </c>
      <c r="L553" s="11">
        <v>570.0</v>
      </c>
      <c r="M553" s="13">
        <f t="shared" ref="M553:O553" si="555">IFERROR(G553/F553,"")</f>
        <v>0.1344209383</v>
      </c>
      <c r="N553" s="13">
        <f t="shared" si="555"/>
        <v>0.4279114338</v>
      </c>
      <c r="O553" s="14">
        <f t="shared" si="555"/>
        <v>0.8405947504</v>
      </c>
      <c r="P553" s="13">
        <f t="shared" si="3"/>
        <v>0.01276892733</v>
      </c>
      <c r="Q553" s="13">
        <f t="shared" si="4"/>
        <v>0.005674404491</v>
      </c>
      <c r="R553" s="13">
        <f t="shared" si="5"/>
        <v>0.003459262631</v>
      </c>
      <c r="S553" s="14">
        <f t="shared" si="6"/>
        <v>2.355608774</v>
      </c>
      <c r="T553" s="14">
        <f t="shared" si="7"/>
        <v>0.8253055712</v>
      </c>
      <c r="U553" s="14">
        <f t="shared" si="8"/>
        <v>0.318005929</v>
      </c>
    </row>
    <row r="554" ht="15.75" customHeight="1">
      <c r="A554" s="9">
        <v>46132.6528336458</v>
      </c>
      <c r="B554" s="10">
        <v>15.0</v>
      </c>
      <c r="C554" s="10" t="s">
        <v>71</v>
      </c>
      <c r="D554" s="10" t="s">
        <v>1437</v>
      </c>
      <c r="E554" s="12" t="s">
        <v>62</v>
      </c>
      <c r="F554" s="11">
        <v>5752.0</v>
      </c>
      <c r="G554" s="11">
        <v>152.0</v>
      </c>
      <c r="H554" s="11">
        <v>66.0</v>
      </c>
      <c r="I554" s="11">
        <v>73.0</v>
      </c>
      <c r="J554" s="11">
        <v>25.0</v>
      </c>
      <c r="K554" s="11">
        <v>18.0</v>
      </c>
      <c r="L554" s="11">
        <v>0.0</v>
      </c>
      <c r="M554" s="13">
        <f t="shared" ref="M554:O554" si="556">IFERROR(G554/F554,"")</f>
        <v>0.0264255911</v>
      </c>
      <c r="N554" s="13">
        <f t="shared" si="556"/>
        <v>0.4342105263</v>
      </c>
      <c r="O554" s="14">
        <f t="shared" si="556"/>
        <v>1.106060606</v>
      </c>
      <c r="P554" s="13">
        <f t="shared" si="3"/>
        <v>0.3787878788</v>
      </c>
      <c r="Q554" s="13">
        <f t="shared" si="4"/>
        <v>0.2727272727</v>
      </c>
      <c r="R554" s="13">
        <f t="shared" si="5"/>
        <v>0</v>
      </c>
      <c r="S554" s="14">
        <f t="shared" si="6"/>
        <v>0.4621950017</v>
      </c>
      <c r="T554" s="14">
        <f t="shared" si="7"/>
        <v>0.835725539</v>
      </c>
      <c r="U554" s="14">
        <f t="shared" si="8"/>
        <v>15.5</v>
      </c>
    </row>
    <row r="555" ht="15.75" customHeight="1">
      <c r="A555" s="9">
        <v>46133.5457070023</v>
      </c>
      <c r="B555" s="10">
        <v>13.0</v>
      </c>
      <c r="C555" s="10" t="s">
        <v>59</v>
      </c>
      <c r="D555" s="10" t="s">
        <v>1439</v>
      </c>
      <c r="E555" s="12" t="s">
        <v>62</v>
      </c>
      <c r="F555" s="11">
        <v>1771.0</v>
      </c>
      <c r="G555" s="11">
        <v>30.0</v>
      </c>
      <c r="H555" s="11">
        <v>22.0</v>
      </c>
      <c r="I555" s="11">
        <v>37.0</v>
      </c>
      <c r="J555" s="11">
        <v>3.0</v>
      </c>
      <c r="K555" s="11">
        <v>0.0</v>
      </c>
      <c r="L555" s="11">
        <v>0.0</v>
      </c>
      <c r="M555" s="13">
        <f t="shared" ref="M555:O555" si="557">IFERROR(G555/F555,"")</f>
        <v>0.01693958216</v>
      </c>
      <c r="N555" s="13">
        <f t="shared" si="557"/>
        <v>0.7333333333</v>
      </c>
      <c r="O555" s="14">
        <f t="shared" si="557"/>
        <v>1.681818182</v>
      </c>
      <c r="P555" s="13">
        <f t="shared" si="3"/>
        <v>0.1363636364</v>
      </c>
      <c r="Q555" s="13">
        <f t="shared" si="4"/>
        <v>0</v>
      </c>
      <c r="R555" s="13">
        <f t="shared" si="5"/>
        <v>0</v>
      </c>
      <c r="S555" s="14">
        <f t="shared" si="6"/>
        <v>0.2962806083</v>
      </c>
      <c r="T555" s="14">
        <f t="shared" si="7"/>
        <v>1.417299814</v>
      </c>
      <c r="U555" s="14">
        <f t="shared" si="8"/>
        <v>0</v>
      </c>
    </row>
    <row r="556" ht="15.75" customHeight="1">
      <c r="A556" s="9">
        <v>46134.3224775116</v>
      </c>
      <c r="B556" s="10">
        <v>7.0</v>
      </c>
      <c r="C556" s="10" t="s">
        <v>80</v>
      </c>
      <c r="D556" s="10" t="s">
        <v>1441</v>
      </c>
      <c r="E556" s="12" t="s">
        <v>62</v>
      </c>
      <c r="F556" s="11">
        <v>275416.0</v>
      </c>
      <c r="G556" s="11">
        <v>9159.0</v>
      </c>
      <c r="H556" s="11">
        <v>4665.0</v>
      </c>
      <c r="I556" s="11">
        <v>5995.0</v>
      </c>
      <c r="J556" s="11">
        <v>279.0</v>
      </c>
      <c r="K556" s="11">
        <v>102.0</v>
      </c>
      <c r="L556" s="11">
        <v>17.0</v>
      </c>
      <c r="M556" s="13">
        <f t="shared" ref="M556:O556" si="558">IFERROR(G556/F556,"")</f>
        <v>0.03325514858</v>
      </c>
      <c r="N556" s="13">
        <f t="shared" si="558"/>
        <v>0.5093350802</v>
      </c>
      <c r="O556" s="14">
        <f t="shared" si="558"/>
        <v>1.285101822</v>
      </c>
      <c r="P556" s="13">
        <f t="shared" si="3"/>
        <v>0.05980707395</v>
      </c>
      <c r="Q556" s="13">
        <f t="shared" si="4"/>
        <v>0.02186495177</v>
      </c>
      <c r="R556" s="13">
        <f t="shared" si="5"/>
        <v>0.003644158628</v>
      </c>
      <c r="S556" s="14">
        <f t="shared" si="6"/>
        <v>0.5816469118</v>
      </c>
      <c r="T556" s="14">
        <f t="shared" si="7"/>
        <v>0.9843825196</v>
      </c>
      <c r="U556" s="14">
        <f t="shared" si="8"/>
        <v>1.208535516</v>
      </c>
    </row>
    <row r="557" ht="15.75" customHeight="1">
      <c r="A557" s="9">
        <v>46135.5626001736</v>
      </c>
      <c r="B557" s="10">
        <v>13.0</v>
      </c>
      <c r="C557" s="10" t="s">
        <v>84</v>
      </c>
      <c r="D557" s="10" t="s">
        <v>1443</v>
      </c>
      <c r="E557" s="12" t="s">
        <v>62</v>
      </c>
      <c r="F557" s="11">
        <v>307574.0</v>
      </c>
      <c r="G557" s="11">
        <v>26925.0</v>
      </c>
      <c r="H557" s="11">
        <v>16875.0</v>
      </c>
      <c r="I557" s="11">
        <v>12848.0</v>
      </c>
      <c r="J557" s="11">
        <v>356.0</v>
      </c>
      <c r="K557" s="11">
        <v>0.0</v>
      </c>
      <c r="L557" s="11">
        <v>51.0</v>
      </c>
      <c r="M557" s="13">
        <f t="shared" ref="M557:O557" si="559">IFERROR(G557/F557,"")</f>
        <v>0.0875399091</v>
      </c>
      <c r="N557" s="13">
        <f t="shared" si="559"/>
        <v>0.6267409471</v>
      </c>
      <c r="O557" s="14">
        <f t="shared" si="559"/>
        <v>0.761362963</v>
      </c>
      <c r="P557" s="13">
        <f t="shared" si="3"/>
        <v>0.0210962963</v>
      </c>
      <c r="Q557" s="13">
        <f t="shared" si="4"/>
        <v>0</v>
      </c>
      <c r="R557" s="13">
        <f t="shared" si="5"/>
        <v>0.003022222222</v>
      </c>
      <c r="S557" s="14">
        <f t="shared" si="6"/>
        <v>1.469412757</v>
      </c>
      <c r="T557" s="14">
        <f t="shared" si="7"/>
        <v>1.206289079</v>
      </c>
      <c r="U557" s="14">
        <f t="shared" si="8"/>
        <v>0</v>
      </c>
    </row>
    <row r="558" ht="15.75" customHeight="1">
      <c r="A558" s="9">
        <v>46136.2521608565</v>
      </c>
      <c r="B558" s="10">
        <v>6.0</v>
      </c>
      <c r="C558" s="10" t="s">
        <v>60</v>
      </c>
      <c r="D558" s="10" t="s">
        <v>1445</v>
      </c>
      <c r="E558" s="12" t="s">
        <v>62</v>
      </c>
      <c r="F558" s="11">
        <v>30484.0</v>
      </c>
      <c r="G558" s="11">
        <v>5624.0</v>
      </c>
      <c r="H558" s="11">
        <v>3222.0</v>
      </c>
      <c r="I558" s="11">
        <v>1736.0</v>
      </c>
      <c r="J558" s="11">
        <v>417.0</v>
      </c>
      <c r="K558" s="11">
        <v>104.0</v>
      </c>
      <c r="L558" s="11">
        <v>13.0</v>
      </c>
      <c r="M558" s="13">
        <f t="shared" ref="M558:O558" si="560">IFERROR(G558/F558,"")</f>
        <v>0.1844902244</v>
      </c>
      <c r="N558" s="13">
        <f t="shared" si="560"/>
        <v>0.5729018492</v>
      </c>
      <c r="O558" s="14">
        <f t="shared" si="560"/>
        <v>0.538795779</v>
      </c>
      <c r="P558" s="13">
        <f t="shared" si="3"/>
        <v>0.1294227188</v>
      </c>
      <c r="Q558" s="13">
        <f t="shared" si="4"/>
        <v>0.03227808814</v>
      </c>
      <c r="R558" s="13">
        <f t="shared" si="5"/>
        <v>0.004034761018</v>
      </c>
      <c r="S558" s="14">
        <f t="shared" si="6"/>
        <v>3.096785135</v>
      </c>
      <c r="T558" s="14">
        <f t="shared" si="7"/>
        <v>1.1026649</v>
      </c>
      <c r="U558" s="14">
        <f t="shared" si="8"/>
        <v>1.784097963</v>
      </c>
    </row>
    <row r="559" ht="15.75" customHeight="1">
      <c r="A559" s="9">
        <v>46137.2515369792</v>
      </c>
      <c r="B559" s="10">
        <v>6.0</v>
      </c>
      <c r="C559" s="10" t="s">
        <v>69</v>
      </c>
      <c r="D559" s="10" t="s">
        <v>1447</v>
      </c>
      <c r="E559" s="12" t="s">
        <v>62</v>
      </c>
      <c r="F559" s="11">
        <v>1347421.0</v>
      </c>
      <c r="G559" s="11">
        <v>84425.0</v>
      </c>
      <c r="H559" s="11">
        <v>28007.0</v>
      </c>
      <c r="I559" s="11">
        <v>26786.0</v>
      </c>
      <c r="J559" s="11">
        <v>671.0</v>
      </c>
      <c r="K559" s="11">
        <v>992.0</v>
      </c>
      <c r="L559" s="11">
        <v>182.0</v>
      </c>
      <c r="M559" s="13">
        <f t="shared" ref="M559:O559" si="561">IFERROR(G559/F559,"")</f>
        <v>0.06265673461</v>
      </c>
      <c r="N559" s="13">
        <f t="shared" si="561"/>
        <v>0.3317382292</v>
      </c>
      <c r="O559" s="14">
        <f t="shared" si="561"/>
        <v>0.9564037562</v>
      </c>
      <c r="P559" s="13">
        <f t="shared" si="3"/>
        <v>0.02395829614</v>
      </c>
      <c r="Q559" s="13">
        <f t="shared" si="4"/>
        <v>0.0354197165</v>
      </c>
      <c r="R559" s="13">
        <f t="shared" si="5"/>
        <v>0.006498375406</v>
      </c>
      <c r="S559" s="14">
        <f t="shared" si="6"/>
        <v>1.054038703</v>
      </c>
      <c r="T559" s="14">
        <f t="shared" si="7"/>
        <v>0.6398179321</v>
      </c>
      <c r="U559" s="14">
        <f t="shared" si="8"/>
        <v>1.984997698</v>
      </c>
    </row>
    <row r="560" ht="15.75" customHeight="1">
      <c r="A560" s="9">
        <v>46139.2510650116</v>
      </c>
      <c r="B560" s="10">
        <v>6.0</v>
      </c>
      <c r="C560" s="10" t="s">
        <v>71</v>
      </c>
      <c r="D560" s="10" t="s">
        <v>1449</v>
      </c>
      <c r="E560" s="12" t="s">
        <v>62</v>
      </c>
      <c r="F560" s="11">
        <v>61319.0</v>
      </c>
      <c r="G560" s="11">
        <v>7780.0</v>
      </c>
      <c r="H560" s="11">
        <v>3528.0</v>
      </c>
      <c r="I560" s="11">
        <v>4714.0</v>
      </c>
      <c r="J560" s="11">
        <v>243.0</v>
      </c>
      <c r="K560" s="11">
        <v>117.0</v>
      </c>
      <c r="L560" s="11">
        <v>22.0</v>
      </c>
      <c r="M560" s="13">
        <f t="shared" ref="M560:O560" si="562">IFERROR(G560/F560,"")</f>
        <v>0.1268774768</v>
      </c>
      <c r="N560" s="13">
        <f t="shared" si="562"/>
        <v>0.453470437</v>
      </c>
      <c r="O560" s="14">
        <f t="shared" si="562"/>
        <v>1.3361678</v>
      </c>
      <c r="P560" s="13">
        <f t="shared" si="3"/>
        <v>0.06887755102</v>
      </c>
      <c r="Q560" s="13">
        <f t="shared" si="4"/>
        <v>0.03316326531</v>
      </c>
      <c r="R560" s="13">
        <f t="shared" si="5"/>
        <v>0.006235827664</v>
      </c>
      <c r="S560" s="14">
        <f t="shared" si="6"/>
        <v>2.121468519</v>
      </c>
      <c r="T560" s="14">
        <f t="shared" si="7"/>
        <v>0.8746007899</v>
      </c>
      <c r="U560" s="14">
        <f t="shared" si="8"/>
        <v>1.858541281</v>
      </c>
    </row>
    <row r="561" ht="15.75" customHeight="1">
      <c r="A561" s="9">
        <v>46140.3854259375</v>
      </c>
      <c r="B561" s="10">
        <v>9.0</v>
      </c>
      <c r="C561" s="10" t="s">
        <v>59</v>
      </c>
      <c r="D561" s="10" t="s">
        <v>1451</v>
      </c>
      <c r="E561" s="12" t="s">
        <v>62</v>
      </c>
      <c r="F561" s="11">
        <v>1765.0</v>
      </c>
      <c r="G561" s="11">
        <v>42.0</v>
      </c>
      <c r="H561" s="11">
        <v>11.0</v>
      </c>
      <c r="I561" s="11">
        <v>18.0</v>
      </c>
      <c r="J561" s="11">
        <v>4.0</v>
      </c>
      <c r="K561" s="11">
        <v>0.0</v>
      </c>
      <c r="L561" s="11">
        <v>0.0</v>
      </c>
      <c r="M561" s="13">
        <f t="shared" ref="M561:O561" si="563">IFERROR(G561/F561,"")</f>
        <v>0.02379603399</v>
      </c>
      <c r="N561" s="13">
        <f t="shared" si="563"/>
        <v>0.2619047619</v>
      </c>
      <c r="O561" s="14">
        <f t="shared" si="563"/>
        <v>1.636363636</v>
      </c>
      <c r="P561" s="13">
        <f t="shared" si="3"/>
        <v>0.3636363636</v>
      </c>
      <c r="Q561" s="13">
        <f t="shared" si="4"/>
        <v>0</v>
      </c>
      <c r="R561" s="13">
        <f t="shared" si="5"/>
        <v>0</v>
      </c>
      <c r="S561" s="14">
        <f t="shared" si="6"/>
        <v>0.3963487567</v>
      </c>
      <c r="T561" s="14">
        <f t="shared" si="7"/>
        <v>0.5040884204</v>
      </c>
      <c r="U561" s="14">
        <f t="shared" si="8"/>
        <v>0</v>
      </c>
    </row>
    <row r="562" ht="15.75" customHeight="1">
      <c r="A562" s="9">
        <v>46141.2939375579</v>
      </c>
      <c r="B562" s="10">
        <v>7.0</v>
      </c>
      <c r="C562" s="10" t="s">
        <v>80</v>
      </c>
      <c r="D562" s="10" t="s">
        <v>1453</v>
      </c>
      <c r="E562" s="12" t="s">
        <v>62</v>
      </c>
      <c r="F562" s="11">
        <v>8015.0</v>
      </c>
      <c r="G562" s="11">
        <v>252.0</v>
      </c>
      <c r="H562" s="11">
        <v>77.0</v>
      </c>
      <c r="I562" s="11">
        <v>90.0</v>
      </c>
      <c r="J562" s="11">
        <v>19.0</v>
      </c>
      <c r="K562" s="11">
        <v>21.0</v>
      </c>
      <c r="L562" s="11">
        <v>0.0</v>
      </c>
      <c r="M562" s="13">
        <f t="shared" ref="M562:O562" si="564">IFERROR(G562/F562,"")</f>
        <v>0.03144104803</v>
      </c>
      <c r="N562" s="13">
        <f t="shared" si="564"/>
        <v>0.3055555556</v>
      </c>
      <c r="O562" s="14">
        <f t="shared" si="564"/>
        <v>1.168831169</v>
      </c>
      <c r="P562" s="13">
        <f t="shared" si="3"/>
        <v>0.2467532468</v>
      </c>
      <c r="Q562" s="13">
        <f t="shared" si="4"/>
        <v>0.2727272727</v>
      </c>
      <c r="R562" s="13">
        <f t="shared" si="5"/>
        <v>0</v>
      </c>
      <c r="S562" s="14">
        <f t="shared" si="6"/>
        <v>0.5226540652</v>
      </c>
      <c r="T562" s="14">
        <f t="shared" si="7"/>
        <v>0.5861557803</v>
      </c>
      <c r="U562" s="14">
        <f t="shared" si="8"/>
        <v>15.05981238</v>
      </c>
    </row>
    <row r="563" ht="15.75" customHeight="1">
      <c r="A563" s="9">
        <v>46142.4002817477</v>
      </c>
      <c r="B563" s="10">
        <v>9.0</v>
      </c>
      <c r="C563" s="10" t="s">
        <v>84</v>
      </c>
      <c r="D563" s="10" t="s">
        <v>1455</v>
      </c>
      <c r="E563" s="12" t="s">
        <v>62</v>
      </c>
      <c r="F563" s="11">
        <v>5799.0</v>
      </c>
      <c r="G563" s="11">
        <v>210.0</v>
      </c>
      <c r="H563" s="11">
        <v>143.0</v>
      </c>
      <c r="I563" s="11">
        <v>131.0</v>
      </c>
      <c r="J563" s="11">
        <v>7.0</v>
      </c>
      <c r="K563" s="11">
        <v>0.0</v>
      </c>
      <c r="L563" s="11">
        <v>0.0</v>
      </c>
      <c r="M563" s="13">
        <f t="shared" ref="M563:O563" si="565">IFERROR(G563/F563,"")</f>
        <v>0.0362131402</v>
      </c>
      <c r="N563" s="13">
        <f t="shared" si="565"/>
        <v>0.680952381</v>
      </c>
      <c r="O563" s="14">
        <f t="shared" si="565"/>
        <v>0.9160839161</v>
      </c>
      <c r="P563" s="13">
        <f t="shared" si="3"/>
        <v>0.04895104895</v>
      </c>
      <c r="Q563" s="13">
        <f t="shared" si="4"/>
        <v>0</v>
      </c>
      <c r="R563" s="13">
        <f t="shared" si="5"/>
        <v>0</v>
      </c>
      <c r="S563" s="14">
        <f t="shared" si="6"/>
        <v>0.6007995323</v>
      </c>
      <c r="T563" s="14">
        <f t="shared" si="7"/>
        <v>1.310629893</v>
      </c>
      <c r="U563" s="14">
        <f t="shared" si="8"/>
        <v>0</v>
      </c>
    </row>
    <row r="564" ht="15.75" customHeight="1">
      <c r="A564" s="9">
        <v>46143.2921345139</v>
      </c>
      <c r="B564" s="10">
        <v>7.0</v>
      </c>
      <c r="C564" s="10" t="s">
        <v>60</v>
      </c>
      <c r="D564" s="10" t="s">
        <v>1457</v>
      </c>
      <c r="E564" s="12" t="s">
        <v>62</v>
      </c>
      <c r="F564" s="11">
        <v>19350.0</v>
      </c>
      <c r="G564" s="11">
        <v>1216.0</v>
      </c>
      <c r="H564" s="11">
        <v>737.0</v>
      </c>
      <c r="I564" s="11">
        <v>897.0</v>
      </c>
      <c r="J564" s="11">
        <v>66.0</v>
      </c>
      <c r="K564" s="11">
        <v>55.0</v>
      </c>
      <c r="L564" s="11">
        <v>2.0</v>
      </c>
      <c r="M564" s="13">
        <f t="shared" ref="M564:O564" si="566">IFERROR(G564/F564,"")</f>
        <v>0.06284237726</v>
      </c>
      <c r="N564" s="13">
        <f t="shared" si="566"/>
        <v>0.6060855263</v>
      </c>
      <c r="O564" s="14">
        <f t="shared" si="566"/>
        <v>1.217096336</v>
      </c>
      <c r="P564" s="13">
        <f t="shared" si="3"/>
        <v>0.08955223881</v>
      </c>
      <c r="Q564" s="13">
        <f t="shared" si="4"/>
        <v>0.07462686567</v>
      </c>
      <c r="R564" s="13">
        <f t="shared" si="5"/>
        <v>0.002713704206</v>
      </c>
      <c r="S564" s="14">
        <f t="shared" si="6"/>
        <v>1.044647873</v>
      </c>
      <c r="T564" s="14">
        <f t="shared" si="7"/>
        <v>1.168946941</v>
      </c>
      <c r="U564" s="14">
        <f t="shared" si="8"/>
        <v>4.120844184</v>
      </c>
    </row>
    <row r="565" ht="15.75" customHeight="1">
      <c r="A565" s="9">
        <v>46144.2504522454</v>
      </c>
      <c r="B565" s="10">
        <v>6.0</v>
      </c>
      <c r="C565" s="10" t="s">
        <v>69</v>
      </c>
      <c r="D565" s="10" t="s">
        <v>1459</v>
      </c>
      <c r="E565" s="12" t="s">
        <v>62</v>
      </c>
      <c r="F565" s="11">
        <v>1164110.0</v>
      </c>
      <c r="G565" s="11">
        <v>110631.0</v>
      </c>
      <c r="H565" s="11">
        <v>74693.0</v>
      </c>
      <c r="I565" s="11">
        <v>53848.0</v>
      </c>
      <c r="J565" s="11">
        <v>2016.0</v>
      </c>
      <c r="K565" s="11">
        <v>723.0</v>
      </c>
      <c r="L565" s="11">
        <v>252.0</v>
      </c>
      <c r="M565" s="13">
        <f t="shared" ref="M565:O565" si="567">IFERROR(G565/F565,"")</f>
        <v>0.09503483348</v>
      </c>
      <c r="N565" s="13">
        <f t="shared" si="567"/>
        <v>0.6751543419</v>
      </c>
      <c r="O565" s="14">
        <f t="shared" si="567"/>
        <v>0.7209243169</v>
      </c>
      <c r="P565" s="13">
        <f t="shared" si="3"/>
        <v>0.02699048104</v>
      </c>
      <c r="Q565" s="13">
        <f t="shared" si="4"/>
        <v>0.009679621919</v>
      </c>
      <c r="R565" s="13">
        <f t="shared" si="5"/>
        <v>0.003373810129</v>
      </c>
      <c r="S565" s="14">
        <f t="shared" si="6"/>
        <v>1.582908232</v>
      </c>
      <c r="T565" s="14">
        <f t="shared" si="7"/>
        <v>1.30485835</v>
      </c>
      <c r="U565" s="14">
        <f t="shared" si="8"/>
        <v>0.5339860228</v>
      </c>
    </row>
    <row r="566" ht="15.75" customHeight="1">
      <c r="A566" s="9">
        <v>46146.5187492361</v>
      </c>
      <c r="B566" s="10">
        <v>12.0</v>
      </c>
      <c r="C566" s="10" t="s">
        <v>71</v>
      </c>
      <c r="D566" s="10" t="s">
        <v>1460</v>
      </c>
      <c r="E566" s="12" t="s">
        <v>62</v>
      </c>
      <c r="F566" s="11">
        <v>12534.0</v>
      </c>
      <c r="G566" s="11">
        <v>628.0</v>
      </c>
      <c r="H566" s="11">
        <v>389.0</v>
      </c>
      <c r="I566" s="11">
        <v>575.0</v>
      </c>
      <c r="J566" s="11">
        <v>39.0</v>
      </c>
      <c r="K566" s="11">
        <v>116.0</v>
      </c>
      <c r="L566" s="11">
        <v>1.0</v>
      </c>
      <c r="M566" s="13">
        <f t="shared" ref="M566:O566" si="568">IFERROR(G566/F566,"")</f>
        <v>0.05010371789</v>
      </c>
      <c r="N566" s="13">
        <f t="shared" si="568"/>
        <v>0.6194267516</v>
      </c>
      <c r="O566" s="14">
        <f t="shared" si="568"/>
        <v>1.4781491</v>
      </c>
      <c r="P566" s="13">
        <f t="shared" si="3"/>
        <v>0.1002570694</v>
      </c>
      <c r="Q566" s="13">
        <f t="shared" si="4"/>
        <v>0.2982005141</v>
      </c>
      <c r="R566" s="13">
        <f t="shared" si="5"/>
        <v>0.002570694087</v>
      </c>
      <c r="S566" s="14">
        <f t="shared" si="6"/>
        <v>0.8377646126</v>
      </c>
      <c r="T566" s="14">
        <f t="shared" si="7"/>
        <v>1.194677937</v>
      </c>
      <c r="U566" s="14">
        <f t="shared" si="8"/>
        <v>16.04692448</v>
      </c>
    </row>
    <row r="567" ht="15.75" customHeight="1">
      <c r="A567" s="9">
        <v>46147.4903810532</v>
      </c>
      <c r="B567" s="10">
        <v>11.0</v>
      </c>
      <c r="C567" s="10" t="s">
        <v>59</v>
      </c>
      <c r="D567" s="10" t="s">
        <v>1462</v>
      </c>
      <c r="E567" s="12" t="s">
        <v>62</v>
      </c>
      <c r="F567" s="11">
        <v>2773.0</v>
      </c>
      <c r="G567" s="11">
        <v>60.0</v>
      </c>
      <c r="H567" s="11">
        <v>30.0</v>
      </c>
      <c r="I567" s="11">
        <v>16.0</v>
      </c>
      <c r="J567" s="11">
        <v>1.0</v>
      </c>
      <c r="K567" s="11">
        <v>0.0</v>
      </c>
      <c r="L567" s="11">
        <v>0.0</v>
      </c>
      <c r="M567" s="13">
        <f t="shared" ref="M567:O567" si="569">IFERROR(G567/F567,"")</f>
        <v>0.02163721601</v>
      </c>
      <c r="N567" s="13">
        <f t="shared" si="569"/>
        <v>0.5</v>
      </c>
      <c r="O567" s="14">
        <f t="shared" si="569"/>
        <v>0.5333333333</v>
      </c>
      <c r="P567" s="13">
        <f t="shared" si="3"/>
        <v>0.03333333333</v>
      </c>
      <c r="Q567" s="13">
        <f t="shared" si="4"/>
        <v>0</v>
      </c>
      <c r="R567" s="13">
        <f t="shared" si="5"/>
        <v>0</v>
      </c>
      <c r="S567" s="14">
        <f t="shared" si="6"/>
        <v>0.3603913016</v>
      </c>
      <c r="T567" s="14">
        <f t="shared" si="7"/>
        <v>0.9623506207</v>
      </c>
      <c r="U567" s="14">
        <f t="shared" si="8"/>
        <v>0</v>
      </c>
    </row>
    <row r="568" ht="15.75" customHeight="1">
      <c r="A568" s="9">
        <v>46148.2927852778</v>
      </c>
      <c r="B568" s="10">
        <v>7.0</v>
      </c>
      <c r="C568" s="10" t="s">
        <v>80</v>
      </c>
      <c r="D568" s="10" t="s">
        <v>1464</v>
      </c>
      <c r="E568" s="12" t="s">
        <v>62</v>
      </c>
      <c r="F568" s="11">
        <v>13526.0</v>
      </c>
      <c r="G568" s="11">
        <v>2144.0</v>
      </c>
      <c r="H568" s="11">
        <v>939.0</v>
      </c>
      <c r="I568" s="11">
        <v>603.0</v>
      </c>
      <c r="J568" s="11">
        <v>129.0</v>
      </c>
      <c r="K568" s="11">
        <v>84.0</v>
      </c>
      <c r="L568" s="11">
        <v>2.0</v>
      </c>
      <c r="M568" s="13">
        <f t="shared" ref="M568:O568" si="570">IFERROR(G568/F568,"")</f>
        <v>0.1585095372</v>
      </c>
      <c r="N568" s="13">
        <f t="shared" si="570"/>
        <v>0.4379664179</v>
      </c>
      <c r="O568" s="14">
        <f t="shared" si="570"/>
        <v>0.642172524</v>
      </c>
      <c r="P568" s="13">
        <f t="shared" si="3"/>
        <v>0.1373801917</v>
      </c>
      <c r="Q568" s="13">
        <f t="shared" si="4"/>
        <v>0.08945686901</v>
      </c>
      <c r="R568" s="13">
        <f t="shared" si="5"/>
        <v>0.002129925453</v>
      </c>
      <c r="S568" s="14">
        <f t="shared" si="6"/>
        <v>2.63495205</v>
      </c>
      <c r="T568" s="14">
        <f t="shared" si="7"/>
        <v>0.8446984495</v>
      </c>
      <c r="U568" s="14">
        <f t="shared" si="8"/>
        <v>4.813900557</v>
      </c>
    </row>
    <row r="569" ht="15.75" customHeight="1">
      <c r="A569" s="9">
        <v>46149.2922868866</v>
      </c>
      <c r="B569" s="10">
        <v>7.0</v>
      </c>
      <c r="C569" s="10" t="s">
        <v>84</v>
      </c>
      <c r="D569" s="10" t="s">
        <v>1465</v>
      </c>
      <c r="E569" s="12" t="s">
        <v>62</v>
      </c>
      <c r="F569" s="11">
        <v>2765.0</v>
      </c>
      <c r="G569" s="11">
        <v>28.0</v>
      </c>
      <c r="H569" s="11">
        <v>19.0</v>
      </c>
      <c r="I569" s="11">
        <v>17.0</v>
      </c>
      <c r="J569" s="11">
        <v>2.0</v>
      </c>
      <c r="K569" s="11">
        <v>0.0</v>
      </c>
      <c r="L569" s="11">
        <v>0.0</v>
      </c>
      <c r="M569" s="13">
        <f t="shared" ref="M569:O569" si="571">IFERROR(G569/F569,"")</f>
        <v>0.01012658228</v>
      </c>
      <c r="N569" s="13">
        <f t="shared" si="571"/>
        <v>0.6785714286</v>
      </c>
      <c r="O569" s="14">
        <f t="shared" si="571"/>
        <v>0.8947368421</v>
      </c>
      <c r="P569" s="13">
        <f t="shared" si="3"/>
        <v>0.1052631579</v>
      </c>
      <c r="Q569" s="13">
        <f t="shared" si="4"/>
        <v>0</v>
      </c>
      <c r="R569" s="13">
        <f t="shared" si="5"/>
        <v>0</v>
      </c>
      <c r="S569" s="14">
        <f t="shared" si="6"/>
        <v>0.1680065817</v>
      </c>
      <c r="T569" s="14">
        <f t="shared" si="7"/>
        <v>1.31146249</v>
      </c>
      <c r="U569" s="14">
        <f t="shared" si="8"/>
        <v>0</v>
      </c>
    </row>
    <row r="570" ht="15.75" customHeight="1">
      <c r="A570" s="9">
        <v>46150.2919309954</v>
      </c>
      <c r="B570" s="10">
        <v>7.0</v>
      </c>
      <c r="C570" s="10" t="s">
        <v>60</v>
      </c>
      <c r="D570" s="10" t="s">
        <v>1467</v>
      </c>
      <c r="E570" s="12" t="s">
        <v>62</v>
      </c>
      <c r="F570" s="11">
        <v>320124.0</v>
      </c>
      <c r="G570" s="11">
        <v>28936.0</v>
      </c>
      <c r="H570" s="11">
        <v>15215.0</v>
      </c>
      <c r="I570" s="11">
        <v>13699.0</v>
      </c>
      <c r="J570" s="11">
        <v>273.0</v>
      </c>
      <c r="K570" s="11">
        <v>92.0</v>
      </c>
      <c r="L570" s="11">
        <v>45.0</v>
      </c>
      <c r="M570" s="13">
        <f t="shared" ref="M570:O570" si="572">IFERROR(G570/F570,"")</f>
        <v>0.09038997389</v>
      </c>
      <c r="N570" s="13">
        <f t="shared" si="572"/>
        <v>0.525815593</v>
      </c>
      <c r="O570" s="14">
        <f t="shared" si="572"/>
        <v>0.9003614854</v>
      </c>
      <c r="P570" s="13">
        <f t="shared" si="3"/>
        <v>0.01794281959</v>
      </c>
      <c r="Q570" s="13">
        <f t="shared" si="4"/>
        <v>0.006046664476</v>
      </c>
      <c r="R570" s="13">
        <f t="shared" si="5"/>
        <v>0.002957607624</v>
      </c>
      <c r="S570" s="14">
        <f t="shared" si="6"/>
        <v>1.470572873</v>
      </c>
      <c r="T570" s="14">
        <f t="shared" si="7"/>
        <v>1.017576458</v>
      </c>
      <c r="U570" s="14">
        <f t="shared" si="8"/>
        <v>0.2956521586</v>
      </c>
    </row>
    <row r="571" ht="15.75" customHeight="1">
      <c r="A571" s="9">
        <v>46151.2653591667</v>
      </c>
      <c r="B571" s="10">
        <v>6.0</v>
      </c>
      <c r="C571" s="10" t="s">
        <v>69</v>
      </c>
      <c r="D571" s="10" t="s">
        <v>1468</v>
      </c>
      <c r="E571" s="12" t="s">
        <v>62</v>
      </c>
      <c r="F571" s="11">
        <v>2024144.0</v>
      </c>
      <c r="G571" s="11">
        <v>176823.0</v>
      </c>
      <c r="H571" s="11">
        <v>87882.0</v>
      </c>
      <c r="I571" s="11">
        <v>57632.0</v>
      </c>
      <c r="J571" s="11">
        <v>1254.0</v>
      </c>
      <c r="K571" s="11">
        <v>510.0</v>
      </c>
      <c r="L571" s="11">
        <v>327.0</v>
      </c>
      <c r="M571" s="13">
        <f t="shared" ref="M571:O571" si="573">IFERROR(G571/F571,"")</f>
        <v>0.08735692718</v>
      </c>
      <c r="N571" s="13">
        <f t="shared" si="573"/>
        <v>0.4970054801</v>
      </c>
      <c r="O571" s="14">
        <f t="shared" si="573"/>
        <v>0.6557884436</v>
      </c>
      <c r="P571" s="13">
        <f t="shared" si="3"/>
        <v>0.01426913361</v>
      </c>
      <c r="Q571" s="13">
        <f t="shared" si="4"/>
        <v>0.005803236158</v>
      </c>
      <c r="R571" s="13">
        <f t="shared" si="5"/>
        <v>0.003720898478</v>
      </c>
      <c r="S571" s="14">
        <f t="shared" si="6"/>
        <v>1.449308199</v>
      </c>
      <c r="T571" s="14">
        <f t="shared" si="7"/>
        <v>0.9605533286</v>
      </c>
      <c r="U571" s="14">
        <f t="shared" si="8"/>
        <v>0.2654127125</v>
      </c>
    </row>
    <row r="572" ht="15.75" customHeight="1">
      <c r="A572" s="9">
        <v>46153.2934272801</v>
      </c>
      <c r="B572" s="10">
        <v>7.0</v>
      </c>
      <c r="C572" s="10" t="s">
        <v>71</v>
      </c>
      <c r="D572" s="10" t="s">
        <v>1470</v>
      </c>
      <c r="E572" s="12" t="s">
        <v>62</v>
      </c>
      <c r="F572" s="11">
        <v>363461.0</v>
      </c>
      <c r="G572" s="11">
        <v>31996.0</v>
      </c>
      <c r="H572" s="11">
        <v>18175.0</v>
      </c>
      <c r="I572" s="11">
        <v>16013.0</v>
      </c>
      <c r="J572" s="11">
        <v>643.0</v>
      </c>
      <c r="K572" s="11">
        <v>118.0</v>
      </c>
      <c r="L572" s="11">
        <v>48.0</v>
      </c>
      <c r="M572" s="13">
        <f t="shared" ref="M572:O572" si="574">IFERROR(G572/F572,"")</f>
        <v>0.08803145317</v>
      </c>
      <c r="N572" s="13">
        <f t="shared" si="574"/>
        <v>0.568039755</v>
      </c>
      <c r="O572" s="14">
        <f t="shared" si="574"/>
        <v>0.881045392</v>
      </c>
      <c r="P572" s="13">
        <f t="shared" si="3"/>
        <v>0.03537826685</v>
      </c>
      <c r="Q572" s="13">
        <f t="shared" si="4"/>
        <v>0.006492434663</v>
      </c>
      <c r="R572" s="13">
        <f t="shared" si="5"/>
        <v>0.002640990371</v>
      </c>
      <c r="S572" s="14">
        <f t="shared" si="6"/>
        <v>1.404979907</v>
      </c>
      <c r="T572" s="14">
        <f t="shared" si="7"/>
        <v>1.093306822</v>
      </c>
      <c r="U572" s="14">
        <f t="shared" si="8"/>
        <v>0.2745550735</v>
      </c>
    </row>
    <row r="573" ht="15.75" customHeight="1">
      <c r="A573" s="9">
        <v>46154.6081588542</v>
      </c>
      <c r="B573" s="10">
        <v>14.0</v>
      </c>
      <c r="C573" s="10" t="s">
        <v>59</v>
      </c>
      <c r="D573" s="10" t="s">
        <v>1472</v>
      </c>
      <c r="E573" s="12" t="s">
        <v>62</v>
      </c>
      <c r="F573" s="11">
        <v>4817.0</v>
      </c>
      <c r="G573" s="11">
        <v>112.0</v>
      </c>
      <c r="H573" s="11">
        <v>75.0</v>
      </c>
      <c r="I573" s="11">
        <v>84.0</v>
      </c>
      <c r="J573" s="11">
        <v>7.0</v>
      </c>
      <c r="K573" s="11">
        <v>0.0</v>
      </c>
      <c r="L573" s="11">
        <v>0.0</v>
      </c>
      <c r="M573" s="13">
        <f t="shared" ref="M573:O573" si="575">IFERROR(G573/F573,"")</f>
        <v>0.02325098609</v>
      </c>
      <c r="N573" s="13">
        <f t="shared" si="575"/>
        <v>0.6696428571</v>
      </c>
      <c r="O573" s="14">
        <f t="shared" si="575"/>
        <v>1.12</v>
      </c>
      <c r="P573" s="13">
        <f t="shared" si="3"/>
        <v>0.09333333333</v>
      </c>
      <c r="Q573" s="13">
        <f t="shared" si="4"/>
        <v>0</v>
      </c>
      <c r="R573" s="13">
        <f t="shared" si="5"/>
        <v>0</v>
      </c>
      <c r="S573" s="14">
        <f t="shared" si="6"/>
        <v>0.3782750225</v>
      </c>
      <c r="T573" s="14">
        <f t="shared" si="7"/>
        <v>1.291528894</v>
      </c>
      <c r="U573" s="14">
        <f t="shared" si="8"/>
        <v>0</v>
      </c>
    </row>
    <row r="574" ht="15.75" customHeight="1">
      <c r="A574" s="9">
        <v>46155.2922341551</v>
      </c>
      <c r="B574" s="10">
        <v>7.0</v>
      </c>
      <c r="C574" s="10" t="s">
        <v>80</v>
      </c>
      <c r="D574" s="10" t="s">
        <v>1474</v>
      </c>
      <c r="E574" s="12" t="s">
        <v>62</v>
      </c>
      <c r="F574" s="11">
        <v>3534182.0</v>
      </c>
      <c r="G574" s="11">
        <v>392445.0</v>
      </c>
      <c r="H574" s="11">
        <v>215121.0</v>
      </c>
      <c r="I574" s="11">
        <v>225445.0</v>
      </c>
      <c r="J574" s="11">
        <v>5408.0</v>
      </c>
      <c r="K574" s="11">
        <v>1686.0</v>
      </c>
      <c r="L574" s="11">
        <v>913.0</v>
      </c>
      <c r="M574" s="13">
        <f t="shared" ref="M574:O574" si="576">IFERROR(G574/F574,"")</f>
        <v>0.1110426684</v>
      </c>
      <c r="N574" s="13">
        <f t="shared" si="576"/>
        <v>0.5481557925</v>
      </c>
      <c r="O574" s="14">
        <f t="shared" si="576"/>
        <v>1.047991595</v>
      </c>
      <c r="P574" s="13">
        <f t="shared" si="3"/>
        <v>0.02513934019</v>
      </c>
      <c r="Q574" s="13">
        <f t="shared" si="4"/>
        <v>0.007837449621</v>
      </c>
      <c r="R574" s="13">
        <f t="shared" si="5"/>
        <v>0.004244123075</v>
      </c>
      <c r="S574" s="14">
        <f t="shared" si="6"/>
        <v>1.842270041</v>
      </c>
      <c r="T574" s="14">
        <f t="shared" si="7"/>
        <v>1.059410595</v>
      </c>
      <c r="U574" s="14">
        <f t="shared" si="8"/>
        <v>0.3240361773</v>
      </c>
    </row>
    <row r="575" ht="15.75" customHeight="1">
      <c r="A575" s="9">
        <v>46156.2928921065</v>
      </c>
      <c r="B575" s="10">
        <v>7.0</v>
      </c>
      <c r="C575" s="10" t="s">
        <v>84</v>
      </c>
      <c r="D575" s="10" t="s">
        <v>1476</v>
      </c>
      <c r="E575" s="12" t="s">
        <v>62</v>
      </c>
      <c r="F575" s="11">
        <v>2829.0</v>
      </c>
      <c r="G575" s="11">
        <v>39.0</v>
      </c>
      <c r="H575" s="11">
        <v>8.0</v>
      </c>
      <c r="I575" s="11">
        <v>14.0</v>
      </c>
      <c r="J575" s="11">
        <v>4.0</v>
      </c>
      <c r="K575" s="11">
        <v>0.0</v>
      </c>
      <c r="L575" s="11">
        <v>0.0</v>
      </c>
      <c r="M575" s="13">
        <f t="shared" ref="M575:O575" si="577">IFERROR(G575/F575,"")</f>
        <v>0.01378579003</v>
      </c>
      <c r="N575" s="13">
        <f t="shared" si="577"/>
        <v>0.2051282051</v>
      </c>
      <c r="O575" s="14">
        <f t="shared" si="577"/>
        <v>1.75</v>
      </c>
      <c r="P575" s="13">
        <f t="shared" si="3"/>
        <v>0.5</v>
      </c>
      <c r="Q575" s="13">
        <f t="shared" si="4"/>
        <v>0</v>
      </c>
      <c r="R575" s="13">
        <f t="shared" si="5"/>
        <v>0</v>
      </c>
      <c r="S575" s="14">
        <f t="shared" si="6"/>
        <v>0.2242838224</v>
      </c>
      <c r="T575" s="14">
        <f t="shared" si="7"/>
        <v>0.3969711722</v>
      </c>
      <c r="U575" s="14">
        <f t="shared" si="8"/>
        <v>0</v>
      </c>
    </row>
    <row r="576" ht="15.75" customHeight="1">
      <c r="A576" s="9">
        <v>46157.2511389005</v>
      </c>
      <c r="B576" s="10">
        <v>6.0</v>
      </c>
      <c r="C576" s="10" t="s">
        <v>60</v>
      </c>
      <c r="D576" s="10" t="s">
        <v>1478</v>
      </c>
      <c r="E576" s="12" t="s">
        <v>62</v>
      </c>
      <c r="F576" s="11">
        <v>52773.0</v>
      </c>
      <c r="G576" s="11">
        <v>5092.0</v>
      </c>
      <c r="H576" s="11">
        <v>2682.0</v>
      </c>
      <c r="I576" s="11">
        <v>4076.0</v>
      </c>
      <c r="J576" s="11">
        <v>292.0</v>
      </c>
      <c r="K576" s="11">
        <v>139.0</v>
      </c>
      <c r="L576" s="11">
        <v>26.0</v>
      </c>
      <c r="M576" s="13">
        <f t="shared" ref="M576:O576" si="578">IFERROR(G576/F576,"")</f>
        <v>0.09648873477</v>
      </c>
      <c r="N576" s="13">
        <f t="shared" si="578"/>
        <v>0.5267085625</v>
      </c>
      <c r="O576" s="14">
        <f t="shared" si="578"/>
        <v>1.519761372</v>
      </c>
      <c r="P576" s="13">
        <f t="shared" si="3"/>
        <v>0.1088739746</v>
      </c>
      <c r="Q576" s="13">
        <f t="shared" si="4"/>
        <v>0.05182699478</v>
      </c>
      <c r="R576" s="13">
        <f t="shared" si="5"/>
        <v>0.009694258016</v>
      </c>
      <c r="S576" s="14">
        <f t="shared" si="6"/>
        <v>1.569794854</v>
      </c>
      <c r="T576" s="14">
        <f t="shared" si="7"/>
        <v>1.019304563</v>
      </c>
      <c r="U576" s="14">
        <f t="shared" si="8"/>
        <v>2.081020407</v>
      </c>
    </row>
    <row r="577" ht="15.75" customHeight="1">
      <c r="A577" s="9">
        <v>46158.291913507</v>
      </c>
      <c r="B577" s="10">
        <v>7.0</v>
      </c>
      <c r="C577" s="10" t="s">
        <v>69</v>
      </c>
      <c r="D577" s="10" t="s">
        <v>1480</v>
      </c>
      <c r="E577" s="12" t="s">
        <v>62</v>
      </c>
      <c r="F577" s="11">
        <v>466875.0</v>
      </c>
      <c r="G577" s="11">
        <v>31555.0</v>
      </c>
      <c r="H577" s="11">
        <v>16117.0</v>
      </c>
      <c r="I577" s="11">
        <v>17174.0</v>
      </c>
      <c r="J577" s="11">
        <v>803.0</v>
      </c>
      <c r="K577" s="11">
        <v>255.0</v>
      </c>
      <c r="L577" s="11">
        <v>83.0</v>
      </c>
      <c r="M577" s="13">
        <f t="shared" ref="M577:O577" si="579">IFERROR(G577/F577,"")</f>
        <v>0.06758768407</v>
      </c>
      <c r="N577" s="13">
        <f t="shared" si="579"/>
        <v>0.5107589922</v>
      </c>
      <c r="O577" s="14">
        <f t="shared" si="579"/>
        <v>1.065582925</v>
      </c>
      <c r="P577" s="13">
        <f t="shared" si="3"/>
        <v>0.04982316808</v>
      </c>
      <c r="Q577" s="13">
        <f t="shared" si="4"/>
        <v>0.01582180307</v>
      </c>
      <c r="R577" s="13">
        <f t="shared" si="5"/>
        <v>0.005149841782</v>
      </c>
      <c r="S577" s="14">
        <f t="shared" si="6"/>
        <v>1.078697837</v>
      </c>
      <c r="T577" s="14">
        <f t="shared" si="7"/>
        <v>0.9871344881</v>
      </c>
      <c r="U577" s="14">
        <f t="shared" si="8"/>
        <v>0.6541460335</v>
      </c>
    </row>
    <row r="578" ht="15.75" customHeight="1">
      <c r="A578" s="9">
        <v>46160.2508987732</v>
      </c>
      <c r="B578" s="10">
        <v>6.0</v>
      </c>
      <c r="C578" s="10" t="s">
        <v>71</v>
      </c>
      <c r="D578" s="10" t="s">
        <v>1481</v>
      </c>
      <c r="E578" s="12" t="s">
        <v>62</v>
      </c>
      <c r="F578" s="11">
        <v>7607.0</v>
      </c>
      <c r="G578" s="11">
        <v>238.0</v>
      </c>
      <c r="H578" s="11">
        <v>86.0</v>
      </c>
      <c r="I578" s="11">
        <v>117.0</v>
      </c>
      <c r="J578" s="11">
        <v>237.0</v>
      </c>
      <c r="K578" s="11">
        <v>49.0</v>
      </c>
      <c r="L578" s="11">
        <v>41.0</v>
      </c>
      <c r="M578" s="13">
        <f t="shared" ref="M578:O578" si="580">IFERROR(G578/F578,"")</f>
        <v>0.03128697253</v>
      </c>
      <c r="N578" s="13">
        <f t="shared" si="580"/>
        <v>0.3613445378</v>
      </c>
      <c r="O578" s="14">
        <f t="shared" si="580"/>
        <v>1.360465116</v>
      </c>
      <c r="P578" s="13">
        <f t="shared" si="3"/>
        <v>2.755813953</v>
      </c>
      <c r="Q578" s="13">
        <f t="shared" si="4"/>
        <v>0.5697674419</v>
      </c>
      <c r="R578" s="13">
        <f t="shared" si="5"/>
        <v>0.476744186</v>
      </c>
      <c r="S578" s="14">
        <f t="shared" si="6"/>
        <v>0.4993393403</v>
      </c>
      <c r="T578" s="14">
        <f t="shared" si="7"/>
        <v>0.6983639266</v>
      </c>
      <c r="U578" s="14">
        <f t="shared" si="8"/>
        <v>24.09458855</v>
      </c>
    </row>
    <row r="579" ht="15.75" customHeight="1">
      <c r="A579" s="9">
        <v>46161.4678830671</v>
      </c>
      <c r="B579" s="10">
        <v>11.0</v>
      </c>
      <c r="C579" s="10" t="s">
        <v>59</v>
      </c>
      <c r="D579" s="10" t="s">
        <v>1483</v>
      </c>
      <c r="E579" s="12" t="s">
        <v>62</v>
      </c>
      <c r="F579" s="11">
        <v>84251.0</v>
      </c>
      <c r="G579" s="11">
        <v>4381.0</v>
      </c>
      <c r="H579" s="11">
        <v>2116.0</v>
      </c>
      <c r="I579" s="11">
        <v>3108.0</v>
      </c>
      <c r="J579" s="11">
        <v>191.0</v>
      </c>
      <c r="K579" s="11">
        <v>0.0</v>
      </c>
      <c r="L579" s="11">
        <v>14.0</v>
      </c>
      <c r="M579" s="13">
        <f t="shared" ref="M579:O579" si="581">IFERROR(G579/F579,"")</f>
        <v>0.0519993828</v>
      </c>
      <c r="N579" s="13">
        <f t="shared" si="581"/>
        <v>0.4829947501</v>
      </c>
      <c r="O579" s="14">
        <f t="shared" si="581"/>
        <v>1.468809074</v>
      </c>
      <c r="P579" s="13">
        <f t="shared" si="3"/>
        <v>0.09026465028</v>
      </c>
      <c r="Q579" s="13">
        <f t="shared" si="4"/>
        <v>0</v>
      </c>
      <c r="R579" s="13">
        <f t="shared" si="5"/>
        <v>0.006616257089</v>
      </c>
      <c r="S579" s="14">
        <f t="shared" si="6"/>
        <v>0.8286812874</v>
      </c>
      <c r="T579" s="14">
        <f t="shared" si="7"/>
        <v>0.9347080864</v>
      </c>
      <c r="U579" s="14">
        <f t="shared" si="8"/>
        <v>0</v>
      </c>
    </row>
    <row r="580" ht="15.75" customHeight="1">
      <c r="A580" s="9">
        <v>46162.3369993866</v>
      </c>
      <c r="B580" s="10">
        <v>8.0</v>
      </c>
      <c r="C580" s="10" t="s">
        <v>80</v>
      </c>
      <c r="D580" s="10" t="s">
        <v>1485</v>
      </c>
      <c r="E580" s="12" t="s">
        <v>62</v>
      </c>
      <c r="F580" s="11">
        <v>32231.0</v>
      </c>
      <c r="G580" s="11">
        <v>5171.0</v>
      </c>
      <c r="H580" s="11">
        <v>2999.0</v>
      </c>
      <c r="I580" s="11">
        <v>2039.0</v>
      </c>
      <c r="J580" s="11">
        <v>256.0</v>
      </c>
      <c r="K580" s="11">
        <v>129.0</v>
      </c>
      <c r="L580" s="11">
        <v>11.0</v>
      </c>
      <c r="M580" s="13">
        <f t="shared" ref="M580:O580" si="582">IFERROR(G580/F580,"")</f>
        <v>0.1604356055</v>
      </c>
      <c r="N580" s="13">
        <f t="shared" si="582"/>
        <v>0.5799651905</v>
      </c>
      <c r="O580" s="14">
        <f t="shared" si="582"/>
        <v>0.6798932978</v>
      </c>
      <c r="P580" s="13">
        <f t="shared" si="3"/>
        <v>0.08536178726</v>
      </c>
      <c r="Q580" s="13">
        <f t="shared" si="4"/>
        <v>0.04301433811</v>
      </c>
      <c r="R580" s="13">
        <f t="shared" si="5"/>
        <v>0.003667889296</v>
      </c>
      <c r="S580" s="14">
        <f t="shared" si="6"/>
        <v>2.552984347</v>
      </c>
      <c r="T580" s="14">
        <f t="shared" si="7"/>
        <v>1.120888032</v>
      </c>
      <c r="U580" s="14">
        <f t="shared" si="8"/>
        <v>1.819010183</v>
      </c>
    </row>
    <row r="581" ht="15.75" customHeight="1">
      <c r="A581" s="9">
        <v>46163.4822576389</v>
      </c>
      <c r="B581" s="10">
        <v>11.0</v>
      </c>
      <c r="C581" s="10" t="s">
        <v>84</v>
      </c>
      <c r="D581" s="10" t="s">
        <v>1486</v>
      </c>
      <c r="E581" s="12" t="s">
        <v>62</v>
      </c>
      <c r="F581" s="11">
        <v>4424.0</v>
      </c>
      <c r="G581" s="11">
        <v>176.0</v>
      </c>
      <c r="H581" s="11">
        <v>120.0</v>
      </c>
      <c r="I581" s="11">
        <v>177.0</v>
      </c>
      <c r="J581" s="11">
        <v>22.0</v>
      </c>
      <c r="K581" s="11">
        <v>25.0</v>
      </c>
      <c r="L581" s="11">
        <v>0.0</v>
      </c>
      <c r="M581" s="13">
        <f t="shared" ref="M581:O581" si="583">IFERROR(G581/F581,"")</f>
        <v>0.03978300181</v>
      </c>
      <c r="N581" s="13">
        <f t="shared" si="583"/>
        <v>0.6818181818</v>
      </c>
      <c r="O581" s="14">
        <f t="shared" si="583"/>
        <v>1.475</v>
      </c>
      <c r="P581" s="13">
        <f t="shared" si="3"/>
        <v>0.1833333333</v>
      </c>
      <c r="Q581" s="13">
        <f t="shared" si="4"/>
        <v>0.2083333333</v>
      </c>
      <c r="R581" s="13">
        <f t="shared" si="5"/>
        <v>0</v>
      </c>
      <c r="S581" s="14">
        <f t="shared" si="6"/>
        <v>0.6271435247</v>
      </c>
      <c r="T581" s="14">
        <f t="shared" si="7"/>
        <v>1.319478044</v>
      </c>
      <c r="U581" s="14">
        <f t="shared" si="8"/>
        <v>8.710667065</v>
      </c>
    </row>
    <row r="582" ht="15.75" customHeight="1">
      <c r="A582" s="9">
        <v>46164.5453194213</v>
      </c>
      <c r="B582" s="10">
        <v>13.0</v>
      </c>
      <c r="C582" s="10" t="s">
        <v>60</v>
      </c>
      <c r="D582" s="10" t="s">
        <v>1488</v>
      </c>
      <c r="E582" s="12" t="s">
        <v>62</v>
      </c>
      <c r="F582" s="11">
        <v>318622.0</v>
      </c>
      <c r="G582" s="11">
        <v>26354.0</v>
      </c>
      <c r="H582" s="11">
        <v>13600.0</v>
      </c>
      <c r="I582" s="11">
        <v>20642.0</v>
      </c>
      <c r="J582" s="11">
        <v>289.0</v>
      </c>
      <c r="K582" s="11">
        <v>154.0</v>
      </c>
      <c r="L582" s="11">
        <v>35.0</v>
      </c>
      <c r="M582" s="13">
        <f t="shared" ref="M582:O582" si="584">IFERROR(G582/F582,"")</f>
        <v>0.0827124304</v>
      </c>
      <c r="N582" s="13">
        <f t="shared" si="584"/>
        <v>0.5160506944</v>
      </c>
      <c r="O582" s="14">
        <f t="shared" si="584"/>
        <v>1.517794118</v>
      </c>
      <c r="P582" s="13">
        <f t="shared" si="3"/>
        <v>0.02125</v>
      </c>
      <c r="Q582" s="13">
        <f t="shared" si="4"/>
        <v>0.01132352941</v>
      </c>
      <c r="R582" s="13">
        <f t="shared" si="5"/>
        <v>0.002573529412</v>
      </c>
      <c r="S582" s="14">
        <f t="shared" si="6"/>
        <v>1.291814367</v>
      </c>
      <c r="T582" s="14">
        <f t="shared" si="7"/>
        <v>0.9973616633</v>
      </c>
      <c r="U582" s="14">
        <f t="shared" si="8"/>
        <v>0.4681667329</v>
      </c>
    </row>
    <row r="583" ht="15.75" customHeight="1">
      <c r="A583" s="9">
        <v>46165.2510121875</v>
      </c>
      <c r="B583" s="10">
        <v>6.0</v>
      </c>
      <c r="C583" s="10" t="s">
        <v>69</v>
      </c>
      <c r="D583" s="10" t="s">
        <v>1490</v>
      </c>
      <c r="E583" s="12" t="s">
        <v>62</v>
      </c>
      <c r="F583" s="11">
        <v>14636.0</v>
      </c>
      <c r="G583" s="11">
        <v>1540.0</v>
      </c>
      <c r="H583" s="11">
        <v>1044.0</v>
      </c>
      <c r="I583" s="11">
        <v>837.0</v>
      </c>
      <c r="J583" s="11">
        <v>67.0</v>
      </c>
      <c r="K583" s="11">
        <v>40.0</v>
      </c>
      <c r="L583" s="11">
        <v>2.0</v>
      </c>
      <c r="M583" s="13">
        <f t="shared" ref="M583:O583" si="585">IFERROR(G583/F583,"")</f>
        <v>0.1052200055</v>
      </c>
      <c r="N583" s="13">
        <f t="shared" si="585"/>
        <v>0.6779220779</v>
      </c>
      <c r="O583" s="14">
        <f t="shared" si="585"/>
        <v>0.8017241379</v>
      </c>
      <c r="P583" s="13">
        <f t="shared" si="3"/>
        <v>0.06417624521</v>
      </c>
      <c r="Q583" s="13">
        <f t="shared" si="4"/>
        <v>0.03831417625</v>
      </c>
      <c r="R583" s="13">
        <f t="shared" si="5"/>
        <v>0.001915708812</v>
      </c>
      <c r="S583" s="14">
        <f t="shared" si="6"/>
        <v>1.643340838</v>
      </c>
      <c r="T583" s="14">
        <f t="shared" si="7"/>
        <v>1.310207502</v>
      </c>
      <c r="U583" s="14">
        <f t="shared" si="8"/>
        <v>1.584084084</v>
      </c>
    </row>
    <row r="584" ht="15.75" customHeight="1">
      <c r="A584" s="9">
        <v>46167.3326788079</v>
      </c>
      <c r="B584" s="10">
        <v>7.0</v>
      </c>
      <c r="C584" s="10" t="s">
        <v>71</v>
      </c>
      <c r="D584" s="10" t="s">
        <v>1492</v>
      </c>
      <c r="E584" s="12" t="s">
        <v>62</v>
      </c>
      <c r="F584" s="11">
        <v>5685.0</v>
      </c>
      <c r="G584" s="11">
        <v>179.0</v>
      </c>
      <c r="H584" s="11">
        <v>45.0</v>
      </c>
      <c r="I584" s="11">
        <v>79.0</v>
      </c>
      <c r="J584" s="11">
        <v>78.0</v>
      </c>
      <c r="K584" s="11">
        <v>34.0</v>
      </c>
      <c r="L584" s="11">
        <v>14.0</v>
      </c>
      <c r="M584" s="13">
        <f t="shared" ref="M584:O584" si="586">IFERROR(G584/F584,"")</f>
        <v>0.03148636763</v>
      </c>
      <c r="N584" s="13">
        <f t="shared" si="586"/>
        <v>0.251396648</v>
      </c>
      <c r="O584" s="14">
        <f t="shared" si="586"/>
        <v>1.755555556</v>
      </c>
      <c r="P584" s="13">
        <f t="shared" si="3"/>
        <v>1.733333333</v>
      </c>
      <c r="Q584" s="13">
        <f t="shared" si="4"/>
        <v>0.7555555556</v>
      </c>
      <c r="R584" s="13">
        <f t="shared" si="5"/>
        <v>0.3111111111</v>
      </c>
      <c r="S584" s="14">
        <f t="shared" si="6"/>
        <v>0.4963544902</v>
      </c>
      <c r="T584" s="14">
        <f t="shared" si="7"/>
        <v>0.4865114575</v>
      </c>
      <c r="U584" s="14">
        <f t="shared" si="8"/>
        <v>31.59068589</v>
      </c>
    </row>
    <row r="585" ht="15.75" customHeight="1">
      <c r="A585" s="9">
        <v>46168.2934906713</v>
      </c>
      <c r="B585" s="10">
        <v>7.0</v>
      </c>
      <c r="C585" s="10" t="s">
        <v>59</v>
      </c>
      <c r="D585" s="10" t="s">
        <v>1494</v>
      </c>
      <c r="E585" s="12" t="s">
        <v>62</v>
      </c>
      <c r="F585" s="11">
        <v>30625.0</v>
      </c>
      <c r="G585" s="11">
        <v>2895.0</v>
      </c>
      <c r="H585" s="11">
        <v>1750.0</v>
      </c>
      <c r="I585" s="11">
        <v>2719.0</v>
      </c>
      <c r="J585" s="11">
        <v>132.0</v>
      </c>
      <c r="K585" s="11">
        <v>65.0</v>
      </c>
      <c r="L585" s="11">
        <v>5.0</v>
      </c>
      <c r="M585" s="13">
        <f t="shared" ref="M585:O585" si="587">IFERROR(G585/F585,"")</f>
        <v>0.09453061224</v>
      </c>
      <c r="N585" s="13">
        <f t="shared" si="587"/>
        <v>0.6044905009</v>
      </c>
      <c r="O585" s="14">
        <f t="shared" si="587"/>
        <v>1.553714286</v>
      </c>
      <c r="P585" s="13">
        <f t="shared" si="3"/>
        <v>0.07542857143</v>
      </c>
      <c r="Q585" s="13">
        <f t="shared" si="4"/>
        <v>0.03714285714</v>
      </c>
      <c r="R585" s="13">
        <f t="shared" si="5"/>
        <v>0.002857142857</v>
      </c>
      <c r="S585" s="14">
        <f t="shared" si="6"/>
        <v>1.476392392</v>
      </c>
      <c r="T585" s="14">
        <f t="shared" si="7"/>
        <v>1.168287647</v>
      </c>
      <c r="U585" s="14">
        <f t="shared" si="8"/>
        <v>1.535656371</v>
      </c>
    </row>
    <row r="586" ht="15.75" customHeight="1">
      <c r="A586" s="9">
        <v>46169.260275787</v>
      </c>
      <c r="B586" s="10">
        <v>6.0</v>
      </c>
      <c r="C586" s="10" t="s">
        <v>80</v>
      </c>
      <c r="D586" s="10" t="s">
        <v>1496</v>
      </c>
      <c r="E586" s="12" t="s">
        <v>62</v>
      </c>
      <c r="F586" s="11">
        <v>157543.0</v>
      </c>
      <c r="G586" s="11">
        <v>1074.0</v>
      </c>
      <c r="H586" s="11">
        <v>229.0</v>
      </c>
      <c r="I586" s="11">
        <v>128.0</v>
      </c>
      <c r="J586" s="11">
        <v>23.0</v>
      </c>
      <c r="K586" s="11">
        <v>52.0</v>
      </c>
      <c r="L586" s="11">
        <v>16.0</v>
      </c>
      <c r="M586" s="13">
        <f t="shared" ref="M586:O586" si="588">IFERROR(G586/F586,"")</f>
        <v>0.006817186419</v>
      </c>
      <c r="N586" s="13">
        <f t="shared" si="588"/>
        <v>0.2132216015</v>
      </c>
      <c r="O586" s="14">
        <f t="shared" si="588"/>
        <v>0.5589519651</v>
      </c>
      <c r="P586" s="13">
        <f t="shared" si="3"/>
        <v>0.1004366812</v>
      </c>
      <c r="Q586" s="13">
        <f t="shared" si="4"/>
        <v>0.2270742358</v>
      </c>
      <c r="R586" s="13">
        <f t="shared" si="5"/>
        <v>0.06986899563</v>
      </c>
      <c r="S586" s="14">
        <f t="shared" si="6"/>
        <v>0.1064548718</v>
      </c>
      <c r="T586" s="14">
        <f t="shared" si="7"/>
        <v>0.4126337917</v>
      </c>
      <c r="U586" s="14">
        <f t="shared" si="8"/>
        <v>9.11776036</v>
      </c>
    </row>
    <row r="587" ht="15.75" customHeight="1">
      <c r="A587" s="9">
        <v>46170.2510482292</v>
      </c>
      <c r="B587" s="10">
        <v>6.0</v>
      </c>
      <c r="C587" s="10" t="s">
        <v>84</v>
      </c>
      <c r="D587" s="10" t="s">
        <v>1498</v>
      </c>
      <c r="E587" s="12" t="s">
        <v>62</v>
      </c>
      <c r="F587" s="11">
        <v>15185.0</v>
      </c>
      <c r="G587" s="11">
        <v>999.0</v>
      </c>
      <c r="H587" s="11">
        <v>509.0</v>
      </c>
      <c r="I587" s="11">
        <v>925.0</v>
      </c>
      <c r="J587" s="11">
        <v>62.0</v>
      </c>
      <c r="K587" s="11">
        <v>61.0</v>
      </c>
      <c r="L587" s="11">
        <v>6.0</v>
      </c>
      <c r="M587" s="13">
        <f t="shared" ref="M587:O587" si="589">IFERROR(G587/F587,"")</f>
        <v>0.06578860718</v>
      </c>
      <c r="N587" s="13">
        <f t="shared" si="589"/>
        <v>0.5095095095</v>
      </c>
      <c r="O587" s="14">
        <f t="shared" si="589"/>
        <v>1.817288802</v>
      </c>
      <c r="P587" s="13">
        <f t="shared" si="3"/>
        <v>0.1218074656</v>
      </c>
      <c r="Q587" s="13">
        <f t="shared" si="4"/>
        <v>0.1198428291</v>
      </c>
      <c r="R587" s="13">
        <f t="shared" si="5"/>
        <v>0.01178781925</v>
      </c>
      <c r="S587" s="14">
        <f t="shared" si="6"/>
        <v>1.027169504</v>
      </c>
      <c r="T587" s="14">
        <f t="shared" si="7"/>
        <v>0.9847196358</v>
      </c>
      <c r="U587" s="14">
        <f t="shared" si="8"/>
        <v>4.954853183</v>
      </c>
    </row>
    <row r="588" ht="15.75" customHeight="1">
      <c r="A588" s="9">
        <v>46171.2505735301</v>
      </c>
      <c r="B588" s="10">
        <v>6.0</v>
      </c>
      <c r="C588" s="10" t="s">
        <v>60</v>
      </c>
      <c r="D588" s="10" t="s">
        <v>1500</v>
      </c>
      <c r="E588" s="12" t="s">
        <v>62</v>
      </c>
      <c r="F588" s="11">
        <v>508681.0</v>
      </c>
      <c r="G588" s="11">
        <v>32672.0</v>
      </c>
      <c r="H588" s="11">
        <v>15354.0</v>
      </c>
      <c r="I588" s="11">
        <v>14049.0</v>
      </c>
      <c r="J588" s="11">
        <v>551.0</v>
      </c>
      <c r="K588" s="11">
        <v>178.0</v>
      </c>
      <c r="L588" s="11">
        <v>91.0</v>
      </c>
      <c r="M588" s="13">
        <f t="shared" ref="M588:O588" si="590">IFERROR(G588/F588,"")</f>
        <v>0.06422885856</v>
      </c>
      <c r="N588" s="13">
        <f t="shared" si="590"/>
        <v>0.4699436827</v>
      </c>
      <c r="O588" s="14">
        <f t="shared" si="590"/>
        <v>0.9150058617</v>
      </c>
      <c r="P588" s="13">
        <f t="shared" si="3"/>
        <v>0.03588641396</v>
      </c>
      <c r="Q588" s="13">
        <f t="shared" si="4"/>
        <v>0.01159307021</v>
      </c>
      <c r="R588" s="13">
        <f t="shared" si="5"/>
        <v>0.005926794321</v>
      </c>
      <c r="S588" s="14">
        <f t="shared" si="6"/>
        <v>1.002816865</v>
      </c>
      <c r="T588" s="14">
        <f t="shared" si="7"/>
        <v>0.9045011894</v>
      </c>
      <c r="U588" s="14">
        <f t="shared" si="8"/>
        <v>0.4524609688</v>
      </c>
    </row>
    <row r="589" ht="15.75" customHeight="1">
      <c r="A589" s="9">
        <v>46172.2505693056</v>
      </c>
      <c r="B589" s="10">
        <v>6.0</v>
      </c>
      <c r="C589" s="10" t="s">
        <v>69</v>
      </c>
      <c r="D589" s="10" t="s">
        <v>1502</v>
      </c>
      <c r="E589" s="12" t="s">
        <v>62</v>
      </c>
      <c r="F589" s="11">
        <v>8972.0</v>
      </c>
      <c r="G589" s="11">
        <v>392.0</v>
      </c>
      <c r="H589" s="11">
        <v>138.0</v>
      </c>
      <c r="I589" s="11">
        <v>163.0</v>
      </c>
      <c r="J589" s="11">
        <v>35.0</v>
      </c>
      <c r="K589" s="11">
        <v>34.0</v>
      </c>
      <c r="L589" s="11">
        <v>0.0</v>
      </c>
      <c r="M589" s="13">
        <f t="shared" ref="M589:O589" si="591">IFERROR(G589/F589,"")</f>
        <v>0.04369148462</v>
      </c>
      <c r="N589" s="13">
        <f t="shared" si="591"/>
        <v>0.3520408163</v>
      </c>
      <c r="O589" s="14">
        <f t="shared" si="591"/>
        <v>1.18115942</v>
      </c>
      <c r="P589" s="13">
        <f t="shared" si="3"/>
        <v>0.2536231884</v>
      </c>
      <c r="Q589" s="13">
        <f t="shared" si="4"/>
        <v>0.2463768116</v>
      </c>
      <c r="R589" s="13">
        <f t="shared" si="5"/>
        <v>0</v>
      </c>
      <c r="S589" s="14">
        <f t="shared" si="6"/>
        <v>0.6821631056</v>
      </c>
      <c r="T589" s="14">
        <f t="shared" si="7"/>
        <v>0.6775733962</v>
      </c>
      <c r="U589" s="14">
        <f t="shared" si="8"/>
        <v>9.61573499</v>
      </c>
    </row>
    <row r="590" ht="15.75" customHeight="1">
      <c r="A590" s="9">
        <v>46174.442477662</v>
      </c>
      <c r="B590" s="10">
        <v>10.0</v>
      </c>
      <c r="C590" s="10" t="s">
        <v>71</v>
      </c>
      <c r="D590" s="10" t="s">
        <v>1503</v>
      </c>
      <c r="E590" s="12" t="s">
        <v>62</v>
      </c>
      <c r="F590" s="11">
        <v>85887.0</v>
      </c>
      <c r="G590" s="11">
        <v>907.0</v>
      </c>
      <c r="H590" s="11">
        <v>218.0</v>
      </c>
      <c r="I590" s="11">
        <v>69.0</v>
      </c>
      <c r="J590" s="11">
        <v>116.0</v>
      </c>
      <c r="K590" s="11">
        <v>27.0</v>
      </c>
      <c r="L590" s="11">
        <v>17.0</v>
      </c>
      <c r="M590" s="13">
        <f t="shared" ref="M590:O590" si="592">IFERROR(G590/F590,"")</f>
        <v>0.01056038749</v>
      </c>
      <c r="N590" s="13">
        <f t="shared" si="592"/>
        <v>0.2403528115</v>
      </c>
      <c r="O590" s="14">
        <f t="shared" si="592"/>
        <v>0.3165137615</v>
      </c>
      <c r="P590" s="13">
        <f t="shared" si="3"/>
        <v>0.5321100917</v>
      </c>
      <c r="Q590" s="13">
        <f t="shared" si="4"/>
        <v>0.123853211</v>
      </c>
      <c r="R590" s="13">
        <f t="shared" si="5"/>
        <v>0.07798165138</v>
      </c>
      <c r="S590" s="14">
        <f t="shared" si="6"/>
        <v>0.1649336164</v>
      </c>
      <c r="T590" s="14">
        <f t="shared" si="7"/>
        <v>0.4645254476</v>
      </c>
      <c r="U590" s="14">
        <f t="shared" si="8"/>
        <v>4.833813893</v>
      </c>
    </row>
    <row r="591" ht="15.75" customHeight="1">
      <c r="A591" s="9">
        <v>46175.2507523958</v>
      </c>
      <c r="B591" s="10">
        <v>6.0</v>
      </c>
      <c r="C591" s="10" t="s">
        <v>59</v>
      </c>
      <c r="D591" s="10" t="s">
        <v>1505</v>
      </c>
      <c r="E591" s="12" t="s">
        <v>62</v>
      </c>
      <c r="F591" s="11">
        <v>6296.0</v>
      </c>
      <c r="G591" s="11">
        <v>378.0</v>
      </c>
      <c r="H591" s="11">
        <v>221.0</v>
      </c>
      <c r="I591" s="11">
        <v>270.0</v>
      </c>
      <c r="J591" s="11">
        <v>24.0</v>
      </c>
      <c r="K591" s="11">
        <v>25.0</v>
      </c>
      <c r="L591" s="11">
        <v>1.0</v>
      </c>
      <c r="M591" s="13">
        <f t="shared" ref="M591:O591" si="593">IFERROR(G591/F591,"")</f>
        <v>0.06003811944</v>
      </c>
      <c r="N591" s="13">
        <f t="shared" si="593"/>
        <v>0.5846560847</v>
      </c>
      <c r="O591" s="14">
        <f t="shared" si="593"/>
        <v>1.221719457</v>
      </c>
      <c r="P591" s="13">
        <f t="shared" si="3"/>
        <v>0.1085972851</v>
      </c>
      <c r="Q591" s="13">
        <f t="shared" si="4"/>
        <v>0.1131221719</v>
      </c>
      <c r="R591" s="13">
        <f t="shared" si="5"/>
        <v>0.004524886878</v>
      </c>
      <c r="S591" s="14">
        <f t="shared" si="6"/>
        <v>0.9375349173</v>
      </c>
      <c r="T591" s="14">
        <f t="shared" si="7"/>
        <v>1.127616338</v>
      </c>
      <c r="U591" s="14">
        <f t="shared" si="8"/>
        <v>4.542218766</v>
      </c>
    </row>
    <row r="592" ht="15.75" customHeight="1">
      <c r="A592" s="9">
        <v>46175.6640059722</v>
      </c>
      <c r="B592" s="10">
        <v>15.0</v>
      </c>
      <c r="C592" s="10" t="s">
        <v>59</v>
      </c>
      <c r="D592" s="10" t="s">
        <v>1506</v>
      </c>
      <c r="E592" s="12" t="s">
        <v>62</v>
      </c>
      <c r="F592" s="11">
        <v>209994.0</v>
      </c>
      <c r="G592" s="11">
        <v>9774.0</v>
      </c>
      <c r="H592" s="11">
        <v>6119.0</v>
      </c>
      <c r="I592" s="11">
        <v>3245.0</v>
      </c>
      <c r="J592" s="11">
        <v>126.0</v>
      </c>
      <c r="K592" s="11">
        <v>148.0</v>
      </c>
      <c r="L592" s="11">
        <v>12.0</v>
      </c>
      <c r="M592" s="13">
        <f t="shared" ref="M592:O592" si="594">IFERROR(G592/F592,"")</f>
        <v>0.04654418698</v>
      </c>
      <c r="N592" s="13">
        <f t="shared" si="594"/>
        <v>0.6260487006</v>
      </c>
      <c r="O592" s="14">
        <f t="shared" si="594"/>
        <v>0.530315411</v>
      </c>
      <c r="P592" s="13">
        <f t="shared" si="3"/>
        <v>0.02059159993</v>
      </c>
      <c r="Q592" s="13">
        <f t="shared" si="4"/>
        <v>0.02418695865</v>
      </c>
      <c r="R592" s="13">
        <f t="shared" si="5"/>
        <v>0.001961104756</v>
      </c>
      <c r="S592" s="14">
        <f t="shared" si="6"/>
        <v>0.726702867</v>
      </c>
      <c r="T592" s="14">
        <f t="shared" si="7"/>
        <v>1.204956711</v>
      </c>
      <c r="U592" s="14">
        <f t="shared" si="8"/>
        <v>0.9439824434</v>
      </c>
    </row>
    <row r="593" ht="15.75" customHeight="1">
      <c r="A593" s="9">
        <v>46176.2505135648</v>
      </c>
      <c r="B593" s="10">
        <v>6.0</v>
      </c>
      <c r="C593" s="10" t="s">
        <v>80</v>
      </c>
      <c r="D593" s="10" t="s">
        <v>1508</v>
      </c>
      <c r="E593" s="12" t="s">
        <v>62</v>
      </c>
      <c r="F593" s="11">
        <v>21586.0</v>
      </c>
      <c r="G593" s="11">
        <v>640.0</v>
      </c>
      <c r="H593" s="11">
        <v>344.0</v>
      </c>
      <c r="I593" s="11">
        <v>383.0</v>
      </c>
      <c r="J593" s="11">
        <v>59.0</v>
      </c>
      <c r="K593" s="11">
        <v>64.0</v>
      </c>
      <c r="L593" s="11">
        <v>3.0</v>
      </c>
      <c r="M593" s="13">
        <f t="shared" ref="M593:O593" si="595">IFERROR(G593/F593,"")</f>
        <v>0.02964884647</v>
      </c>
      <c r="N593" s="13">
        <f t="shared" si="595"/>
        <v>0.5375</v>
      </c>
      <c r="O593" s="14">
        <f t="shared" si="595"/>
        <v>1.113372093</v>
      </c>
      <c r="P593" s="13">
        <f t="shared" si="3"/>
        <v>0.1715116279</v>
      </c>
      <c r="Q593" s="13">
        <f t="shared" si="4"/>
        <v>0.1860465116</v>
      </c>
      <c r="R593" s="13">
        <f t="shared" si="5"/>
        <v>0.008720930233</v>
      </c>
      <c r="S593" s="14">
        <f t="shared" si="6"/>
        <v>0.4629128391</v>
      </c>
      <c r="T593" s="14">
        <f t="shared" si="7"/>
        <v>1.034526917</v>
      </c>
      <c r="U593" s="14">
        <f t="shared" si="8"/>
        <v>7.261129568</v>
      </c>
    </row>
    <row r="594" ht="15.75" customHeight="1">
      <c r="A594" s="9">
        <v>46177.5838715394</v>
      </c>
      <c r="B594" s="10">
        <v>14.0</v>
      </c>
      <c r="C594" s="10" t="s">
        <v>84</v>
      </c>
      <c r="D594" s="10" t="s">
        <v>1510</v>
      </c>
      <c r="E594" s="12" t="s">
        <v>62</v>
      </c>
      <c r="F594" s="11">
        <v>998951.0</v>
      </c>
      <c r="G594" s="11">
        <v>163517.0</v>
      </c>
      <c r="H594" s="11">
        <v>61051.0</v>
      </c>
      <c r="I594" s="11">
        <v>57459.0</v>
      </c>
      <c r="J594" s="11">
        <v>481.0</v>
      </c>
      <c r="K594" s="11">
        <v>843.0</v>
      </c>
      <c r="L594" s="11">
        <v>177.0</v>
      </c>
      <c r="M594" s="13">
        <f t="shared" ref="M594:O594" si="596">IFERROR(G594/F594,"")</f>
        <v>0.1636887095</v>
      </c>
      <c r="N594" s="13">
        <f t="shared" si="596"/>
        <v>0.3733617911</v>
      </c>
      <c r="O594" s="14">
        <f t="shared" si="596"/>
        <v>0.9411639449</v>
      </c>
      <c r="P594" s="13">
        <f t="shared" si="3"/>
        <v>0.007878658826</v>
      </c>
      <c r="Q594" s="13">
        <f t="shared" si="4"/>
        <v>0.01380812763</v>
      </c>
      <c r="R594" s="13">
        <f t="shared" si="5"/>
        <v>0.00289921541</v>
      </c>
      <c r="S594" s="14">
        <f t="shared" si="6"/>
        <v>2.555701628</v>
      </c>
      <c r="T594" s="14">
        <f t="shared" si="7"/>
        <v>0.7215894505</v>
      </c>
      <c r="U594" s="14">
        <f t="shared" si="8"/>
        <v>0.5389114955</v>
      </c>
    </row>
    <row r="595" ht="15.75" customHeight="1">
      <c r="A595" s="9">
        <v>46178.2926039352</v>
      </c>
      <c r="B595" s="10">
        <v>7.0</v>
      </c>
      <c r="C595" s="10" t="s">
        <v>60</v>
      </c>
      <c r="D595" s="10" t="s">
        <v>1511</v>
      </c>
      <c r="E595" s="12" t="s">
        <v>62</v>
      </c>
      <c r="F595" s="11">
        <v>255228.0</v>
      </c>
      <c r="G595" s="11">
        <v>27676.0</v>
      </c>
      <c r="H595" s="11">
        <v>14320.0</v>
      </c>
      <c r="I595" s="11">
        <v>19610.0</v>
      </c>
      <c r="J595" s="11">
        <v>499.0</v>
      </c>
      <c r="K595" s="11">
        <v>95.0</v>
      </c>
      <c r="L595" s="11">
        <v>123.0</v>
      </c>
      <c r="M595" s="13">
        <f t="shared" ref="M595:O595" si="597">IFERROR(G595/F595,"")</f>
        <v>0.1084363785</v>
      </c>
      <c r="N595" s="13">
        <f t="shared" si="597"/>
        <v>0.5174158115</v>
      </c>
      <c r="O595" s="14">
        <f t="shared" si="597"/>
        <v>1.369413408</v>
      </c>
      <c r="P595" s="13">
        <f t="shared" si="3"/>
        <v>0.03484636872</v>
      </c>
      <c r="Q595" s="13">
        <f t="shared" si="4"/>
        <v>0.006634078212</v>
      </c>
      <c r="R595" s="13">
        <f t="shared" si="5"/>
        <v>0.008589385475</v>
      </c>
      <c r="S595" s="14">
        <f t="shared" si="6"/>
        <v>1.690655749</v>
      </c>
      <c r="T595" s="14">
        <f t="shared" si="7"/>
        <v>0.9979311561</v>
      </c>
      <c r="U595" s="14">
        <f t="shared" si="8"/>
        <v>0.2483520415</v>
      </c>
    </row>
    <row r="596" ht="15.75" customHeight="1">
      <c r="A596" s="9">
        <v>46179.2518953125</v>
      </c>
      <c r="B596" s="10">
        <v>6.0</v>
      </c>
      <c r="C596" s="10" t="s">
        <v>69</v>
      </c>
      <c r="D596" s="10" t="s">
        <v>1513</v>
      </c>
      <c r="E596" s="12" t="s">
        <v>62</v>
      </c>
      <c r="F596" s="11">
        <v>15807.0</v>
      </c>
      <c r="G596" s="11">
        <v>1111.0</v>
      </c>
      <c r="H596" s="11">
        <v>614.0</v>
      </c>
      <c r="I596" s="11">
        <v>717.0</v>
      </c>
      <c r="J596" s="11">
        <v>67.0</v>
      </c>
      <c r="K596" s="11">
        <v>145.0</v>
      </c>
      <c r="L596" s="11">
        <v>2.0</v>
      </c>
      <c r="M596" s="13">
        <f t="shared" ref="M596:O596" si="598">IFERROR(G596/F596,"")</f>
        <v>0.07028531663</v>
      </c>
      <c r="N596" s="13">
        <f t="shared" si="598"/>
        <v>0.5526552655</v>
      </c>
      <c r="O596" s="14">
        <f t="shared" si="598"/>
        <v>1.167752443</v>
      </c>
      <c r="P596" s="13">
        <f t="shared" si="3"/>
        <v>0.1091205212</v>
      </c>
      <c r="Q596" s="13">
        <f t="shared" si="4"/>
        <v>0.2361563518</v>
      </c>
      <c r="R596" s="13">
        <f t="shared" si="5"/>
        <v>0.00325732899</v>
      </c>
      <c r="S596" s="14">
        <f t="shared" si="6"/>
        <v>1.095834039</v>
      </c>
      <c r="T596" s="14">
        <f t="shared" si="7"/>
        <v>1.065896897</v>
      </c>
      <c r="U596" s="14">
        <f t="shared" si="8"/>
        <v>8.840702537</v>
      </c>
    </row>
    <row r="597" ht="15.75" customHeight="1">
      <c r="A597" s="9">
        <v>46181.5101648495</v>
      </c>
      <c r="B597" s="10">
        <v>12.0</v>
      </c>
      <c r="C597" s="10" t="s">
        <v>71</v>
      </c>
      <c r="D597" s="10" t="s">
        <v>1515</v>
      </c>
      <c r="E597" s="12" t="s">
        <v>62</v>
      </c>
      <c r="F597" s="11">
        <v>144413.0</v>
      </c>
      <c r="G597" s="11">
        <v>1674.0</v>
      </c>
      <c r="H597" s="11">
        <v>382.0</v>
      </c>
      <c r="I597" s="11">
        <v>61.0</v>
      </c>
      <c r="J597" s="11">
        <v>20.0</v>
      </c>
      <c r="K597" s="11">
        <v>48.0</v>
      </c>
      <c r="L597" s="11">
        <v>15.0</v>
      </c>
      <c r="M597" s="13">
        <f t="shared" ref="M597:O597" si="599">IFERROR(G597/F597,"")</f>
        <v>0.0115917542</v>
      </c>
      <c r="N597" s="13">
        <f t="shared" si="599"/>
        <v>0.2281959379</v>
      </c>
      <c r="O597" s="14">
        <f t="shared" si="599"/>
        <v>0.1596858639</v>
      </c>
      <c r="P597" s="13">
        <f t="shared" si="3"/>
        <v>0.05235602094</v>
      </c>
      <c r="Q597" s="13">
        <f t="shared" si="4"/>
        <v>0.1256544503</v>
      </c>
      <c r="R597" s="13">
        <f t="shared" si="5"/>
        <v>0.03926701571</v>
      </c>
      <c r="S597" s="14">
        <f t="shared" si="6"/>
        <v>0.1804757934</v>
      </c>
      <c r="T597" s="14">
        <f t="shared" si="7"/>
        <v>0.4410300822</v>
      </c>
      <c r="U597" s="14">
        <f t="shared" si="8"/>
        <v>4.519531593</v>
      </c>
    </row>
    <row r="598" ht="15.75" customHeight="1">
      <c r="A598" s="9">
        <v>46182.4672590046</v>
      </c>
      <c r="B598" s="10">
        <v>11.0</v>
      </c>
      <c r="C598" s="10" t="s">
        <v>59</v>
      </c>
      <c r="D598" s="10" t="s">
        <v>1517</v>
      </c>
      <c r="E598" s="12" t="s">
        <v>62</v>
      </c>
      <c r="F598" s="11">
        <v>628132.0</v>
      </c>
      <c r="G598" s="11">
        <v>121496.0</v>
      </c>
      <c r="H598" s="11">
        <v>73060.0</v>
      </c>
      <c r="I598" s="11">
        <v>40892.0</v>
      </c>
      <c r="J598" s="11">
        <v>1678.0</v>
      </c>
      <c r="K598" s="11">
        <v>551.0</v>
      </c>
      <c r="L598" s="11">
        <v>395.0</v>
      </c>
      <c r="M598" s="13">
        <f t="shared" ref="M598:O598" si="600">IFERROR(G598/F598,"")</f>
        <v>0.1934243121</v>
      </c>
      <c r="N598" s="13">
        <f t="shared" si="600"/>
        <v>0.6013366695</v>
      </c>
      <c r="O598" s="14">
        <f t="shared" si="600"/>
        <v>0.5597043526</v>
      </c>
      <c r="P598" s="13">
        <f t="shared" si="3"/>
        <v>0.02296742404</v>
      </c>
      <c r="Q598" s="13">
        <f t="shared" si="4"/>
        <v>0.00754174651</v>
      </c>
      <c r="R598" s="13">
        <f t="shared" si="5"/>
        <v>0.005406515193</v>
      </c>
      <c r="S598" s="14">
        <f t="shared" si="6"/>
        <v>3.011486058</v>
      </c>
      <c r="T598" s="14">
        <f t="shared" si="7"/>
        <v>1.162192295</v>
      </c>
      <c r="U598" s="14">
        <f t="shared" si="8"/>
        <v>0.2610534665</v>
      </c>
    </row>
    <row r="599" ht="15.75" customHeight="1">
      <c r="A599" s="9">
        <v>46183.4210634607</v>
      </c>
      <c r="B599" s="10">
        <v>10.0</v>
      </c>
      <c r="C599" s="10" t="s">
        <v>80</v>
      </c>
      <c r="D599" s="10" t="s">
        <v>1519</v>
      </c>
      <c r="E599" s="12" t="s">
        <v>62</v>
      </c>
      <c r="F599" s="11">
        <v>11225.0</v>
      </c>
      <c r="G599" s="11">
        <v>1289.0</v>
      </c>
      <c r="H599" s="11">
        <v>823.0</v>
      </c>
      <c r="I599" s="11">
        <v>608.0</v>
      </c>
      <c r="J599" s="11">
        <v>108.0</v>
      </c>
      <c r="K599" s="11">
        <v>88.0</v>
      </c>
      <c r="L599" s="11">
        <v>1.0</v>
      </c>
      <c r="M599" s="13">
        <f t="shared" ref="M599:O599" si="601">IFERROR(G599/F599,"")</f>
        <v>0.1148329621</v>
      </c>
      <c r="N599" s="13">
        <f t="shared" si="601"/>
        <v>0.6384794414</v>
      </c>
      <c r="O599" s="14">
        <f t="shared" si="601"/>
        <v>0.7387606318</v>
      </c>
      <c r="P599" s="13">
        <f t="shared" si="3"/>
        <v>0.1312272175</v>
      </c>
      <c r="Q599" s="13">
        <f t="shared" si="4"/>
        <v>0.1069258809</v>
      </c>
      <c r="R599" s="13">
        <f t="shared" si="5"/>
        <v>0.001215066829</v>
      </c>
      <c r="S599" s="14">
        <f t="shared" si="6"/>
        <v>1.787871756</v>
      </c>
      <c r="T599" s="14">
        <f t="shared" si="7"/>
        <v>1.233977446</v>
      </c>
      <c r="U599" s="14">
        <f t="shared" si="8"/>
        <v>3.701181396</v>
      </c>
    </row>
    <row r="600" ht="15.75" customHeight="1">
      <c r="A600" s="9">
        <v>46184.5233047222</v>
      </c>
      <c r="B600" s="10">
        <v>12.0</v>
      </c>
      <c r="C600" s="10" t="s">
        <v>84</v>
      </c>
      <c r="D600" s="10" t="s">
        <v>1521</v>
      </c>
      <c r="E600" s="12" t="s">
        <v>62</v>
      </c>
      <c r="F600" s="11">
        <v>595458.0</v>
      </c>
      <c r="G600" s="11">
        <v>115094.0</v>
      </c>
      <c r="H600" s="11">
        <v>68176.0</v>
      </c>
      <c r="I600" s="11">
        <v>44419.0</v>
      </c>
      <c r="J600" s="11">
        <v>1658.0</v>
      </c>
      <c r="K600" s="11">
        <v>667.0</v>
      </c>
      <c r="L600" s="11">
        <v>271.0</v>
      </c>
      <c r="M600" s="13">
        <f t="shared" ref="M600:O600" si="602">IFERROR(G600/F600,"")</f>
        <v>0.1932865122</v>
      </c>
      <c r="N600" s="13">
        <f t="shared" si="602"/>
        <v>0.5923506004</v>
      </c>
      <c r="O600" s="14">
        <f t="shared" si="602"/>
        <v>0.6515342643</v>
      </c>
      <c r="P600" s="13">
        <f t="shared" si="3"/>
        <v>0.02431940859</v>
      </c>
      <c r="Q600" s="13">
        <f t="shared" si="4"/>
        <v>0.009783501525</v>
      </c>
      <c r="R600" s="13">
        <f t="shared" si="5"/>
        <v>0.003975005867</v>
      </c>
      <c r="S600" s="14">
        <f t="shared" si="6"/>
        <v>2.937993682</v>
      </c>
      <c r="T600" s="14">
        <f t="shared" si="7"/>
        <v>1.144825085</v>
      </c>
      <c r="U600" s="14">
        <f t="shared" si="8"/>
        <v>0.3125384033</v>
      </c>
    </row>
    <row r="601" ht="15.75" customHeight="1">
      <c r="A601" s="9">
        <v>46185.2502598032</v>
      </c>
      <c r="B601" s="10">
        <v>6.0</v>
      </c>
      <c r="C601" s="10" t="s">
        <v>60</v>
      </c>
      <c r="D601" s="10" t="s">
        <v>1523</v>
      </c>
      <c r="E601" s="12" t="s">
        <v>62</v>
      </c>
      <c r="F601" s="11">
        <v>585679.0</v>
      </c>
      <c r="G601" s="11">
        <v>103293.0</v>
      </c>
      <c r="H601" s="11">
        <v>55231.0</v>
      </c>
      <c r="I601" s="11">
        <v>30385.0</v>
      </c>
      <c r="J601" s="11">
        <v>1430.0</v>
      </c>
      <c r="K601" s="11">
        <v>770.0</v>
      </c>
      <c r="L601" s="11">
        <v>334.0</v>
      </c>
      <c r="M601" s="13">
        <f t="shared" ref="M601:O601" si="603">IFERROR(G601/F601,"")</f>
        <v>0.1763645273</v>
      </c>
      <c r="N601" s="13">
        <f t="shared" si="603"/>
        <v>0.5347022548</v>
      </c>
      <c r="O601" s="14">
        <f t="shared" si="603"/>
        <v>0.5501439409</v>
      </c>
      <c r="P601" s="13">
        <f t="shared" si="3"/>
        <v>0.02589125672</v>
      </c>
      <c r="Q601" s="13">
        <f t="shared" si="4"/>
        <v>0.01394144593</v>
      </c>
      <c r="R601" s="13">
        <f t="shared" si="5"/>
        <v>0.006047328493</v>
      </c>
      <c r="S601" s="14">
        <f t="shared" si="6"/>
        <v>2.680776124</v>
      </c>
      <c r="T601" s="14">
        <f t="shared" si="7"/>
        <v>1.03340919</v>
      </c>
      <c r="U601" s="14">
        <f t="shared" si="8"/>
        <v>0.4453658272</v>
      </c>
    </row>
    <row r="602" ht="15.75" customHeight="1">
      <c r="A602" s="9">
        <v>46186.2508891898</v>
      </c>
      <c r="B602" s="10">
        <v>6.0</v>
      </c>
      <c r="C602" s="10" t="s">
        <v>69</v>
      </c>
      <c r="D602" s="10" t="s">
        <v>1525</v>
      </c>
      <c r="E602" s="12" t="s">
        <v>62</v>
      </c>
      <c r="F602" s="11">
        <v>54720.0</v>
      </c>
      <c r="G602" s="11">
        <v>2054.0</v>
      </c>
      <c r="H602" s="11">
        <v>1153.0</v>
      </c>
      <c r="I602" s="11">
        <v>1562.0</v>
      </c>
      <c r="J602" s="11">
        <v>138.0</v>
      </c>
      <c r="K602" s="11">
        <v>217.0</v>
      </c>
      <c r="L602" s="11">
        <v>7.0</v>
      </c>
      <c r="M602" s="13">
        <f t="shared" ref="M602:O602" si="604">IFERROR(G602/F602,"")</f>
        <v>0.03753654971</v>
      </c>
      <c r="N602" s="13">
        <f t="shared" si="604"/>
        <v>0.5613437196</v>
      </c>
      <c r="O602" s="14">
        <f t="shared" si="604"/>
        <v>1.3547268</v>
      </c>
      <c r="P602" s="13">
        <f t="shared" si="3"/>
        <v>0.119687771</v>
      </c>
      <c r="Q602" s="13">
        <f t="shared" si="4"/>
        <v>0.1882046834</v>
      </c>
      <c r="R602" s="13">
        <f t="shared" si="5"/>
        <v>0.00607111882</v>
      </c>
      <c r="S602" s="14">
        <f t="shared" si="6"/>
        <v>0.5694700192</v>
      </c>
      <c r="T602" s="14">
        <f t="shared" si="7"/>
        <v>1.086331712</v>
      </c>
      <c r="U602" s="14">
        <f t="shared" si="8"/>
        <v>5.92011333</v>
      </c>
    </row>
    <row r="603" ht="15.75" customHeight="1">
      <c r="A603" s="9">
        <v>46188.4082702431</v>
      </c>
      <c r="B603" s="10">
        <v>9.0</v>
      </c>
      <c r="C603" s="10" t="s">
        <v>71</v>
      </c>
      <c r="D603" s="10" t="s">
        <v>1527</v>
      </c>
      <c r="E603" s="12" t="s">
        <v>62</v>
      </c>
      <c r="F603" s="11">
        <v>56064.0</v>
      </c>
      <c r="G603" s="11">
        <v>595.0</v>
      </c>
      <c r="H603" s="11">
        <v>148.0</v>
      </c>
      <c r="I603" s="11">
        <v>232.0</v>
      </c>
      <c r="J603" s="11">
        <v>19.0</v>
      </c>
      <c r="K603" s="11">
        <v>79.0</v>
      </c>
      <c r="L603" s="11">
        <v>3.0</v>
      </c>
      <c r="M603" s="13">
        <f t="shared" ref="M603:O603" si="605">IFERROR(G603/F603,"")</f>
        <v>0.010612871</v>
      </c>
      <c r="N603" s="13">
        <f t="shared" si="605"/>
        <v>0.2487394958</v>
      </c>
      <c r="O603" s="14">
        <f t="shared" si="605"/>
        <v>1.567567568</v>
      </c>
      <c r="P603" s="13">
        <f t="shared" si="3"/>
        <v>0.1283783784</v>
      </c>
      <c r="Q603" s="13">
        <f t="shared" si="4"/>
        <v>0.5337837838</v>
      </c>
      <c r="R603" s="13">
        <f t="shared" si="5"/>
        <v>0.02027027027</v>
      </c>
      <c r="S603" s="14">
        <f t="shared" si="6"/>
        <v>0.161317764</v>
      </c>
      <c r="T603" s="14">
        <f t="shared" si="7"/>
        <v>0.4820059318</v>
      </c>
      <c r="U603" s="14">
        <f t="shared" si="8"/>
        <v>17.0519656</v>
      </c>
    </row>
    <row r="604" ht="15.75" customHeight="1">
      <c r="A604" s="9">
        <v>46189.4842782986</v>
      </c>
      <c r="B604" s="10">
        <v>11.0</v>
      </c>
      <c r="C604" s="10" t="s">
        <v>59</v>
      </c>
      <c r="D604" s="10" t="s">
        <v>1529</v>
      </c>
      <c r="E604" s="12" t="s">
        <v>62</v>
      </c>
      <c r="F604" s="11">
        <v>15430.0</v>
      </c>
      <c r="G604" s="11">
        <v>1730.0</v>
      </c>
      <c r="H604" s="11">
        <v>1035.0</v>
      </c>
      <c r="I604" s="11">
        <v>735.0</v>
      </c>
      <c r="J604" s="11">
        <v>112.0</v>
      </c>
      <c r="K604" s="11">
        <v>100.0</v>
      </c>
      <c r="L604" s="11">
        <v>4.0</v>
      </c>
      <c r="M604" s="13">
        <f t="shared" ref="M604:O604" si="606">IFERROR(G604/F604,"")</f>
        <v>0.1121192482</v>
      </c>
      <c r="N604" s="13">
        <f t="shared" si="606"/>
        <v>0.598265896</v>
      </c>
      <c r="O604" s="14">
        <f t="shared" si="606"/>
        <v>0.7101449275</v>
      </c>
      <c r="P604" s="13">
        <f t="shared" si="3"/>
        <v>0.1082125604</v>
      </c>
      <c r="Q604" s="13">
        <f t="shared" si="4"/>
        <v>0.09661835749</v>
      </c>
      <c r="R604" s="13">
        <f t="shared" si="5"/>
        <v>0.0038647343</v>
      </c>
      <c r="S604" s="14">
        <f t="shared" si="6"/>
        <v>1.700970146</v>
      </c>
      <c r="T604" s="14">
        <f t="shared" si="7"/>
        <v>1.165290713</v>
      </c>
      <c r="U604" s="14">
        <f t="shared" si="8"/>
        <v>3.039199746</v>
      </c>
    </row>
    <row r="605" ht="15.75" customHeight="1">
      <c r="A605" s="9">
        <v>46190.5032666088</v>
      </c>
      <c r="B605" s="10">
        <v>12.0</v>
      </c>
      <c r="C605" s="10" t="s">
        <v>80</v>
      </c>
      <c r="D605" s="10" t="s">
        <v>1280</v>
      </c>
      <c r="E605" s="12" t="s">
        <v>62</v>
      </c>
      <c r="F605" s="11">
        <v>48672.0</v>
      </c>
      <c r="G605" s="11">
        <v>5411.0</v>
      </c>
      <c r="H605" s="11">
        <v>4037.0</v>
      </c>
      <c r="I605" s="11">
        <v>3697.0</v>
      </c>
      <c r="J605" s="11">
        <v>169.0</v>
      </c>
      <c r="K605" s="11">
        <v>182.0</v>
      </c>
      <c r="L605" s="11">
        <v>5.0</v>
      </c>
      <c r="M605" s="13">
        <f t="shared" ref="M605:O605" si="607">IFERROR(G605/F605,"")</f>
        <v>0.1111727482</v>
      </c>
      <c r="N605" s="13">
        <f t="shared" si="607"/>
        <v>0.7460728146</v>
      </c>
      <c r="O605" s="14">
        <f t="shared" si="607"/>
        <v>0.9157790438</v>
      </c>
      <c r="P605" s="13">
        <f t="shared" si="3"/>
        <v>0.04186276938</v>
      </c>
      <c r="Q605" s="13">
        <f t="shared" si="4"/>
        <v>0.04508298241</v>
      </c>
      <c r="R605" s="13">
        <f t="shared" si="5"/>
        <v>0.001238543473</v>
      </c>
      <c r="S605" s="14">
        <f t="shared" si="6"/>
        <v>1.686610718</v>
      </c>
      <c r="T605" s="14">
        <f t="shared" si="7"/>
        <v>1.453186164</v>
      </c>
      <c r="U605" s="14">
        <f t="shared" si="8"/>
        <v>1.418117553</v>
      </c>
    </row>
    <row r="606" ht="15.75" customHeight="1">
      <c r="A606" s="9">
        <v>46192.4810352894</v>
      </c>
      <c r="B606" s="10">
        <v>11.0</v>
      </c>
      <c r="C606" s="10" t="s">
        <v>60</v>
      </c>
      <c r="D606" s="10" t="s">
        <v>1531</v>
      </c>
      <c r="E606" s="12" t="s">
        <v>62</v>
      </c>
      <c r="F606" s="11">
        <v>27372.0</v>
      </c>
      <c r="G606" s="11">
        <v>2101.0</v>
      </c>
      <c r="H606" s="11">
        <v>1137.0</v>
      </c>
      <c r="I606" s="11">
        <v>1627.0</v>
      </c>
      <c r="J606" s="11">
        <v>120.0</v>
      </c>
      <c r="K606" s="11">
        <v>90.0</v>
      </c>
      <c r="L606" s="11">
        <v>5.0</v>
      </c>
      <c r="M606" s="13">
        <f t="shared" ref="M606:O606" si="608">IFERROR(G606/F606,"")</f>
        <v>0.0767572702</v>
      </c>
      <c r="N606" s="13">
        <f t="shared" si="608"/>
        <v>0.541170871</v>
      </c>
      <c r="O606" s="14">
        <f t="shared" si="608"/>
        <v>1.430958663</v>
      </c>
      <c r="P606" s="13">
        <f t="shared" si="3"/>
        <v>0.1055408971</v>
      </c>
      <c r="Q606" s="13">
        <f t="shared" si="4"/>
        <v>0.07915567282</v>
      </c>
      <c r="R606" s="13">
        <f t="shared" si="5"/>
        <v>0.004397537379</v>
      </c>
      <c r="S606" s="14">
        <f t="shared" si="6"/>
        <v>1.135669483</v>
      </c>
      <c r="T606" s="14">
        <f t="shared" si="7"/>
        <v>1.045910966</v>
      </c>
      <c r="U606" s="14">
        <f t="shared" si="8"/>
        <v>2.452303633</v>
      </c>
    </row>
    <row r="607" ht="15.75" customHeight="1">
      <c r="A607" s="9">
        <v>46195.4803837616</v>
      </c>
      <c r="B607" s="10">
        <v>11.0</v>
      </c>
      <c r="C607" s="10" t="s">
        <v>71</v>
      </c>
      <c r="D607" s="10" t="s">
        <v>1533</v>
      </c>
      <c r="E607" s="12" t="s">
        <v>62</v>
      </c>
      <c r="F607" s="11">
        <v>172640.0</v>
      </c>
      <c r="G607" s="11">
        <v>2085.0</v>
      </c>
      <c r="H607" s="11">
        <v>322.0</v>
      </c>
      <c r="I607" s="11">
        <v>161.0</v>
      </c>
      <c r="J607" s="11">
        <v>29.0</v>
      </c>
      <c r="K607" s="11">
        <v>22.0</v>
      </c>
      <c r="L607" s="11">
        <v>7.0</v>
      </c>
      <c r="M607" s="13">
        <f t="shared" ref="M607:O607" si="609">IFERROR(G607/F607,"")</f>
        <v>0.01207715477</v>
      </c>
      <c r="N607" s="13">
        <f t="shared" si="609"/>
        <v>0.1544364508</v>
      </c>
      <c r="O607" s="14">
        <f t="shared" si="609"/>
        <v>0.5</v>
      </c>
      <c r="P607" s="13">
        <f t="shared" si="3"/>
        <v>0.0900621118</v>
      </c>
      <c r="Q607" s="13">
        <f t="shared" si="4"/>
        <v>0.06832298137</v>
      </c>
      <c r="R607" s="13">
        <f t="shared" si="5"/>
        <v>0.02173913043</v>
      </c>
      <c r="S607" s="14">
        <f t="shared" si="6"/>
        <v>0.1751924555</v>
      </c>
      <c r="T607" s="14">
        <f t="shared" si="7"/>
        <v>0.2978589801</v>
      </c>
      <c r="U607" s="14">
        <f t="shared" si="8"/>
        <v>2.088067491</v>
      </c>
    </row>
    <row r="608" ht="15.75" customHeight="1">
      <c r="A608" s="9">
        <v>46196.5775857639</v>
      </c>
      <c r="B608" s="10">
        <v>13.0</v>
      </c>
      <c r="C608" s="10" t="s">
        <v>59</v>
      </c>
      <c r="D608" s="10" t="s">
        <v>1535</v>
      </c>
      <c r="E608" s="12" t="s">
        <v>62</v>
      </c>
      <c r="F608" s="11">
        <v>1375976.0</v>
      </c>
      <c r="G608" s="11">
        <v>110238.0</v>
      </c>
      <c r="H608" s="11">
        <v>46005.0</v>
      </c>
      <c r="I608" s="11">
        <v>36630.0</v>
      </c>
      <c r="J608" s="11">
        <v>728.0</v>
      </c>
      <c r="K608" s="11">
        <v>740.0</v>
      </c>
      <c r="L608" s="11">
        <v>298.0</v>
      </c>
      <c r="M608" s="13">
        <f t="shared" ref="M608:O608" si="610">IFERROR(G608/F608,"")</f>
        <v>0.08011622296</v>
      </c>
      <c r="N608" s="13">
        <f t="shared" si="610"/>
        <v>0.4173243346</v>
      </c>
      <c r="O608" s="14">
        <f t="shared" si="610"/>
        <v>0.7962178024</v>
      </c>
      <c r="P608" s="13">
        <f t="shared" si="3"/>
        <v>0.01582436692</v>
      </c>
      <c r="Q608" s="13">
        <f t="shared" si="4"/>
        <v>0.01608520813</v>
      </c>
      <c r="R608" s="13">
        <f t="shared" si="5"/>
        <v>0.006477556787</v>
      </c>
      <c r="S608" s="14">
        <f t="shared" si="6"/>
        <v>1.162174212</v>
      </c>
      <c r="T608" s="14">
        <f t="shared" si="7"/>
        <v>0.8076204352</v>
      </c>
      <c r="U608" s="14">
        <f t="shared" si="8"/>
        <v>0.4788412698</v>
      </c>
    </row>
    <row r="609" ht="15.75" customHeight="1">
      <c r="A609" s="9">
        <v>46197.4786085995</v>
      </c>
      <c r="B609" s="10">
        <v>11.0</v>
      </c>
      <c r="C609" s="10" t="s">
        <v>80</v>
      </c>
      <c r="D609" s="10" t="s">
        <v>1537</v>
      </c>
      <c r="E609" s="12" t="s">
        <v>62</v>
      </c>
      <c r="F609" s="11">
        <v>19159.0</v>
      </c>
      <c r="G609" s="11">
        <v>2812.0</v>
      </c>
      <c r="H609" s="11">
        <v>1323.0</v>
      </c>
      <c r="I609" s="11">
        <v>783.0</v>
      </c>
      <c r="J609" s="11">
        <v>105.0</v>
      </c>
      <c r="K609" s="11">
        <v>83.0</v>
      </c>
      <c r="L609" s="11">
        <v>3.0</v>
      </c>
      <c r="M609" s="13">
        <f t="shared" ref="M609:O609" si="611">IFERROR(G609/F609,"")</f>
        <v>0.1467717522</v>
      </c>
      <c r="N609" s="13">
        <f t="shared" si="611"/>
        <v>0.4704836415</v>
      </c>
      <c r="O609" s="14">
        <f t="shared" si="611"/>
        <v>0.5918367347</v>
      </c>
      <c r="P609" s="13">
        <f t="shared" si="3"/>
        <v>0.07936507937</v>
      </c>
      <c r="Q609" s="13">
        <f t="shared" si="4"/>
        <v>0.06273620559</v>
      </c>
      <c r="R609" s="13">
        <f t="shared" si="5"/>
        <v>0.002267573696</v>
      </c>
      <c r="S609" s="14">
        <f t="shared" si="6"/>
        <v>2.129086209</v>
      </c>
      <c r="T609" s="14">
        <f t="shared" si="7"/>
        <v>0.910496158</v>
      </c>
      <c r="U609" s="14">
        <f t="shared" si="8"/>
        <v>1.86759687</v>
      </c>
    </row>
    <row r="610" ht="15.75" customHeight="1">
      <c r="A610" s="9">
        <v>46199.2642728125</v>
      </c>
      <c r="B610" s="10">
        <v>6.0</v>
      </c>
      <c r="C610" s="10" t="s">
        <v>60</v>
      </c>
      <c r="D610" s="10" t="s">
        <v>1539</v>
      </c>
      <c r="E610" s="12" t="s">
        <v>62</v>
      </c>
      <c r="F610" s="11">
        <v>6965.0</v>
      </c>
      <c r="G610" s="11">
        <v>515.0</v>
      </c>
      <c r="H610" s="11">
        <v>277.0</v>
      </c>
      <c r="I610" s="11">
        <v>127.0</v>
      </c>
      <c r="J610" s="11">
        <v>36.0</v>
      </c>
      <c r="K610" s="11">
        <v>73.0</v>
      </c>
      <c r="L610" s="11">
        <v>0.0</v>
      </c>
      <c r="M610" s="13">
        <f t="shared" ref="M610:O610" si="612">IFERROR(G610/F610,"")</f>
        <v>0.07394113424</v>
      </c>
      <c r="N610" s="13">
        <f t="shared" si="612"/>
        <v>0.5378640777</v>
      </c>
      <c r="O610" s="14">
        <f t="shared" si="612"/>
        <v>0.4584837545</v>
      </c>
      <c r="P610" s="13">
        <f t="shared" si="3"/>
        <v>0.1299638989</v>
      </c>
      <c r="Q610" s="13">
        <f t="shared" si="4"/>
        <v>0.2635379061</v>
      </c>
      <c r="R610" s="13">
        <f t="shared" si="5"/>
        <v>0</v>
      </c>
      <c r="S610" s="14">
        <f t="shared" si="6"/>
        <v>1.043527</v>
      </c>
      <c r="T610" s="14">
        <f t="shared" si="7"/>
        <v>1.0408931</v>
      </c>
      <c r="U610" s="14">
        <f t="shared" si="8"/>
        <v>7.590340857</v>
      </c>
    </row>
    <row r="611" ht="15.75" customHeight="1">
      <c r="A611" s="9">
        <v>46201.538771794</v>
      </c>
      <c r="B611" s="10">
        <v>12.0</v>
      </c>
      <c r="C611" s="10" t="s">
        <v>77</v>
      </c>
      <c r="D611" s="10" t="s">
        <v>1540</v>
      </c>
      <c r="E611" s="12" t="s">
        <v>62</v>
      </c>
      <c r="F611" s="11">
        <v>176552.0</v>
      </c>
      <c r="G611" s="11">
        <v>1904.0</v>
      </c>
      <c r="H611" s="11">
        <v>891.0</v>
      </c>
      <c r="I611" s="11">
        <v>1005.0</v>
      </c>
      <c r="J611" s="11">
        <v>88.0</v>
      </c>
      <c r="K611" s="11">
        <v>52.0</v>
      </c>
      <c r="L611" s="11">
        <v>8.0</v>
      </c>
      <c r="M611" s="13">
        <f t="shared" ref="M611:O611" si="613">IFERROR(G611/F611,"")</f>
        <v>0.01078435815</v>
      </c>
      <c r="N611" s="13">
        <f t="shared" si="613"/>
        <v>0.4679621849</v>
      </c>
      <c r="O611" s="14">
        <f t="shared" si="613"/>
        <v>1.127946128</v>
      </c>
      <c r="P611" s="13">
        <f t="shared" si="3"/>
        <v>0.0987654321</v>
      </c>
      <c r="Q611" s="13">
        <f t="shared" si="4"/>
        <v>0.05836139169</v>
      </c>
      <c r="R611" s="13">
        <f t="shared" si="5"/>
        <v>0.008978675645</v>
      </c>
      <c r="S611" s="14">
        <f t="shared" si="6"/>
        <v>0.1564390141</v>
      </c>
      <c r="T611" s="14">
        <f t="shared" si="7"/>
        <v>0.9025507798</v>
      </c>
      <c r="U611" s="14">
        <f t="shared" si="8"/>
        <v>1.626499687</v>
      </c>
    </row>
    <row r="612" ht="15.75" customHeight="1">
      <c r="A612" s="9">
        <v>46202.2095737153</v>
      </c>
      <c r="B612" s="10">
        <v>5.0</v>
      </c>
      <c r="C612" s="10" t="s">
        <v>71</v>
      </c>
      <c r="D612" s="10" t="s">
        <v>1542</v>
      </c>
      <c r="E612" s="12" t="s">
        <v>62</v>
      </c>
      <c r="F612" s="11">
        <v>60259.0</v>
      </c>
      <c r="G612" s="11">
        <v>520.0</v>
      </c>
      <c r="H612" s="11">
        <v>117.0</v>
      </c>
      <c r="I612" s="11">
        <v>185.0</v>
      </c>
      <c r="J612" s="11">
        <v>24.0</v>
      </c>
      <c r="K612" s="11">
        <v>29.0</v>
      </c>
      <c r="L612" s="11">
        <v>4.0</v>
      </c>
      <c r="M612" s="13">
        <f t="shared" ref="M612:O612" si="614">IFERROR(G612/F612,"")</f>
        <v>0.008629416353</v>
      </c>
      <c r="N612" s="13">
        <f t="shared" si="614"/>
        <v>0.225</v>
      </c>
      <c r="O612" s="14">
        <f t="shared" si="614"/>
        <v>1.581196581</v>
      </c>
      <c r="P612" s="13">
        <f t="shared" si="3"/>
        <v>0.2051282051</v>
      </c>
      <c r="Q612" s="13">
        <f t="shared" si="4"/>
        <v>0.2478632479</v>
      </c>
      <c r="R612" s="13">
        <f t="shared" si="5"/>
        <v>0.03418803419</v>
      </c>
      <c r="S612" s="14">
        <f t="shared" si="6"/>
        <v>0.1251792056</v>
      </c>
      <c r="T612" s="14">
        <f t="shared" si="7"/>
        <v>0.4339537083</v>
      </c>
      <c r="U612" s="14">
        <f t="shared" si="8"/>
        <v>6.90781154</v>
      </c>
    </row>
    <row r="613" ht="15.75" customHeight="1">
      <c r="A613" s="9">
        <v>46203.2620597222</v>
      </c>
      <c r="B613" s="10">
        <v>6.0</v>
      </c>
      <c r="C613" s="10" t="s">
        <v>59</v>
      </c>
      <c r="D613" s="10" t="s">
        <v>1544</v>
      </c>
      <c r="E613" s="12" t="s">
        <v>62</v>
      </c>
      <c r="F613" s="11">
        <v>20006.0</v>
      </c>
      <c r="G613" s="11">
        <v>4457.0</v>
      </c>
      <c r="H613" s="11">
        <v>2728.0</v>
      </c>
      <c r="I613" s="11">
        <v>1533.0</v>
      </c>
      <c r="J613" s="11">
        <v>95.0</v>
      </c>
      <c r="K613" s="11">
        <v>48.0</v>
      </c>
      <c r="L613" s="11">
        <v>7.0</v>
      </c>
      <c r="M613" s="13">
        <f t="shared" ref="M613:O613" si="615">IFERROR(G613/F613,"")</f>
        <v>0.2227831651</v>
      </c>
      <c r="N613" s="13">
        <f t="shared" si="615"/>
        <v>0.6120708997</v>
      </c>
      <c r="O613" s="14">
        <f t="shared" si="615"/>
        <v>0.5619501466</v>
      </c>
      <c r="P613" s="13">
        <f t="shared" si="3"/>
        <v>0.03482404692</v>
      </c>
      <c r="Q613" s="13">
        <f t="shared" si="4"/>
        <v>0.01759530792</v>
      </c>
      <c r="R613" s="13">
        <f t="shared" si="5"/>
        <v>0.002565982405</v>
      </c>
      <c r="S613" s="14">
        <f t="shared" si="6"/>
        <v>3.144126071</v>
      </c>
      <c r="T613" s="14">
        <f t="shared" si="7"/>
        <v>1.18049083</v>
      </c>
      <c r="U613" s="14">
        <f t="shared" si="8"/>
        <v>0.4849692351</v>
      </c>
    </row>
    <row r="614" ht="15.75" customHeight="1">
      <c r="A614" s="9">
        <v>46204.2528885648</v>
      </c>
      <c r="B614" s="10">
        <v>6.0</v>
      </c>
      <c r="C614" s="10" t="s">
        <v>80</v>
      </c>
      <c r="D614" s="10" t="s">
        <v>1546</v>
      </c>
      <c r="E614" s="12" t="s">
        <v>62</v>
      </c>
      <c r="F614" s="11">
        <v>1.1252536E7</v>
      </c>
      <c r="G614" s="11">
        <v>1262546.0</v>
      </c>
      <c r="H614" s="11">
        <v>626654.0</v>
      </c>
      <c r="I614" s="11">
        <v>332613.0</v>
      </c>
      <c r="J614" s="11">
        <v>4822.0</v>
      </c>
      <c r="K614" s="11">
        <v>1904.0</v>
      </c>
      <c r="L614" s="11">
        <v>2502.0</v>
      </c>
      <c r="M614" s="13">
        <f t="shared" ref="M614:O614" si="616">IFERROR(G614/F614,"")</f>
        <v>0.1122010185</v>
      </c>
      <c r="N614" s="13">
        <f t="shared" si="616"/>
        <v>0.4963415194</v>
      </c>
      <c r="O614" s="14">
        <f t="shared" si="616"/>
        <v>0.530776154</v>
      </c>
      <c r="P614" s="13">
        <f t="shared" si="3"/>
        <v>0.007694836385</v>
      </c>
      <c r="Q614" s="13">
        <f t="shared" si="4"/>
        <v>0.003038359286</v>
      </c>
      <c r="R614" s="13">
        <f t="shared" si="5"/>
        <v>0.003992633894</v>
      </c>
      <c r="S614" s="14">
        <f t="shared" si="6"/>
        <v>1.583486559</v>
      </c>
      <c r="T614" s="14">
        <f t="shared" si="7"/>
        <v>0.9572855241</v>
      </c>
      <c r="U614" s="14">
        <f t="shared" si="8"/>
        <v>0.08374452927</v>
      </c>
    </row>
    <row r="615" ht="15.75" customHeight="1">
      <c r="A615" s="9">
        <v>46206.2560452894</v>
      </c>
      <c r="B615" s="10">
        <v>6.0</v>
      </c>
      <c r="C615" s="10" t="s">
        <v>60</v>
      </c>
      <c r="D615" s="10" t="s">
        <v>1548</v>
      </c>
      <c r="E615" s="12" t="s">
        <v>62</v>
      </c>
      <c r="F615" s="11">
        <v>39778.0</v>
      </c>
      <c r="G615" s="11">
        <v>3843.0</v>
      </c>
      <c r="H615" s="11">
        <v>2214.0</v>
      </c>
      <c r="I615" s="11">
        <v>2947.0</v>
      </c>
      <c r="J615" s="11">
        <v>163.0</v>
      </c>
      <c r="K615" s="11">
        <v>120.0</v>
      </c>
      <c r="L615" s="11">
        <v>15.0</v>
      </c>
      <c r="M615" s="13">
        <f t="shared" ref="M615:O615" si="617">IFERROR(G615/F615,"")</f>
        <v>0.09661119212</v>
      </c>
      <c r="N615" s="13">
        <f t="shared" si="617"/>
        <v>0.5761124122</v>
      </c>
      <c r="O615" s="14">
        <f t="shared" si="617"/>
        <v>1.331074977</v>
      </c>
      <c r="P615" s="13">
        <f t="shared" si="3"/>
        <v>0.07362240289</v>
      </c>
      <c r="Q615" s="13">
        <f t="shared" si="4"/>
        <v>0.05420054201</v>
      </c>
      <c r="R615" s="13">
        <f t="shared" si="5"/>
        <v>0.006775067751</v>
      </c>
      <c r="S615" s="14">
        <f t="shared" si="6"/>
        <v>1.363468231</v>
      </c>
      <c r="T615" s="14">
        <f t="shared" si="7"/>
        <v>1.105172576</v>
      </c>
      <c r="U615" s="14">
        <f t="shared" si="8"/>
        <v>1.436593504</v>
      </c>
    </row>
    <row r="616" ht="15.75" customHeight="1">
      <c r="A616" s="9">
        <v>46209.2410175232</v>
      </c>
      <c r="B616" s="10">
        <v>5.0</v>
      </c>
      <c r="C616" s="10" t="s">
        <v>71</v>
      </c>
      <c r="D616" s="10" t="s">
        <v>1549</v>
      </c>
      <c r="E616" s="12" t="s">
        <v>62</v>
      </c>
      <c r="F616" s="11">
        <v>71410.0</v>
      </c>
      <c r="G616" s="11">
        <v>658.0</v>
      </c>
      <c r="H616" s="11">
        <v>122.0</v>
      </c>
      <c r="I616" s="11">
        <v>177.0</v>
      </c>
      <c r="J616" s="11">
        <v>28.0</v>
      </c>
      <c r="K616" s="11">
        <v>23.0</v>
      </c>
      <c r="L616" s="11">
        <v>2.0</v>
      </c>
      <c r="M616" s="13">
        <f t="shared" ref="M616:O616" si="618">IFERROR(G616/F616,"")</f>
        <v>0.009214395743</v>
      </c>
      <c r="N616" s="13">
        <f t="shared" si="618"/>
        <v>0.1854103343</v>
      </c>
      <c r="O616" s="14">
        <f t="shared" si="618"/>
        <v>1.450819672</v>
      </c>
      <c r="P616" s="13">
        <f t="shared" si="3"/>
        <v>0.2295081967</v>
      </c>
      <c r="Q616" s="13">
        <f t="shared" si="4"/>
        <v>0.1885245902</v>
      </c>
      <c r="R616" s="13">
        <f t="shared" si="5"/>
        <v>0.01639344262</v>
      </c>
      <c r="S616" s="14">
        <f t="shared" si="6"/>
        <v>0.1300422403</v>
      </c>
      <c r="T616" s="14">
        <f t="shared" si="7"/>
        <v>0.3536582736</v>
      </c>
      <c r="U616" s="14">
        <f t="shared" si="8"/>
        <v>4.636125267</v>
      </c>
    </row>
    <row r="617" ht="15.75" customHeight="1">
      <c r="A617" s="9">
        <v>46210.524143912</v>
      </c>
      <c r="B617" s="10">
        <v>12.0</v>
      </c>
      <c r="C617" s="10" t="s">
        <v>59</v>
      </c>
      <c r="D617" s="10" t="s">
        <v>1550</v>
      </c>
      <c r="E617" s="12" t="s">
        <v>62</v>
      </c>
      <c r="F617" s="11">
        <v>1617779.0</v>
      </c>
      <c r="G617" s="11">
        <v>106840.0</v>
      </c>
      <c r="H617" s="11">
        <v>62601.0</v>
      </c>
      <c r="I617" s="11">
        <v>55008.0</v>
      </c>
      <c r="J617" s="11">
        <v>1453.0</v>
      </c>
      <c r="K617" s="11">
        <v>770.0</v>
      </c>
      <c r="L617" s="11">
        <v>246.0</v>
      </c>
      <c r="M617" s="13">
        <f t="shared" ref="M617:O617" si="619">IFERROR(G617/F617,"")</f>
        <v>0.0660411589</v>
      </c>
      <c r="N617" s="13">
        <f t="shared" si="619"/>
        <v>0.5859322351</v>
      </c>
      <c r="O617" s="14">
        <f t="shared" si="619"/>
        <v>0.8787080079</v>
      </c>
      <c r="P617" s="13">
        <f t="shared" si="3"/>
        <v>0.02321049185</v>
      </c>
      <c r="Q617" s="13">
        <f t="shared" si="4"/>
        <v>0.012300123</v>
      </c>
      <c r="R617" s="13">
        <f t="shared" si="5"/>
        <v>0.003929649686</v>
      </c>
      <c r="S617" s="14">
        <f t="shared" si="6"/>
        <v>0.9320350998</v>
      </c>
      <c r="T617" s="14">
        <f t="shared" si="7"/>
        <v>1.121319935</v>
      </c>
      <c r="U617" s="14">
        <f t="shared" si="8"/>
        <v>0.3024799629</v>
      </c>
    </row>
    <row r="618" ht="15.75" customHeight="1">
      <c r="A618" s="9">
        <v>46211.2505918634</v>
      </c>
      <c r="B618" s="10">
        <v>6.0</v>
      </c>
      <c r="C618" s="10" t="s">
        <v>80</v>
      </c>
      <c r="D618" s="10" t="s">
        <v>1551</v>
      </c>
      <c r="E618" s="12" t="s">
        <v>62</v>
      </c>
      <c r="F618" s="11">
        <v>12169.0</v>
      </c>
      <c r="G618" s="11">
        <v>1168.0</v>
      </c>
      <c r="H618" s="11">
        <v>513.0</v>
      </c>
      <c r="I618" s="11">
        <v>534.0</v>
      </c>
      <c r="J618" s="11">
        <v>57.0</v>
      </c>
      <c r="K618" s="11">
        <v>110.0</v>
      </c>
      <c r="L618" s="11">
        <v>5.0</v>
      </c>
      <c r="M618" s="13">
        <f t="shared" ref="M618:O618" si="620">IFERROR(G618/F618,"")</f>
        <v>0.09598159257</v>
      </c>
      <c r="N618" s="13">
        <f t="shared" si="620"/>
        <v>0.4392123288</v>
      </c>
      <c r="O618" s="14">
        <f t="shared" si="620"/>
        <v>1.040935673</v>
      </c>
      <c r="P618" s="13">
        <f t="shared" si="3"/>
        <v>0.1111111111</v>
      </c>
      <c r="Q618" s="13">
        <f t="shared" si="4"/>
        <v>0.2144249513</v>
      </c>
      <c r="R618" s="13">
        <f t="shared" si="5"/>
        <v>0.009746588694</v>
      </c>
      <c r="S618" s="14">
        <f t="shared" si="6"/>
        <v>1.354582728</v>
      </c>
      <c r="T618" s="14">
        <f t="shared" si="7"/>
        <v>0.8405366874</v>
      </c>
      <c r="U618" s="14">
        <f t="shared" si="8"/>
        <v>5.27305713</v>
      </c>
    </row>
    <row r="619" ht="15.75" customHeight="1">
      <c r="A619" s="9">
        <v>46213.2504295602</v>
      </c>
      <c r="B619" s="10">
        <v>6.0</v>
      </c>
      <c r="C619" s="10" t="s">
        <v>60</v>
      </c>
      <c r="D619" s="10" t="s">
        <v>1552</v>
      </c>
      <c r="E619" s="12" t="s">
        <v>62</v>
      </c>
      <c r="F619" s="11">
        <v>17885.0</v>
      </c>
      <c r="G619" s="11">
        <v>1403.0</v>
      </c>
      <c r="H619" s="11">
        <v>646.0</v>
      </c>
      <c r="I619" s="11">
        <v>848.0</v>
      </c>
      <c r="J619" s="11">
        <v>79.0</v>
      </c>
      <c r="K619" s="11">
        <v>109.0</v>
      </c>
      <c r="L619" s="11">
        <v>2.0</v>
      </c>
      <c r="M619" s="13">
        <f t="shared" ref="M619:O619" si="621">IFERROR(G619/F619,"")</f>
        <v>0.07844562483</v>
      </c>
      <c r="N619" s="13">
        <f t="shared" si="621"/>
        <v>0.4604419102</v>
      </c>
      <c r="O619" s="14">
        <f t="shared" si="621"/>
        <v>1.312693498</v>
      </c>
      <c r="P619" s="13">
        <f t="shared" si="3"/>
        <v>0.1222910217</v>
      </c>
      <c r="Q619" s="13">
        <f t="shared" si="4"/>
        <v>0.1687306502</v>
      </c>
      <c r="R619" s="13">
        <f t="shared" si="5"/>
        <v>0.003095975232</v>
      </c>
      <c r="S619" s="14">
        <f t="shared" si="6"/>
        <v>1.107098618</v>
      </c>
      <c r="T619" s="14">
        <f t="shared" si="7"/>
        <v>0.8811645134</v>
      </c>
      <c r="U619" s="14">
        <f t="shared" si="8"/>
        <v>3.830551239</v>
      </c>
    </row>
    <row r="620" ht="15.75" customHeight="1">
      <c r="A620" s="9">
        <v>46216.5158887963</v>
      </c>
      <c r="B620" s="10">
        <v>12.0</v>
      </c>
      <c r="C620" s="10" t="s">
        <v>71</v>
      </c>
      <c r="D620" s="10" t="s">
        <v>1553</v>
      </c>
      <c r="E620" s="12" t="s">
        <v>62</v>
      </c>
      <c r="F620" s="11">
        <v>63774.0</v>
      </c>
      <c r="G620" s="11">
        <v>493.0</v>
      </c>
      <c r="H620" s="11">
        <v>77.0</v>
      </c>
      <c r="I620" s="11">
        <v>154.0</v>
      </c>
      <c r="J620" s="11">
        <v>21.0</v>
      </c>
      <c r="K620" s="11">
        <v>7.0</v>
      </c>
      <c r="L620" s="11">
        <v>9.0</v>
      </c>
      <c r="M620" s="13">
        <f t="shared" ref="M620:O620" si="622">IFERROR(G620/F620,"")</f>
        <v>0.007730423056</v>
      </c>
      <c r="N620" s="13">
        <f t="shared" si="622"/>
        <v>0.1561866126</v>
      </c>
      <c r="O620" s="14">
        <f t="shared" si="622"/>
        <v>2</v>
      </c>
      <c r="P620" s="13">
        <f t="shared" si="3"/>
        <v>0.2727272727</v>
      </c>
      <c r="Q620" s="13">
        <f t="shared" si="4"/>
        <v>0.09090909091</v>
      </c>
      <c r="R620" s="13">
        <f t="shared" si="5"/>
        <v>0.1168831169</v>
      </c>
      <c r="S620" s="14">
        <f t="shared" si="6"/>
        <v>0.1090990186</v>
      </c>
      <c r="T620" s="14">
        <f t="shared" si="7"/>
        <v>0.2988140168</v>
      </c>
      <c r="U620" s="14">
        <f t="shared" si="8"/>
        <v>2.063833278</v>
      </c>
    </row>
    <row r="621" ht="15.75" customHeight="1">
      <c r="A621" s="9">
        <v>46217.4816684607</v>
      </c>
      <c r="B621" s="10">
        <v>11.0</v>
      </c>
      <c r="C621" s="10" t="s">
        <v>59</v>
      </c>
      <c r="D621" s="10" t="s">
        <v>1554</v>
      </c>
      <c r="E621" s="12" t="s">
        <v>62</v>
      </c>
      <c r="F621" s="11">
        <v>4751764.0</v>
      </c>
      <c r="G621" s="11">
        <v>587489.0</v>
      </c>
      <c r="H621" s="11">
        <v>349832.0</v>
      </c>
      <c r="I621" s="11">
        <v>276456.0</v>
      </c>
      <c r="J621" s="11">
        <v>3750.0</v>
      </c>
      <c r="K621" s="11">
        <v>2222.0</v>
      </c>
      <c r="L621" s="11">
        <v>1362.0</v>
      </c>
      <c r="M621" s="13">
        <f t="shared" ref="M621:O621" si="623">IFERROR(G621/F621,"")</f>
        <v>0.1236359802</v>
      </c>
      <c r="N621" s="13">
        <f t="shared" si="623"/>
        <v>0.5954698726</v>
      </c>
      <c r="O621" s="14">
        <f t="shared" si="623"/>
        <v>0.7902536074</v>
      </c>
      <c r="P621" s="13">
        <f t="shared" si="3"/>
        <v>0.01071943104</v>
      </c>
      <c r="Q621" s="13">
        <f t="shared" si="4"/>
        <v>0.006351620206</v>
      </c>
      <c r="R621" s="13">
        <f t="shared" si="5"/>
        <v>0.003893297354</v>
      </c>
      <c r="S621" s="14">
        <f t="shared" si="6"/>
        <v>1.700986869</v>
      </c>
      <c r="T621" s="14">
        <f t="shared" si="7"/>
        <v>1.141587322</v>
      </c>
      <c r="U621" s="14">
        <f t="shared" si="8"/>
        <v>0.1310828955</v>
      </c>
    </row>
    <row r="622" ht="15.75" customHeight="1">
      <c r="A622" s="9">
        <v>46218.4445028704</v>
      </c>
      <c r="B622" s="10">
        <v>10.0</v>
      </c>
      <c r="C622" s="10" t="s">
        <v>80</v>
      </c>
      <c r="D622" s="10" t="s">
        <v>1555</v>
      </c>
      <c r="E622" s="12" t="s">
        <v>62</v>
      </c>
      <c r="F622" s="11">
        <v>7812.0</v>
      </c>
      <c r="G622" s="11">
        <v>558.0</v>
      </c>
      <c r="H622" s="11">
        <v>281.0</v>
      </c>
      <c r="I622" s="11">
        <v>305.0</v>
      </c>
      <c r="J622" s="11">
        <v>49.0</v>
      </c>
      <c r="K622" s="11">
        <v>88.0</v>
      </c>
      <c r="L622" s="11">
        <v>0.0</v>
      </c>
      <c r="M622" s="13">
        <f t="shared" ref="M622:O622" si="624">IFERROR(G622/F622,"")</f>
        <v>0.07142857143</v>
      </c>
      <c r="N622" s="13">
        <f t="shared" si="624"/>
        <v>0.5035842294</v>
      </c>
      <c r="O622" s="14">
        <f t="shared" si="624"/>
        <v>1.085409253</v>
      </c>
      <c r="P622" s="13">
        <f t="shared" si="3"/>
        <v>0.1743772242</v>
      </c>
      <c r="Q622" s="13">
        <f t="shared" si="4"/>
        <v>0.3131672598</v>
      </c>
      <c r="R622" s="13">
        <f t="shared" si="5"/>
        <v>0</v>
      </c>
      <c r="S622" s="14">
        <f t="shared" si="6"/>
        <v>0.9827160494</v>
      </c>
      <c r="T622" s="14">
        <f t="shared" si="7"/>
        <v>0.9654314991</v>
      </c>
      <c r="U622" s="14">
        <f t="shared" si="8"/>
        <v>6.463055071</v>
      </c>
    </row>
    <row r="623" ht="15.75" customHeight="1">
      <c r="A623" s="9">
        <v>46220.6103066898</v>
      </c>
      <c r="B623" s="10">
        <v>14.0</v>
      </c>
      <c r="C623" s="10" t="s">
        <v>60</v>
      </c>
      <c r="D623" s="10" t="s">
        <v>1556</v>
      </c>
      <c r="E623" s="12" t="s">
        <v>62</v>
      </c>
      <c r="F623" s="11">
        <v>22724.0</v>
      </c>
      <c r="G623" s="11">
        <v>2139.0</v>
      </c>
      <c r="H623" s="11">
        <v>1258.0</v>
      </c>
      <c r="I623" s="11">
        <v>1465.0</v>
      </c>
      <c r="J623" s="11">
        <v>76.0</v>
      </c>
      <c r="K623" s="11">
        <v>67.0</v>
      </c>
      <c r="L623" s="11">
        <v>7.0</v>
      </c>
      <c r="M623" s="13">
        <f t="shared" ref="M623:O623" si="625">IFERROR(G623/F623,"")</f>
        <v>0.09412955466</v>
      </c>
      <c r="N623" s="13">
        <f t="shared" si="625"/>
        <v>0.5881252922</v>
      </c>
      <c r="O623" s="14">
        <f t="shared" si="625"/>
        <v>1.1645469</v>
      </c>
      <c r="P623" s="13">
        <f t="shared" si="3"/>
        <v>0.06041335453</v>
      </c>
      <c r="Q623" s="13">
        <f t="shared" si="4"/>
        <v>0.05325914149</v>
      </c>
      <c r="R623" s="13">
        <f t="shared" si="5"/>
        <v>0.005564387917</v>
      </c>
      <c r="S623" s="14">
        <f t="shared" si="6"/>
        <v>1.317813765</v>
      </c>
      <c r="T623" s="14">
        <f t="shared" si="7"/>
        <v>1.118501049</v>
      </c>
      <c r="U623" s="14">
        <f t="shared" si="8"/>
        <v>1.18135799</v>
      </c>
    </row>
    <row r="624" ht="15.75" customHeight="1">
      <c r="A624" s="9">
        <v>46223.4311687732</v>
      </c>
      <c r="B624" s="10">
        <v>10.0</v>
      </c>
      <c r="C624" s="10" t="s">
        <v>71</v>
      </c>
      <c r="D624" s="10" t="s">
        <v>1557</v>
      </c>
      <c r="E624" s="12" t="s">
        <v>62</v>
      </c>
      <c r="F624" s="11">
        <v>29328.0</v>
      </c>
      <c r="G624" s="11">
        <v>281.0</v>
      </c>
      <c r="H624" s="11">
        <v>56.0</v>
      </c>
      <c r="I624" s="11">
        <v>102.0</v>
      </c>
      <c r="J624" s="11">
        <v>13.0</v>
      </c>
      <c r="K624" s="11">
        <v>11.0</v>
      </c>
      <c r="L624" s="11">
        <v>2.0</v>
      </c>
      <c r="M624" s="13">
        <f t="shared" ref="M624:O624" si="626">IFERROR(G624/F624,"")</f>
        <v>0.009581287507</v>
      </c>
      <c r="N624" s="13">
        <f t="shared" si="626"/>
        <v>0.1992882562</v>
      </c>
      <c r="O624" s="14">
        <f t="shared" si="626"/>
        <v>1.821428571</v>
      </c>
      <c r="P624" s="13">
        <f t="shared" si="3"/>
        <v>0.2321428571</v>
      </c>
      <c r="Q624" s="13">
        <f t="shared" si="4"/>
        <v>0.1964285714</v>
      </c>
      <c r="R624" s="13">
        <f t="shared" si="5"/>
        <v>0.03571428571</v>
      </c>
      <c r="S624" s="14">
        <f t="shared" si="6"/>
        <v>0.1352201628</v>
      </c>
      <c r="T624" s="14">
        <f t="shared" si="7"/>
        <v>0.3786863326</v>
      </c>
      <c r="U624" s="14">
        <f t="shared" si="8"/>
        <v>4.053835882</v>
      </c>
    </row>
    <row r="625" ht="15.75" customHeight="1">
      <c r="A625" s="9">
        <v>46224.4728685764</v>
      </c>
      <c r="B625" s="10">
        <v>11.0</v>
      </c>
      <c r="C625" s="10" t="s">
        <v>59</v>
      </c>
      <c r="D625" s="10" t="s">
        <v>1558</v>
      </c>
      <c r="E625" s="12" t="s">
        <v>62</v>
      </c>
      <c r="F625" s="11">
        <v>14189.0</v>
      </c>
      <c r="G625" s="11">
        <v>1224.0</v>
      </c>
      <c r="H625" s="11">
        <v>854.0</v>
      </c>
      <c r="I625" s="11">
        <v>1178.0</v>
      </c>
      <c r="J625" s="11">
        <v>77.0</v>
      </c>
      <c r="K625" s="11">
        <v>94.0</v>
      </c>
      <c r="L625" s="11">
        <v>6.0</v>
      </c>
      <c r="M625" s="13">
        <f t="shared" ref="M625:O625" si="627">IFERROR(G625/F625,"")</f>
        <v>0.08626400733</v>
      </c>
      <c r="N625" s="13">
        <f t="shared" si="627"/>
        <v>0.6977124183</v>
      </c>
      <c r="O625" s="14">
        <f t="shared" si="627"/>
        <v>1.379391101</v>
      </c>
      <c r="P625" s="13">
        <f t="shared" si="3"/>
        <v>0.09016393443</v>
      </c>
      <c r="Q625" s="13">
        <f t="shared" si="4"/>
        <v>0.1100702576</v>
      </c>
      <c r="R625" s="13">
        <f t="shared" si="5"/>
        <v>0.007025761124</v>
      </c>
      <c r="S625" s="14">
        <f t="shared" si="6"/>
        <v>1.186822343</v>
      </c>
      <c r="T625" s="14">
        <f t="shared" si="7"/>
        <v>1.325788895</v>
      </c>
      <c r="U625" s="14">
        <f t="shared" si="8"/>
        <v>2.27159805</v>
      </c>
    </row>
    <row r="626" ht="15.75" customHeight="1">
      <c r="A626" s="9">
        <v>46225.4080874306</v>
      </c>
      <c r="B626" s="10">
        <v>9.0</v>
      </c>
      <c r="C626" s="10" t="s">
        <v>80</v>
      </c>
      <c r="D626" s="10" t="s">
        <v>1559</v>
      </c>
      <c r="E626" s="12" t="s">
        <v>62</v>
      </c>
      <c r="F626" s="11">
        <v>284675.0</v>
      </c>
      <c r="G626" s="11">
        <v>56313.0</v>
      </c>
      <c r="H626" s="11">
        <v>37523.0</v>
      </c>
      <c r="I626" s="11">
        <v>18959.0</v>
      </c>
      <c r="J626" s="11">
        <v>379.0</v>
      </c>
      <c r="K626" s="11">
        <v>361.0</v>
      </c>
      <c r="L626" s="11">
        <v>90.0</v>
      </c>
      <c r="M626" s="13">
        <f t="shared" ref="M626:O626" si="628">IFERROR(G626/F626,"")</f>
        <v>0.1978150523</v>
      </c>
      <c r="N626" s="13">
        <f t="shared" si="628"/>
        <v>0.6663292668</v>
      </c>
      <c r="O626" s="14">
        <f t="shared" si="628"/>
        <v>0.5052634384</v>
      </c>
      <c r="P626" s="13">
        <f t="shared" si="3"/>
        <v>0.01010047171</v>
      </c>
      <c r="Q626" s="13">
        <f t="shared" si="4"/>
        <v>0.00962076593</v>
      </c>
      <c r="R626" s="13">
        <f t="shared" si="5"/>
        <v>0.002398528902</v>
      </c>
      <c r="S626" s="14">
        <f t="shared" si="6"/>
        <v>2.721544373</v>
      </c>
      <c r="T626" s="14">
        <f t="shared" si="7"/>
        <v>1.266154821</v>
      </c>
      <c r="U626" s="14">
        <f t="shared" si="8"/>
        <v>0.1985505767</v>
      </c>
    </row>
    <row r="627" ht="15.75" customHeight="1">
      <c r="A627" s="9">
        <v>46227.5716806366</v>
      </c>
      <c r="B627" s="10">
        <v>13.0</v>
      </c>
      <c r="C627" s="10" t="s">
        <v>60</v>
      </c>
      <c r="D627" s="10" t="s">
        <v>1560</v>
      </c>
      <c r="E627" s="12" t="s">
        <v>62</v>
      </c>
      <c r="F627" s="11">
        <v>4285.0</v>
      </c>
      <c r="G627" s="11">
        <v>746.0</v>
      </c>
      <c r="H627" s="11">
        <v>432.0</v>
      </c>
      <c r="I627" s="11">
        <v>0.0</v>
      </c>
      <c r="J627" s="11">
        <v>60.0</v>
      </c>
      <c r="K627" s="11">
        <v>234.0</v>
      </c>
      <c r="L627" s="11">
        <v>0.0</v>
      </c>
      <c r="M627" s="13">
        <f t="shared" ref="M627:O627" si="629">IFERROR(G627/F627,"")</f>
        <v>0.1740956826</v>
      </c>
      <c r="N627" s="13">
        <f t="shared" si="629"/>
        <v>0.5790884718</v>
      </c>
      <c r="O627" s="14">
        <f t="shared" si="629"/>
        <v>0</v>
      </c>
      <c r="P627" s="13">
        <f t="shared" si="3"/>
        <v>0.1388888889</v>
      </c>
      <c r="Q627" s="13">
        <f t="shared" si="4"/>
        <v>0.5416666667</v>
      </c>
      <c r="R627" s="13">
        <f t="shared" si="5"/>
        <v>0</v>
      </c>
      <c r="S627" s="14">
        <f t="shared" si="6"/>
        <v>2.437339557</v>
      </c>
      <c r="T627" s="14">
        <f t="shared" si="7"/>
        <v>1.101314757</v>
      </c>
      <c r="U627" s="14">
        <f t="shared" si="8"/>
        <v>10.17039801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U$627"/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  <hyperlink r:id="rId16" ref="E20"/>
    <hyperlink r:id="rId17" ref="E21"/>
    <hyperlink r:id="rId18" ref="E22"/>
    <hyperlink r:id="rId19" ref="E23"/>
    <hyperlink r:id="rId20" ref="E24"/>
    <hyperlink r:id="rId21" ref="E25"/>
    <hyperlink r:id="rId22" ref="E26"/>
    <hyperlink r:id="rId23" ref="E27"/>
    <hyperlink r:id="rId24" ref="E28"/>
    <hyperlink r:id="rId25" ref="E29"/>
    <hyperlink r:id="rId26" ref="E30"/>
    <hyperlink r:id="rId27" ref="E31"/>
    <hyperlink r:id="rId28" ref="E32"/>
    <hyperlink r:id="rId29" ref="E33"/>
    <hyperlink r:id="rId30" ref="E34"/>
    <hyperlink r:id="rId31" ref="E35"/>
    <hyperlink r:id="rId32" ref="E36"/>
    <hyperlink r:id="rId33" ref="E37"/>
    <hyperlink r:id="rId34" ref="E38"/>
    <hyperlink r:id="rId35" ref="E39"/>
    <hyperlink r:id="rId36" ref="E40"/>
    <hyperlink r:id="rId37" ref="E41"/>
    <hyperlink r:id="rId38" ref="E42"/>
    <hyperlink r:id="rId39" ref="E43"/>
    <hyperlink r:id="rId40" ref="E44"/>
    <hyperlink r:id="rId41" ref="E45"/>
    <hyperlink r:id="rId42" ref="E46"/>
    <hyperlink r:id="rId43" ref="E47"/>
    <hyperlink r:id="rId44" ref="E48"/>
    <hyperlink r:id="rId45" ref="E49"/>
    <hyperlink r:id="rId46" ref="E50"/>
    <hyperlink r:id="rId47" ref="E51"/>
    <hyperlink r:id="rId48" ref="E52"/>
    <hyperlink r:id="rId49" ref="E53"/>
    <hyperlink r:id="rId50" ref="E54"/>
    <hyperlink r:id="rId51" ref="E55"/>
    <hyperlink r:id="rId52" ref="E56"/>
    <hyperlink r:id="rId53" ref="E57"/>
    <hyperlink r:id="rId54" ref="E58"/>
    <hyperlink r:id="rId55" ref="E59"/>
    <hyperlink r:id="rId56" ref="E60"/>
    <hyperlink r:id="rId57" ref="E61"/>
    <hyperlink r:id="rId58" ref="E62"/>
    <hyperlink r:id="rId59" ref="E63"/>
    <hyperlink r:id="rId60" ref="E64"/>
    <hyperlink r:id="rId61" ref="E65"/>
    <hyperlink r:id="rId62" ref="E66"/>
    <hyperlink r:id="rId63" ref="E67"/>
    <hyperlink r:id="rId64" ref="E68"/>
    <hyperlink r:id="rId65" ref="E69"/>
    <hyperlink r:id="rId66" ref="E70"/>
    <hyperlink r:id="rId67" ref="E71"/>
    <hyperlink r:id="rId68" ref="E72"/>
    <hyperlink r:id="rId69" ref="E73"/>
    <hyperlink r:id="rId70" ref="E74"/>
    <hyperlink r:id="rId71" ref="E75"/>
    <hyperlink r:id="rId72" ref="E76"/>
    <hyperlink r:id="rId73" ref="E77"/>
    <hyperlink r:id="rId74" ref="E78"/>
    <hyperlink r:id="rId75" ref="E79"/>
    <hyperlink r:id="rId76" ref="E80"/>
    <hyperlink r:id="rId77" ref="E81"/>
    <hyperlink r:id="rId78" ref="E82"/>
    <hyperlink r:id="rId79" ref="E83"/>
    <hyperlink r:id="rId80" ref="E84"/>
    <hyperlink r:id="rId81" ref="E85"/>
    <hyperlink r:id="rId82" ref="E86"/>
    <hyperlink r:id="rId83" ref="E87"/>
    <hyperlink r:id="rId84" ref="E88"/>
    <hyperlink r:id="rId85" ref="E89"/>
    <hyperlink r:id="rId86" ref="E90"/>
    <hyperlink r:id="rId87" ref="E91"/>
    <hyperlink r:id="rId88" ref="E92"/>
    <hyperlink r:id="rId89" ref="E93"/>
    <hyperlink r:id="rId90" ref="E94"/>
    <hyperlink r:id="rId91" ref="E95"/>
    <hyperlink r:id="rId92" ref="E96"/>
    <hyperlink r:id="rId93" ref="E97"/>
    <hyperlink r:id="rId94" ref="E98"/>
    <hyperlink r:id="rId95" ref="E99"/>
    <hyperlink r:id="rId96" ref="E100"/>
    <hyperlink r:id="rId97" ref="E101"/>
    <hyperlink r:id="rId98" ref="E102"/>
    <hyperlink r:id="rId99" ref="E103"/>
    <hyperlink r:id="rId100" ref="E104"/>
    <hyperlink r:id="rId101" ref="E105"/>
    <hyperlink r:id="rId102" ref="E106"/>
    <hyperlink r:id="rId103" ref="E107"/>
    <hyperlink r:id="rId104" ref="E108"/>
    <hyperlink r:id="rId105" ref="E109"/>
    <hyperlink r:id="rId106" ref="E110"/>
    <hyperlink r:id="rId107" ref="E111"/>
    <hyperlink r:id="rId108" ref="E112"/>
    <hyperlink r:id="rId109" ref="E113"/>
    <hyperlink r:id="rId110" ref="E114"/>
    <hyperlink r:id="rId111" ref="E115"/>
    <hyperlink r:id="rId112" ref="E116"/>
    <hyperlink r:id="rId113" ref="E117"/>
    <hyperlink r:id="rId114" ref="E118"/>
    <hyperlink r:id="rId115" ref="E119"/>
    <hyperlink r:id="rId116" ref="E120"/>
    <hyperlink r:id="rId117" ref="E121"/>
    <hyperlink r:id="rId118" ref="E122"/>
    <hyperlink r:id="rId119" ref="E123"/>
    <hyperlink r:id="rId120" ref="E124"/>
    <hyperlink r:id="rId121" ref="E125"/>
    <hyperlink r:id="rId122" ref="E126"/>
    <hyperlink r:id="rId123" ref="E127"/>
    <hyperlink r:id="rId124" ref="E128"/>
    <hyperlink r:id="rId125" ref="E129"/>
    <hyperlink r:id="rId126" ref="E130"/>
    <hyperlink r:id="rId127" ref="E131"/>
    <hyperlink r:id="rId128" ref="E132"/>
    <hyperlink r:id="rId129" ref="E133"/>
    <hyperlink r:id="rId130" ref="E134"/>
    <hyperlink r:id="rId131" ref="E135"/>
    <hyperlink r:id="rId132" ref="E136"/>
    <hyperlink r:id="rId133" ref="E137"/>
    <hyperlink r:id="rId134" ref="E138"/>
    <hyperlink r:id="rId135" ref="E139"/>
    <hyperlink r:id="rId136" ref="E140"/>
    <hyperlink r:id="rId137" ref="E141"/>
    <hyperlink r:id="rId138" ref="E142"/>
    <hyperlink r:id="rId139" ref="E143"/>
    <hyperlink r:id="rId140" ref="E144"/>
    <hyperlink r:id="rId141" ref="E145"/>
    <hyperlink r:id="rId142" ref="E146"/>
    <hyperlink r:id="rId143" ref="E147"/>
    <hyperlink r:id="rId144" ref="E148"/>
    <hyperlink r:id="rId145" ref="E149"/>
    <hyperlink r:id="rId146" ref="E150"/>
    <hyperlink r:id="rId147" ref="E151"/>
    <hyperlink r:id="rId148" ref="E152"/>
    <hyperlink r:id="rId149" ref="E153"/>
    <hyperlink r:id="rId150" ref="E154"/>
    <hyperlink r:id="rId151" ref="E155"/>
    <hyperlink r:id="rId152" ref="E156"/>
    <hyperlink r:id="rId153" ref="E157"/>
    <hyperlink r:id="rId154" ref="E158"/>
    <hyperlink r:id="rId155" ref="E159"/>
    <hyperlink r:id="rId156" ref="E160"/>
    <hyperlink r:id="rId157" ref="E161"/>
    <hyperlink r:id="rId158" ref="E162"/>
    <hyperlink r:id="rId159" ref="E163"/>
    <hyperlink r:id="rId160" ref="E164"/>
    <hyperlink r:id="rId161" ref="E165"/>
    <hyperlink r:id="rId162" ref="E166"/>
    <hyperlink r:id="rId163" ref="E167"/>
    <hyperlink r:id="rId164" ref="E168"/>
    <hyperlink r:id="rId165" ref="E169"/>
    <hyperlink r:id="rId166" ref="E170"/>
    <hyperlink r:id="rId167" ref="E171"/>
    <hyperlink r:id="rId168" ref="E172"/>
    <hyperlink r:id="rId169" ref="E173"/>
    <hyperlink r:id="rId170" ref="E174"/>
    <hyperlink r:id="rId171" ref="E175"/>
    <hyperlink r:id="rId172" ref="E176"/>
    <hyperlink r:id="rId173" ref="E177"/>
    <hyperlink r:id="rId174" ref="E178"/>
    <hyperlink r:id="rId175" ref="E179"/>
    <hyperlink r:id="rId176" ref="E180"/>
    <hyperlink r:id="rId177" ref="E181"/>
    <hyperlink r:id="rId178" ref="E182"/>
    <hyperlink r:id="rId179" ref="E183"/>
    <hyperlink r:id="rId180" ref="E184"/>
    <hyperlink r:id="rId181" ref="E185"/>
    <hyperlink r:id="rId182" ref="E186"/>
    <hyperlink r:id="rId183" ref="E187"/>
    <hyperlink r:id="rId184" ref="E188"/>
    <hyperlink r:id="rId185" ref="E189"/>
    <hyperlink r:id="rId186" ref="E190"/>
    <hyperlink r:id="rId187" ref="E191"/>
    <hyperlink r:id="rId188" ref="E192"/>
    <hyperlink r:id="rId189" ref="E193"/>
    <hyperlink r:id="rId190" ref="E194"/>
    <hyperlink r:id="rId191" ref="E195"/>
    <hyperlink r:id="rId192" ref="E196"/>
    <hyperlink r:id="rId193" ref="E197"/>
    <hyperlink r:id="rId194" ref="E198"/>
    <hyperlink r:id="rId195" ref="E199"/>
    <hyperlink r:id="rId196" ref="E200"/>
    <hyperlink r:id="rId197" ref="E201"/>
    <hyperlink r:id="rId198" ref="E202"/>
    <hyperlink r:id="rId199" ref="E203"/>
    <hyperlink r:id="rId200" ref="E204"/>
    <hyperlink r:id="rId201" ref="E205"/>
    <hyperlink r:id="rId202" ref="E206"/>
    <hyperlink r:id="rId203" ref="E207"/>
    <hyperlink r:id="rId204" ref="E208"/>
    <hyperlink r:id="rId205" ref="E209"/>
    <hyperlink r:id="rId206" ref="E210"/>
    <hyperlink r:id="rId207" ref="E211"/>
    <hyperlink r:id="rId208" ref="E212"/>
    <hyperlink r:id="rId209" ref="E213"/>
    <hyperlink r:id="rId210" ref="E214"/>
    <hyperlink r:id="rId211" ref="E215"/>
    <hyperlink r:id="rId212" ref="E216"/>
    <hyperlink r:id="rId213" ref="E217"/>
    <hyperlink r:id="rId214" ref="E218"/>
    <hyperlink r:id="rId215" ref="E219"/>
    <hyperlink r:id="rId216" ref="E220"/>
    <hyperlink r:id="rId217" ref="E221"/>
    <hyperlink r:id="rId218" ref="E222"/>
    <hyperlink r:id="rId219" ref="E223"/>
    <hyperlink r:id="rId220" ref="E224"/>
    <hyperlink r:id="rId221" ref="E225"/>
    <hyperlink r:id="rId222" ref="E226"/>
    <hyperlink r:id="rId223" ref="E227"/>
    <hyperlink r:id="rId224" ref="E228"/>
    <hyperlink r:id="rId225" ref="E229"/>
    <hyperlink r:id="rId226" ref="E230"/>
    <hyperlink r:id="rId227" ref="E231"/>
    <hyperlink r:id="rId228" ref="E232"/>
    <hyperlink r:id="rId229" ref="E233"/>
    <hyperlink r:id="rId230" ref="E234"/>
    <hyperlink r:id="rId231" ref="E235"/>
    <hyperlink r:id="rId232" ref="E236"/>
    <hyperlink r:id="rId233" ref="E237"/>
    <hyperlink r:id="rId234" ref="E238"/>
    <hyperlink r:id="rId235" ref="E239"/>
    <hyperlink r:id="rId236" ref="E240"/>
    <hyperlink r:id="rId237" ref="E241"/>
    <hyperlink r:id="rId238" ref="E242"/>
    <hyperlink r:id="rId239" ref="E243"/>
    <hyperlink r:id="rId240" ref="E244"/>
    <hyperlink r:id="rId241" ref="E245"/>
    <hyperlink r:id="rId242" ref="E246"/>
    <hyperlink r:id="rId243" ref="E247"/>
    <hyperlink r:id="rId244" ref="E248"/>
    <hyperlink r:id="rId245" ref="E249"/>
    <hyperlink r:id="rId246" ref="E250"/>
    <hyperlink r:id="rId247" ref="E251"/>
    <hyperlink r:id="rId248" ref="E252"/>
    <hyperlink r:id="rId249" ref="E253"/>
    <hyperlink r:id="rId250" ref="E254"/>
    <hyperlink r:id="rId251" ref="E255"/>
    <hyperlink r:id="rId252" ref="E256"/>
    <hyperlink r:id="rId253" ref="E257"/>
    <hyperlink r:id="rId254" ref="E258"/>
    <hyperlink r:id="rId255" ref="E259"/>
    <hyperlink r:id="rId256" ref="E260"/>
    <hyperlink r:id="rId257" ref="E261"/>
    <hyperlink r:id="rId258" ref="E262"/>
    <hyperlink r:id="rId259" ref="E263"/>
    <hyperlink r:id="rId260" ref="E264"/>
    <hyperlink r:id="rId261" ref="E265"/>
    <hyperlink r:id="rId262" ref="E266"/>
    <hyperlink r:id="rId263" ref="E267"/>
    <hyperlink r:id="rId264" ref="E268"/>
    <hyperlink r:id="rId265" ref="E269"/>
    <hyperlink r:id="rId266" ref="E270"/>
    <hyperlink r:id="rId267" ref="E271"/>
    <hyperlink r:id="rId268" ref="E272"/>
    <hyperlink r:id="rId269" ref="E273"/>
    <hyperlink r:id="rId270" ref="E274"/>
    <hyperlink r:id="rId271" ref="E275"/>
    <hyperlink r:id="rId272" ref="E276"/>
    <hyperlink r:id="rId273" ref="E277"/>
    <hyperlink r:id="rId274" ref="E278"/>
    <hyperlink r:id="rId275" ref="E279"/>
    <hyperlink r:id="rId276" ref="E280"/>
    <hyperlink r:id="rId277" ref="E281"/>
    <hyperlink r:id="rId278" ref="E282"/>
    <hyperlink r:id="rId279" ref="E283"/>
    <hyperlink r:id="rId280" ref="E284"/>
    <hyperlink r:id="rId281" ref="E285"/>
    <hyperlink r:id="rId282" ref="E286"/>
    <hyperlink r:id="rId283" ref="E287"/>
    <hyperlink r:id="rId284" ref="E288"/>
    <hyperlink r:id="rId285" ref="E289"/>
    <hyperlink r:id="rId286" ref="E290"/>
    <hyperlink r:id="rId287" ref="E291"/>
    <hyperlink r:id="rId288" ref="E292"/>
    <hyperlink r:id="rId289" ref="E293"/>
    <hyperlink r:id="rId290" ref="E294"/>
    <hyperlink r:id="rId291" ref="E295"/>
    <hyperlink r:id="rId292" ref="E296"/>
    <hyperlink r:id="rId293" ref="E297"/>
    <hyperlink r:id="rId294" ref="E298"/>
    <hyperlink r:id="rId295" ref="E299"/>
    <hyperlink r:id="rId296" ref="E300"/>
    <hyperlink r:id="rId297" ref="E301"/>
    <hyperlink r:id="rId298" ref="E302"/>
    <hyperlink r:id="rId299" ref="E303"/>
    <hyperlink r:id="rId300" ref="E304"/>
    <hyperlink r:id="rId301" ref="E305"/>
    <hyperlink r:id="rId302" ref="E306"/>
    <hyperlink r:id="rId303" ref="E307"/>
    <hyperlink r:id="rId304" ref="E308"/>
    <hyperlink r:id="rId305" ref="E309"/>
    <hyperlink r:id="rId306" ref="E310"/>
    <hyperlink r:id="rId307" ref="E311"/>
    <hyperlink r:id="rId308" ref="E312"/>
    <hyperlink r:id="rId309" ref="E313"/>
    <hyperlink r:id="rId310" ref="E314"/>
    <hyperlink r:id="rId311" ref="E315"/>
    <hyperlink r:id="rId312" ref="E316"/>
    <hyperlink r:id="rId313" ref="E317"/>
    <hyperlink r:id="rId314" ref="E318"/>
    <hyperlink r:id="rId315" ref="E319"/>
    <hyperlink r:id="rId316" ref="E320"/>
    <hyperlink r:id="rId317" ref="E321"/>
    <hyperlink r:id="rId318" ref="E322"/>
    <hyperlink r:id="rId319" ref="E323"/>
    <hyperlink r:id="rId320" ref="E324"/>
    <hyperlink r:id="rId321" ref="E325"/>
    <hyperlink r:id="rId322" ref="E326"/>
    <hyperlink r:id="rId323" ref="E327"/>
    <hyperlink r:id="rId324" ref="E328"/>
    <hyperlink r:id="rId325" ref="E329"/>
    <hyperlink r:id="rId326" ref="E330"/>
    <hyperlink r:id="rId327" ref="E331"/>
    <hyperlink r:id="rId328" ref="E332"/>
    <hyperlink r:id="rId329" ref="E333"/>
    <hyperlink r:id="rId330" ref="E334"/>
    <hyperlink r:id="rId331" ref="E335"/>
    <hyperlink r:id="rId332" ref="E336"/>
    <hyperlink r:id="rId333" ref="E337"/>
    <hyperlink r:id="rId334" ref="E338"/>
    <hyperlink r:id="rId335" ref="E339"/>
    <hyperlink r:id="rId336" ref="E340"/>
    <hyperlink r:id="rId337" ref="E341"/>
    <hyperlink r:id="rId338" ref="E342"/>
    <hyperlink r:id="rId339" ref="E343"/>
    <hyperlink r:id="rId340" ref="E344"/>
    <hyperlink r:id="rId341" ref="E345"/>
    <hyperlink r:id="rId342" ref="E346"/>
    <hyperlink r:id="rId343" ref="E347"/>
    <hyperlink r:id="rId344" ref="E348"/>
    <hyperlink r:id="rId345" ref="E349"/>
    <hyperlink r:id="rId346" ref="E350"/>
    <hyperlink r:id="rId347" ref="E351"/>
    <hyperlink r:id="rId348" ref="E352"/>
    <hyperlink r:id="rId349" ref="E353"/>
    <hyperlink r:id="rId350" ref="E354"/>
    <hyperlink r:id="rId351" ref="E355"/>
    <hyperlink r:id="rId352" ref="E356"/>
    <hyperlink r:id="rId353" ref="E357"/>
    <hyperlink r:id="rId354" ref="E358"/>
    <hyperlink r:id="rId355" ref="E359"/>
    <hyperlink r:id="rId356" ref="E360"/>
    <hyperlink r:id="rId357" ref="E361"/>
    <hyperlink r:id="rId358" ref="E362"/>
    <hyperlink r:id="rId359" ref="E363"/>
    <hyperlink r:id="rId360" ref="E364"/>
    <hyperlink r:id="rId361" ref="E365"/>
    <hyperlink r:id="rId362" ref="E366"/>
    <hyperlink r:id="rId363" ref="E367"/>
    <hyperlink r:id="rId364" ref="E368"/>
    <hyperlink r:id="rId365" ref="E369"/>
    <hyperlink r:id="rId366" ref="E370"/>
    <hyperlink r:id="rId367" ref="E371"/>
    <hyperlink r:id="rId368" ref="E372"/>
    <hyperlink r:id="rId369" ref="E373"/>
    <hyperlink r:id="rId370" ref="E374"/>
    <hyperlink r:id="rId371" ref="E375"/>
    <hyperlink r:id="rId372" ref="E376"/>
    <hyperlink r:id="rId373" ref="E377"/>
    <hyperlink r:id="rId374" ref="E378"/>
    <hyperlink r:id="rId375" ref="E379"/>
    <hyperlink r:id="rId376" ref="E380"/>
    <hyperlink r:id="rId377" ref="E381"/>
    <hyperlink r:id="rId378" ref="E382"/>
    <hyperlink r:id="rId379" ref="E383"/>
    <hyperlink r:id="rId380" ref="E384"/>
    <hyperlink r:id="rId381" ref="E385"/>
    <hyperlink r:id="rId382" ref="E386"/>
    <hyperlink r:id="rId383" ref="E387"/>
    <hyperlink r:id="rId384" ref="E388"/>
    <hyperlink r:id="rId385" ref="E389"/>
    <hyperlink r:id="rId386" ref="E390"/>
    <hyperlink r:id="rId387" ref="E391"/>
    <hyperlink r:id="rId388" ref="E392"/>
    <hyperlink r:id="rId389" ref="E393"/>
    <hyperlink r:id="rId390" ref="E394"/>
    <hyperlink r:id="rId391" ref="E395"/>
    <hyperlink r:id="rId392" ref="E396"/>
    <hyperlink r:id="rId393" ref="E397"/>
    <hyperlink r:id="rId394" ref="E398"/>
    <hyperlink r:id="rId395" ref="E399"/>
    <hyperlink r:id="rId396" ref="E400"/>
    <hyperlink r:id="rId397" ref="E401"/>
    <hyperlink r:id="rId398" ref="E402"/>
    <hyperlink r:id="rId399" ref="E403"/>
    <hyperlink r:id="rId400" ref="E404"/>
    <hyperlink r:id="rId401" ref="E405"/>
    <hyperlink r:id="rId402" ref="E406"/>
    <hyperlink r:id="rId403" ref="E407"/>
    <hyperlink r:id="rId404" ref="E408"/>
    <hyperlink r:id="rId405" ref="E409"/>
    <hyperlink r:id="rId406" ref="E410"/>
    <hyperlink r:id="rId407" ref="E411"/>
    <hyperlink r:id="rId408" ref="E412"/>
    <hyperlink r:id="rId409" ref="E413"/>
    <hyperlink r:id="rId410" ref="E414"/>
    <hyperlink r:id="rId411" ref="E415"/>
    <hyperlink r:id="rId412" ref="E416"/>
    <hyperlink r:id="rId413" ref="E417"/>
    <hyperlink r:id="rId414" ref="E418"/>
    <hyperlink r:id="rId415" ref="E419"/>
    <hyperlink r:id="rId416" ref="E420"/>
    <hyperlink r:id="rId417" ref="E421"/>
    <hyperlink r:id="rId418" ref="E422"/>
    <hyperlink r:id="rId419" ref="E423"/>
    <hyperlink r:id="rId420" ref="E424"/>
    <hyperlink r:id="rId421" ref="E425"/>
    <hyperlink r:id="rId422" ref="E426"/>
    <hyperlink r:id="rId423" ref="E427"/>
    <hyperlink r:id="rId424" ref="E428"/>
    <hyperlink r:id="rId425" ref="E429"/>
    <hyperlink r:id="rId426" ref="E430"/>
    <hyperlink r:id="rId427" ref="E431"/>
    <hyperlink r:id="rId428" ref="E432"/>
    <hyperlink r:id="rId429" ref="E433"/>
    <hyperlink r:id="rId430" ref="E434"/>
    <hyperlink r:id="rId431" ref="E435"/>
    <hyperlink r:id="rId432" ref="E436"/>
    <hyperlink r:id="rId433" ref="E437"/>
    <hyperlink r:id="rId434" ref="E438"/>
    <hyperlink r:id="rId435" ref="E439"/>
    <hyperlink r:id="rId436" ref="E440"/>
    <hyperlink r:id="rId437" ref="E441"/>
    <hyperlink r:id="rId438" ref="E442"/>
    <hyperlink r:id="rId439" ref="E443"/>
    <hyperlink r:id="rId440" ref="E444"/>
    <hyperlink r:id="rId441" ref="E445"/>
    <hyperlink r:id="rId442" ref="E446"/>
    <hyperlink r:id="rId443" ref="E447"/>
    <hyperlink r:id="rId444" ref="E448"/>
    <hyperlink r:id="rId445" ref="E449"/>
    <hyperlink r:id="rId446" ref="E450"/>
    <hyperlink r:id="rId447" ref="E451"/>
    <hyperlink r:id="rId448" ref="E452"/>
    <hyperlink r:id="rId449" ref="E453"/>
    <hyperlink r:id="rId450" ref="E454"/>
    <hyperlink r:id="rId451" ref="E455"/>
    <hyperlink r:id="rId452" ref="E456"/>
    <hyperlink r:id="rId453" ref="E457"/>
    <hyperlink r:id="rId454" ref="E458"/>
    <hyperlink r:id="rId455" ref="E459"/>
    <hyperlink r:id="rId456" ref="E460"/>
    <hyperlink r:id="rId457" ref="E461"/>
    <hyperlink r:id="rId458" ref="E462"/>
    <hyperlink r:id="rId459" ref="E463"/>
    <hyperlink r:id="rId460" ref="E464"/>
    <hyperlink r:id="rId461" ref="E465"/>
    <hyperlink r:id="rId462" ref="E466"/>
    <hyperlink r:id="rId463" ref="E467"/>
    <hyperlink r:id="rId464" ref="E468"/>
    <hyperlink r:id="rId465" ref="E469"/>
    <hyperlink r:id="rId466" ref="E470"/>
    <hyperlink r:id="rId467" ref="E471"/>
    <hyperlink r:id="rId468" ref="E472"/>
    <hyperlink r:id="rId469" ref="E473"/>
    <hyperlink r:id="rId470" ref="E474"/>
    <hyperlink r:id="rId471" ref="E475"/>
    <hyperlink r:id="rId472" ref="E476"/>
    <hyperlink r:id="rId473" ref="E477"/>
    <hyperlink r:id="rId474" ref="E478"/>
    <hyperlink r:id="rId475" ref="E479"/>
    <hyperlink r:id="rId476" ref="E480"/>
    <hyperlink r:id="rId477" ref="E481"/>
    <hyperlink r:id="rId478" ref="E482"/>
    <hyperlink r:id="rId479" ref="E483"/>
    <hyperlink r:id="rId480" ref="E484"/>
    <hyperlink r:id="rId481" ref="E485"/>
    <hyperlink r:id="rId482" ref="E486"/>
    <hyperlink r:id="rId483" ref="E487"/>
    <hyperlink r:id="rId484" ref="E488"/>
    <hyperlink r:id="rId485" ref="E489"/>
    <hyperlink r:id="rId486" ref="E490"/>
    <hyperlink r:id="rId487" ref="E491"/>
    <hyperlink r:id="rId488" ref="E492"/>
    <hyperlink r:id="rId489" ref="E493"/>
    <hyperlink r:id="rId490" ref="E494"/>
    <hyperlink r:id="rId491" ref="E495"/>
    <hyperlink r:id="rId492" ref="E496"/>
    <hyperlink r:id="rId493" ref="E497"/>
    <hyperlink r:id="rId494" ref="E498"/>
    <hyperlink r:id="rId495" ref="E499"/>
    <hyperlink r:id="rId496" ref="E500"/>
    <hyperlink r:id="rId497" ref="E501"/>
    <hyperlink r:id="rId498" ref="E502"/>
    <hyperlink r:id="rId499" ref="E503"/>
    <hyperlink r:id="rId500" ref="E504"/>
    <hyperlink r:id="rId501" ref="E505"/>
    <hyperlink r:id="rId502" ref="E506"/>
    <hyperlink r:id="rId503" ref="E507"/>
    <hyperlink r:id="rId504" ref="E508"/>
    <hyperlink r:id="rId505" ref="E509"/>
    <hyperlink r:id="rId506" ref="E510"/>
    <hyperlink r:id="rId507" ref="E511"/>
    <hyperlink r:id="rId508" ref="E512"/>
    <hyperlink r:id="rId509" ref="E513"/>
    <hyperlink r:id="rId510" ref="E514"/>
    <hyperlink r:id="rId511" ref="E515"/>
    <hyperlink r:id="rId512" ref="E516"/>
    <hyperlink r:id="rId513" ref="E517"/>
    <hyperlink r:id="rId514" ref="E518"/>
    <hyperlink r:id="rId515" ref="E519"/>
    <hyperlink r:id="rId516" ref="E520"/>
    <hyperlink r:id="rId517" ref="E521"/>
    <hyperlink r:id="rId518" ref="E522"/>
    <hyperlink r:id="rId519" ref="E523"/>
    <hyperlink r:id="rId520" ref="E524"/>
    <hyperlink r:id="rId521" ref="E525"/>
    <hyperlink r:id="rId522" ref="E526"/>
    <hyperlink r:id="rId523" ref="E527"/>
    <hyperlink r:id="rId524" ref="E528"/>
    <hyperlink r:id="rId525" ref="E529"/>
    <hyperlink r:id="rId526" ref="E530"/>
    <hyperlink r:id="rId527" ref="E531"/>
    <hyperlink r:id="rId528" ref="E532"/>
    <hyperlink r:id="rId529" ref="E533"/>
    <hyperlink r:id="rId530" ref="E534"/>
    <hyperlink r:id="rId531" ref="E535"/>
    <hyperlink r:id="rId532" ref="E536"/>
    <hyperlink r:id="rId533" ref="E537"/>
    <hyperlink r:id="rId534" ref="E538"/>
    <hyperlink r:id="rId535" ref="E539"/>
    <hyperlink r:id="rId536" ref="E540"/>
    <hyperlink r:id="rId537" ref="E541"/>
    <hyperlink r:id="rId538" ref="E542"/>
    <hyperlink r:id="rId539" ref="E543"/>
    <hyperlink r:id="rId540" ref="E544"/>
    <hyperlink r:id="rId541" ref="E545"/>
    <hyperlink r:id="rId542" ref="E546"/>
    <hyperlink r:id="rId543" ref="E547"/>
    <hyperlink r:id="rId544" ref="E548"/>
    <hyperlink r:id="rId545" ref="E549"/>
    <hyperlink r:id="rId546" ref="E550"/>
    <hyperlink r:id="rId547" ref="E551"/>
    <hyperlink r:id="rId548" ref="E552"/>
    <hyperlink r:id="rId549" ref="E553"/>
    <hyperlink r:id="rId550" ref="E554"/>
    <hyperlink r:id="rId551" ref="E555"/>
    <hyperlink r:id="rId552" ref="E556"/>
    <hyperlink r:id="rId553" ref="E557"/>
    <hyperlink r:id="rId554" ref="E558"/>
    <hyperlink r:id="rId555" ref="E559"/>
    <hyperlink r:id="rId556" ref="E560"/>
    <hyperlink r:id="rId557" ref="E561"/>
    <hyperlink r:id="rId558" ref="E562"/>
    <hyperlink r:id="rId559" ref="E563"/>
    <hyperlink r:id="rId560" ref="E564"/>
    <hyperlink r:id="rId561" ref="E565"/>
    <hyperlink r:id="rId562" ref="E566"/>
    <hyperlink r:id="rId563" ref="E567"/>
    <hyperlink r:id="rId564" ref="E568"/>
    <hyperlink r:id="rId565" ref="E569"/>
    <hyperlink r:id="rId566" ref="E570"/>
    <hyperlink r:id="rId567" ref="E571"/>
    <hyperlink r:id="rId568" ref="E572"/>
    <hyperlink r:id="rId569" ref="E573"/>
    <hyperlink r:id="rId570" ref="E574"/>
    <hyperlink r:id="rId571" ref="E575"/>
    <hyperlink r:id="rId572" ref="E576"/>
    <hyperlink r:id="rId573" ref="E577"/>
    <hyperlink r:id="rId574" ref="E578"/>
    <hyperlink r:id="rId575" ref="E579"/>
    <hyperlink r:id="rId576" ref="E580"/>
    <hyperlink r:id="rId577" ref="E581"/>
    <hyperlink r:id="rId578" ref="E582"/>
    <hyperlink r:id="rId579" ref="E583"/>
    <hyperlink r:id="rId580" ref="E584"/>
    <hyperlink r:id="rId581" ref="E585"/>
    <hyperlink r:id="rId582" ref="E586"/>
    <hyperlink r:id="rId583" ref="E587"/>
    <hyperlink r:id="rId584" ref="E588"/>
    <hyperlink r:id="rId585" ref="E589"/>
    <hyperlink r:id="rId586" ref="E590"/>
    <hyperlink r:id="rId587" ref="E591"/>
    <hyperlink r:id="rId588" ref="E592"/>
    <hyperlink r:id="rId589" ref="E593"/>
    <hyperlink r:id="rId590" ref="E594"/>
    <hyperlink r:id="rId591" ref="E595"/>
    <hyperlink r:id="rId592" ref="E596"/>
    <hyperlink r:id="rId593" ref="E597"/>
    <hyperlink r:id="rId594" ref="E598"/>
    <hyperlink r:id="rId595" ref="E599"/>
    <hyperlink r:id="rId596" ref="E600"/>
    <hyperlink r:id="rId597" ref="E601"/>
    <hyperlink r:id="rId598" ref="E602"/>
    <hyperlink r:id="rId599" ref="E603"/>
    <hyperlink r:id="rId600" ref="E604"/>
    <hyperlink r:id="rId601" ref="E605"/>
    <hyperlink r:id="rId602" ref="E606"/>
    <hyperlink r:id="rId603" ref="E607"/>
    <hyperlink r:id="rId604" ref="E608"/>
    <hyperlink r:id="rId605" ref="E609"/>
    <hyperlink r:id="rId606" ref="E610"/>
    <hyperlink r:id="rId607" ref="E611"/>
    <hyperlink r:id="rId608" ref="E612"/>
    <hyperlink r:id="rId609" ref="E613"/>
    <hyperlink r:id="rId610" ref="E614"/>
    <hyperlink r:id="rId611" ref="E615"/>
    <hyperlink r:id="rId612" ref="E616"/>
    <hyperlink r:id="rId613" ref="E617"/>
    <hyperlink r:id="rId614" ref="E618"/>
    <hyperlink r:id="rId615" ref="E619"/>
    <hyperlink r:id="rId616" ref="E620"/>
    <hyperlink r:id="rId617" ref="E621"/>
    <hyperlink r:id="rId618" ref="E622"/>
    <hyperlink r:id="rId619" ref="E623"/>
    <hyperlink r:id="rId620" ref="E624"/>
    <hyperlink r:id="rId621" ref="E625"/>
    <hyperlink r:id="rId622" ref="E626"/>
    <hyperlink r:id="rId623" ref="E627"/>
  </hyperlinks>
  <printOptions/>
  <pageMargins bottom="1.0" footer="0.0" header="0.0" left="0.75" right="0.75" top="1.0"/>
  <pageSetup paperSize="9" orientation="portrait"/>
  <drawing r:id="rId62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14.0"/>
    <col customWidth="1" min="2" max="2" width="6.0"/>
    <col customWidth="1" min="3" max="3" width="11.0"/>
    <col customWidth="1" min="4" max="4" width="52.0"/>
    <col customWidth="1" min="5" max="5" width="16.0"/>
    <col customWidth="1" min="6" max="6" width="12.0"/>
    <col customWidth="1" min="7" max="7" width="11.0"/>
    <col customWidth="1" min="8" max="8" width="12.0"/>
    <col customWidth="1" min="9" max="9" width="13.0"/>
    <col customWidth="1" min="10" max="10" width="9.0"/>
    <col customWidth="1" min="11" max="11" width="12.0"/>
    <col customWidth="1" min="12" max="12" width="10.0"/>
    <col customWidth="1" min="13" max="19" width="13.0"/>
    <col customWidth="1" min="20" max="21" width="15.0"/>
    <col customWidth="1" min="22" max="26" width="8.71"/>
  </cols>
  <sheetData>
    <row r="1">
      <c r="A1" s="1" t="s">
        <v>7</v>
      </c>
    </row>
    <row r="2">
      <c r="A2" s="3" t="s">
        <v>8</v>
      </c>
    </row>
    <row r="4">
      <c r="A4" s="6" t="s">
        <v>12</v>
      </c>
      <c r="B4" s="6" t="s">
        <v>22</v>
      </c>
      <c r="C4" s="6" t="s">
        <v>25</v>
      </c>
      <c r="D4" s="6" t="s">
        <v>27</v>
      </c>
      <c r="E4" s="6" t="s">
        <v>31</v>
      </c>
      <c r="F4" s="6" t="s">
        <v>13</v>
      </c>
      <c r="G4" s="6" t="s">
        <v>15</v>
      </c>
      <c r="H4" s="6" t="s">
        <v>17</v>
      </c>
      <c r="I4" s="6" t="s">
        <v>38</v>
      </c>
      <c r="J4" s="6" t="s">
        <v>41</v>
      </c>
      <c r="K4" s="6" t="s">
        <v>44</v>
      </c>
      <c r="L4" s="6" t="s">
        <v>46</v>
      </c>
      <c r="M4" s="6" t="s">
        <v>49</v>
      </c>
      <c r="N4" s="6" t="s">
        <v>40</v>
      </c>
      <c r="O4" s="6" t="s">
        <v>52</v>
      </c>
      <c r="P4" s="6" t="s">
        <v>53</v>
      </c>
      <c r="Q4" s="6" t="s">
        <v>54</v>
      </c>
      <c r="R4" s="6" t="s">
        <v>55</v>
      </c>
      <c r="S4" s="6" t="s">
        <v>56</v>
      </c>
      <c r="T4" s="6" t="s">
        <v>57</v>
      </c>
      <c r="U4" s="6" t="s">
        <v>58</v>
      </c>
    </row>
    <row r="5">
      <c r="A5" s="9">
        <v>44960.839191794</v>
      </c>
      <c r="B5" s="10">
        <v>20.0</v>
      </c>
      <c r="C5" s="10" t="s">
        <v>60</v>
      </c>
      <c r="D5" s="10" t="s">
        <v>61</v>
      </c>
      <c r="E5" s="12" t="s">
        <v>62</v>
      </c>
      <c r="F5" s="11">
        <v>23914.0</v>
      </c>
      <c r="G5" s="11">
        <v>12583.0</v>
      </c>
      <c r="H5" s="11">
        <v>12589.0</v>
      </c>
      <c r="I5" s="11">
        <v>25.0</v>
      </c>
      <c r="J5" s="11">
        <v>267.0</v>
      </c>
      <c r="K5" s="11">
        <v>13.0</v>
      </c>
      <c r="L5" s="11">
        <v>34.0</v>
      </c>
      <c r="M5" s="13">
        <f t="shared" ref="M5:O5" si="1">IFERROR(G5/F5,"")</f>
        <v>0.5261771347</v>
      </c>
      <c r="N5" s="13">
        <f t="shared" si="1"/>
        <v>1.000476834</v>
      </c>
      <c r="O5" s="14">
        <f t="shared" si="1"/>
        <v>0.001985860672</v>
      </c>
      <c r="P5" s="13">
        <f t="shared" ref="P5:P665" si="3">IFERROR(J5/H5,"")</f>
        <v>0.02120899198</v>
      </c>
      <c r="Q5" s="13">
        <f t="shared" ref="Q5:Q665" si="4">IFERROR(K5/H5,"")</f>
        <v>0.001032647549</v>
      </c>
      <c r="R5" s="13">
        <f t="shared" ref="R5:R665" si="5">IFERROR(L5/H5,"")</f>
        <v>0.002700770514</v>
      </c>
      <c r="S5" s="14" t="str">
        <f t="shared" ref="S5:S665" si="6">IFERROR(M5/MEDIAN(INDEX($M$5:$M$665,MATCH($A5-90,$A$5:$A$665,1)):INDEX($M$5:$M$665,MATCH($A5+90,$A$5:$A$665,1))),"")</f>
        <v/>
      </c>
      <c r="T5" s="14" t="str">
        <f t="shared" ref="T5:T665" si="7">IFERROR(N5/MEDIAN(INDEX($N$5:$N$665,MATCH($A5-90,$A$5:$A$665,1)):INDEX($N$5:$N$665,MATCH($A5+90,$A$5:$A$665,1))),"")</f>
        <v/>
      </c>
      <c r="U5" s="14" t="str">
        <f t="shared" ref="U5:U665" si="8">IFERROR(Q5/MEDIAN(INDEX($Q$5:$Q$665,MATCH($A5-90,$A$5:$A$665,1)):INDEX($Q$5:$Q$665,MATCH($A5+90,$A$5:$A$665,1))),"")</f>
        <v/>
      </c>
    </row>
    <row r="6">
      <c r="A6" s="9">
        <v>44961.545651088</v>
      </c>
      <c r="B6" s="10">
        <v>13.0</v>
      </c>
      <c r="C6" s="10" t="s">
        <v>69</v>
      </c>
      <c r="D6" s="10" t="s">
        <v>70</v>
      </c>
      <c r="E6" s="12" t="s">
        <v>62</v>
      </c>
      <c r="F6" s="11">
        <v>4422.0</v>
      </c>
      <c r="G6" s="11">
        <v>2420.0</v>
      </c>
      <c r="H6" s="11">
        <v>2427.0</v>
      </c>
      <c r="I6" s="11">
        <v>113.0</v>
      </c>
      <c r="J6" s="11">
        <v>152.0</v>
      </c>
      <c r="K6" s="11">
        <v>4.0</v>
      </c>
      <c r="L6" s="11">
        <v>2.0</v>
      </c>
      <c r="M6" s="13">
        <f t="shared" ref="M6:O6" si="2">IFERROR(G6/F6,"")</f>
        <v>0.5472636816</v>
      </c>
      <c r="N6" s="13">
        <f t="shared" si="2"/>
        <v>1.002892562</v>
      </c>
      <c r="O6" s="14">
        <f t="shared" si="2"/>
        <v>0.04655953852</v>
      </c>
      <c r="P6" s="13">
        <f t="shared" si="3"/>
        <v>0.06262875979</v>
      </c>
      <c r="Q6" s="13">
        <f t="shared" si="4"/>
        <v>0.001648125258</v>
      </c>
      <c r="R6" s="13">
        <f t="shared" si="5"/>
        <v>0.0008240626288</v>
      </c>
      <c r="S6" s="14" t="str">
        <f t="shared" si="6"/>
        <v/>
      </c>
      <c r="T6" s="14" t="str">
        <f t="shared" si="7"/>
        <v/>
      </c>
      <c r="U6" s="14" t="str">
        <f t="shared" si="8"/>
        <v/>
      </c>
    </row>
    <row r="7">
      <c r="A7" s="9">
        <v>44961.7501670718</v>
      </c>
      <c r="B7" s="10">
        <v>18.0</v>
      </c>
      <c r="C7" s="10" t="s">
        <v>69</v>
      </c>
      <c r="D7" s="10" t="s">
        <v>74</v>
      </c>
      <c r="E7" s="12" t="s">
        <v>62</v>
      </c>
      <c r="F7" s="11">
        <v>4089.0</v>
      </c>
      <c r="G7" s="11">
        <v>2091.0</v>
      </c>
      <c r="H7" s="11">
        <v>2086.0</v>
      </c>
      <c r="I7" s="11">
        <v>10.0</v>
      </c>
      <c r="J7" s="11">
        <v>164.0</v>
      </c>
      <c r="K7" s="11">
        <v>5.0</v>
      </c>
      <c r="L7" s="11">
        <v>4.0</v>
      </c>
      <c r="M7" s="13">
        <f t="shared" ref="M7:O7" si="9">IFERROR(G7/F7,"")</f>
        <v>0.5113719736</v>
      </c>
      <c r="N7" s="13">
        <f t="shared" si="9"/>
        <v>0.9976087996</v>
      </c>
      <c r="O7" s="14">
        <f t="shared" si="9"/>
        <v>0.004793863854</v>
      </c>
      <c r="P7" s="13">
        <f t="shared" si="3"/>
        <v>0.07861936721</v>
      </c>
      <c r="Q7" s="13">
        <f t="shared" si="4"/>
        <v>0.002396931927</v>
      </c>
      <c r="R7" s="13">
        <f t="shared" si="5"/>
        <v>0.001917545542</v>
      </c>
      <c r="S7" s="14" t="str">
        <f t="shared" si="6"/>
        <v/>
      </c>
      <c r="T7" s="14" t="str">
        <f t="shared" si="7"/>
        <v/>
      </c>
      <c r="U7" s="14" t="str">
        <f t="shared" si="8"/>
        <v/>
      </c>
    </row>
    <row r="8">
      <c r="A8" s="9">
        <v>44962.5000559491</v>
      </c>
      <c r="B8" s="10">
        <v>12.0</v>
      </c>
      <c r="C8" s="10" t="s">
        <v>77</v>
      </c>
      <c r="D8" s="10" t="s">
        <v>78</v>
      </c>
      <c r="E8" s="12" t="s">
        <v>62</v>
      </c>
      <c r="F8" s="11">
        <v>2525.0</v>
      </c>
      <c r="G8" s="11">
        <v>1497.0</v>
      </c>
      <c r="H8" s="11">
        <v>1499.0</v>
      </c>
      <c r="I8" s="11">
        <v>9.0</v>
      </c>
      <c r="J8" s="11">
        <v>114.0</v>
      </c>
      <c r="K8" s="11">
        <v>3.0</v>
      </c>
      <c r="L8" s="11">
        <v>2.0</v>
      </c>
      <c r="M8" s="13">
        <f t="shared" ref="M8:O8" si="10">IFERROR(G8/F8,"")</f>
        <v>0.5928712871</v>
      </c>
      <c r="N8" s="13">
        <f t="shared" si="10"/>
        <v>1.001336005</v>
      </c>
      <c r="O8" s="14">
        <f t="shared" si="10"/>
        <v>0.006004002668</v>
      </c>
      <c r="P8" s="13">
        <f t="shared" si="3"/>
        <v>0.07605070047</v>
      </c>
      <c r="Q8" s="13">
        <f t="shared" si="4"/>
        <v>0.002001334223</v>
      </c>
      <c r="R8" s="13">
        <f t="shared" si="5"/>
        <v>0.001334222815</v>
      </c>
      <c r="S8" s="14" t="str">
        <f t="shared" si="6"/>
        <v/>
      </c>
      <c r="T8" s="14" t="str">
        <f t="shared" si="7"/>
        <v/>
      </c>
      <c r="U8" s="14" t="str">
        <f t="shared" si="8"/>
        <v/>
      </c>
    </row>
    <row r="9">
      <c r="A9" s="9">
        <v>44962.7499463079</v>
      </c>
      <c r="B9" s="10">
        <v>17.0</v>
      </c>
      <c r="C9" s="10" t="s">
        <v>77</v>
      </c>
      <c r="D9" s="10" t="s">
        <v>83</v>
      </c>
      <c r="E9" s="12" t="s">
        <v>62</v>
      </c>
      <c r="F9" s="11">
        <v>21490.0</v>
      </c>
      <c r="G9" s="11">
        <v>7048.0</v>
      </c>
      <c r="H9" s="11">
        <v>7046.0</v>
      </c>
      <c r="I9" s="11">
        <v>5.0</v>
      </c>
      <c r="J9" s="11">
        <v>139.0</v>
      </c>
      <c r="K9" s="11">
        <v>4.0</v>
      </c>
      <c r="L9" s="11">
        <v>13.0</v>
      </c>
      <c r="M9" s="13">
        <f t="shared" ref="M9:O9" si="11">IFERROR(G9/F9,"")</f>
        <v>0.327966496</v>
      </c>
      <c r="N9" s="13">
        <f t="shared" si="11"/>
        <v>0.9997162316</v>
      </c>
      <c r="O9" s="14">
        <f t="shared" si="11"/>
        <v>0.0007096224808</v>
      </c>
      <c r="P9" s="13">
        <f t="shared" si="3"/>
        <v>0.01972750497</v>
      </c>
      <c r="Q9" s="13">
        <f t="shared" si="4"/>
        <v>0.0005676979847</v>
      </c>
      <c r="R9" s="13">
        <f t="shared" si="5"/>
        <v>0.00184501845</v>
      </c>
      <c r="S9" s="14" t="str">
        <f t="shared" si="6"/>
        <v/>
      </c>
      <c r="T9" s="14" t="str">
        <f t="shared" si="7"/>
        <v/>
      </c>
      <c r="U9" s="14" t="str">
        <f t="shared" si="8"/>
        <v/>
      </c>
    </row>
    <row r="10">
      <c r="A10" s="9">
        <v>44963.4998534259</v>
      </c>
      <c r="B10" s="10">
        <v>11.0</v>
      </c>
      <c r="C10" s="10" t="s">
        <v>71</v>
      </c>
      <c r="D10" s="10" t="s">
        <v>90</v>
      </c>
      <c r="E10" s="12" t="s">
        <v>62</v>
      </c>
      <c r="F10" s="11">
        <v>28486.0</v>
      </c>
      <c r="G10" s="11">
        <v>12811.0</v>
      </c>
      <c r="H10" s="11">
        <v>12814.0</v>
      </c>
      <c r="I10" s="11">
        <v>10.0</v>
      </c>
      <c r="J10" s="11">
        <v>191.0</v>
      </c>
      <c r="K10" s="11">
        <v>13.0</v>
      </c>
      <c r="L10" s="11">
        <v>9.0</v>
      </c>
      <c r="M10" s="13">
        <f t="shared" ref="M10:O10" si="12">IFERROR(G10/F10,"")</f>
        <v>0.4497296918</v>
      </c>
      <c r="N10" s="13">
        <f t="shared" si="12"/>
        <v>1.000234174</v>
      </c>
      <c r="O10" s="14">
        <f t="shared" si="12"/>
        <v>0.0007803964414</v>
      </c>
      <c r="P10" s="13">
        <f t="shared" si="3"/>
        <v>0.01490557203</v>
      </c>
      <c r="Q10" s="13">
        <f t="shared" si="4"/>
        <v>0.001014515374</v>
      </c>
      <c r="R10" s="13">
        <f t="shared" si="5"/>
        <v>0.0007023567973</v>
      </c>
      <c r="S10" s="14" t="str">
        <f t="shared" si="6"/>
        <v/>
      </c>
      <c r="T10" s="14" t="str">
        <f t="shared" si="7"/>
        <v/>
      </c>
      <c r="U10" s="14" t="str">
        <f t="shared" si="8"/>
        <v/>
      </c>
    </row>
    <row r="11">
      <c r="A11" s="9">
        <v>44964.6161276042</v>
      </c>
      <c r="B11" s="10">
        <v>14.0</v>
      </c>
      <c r="C11" s="10" t="s">
        <v>59</v>
      </c>
      <c r="D11" s="10" t="s">
        <v>95</v>
      </c>
      <c r="E11" s="12" t="s">
        <v>62</v>
      </c>
      <c r="F11" s="11">
        <v>29810.0</v>
      </c>
      <c r="G11" s="11">
        <v>18272.0</v>
      </c>
      <c r="H11" s="11">
        <v>18271.0</v>
      </c>
      <c r="I11" s="11">
        <v>5.0</v>
      </c>
      <c r="J11" s="11">
        <v>201.0</v>
      </c>
      <c r="K11" s="11">
        <v>31.0</v>
      </c>
      <c r="L11" s="11">
        <v>89.0</v>
      </c>
      <c r="M11" s="13">
        <f t="shared" ref="M11:O11" si="13">IFERROR(G11/F11,"")</f>
        <v>0.6129486749</v>
      </c>
      <c r="N11" s="13">
        <f t="shared" si="13"/>
        <v>0.9999452715</v>
      </c>
      <c r="O11" s="14">
        <f t="shared" si="13"/>
        <v>0.0002736577089</v>
      </c>
      <c r="P11" s="13">
        <f t="shared" si="3"/>
        <v>0.0110010399</v>
      </c>
      <c r="Q11" s="13">
        <f t="shared" si="4"/>
        <v>0.001696677795</v>
      </c>
      <c r="R11" s="13">
        <f t="shared" si="5"/>
        <v>0.004871107219</v>
      </c>
      <c r="S11" s="14" t="str">
        <f t="shared" si="6"/>
        <v/>
      </c>
      <c r="T11" s="14" t="str">
        <f t="shared" si="7"/>
        <v/>
      </c>
      <c r="U11" s="14" t="str">
        <f t="shared" si="8"/>
        <v/>
      </c>
    </row>
    <row r="12">
      <c r="A12" s="9">
        <v>44964.6655169097</v>
      </c>
      <c r="B12" s="10">
        <v>15.0</v>
      </c>
      <c r="C12" s="10" t="s">
        <v>59</v>
      </c>
      <c r="D12" s="10" t="s">
        <v>99</v>
      </c>
      <c r="E12" s="12" t="s">
        <v>62</v>
      </c>
      <c r="F12" s="11">
        <v>60880.0</v>
      </c>
      <c r="G12" s="11">
        <v>26764.0</v>
      </c>
      <c r="H12" s="11">
        <v>26762.0</v>
      </c>
      <c r="I12" s="11">
        <v>4.0</v>
      </c>
      <c r="J12" s="11">
        <v>284.0</v>
      </c>
      <c r="K12" s="11">
        <v>35.0</v>
      </c>
      <c r="L12" s="11">
        <v>55.0</v>
      </c>
      <c r="M12" s="13">
        <f t="shared" ref="M12:O12" si="14">IFERROR(G12/F12,"")</f>
        <v>0.4396189225</v>
      </c>
      <c r="N12" s="13">
        <f t="shared" si="14"/>
        <v>0.9999252728</v>
      </c>
      <c r="O12" s="14">
        <f t="shared" si="14"/>
        <v>0.0001494656603</v>
      </c>
      <c r="P12" s="13">
        <f t="shared" si="3"/>
        <v>0.01061206188</v>
      </c>
      <c r="Q12" s="13">
        <f t="shared" si="4"/>
        <v>0.001307824527</v>
      </c>
      <c r="R12" s="13">
        <f t="shared" si="5"/>
        <v>0.002055152829</v>
      </c>
      <c r="S12" s="14" t="str">
        <f t="shared" si="6"/>
        <v/>
      </c>
      <c r="T12" s="14" t="str">
        <f t="shared" si="7"/>
        <v/>
      </c>
      <c r="U12" s="14" t="str">
        <f t="shared" si="8"/>
        <v/>
      </c>
    </row>
    <row r="13">
      <c r="A13" s="9">
        <v>44965.4238114931</v>
      </c>
      <c r="B13" s="10">
        <v>10.0</v>
      </c>
      <c r="C13" s="10" t="s">
        <v>80</v>
      </c>
      <c r="D13" s="10" t="s">
        <v>103</v>
      </c>
      <c r="E13" s="12" t="s">
        <v>62</v>
      </c>
      <c r="F13" s="11">
        <v>4523.0</v>
      </c>
      <c r="G13" s="11">
        <v>2419.0</v>
      </c>
      <c r="H13" s="11">
        <v>2414.0</v>
      </c>
      <c r="I13" s="11">
        <v>29.0</v>
      </c>
      <c r="J13" s="11">
        <v>113.0</v>
      </c>
      <c r="K13" s="11">
        <v>8.0</v>
      </c>
      <c r="L13" s="11">
        <v>2.0</v>
      </c>
      <c r="M13" s="13">
        <f t="shared" ref="M13:O13" si="15">IFERROR(G13/F13,"")</f>
        <v>0.5348220208</v>
      </c>
      <c r="N13" s="13">
        <f t="shared" si="15"/>
        <v>0.9979330302</v>
      </c>
      <c r="O13" s="14">
        <f t="shared" si="15"/>
        <v>0.01201325601</v>
      </c>
      <c r="P13" s="13">
        <f t="shared" si="3"/>
        <v>0.04681027341</v>
      </c>
      <c r="Q13" s="13">
        <f t="shared" si="4"/>
        <v>0.003314001657</v>
      </c>
      <c r="R13" s="13">
        <f t="shared" si="5"/>
        <v>0.0008285004143</v>
      </c>
      <c r="S13" s="14" t="str">
        <f t="shared" si="6"/>
        <v/>
      </c>
      <c r="T13" s="14" t="str">
        <f t="shared" si="7"/>
        <v/>
      </c>
      <c r="U13" s="14" t="str">
        <f t="shared" si="8"/>
        <v/>
      </c>
    </row>
    <row r="14">
      <c r="A14" s="9">
        <v>44965.5836208449</v>
      </c>
      <c r="B14" s="10">
        <v>14.0</v>
      </c>
      <c r="C14" s="10" t="s">
        <v>80</v>
      </c>
      <c r="D14" s="10" t="s">
        <v>107</v>
      </c>
      <c r="E14" s="12" t="s">
        <v>62</v>
      </c>
      <c r="F14" s="11">
        <v>1909.0</v>
      </c>
      <c r="G14" s="11">
        <v>1168.0</v>
      </c>
      <c r="H14" s="11">
        <v>1147.0</v>
      </c>
      <c r="I14" s="11">
        <v>9.0</v>
      </c>
      <c r="J14" s="11">
        <v>91.0</v>
      </c>
      <c r="K14" s="11">
        <v>7.0</v>
      </c>
      <c r="L14" s="11">
        <v>13.0</v>
      </c>
      <c r="M14" s="13">
        <f t="shared" ref="M14:O14" si="16">IFERROR(G14/F14,"")</f>
        <v>0.611838659</v>
      </c>
      <c r="N14" s="13">
        <f t="shared" si="16"/>
        <v>0.9820205479</v>
      </c>
      <c r="O14" s="14">
        <f t="shared" si="16"/>
        <v>0.007846556234</v>
      </c>
      <c r="P14" s="13">
        <f t="shared" si="3"/>
        <v>0.07933740192</v>
      </c>
      <c r="Q14" s="13">
        <f t="shared" si="4"/>
        <v>0.006102877071</v>
      </c>
      <c r="R14" s="13">
        <f t="shared" si="5"/>
        <v>0.01133391456</v>
      </c>
      <c r="S14" s="14" t="str">
        <f t="shared" si="6"/>
        <v/>
      </c>
      <c r="T14" s="14" t="str">
        <f t="shared" si="7"/>
        <v/>
      </c>
      <c r="U14" s="14" t="str">
        <f t="shared" si="8"/>
        <v/>
      </c>
    </row>
    <row r="15">
      <c r="A15" s="9">
        <v>44965.6666196875</v>
      </c>
      <c r="B15" s="10">
        <v>15.0</v>
      </c>
      <c r="C15" s="10" t="s">
        <v>80</v>
      </c>
      <c r="D15" s="10" t="s">
        <v>112</v>
      </c>
      <c r="E15" s="12" t="s">
        <v>62</v>
      </c>
      <c r="F15" s="11">
        <v>6329.0</v>
      </c>
      <c r="G15" s="11">
        <v>2980.0</v>
      </c>
      <c r="H15" s="11">
        <v>2978.0</v>
      </c>
      <c r="I15" s="11">
        <v>7.0</v>
      </c>
      <c r="J15" s="11">
        <v>110.0</v>
      </c>
      <c r="K15" s="11">
        <v>2.0</v>
      </c>
      <c r="L15" s="11">
        <v>7.0</v>
      </c>
      <c r="M15" s="13">
        <f t="shared" ref="M15:O15" si="17">IFERROR(G15/F15,"")</f>
        <v>0.4708484753</v>
      </c>
      <c r="N15" s="13">
        <f t="shared" si="17"/>
        <v>0.9993288591</v>
      </c>
      <c r="O15" s="14">
        <f t="shared" si="17"/>
        <v>0.002350570853</v>
      </c>
      <c r="P15" s="13">
        <f t="shared" si="3"/>
        <v>0.03693754197</v>
      </c>
      <c r="Q15" s="13">
        <f t="shared" si="4"/>
        <v>0.0006715916723</v>
      </c>
      <c r="R15" s="13">
        <f t="shared" si="5"/>
        <v>0.002350570853</v>
      </c>
      <c r="S15" s="14" t="str">
        <f t="shared" si="6"/>
        <v/>
      </c>
      <c r="T15" s="14" t="str">
        <f t="shared" si="7"/>
        <v/>
      </c>
      <c r="U15" s="14" t="str">
        <f t="shared" si="8"/>
        <v/>
      </c>
    </row>
    <row r="16">
      <c r="A16" s="9">
        <v>44965.7498681134</v>
      </c>
      <c r="B16" s="10">
        <v>17.0</v>
      </c>
      <c r="C16" s="10" t="s">
        <v>80</v>
      </c>
      <c r="D16" s="10" t="s">
        <v>116</v>
      </c>
      <c r="E16" s="12" t="s">
        <v>62</v>
      </c>
      <c r="F16" s="11">
        <v>9857.0</v>
      </c>
      <c r="G16" s="11">
        <v>4488.0</v>
      </c>
      <c r="H16" s="11">
        <v>4486.0</v>
      </c>
      <c r="I16" s="11">
        <v>8.0</v>
      </c>
      <c r="J16" s="11">
        <v>180.0</v>
      </c>
      <c r="K16" s="11">
        <v>11.0</v>
      </c>
      <c r="L16" s="11">
        <v>20.0</v>
      </c>
      <c r="M16" s="13">
        <f t="shared" ref="M16:O16" si="18">IFERROR(G16/F16,"")</f>
        <v>0.4553109465</v>
      </c>
      <c r="N16" s="13">
        <f t="shared" si="18"/>
        <v>0.9995543672</v>
      </c>
      <c r="O16" s="14">
        <f t="shared" si="18"/>
        <v>0.001783325903</v>
      </c>
      <c r="P16" s="13">
        <f t="shared" si="3"/>
        <v>0.04012483281</v>
      </c>
      <c r="Q16" s="13">
        <f t="shared" si="4"/>
        <v>0.002452073116</v>
      </c>
      <c r="R16" s="13">
        <f t="shared" si="5"/>
        <v>0.004458314757</v>
      </c>
      <c r="S16" s="14" t="str">
        <f t="shared" si="6"/>
        <v/>
      </c>
      <c r="T16" s="14" t="str">
        <f t="shared" si="7"/>
        <v/>
      </c>
      <c r="U16" s="14" t="str">
        <f t="shared" si="8"/>
        <v/>
      </c>
    </row>
    <row r="17">
      <c r="A17" s="9">
        <v>44966.5273297917</v>
      </c>
      <c r="B17" s="10">
        <v>12.0</v>
      </c>
      <c r="C17" s="10" t="s">
        <v>84</v>
      </c>
      <c r="D17" s="10" t="s">
        <v>119</v>
      </c>
      <c r="E17" s="12" t="s">
        <v>62</v>
      </c>
      <c r="F17" s="11">
        <v>22139.0</v>
      </c>
      <c r="G17" s="11">
        <v>7011.0</v>
      </c>
      <c r="H17" s="11">
        <v>7008.0</v>
      </c>
      <c r="I17" s="11">
        <v>13.0</v>
      </c>
      <c r="J17" s="11">
        <v>208.0</v>
      </c>
      <c r="K17" s="11">
        <v>28.0</v>
      </c>
      <c r="L17" s="11">
        <v>31.0</v>
      </c>
      <c r="M17" s="13">
        <f t="shared" ref="M17:O17" si="19">IFERROR(G17/F17,"")</f>
        <v>0.3166809702</v>
      </c>
      <c r="N17" s="13">
        <f t="shared" si="19"/>
        <v>0.999572101</v>
      </c>
      <c r="O17" s="14">
        <f t="shared" si="19"/>
        <v>0.001855022831</v>
      </c>
      <c r="P17" s="13">
        <f t="shared" si="3"/>
        <v>0.0296803653</v>
      </c>
      <c r="Q17" s="13">
        <f t="shared" si="4"/>
        <v>0.00399543379</v>
      </c>
      <c r="R17" s="13">
        <f t="shared" si="5"/>
        <v>0.004423515982</v>
      </c>
      <c r="S17" s="14" t="str">
        <f t="shared" si="6"/>
        <v/>
      </c>
      <c r="T17" s="14" t="str">
        <f t="shared" si="7"/>
        <v/>
      </c>
      <c r="U17" s="14" t="str">
        <f t="shared" si="8"/>
        <v/>
      </c>
    </row>
    <row r="18">
      <c r="A18" s="9">
        <v>44966.5286894907</v>
      </c>
      <c r="B18" s="10">
        <v>12.0</v>
      </c>
      <c r="C18" s="10" t="s">
        <v>84</v>
      </c>
      <c r="D18" s="10" t="s">
        <v>123</v>
      </c>
      <c r="E18" s="12" t="s">
        <v>62</v>
      </c>
      <c r="F18" s="11">
        <v>19731.0</v>
      </c>
      <c r="G18" s="11">
        <v>10170.0</v>
      </c>
      <c r="H18" s="11">
        <v>10167.0</v>
      </c>
      <c r="I18" s="11">
        <v>7.0</v>
      </c>
      <c r="J18" s="11">
        <v>233.0</v>
      </c>
      <c r="K18" s="11">
        <v>16.0</v>
      </c>
      <c r="L18" s="11">
        <v>25.0</v>
      </c>
      <c r="M18" s="13">
        <f t="shared" ref="M18:O18" si="20">IFERROR(G18/F18,"")</f>
        <v>0.515432568</v>
      </c>
      <c r="N18" s="13">
        <f t="shared" si="20"/>
        <v>0.9997050147</v>
      </c>
      <c r="O18" s="14">
        <f t="shared" si="20"/>
        <v>0.0006885020163</v>
      </c>
      <c r="P18" s="13">
        <f t="shared" si="3"/>
        <v>0.0229172814</v>
      </c>
      <c r="Q18" s="13">
        <f t="shared" si="4"/>
        <v>0.001573718894</v>
      </c>
      <c r="R18" s="13">
        <f t="shared" si="5"/>
        <v>0.002458935773</v>
      </c>
      <c r="S18" s="14" t="str">
        <f t="shared" si="6"/>
        <v/>
      </c>
      <c r="T18" s="14" t="str">
        <f t="shared" si="7"/>
        <v/>
      </c>
      <c r="U18" s="14" t="str">
        <f t="shared" si="8"/>
        <v/>
      </c>
    </row>
    <row r="19">
      <c r="A19" s="9">
        <v>44966.6678934607</v>
      </c>
      <c r="B19" s="10">
        <v>16.0</v>
      </c>
      <c r="C19" s="10" t="s">
        <v>84</v>
      </c>
      <c r="D19" s="10" t="s">
        <v>128</v>
      </c>
      <c r="E19" s="12" t="s">
        <v>62</v>
      </c>
      <c r="F19" s="11">
        <v>33648.0</v>
      </c>
      <c r="G19" s="11">
        <v>14551.0</v>
      </c>
      <c r="H19" s="11">
        <v>14549.0</v>
      </c>
      <c r="I19" s="11">
        <v>5.0</v>
      </c>
      <c r="J19" s="11">
        <v>177.0</v>
      </c>
      <c r="K19" s="11">
        <v>5.0</v>
      </c>
      <c r="L19" s="11">
        <v>35.0</v>
      </c>
      <c r="M19" s="13">
        <f t="shared" ref="M19:O19" si="21">IFERROR(G19/F19,"")</f>
        <v>0.4324476938</v>
      </c>
      <c r="N19" s="13">
        <f t="shared" si="21"/>
        <v>0.9998625524</v>
      </c>
      <c r="O19" s="14">
        <f t="shared" si="21"/>
        <v>0.0003436662314</v>
      </c>
      <c r="P19" s="13">
        <f t="shared" si="3"/>
        <v>0.01216578459</v>
      </c>
      <c r="Q19" s="13">
        <f t="shared" si="4"/>
        <v>0.0003436662314</v>
      </c>
      <c r="R19" s="13">
        <f t="shared" si="5"/>
        <v>0.002405663619</v>
      </c>
      <c r="S19" s="14" t="str">
        <f t="shared" si="6"/>
        <v/>
      </c>
      <c r="T19" s="14" t="str">
        <f t="shared" si="7"/>
        <v/>
      </c>
      <c r="U19" s="14" t="str">
        <f t="shared" si="8"/>
        <v/>
      </c>
    </row>
    <row r="20">
      <c r="A20" s="9">
        <v>44967.5230643403</v>
      </c>
      <c r="B20" s="10">
        <v>12.0</v>
      </c>
      <c r="C20" s="10" t="s">
        <v>60</v>
      </c>
      <c r="D20" s="10" t="s">
        <v>133</v>
      </c>
      <c r="E20" s="12" t="s">
        <v>62</v>
      </c>
      <c r="F20" s="11">
        <v>17061.0</v>
      </c>
      <c r="G20" s="11">
        <v>8224.0</v>
      </c>
      <c r="H20" s="11">
        <v>8223.0</v>
      </c>
      <c r="I20" s="11">
        <v>10.0</v>
      </c>
      <c r="J20" s="11">
        <v>187.0</v>
      </c>
      <c r="K20" s="11">
        <v>10.0</v>
      </c>
      <c r="L20" s="11">
        <v>24.0</v>
      </c>
      <c r="M20" s="13">
        <f t="shared" ref="M20:O20" si="22">IFERROR(G20/F20,"")</f>
        <v>0.4820350507</v>
      </c>
      <c r="N20" s="13">
        <f t="shared" si="22"/>
        <v>0.9998784047</v>
      </c>
      <c r="O20" s="14">
        <f t="shared" si="22"/>
        <v>0.00121610118</v>
      </c>
      <c r="P20" s="13">
        <f t="shared" si="3"/>
        <v>0.02274109206</v>
      </c>
      <c r="Q20" s="13">
        <f t="shared" si="4"/>
        <v>0.00121610118</v>
      </c>
      <c r="R20" s="13">
        <f t="shared" si="5"/>
        <v>0.002918642831</v>
      </c>
      <c r="S20" s="14" t="str">
        <f t="shared" si="6"/>
        <v/>
      </c>
      <c r="T20" s="14" t="str">
        <f t="shared" si="7"/>
        <v/>
      </c>
      <c r="U20" s="14" t="str">
        <f t="shared" si="8"/>
        <v/>
      </c>
    </row>
    <row r="21" ht="15.75" customHeight="1">
      <c r="A21" s="9">
        <v>44967.5838810648</v>
      </c>
      <c r="B21" s="10">
        <v>14.0</v>
      </c>
      <c r="C21" s="10" t="s">
        <v>60</v>
      </c>
      <c r="D21" s="10" t="s">
        <v>136</v>
      </c>
      <c r="E21" s="12" t="s">
        <v>62</v>
      </c>
      <c r="F21" s="11">
        <v>23220.0</v>
      </c>
      <c r="G21" s="11">
        <v>8685.0</v>
      </c>
      <c r="H21" s="11">
        <v>8683.0</v>
      </c>
      <c r="I21" s="11">
        <v>6.0</v>
      </c>
      <c r="J21" s="11">
        <v>211.0</v>
      </c>
      <c r="K21" s="11">
        <v>8.0</v>
      </c>
      <c r="L21" s="11">
        <v>64.0</v>
      </c>
      <c r="M21" s="13">
        <f t="shared" ref="M21:O21" si="23">IFERROR(G21/F21,"")</f>
        <v>0.3740310078</v>
      </c>
      <c r="N21" s="13">
        <f t="shared" si="23"/>
        <v>0.9997697179</v>
      </c>
      <c r="O21" s="14">
        <f t="shared" si="23"/>
        <v>0.0006910054129</v>
      </c>
      <c r="P21" s="13">
        <f t="shared" si="3"/>
        <v>0.02430035702</v>
      </c>
      <c r="Q21" s="13">
        <f t="shared" si="4"/>
        <v>0.0009213405505</v>
      </c>
      <c r="R21" s="13">
        <f t="shared" si="5"/>
        <v>0.007370724404</v>
      </c>
      <c r="S21" s="14" t="str">
        <f t="shared" si="6"/>
        <v/>
      </c>
      <c r="T21" s="14" t="str">
        <f t="shared" si="7"/>
        <v/>
      </c>
      <c r="U21" s="14" t="str">
        <f t="shared" si="8"/>
        <v/>
      </c>
    </row>
    <row r="22" ht="15.75" customHeight="1">
      <c r="A22" s="9">
        <v>44967.6668968171</v>
      </c>
      <c r="B22" s="10">
        <v>16.0</v>
      </c>
      <c r="C22" s="10" t="s">
        <v>60</v>
      </c>
      <c r="D22" s="10" t="s">
        <v>140</v>
      </c>
      <c r="E22" s="12" t="s">
        <v>62</v>
      </c>
      <c r="F22" s="11">
        <v>30135.0</v>
      </c>
      <c r="G22" s="11">
        <v>17590.0</v>
      </c>
      <c r="H22" s="11">
        <v>17587.0</v>
      </c>
      <c r="I22" s="11">
        <v>7.0</v>
      </c>
      <c r="J22" s="11">
        <v>172.0</v>
      </c>
      <c r="K22" s="11">
        <v>11.0</v>
      </c>
      <c r="L22" s="11">
        <v>10.0</v>
      </c>
      <c r="M22" s="13">
        <f t="shared" ref="M22:O22" si="24">IFERROR(G22/F22,"")</f>
        <v>0.5837066534</v>
      </c>
      <c r="N22" s="13">
        <f t="shared" si="24"/>
        <v>0.9998294486</v>
      </c>
      <c r="O22" s="14">
        <f t="shared" si="24"/>
        <v>0.0003980212657</v>
      </c>
      <c r="P22" s="13">
        <f t="shared" si="3"/>
        <v>0.0097799511</v>
      </c>
      <c r="Q22" s="13">
        <f t="shared" si="4"/>
        <v>0.000625461989</v>
      </c>
      <c r="R22" s="13">
        <f t="shared" si="5"/>
        <v>0.0005686018082</v>
      </c>
      <c r="S22" s="14" t="str">
        <f t="shared" si="6"/>
        <v/>
      </c>
      <c r="T22" s="14" t="str">
        <f t="shared" si="7"/>
        <v/>
      </c>
      <c r="U22" s="14" t="str">
        <f t="shared" si="8"/>
        <v/>
      </c>
    </row>
    <row r="23" ht="15.75" customHeight="1">
      <c r="A23" s="9">
        <v>44967.7502459722</v>
      </c>
      <c r="B23" s="10">
        <v>18.0</v>
      </c>
      <c r="C23" s="10" t="s">
        <v>60</v>
      </c>
      <c r="D23" s="10" t="s">
        <v>143</v>
      </c>
      <c r="E23" s="12" t="s">
        <v>62</v>
      </c>
      <c r="F23" s="11">
        <v>4943.0</v>
      </c>
      <c r="G23" s="11">
        <v>3012.0</v>
      </c>
      <c r="H23" s="11">
        <v>3010.0</v>
      </c>
      <c r="I23" s="11">
        <v>6.0</v>
      </c>
      <c r="J23" s="11">
        <v>147.0</v>
      </c>
      <c r="K23" s="11">
        <v>2.0</v>
      </c>
      <c r="L23" s="11">
        <v>4.0</v>
      </c>
      <c r="M23" s="13">
        <f t="shared" ref="M23:O23" si="25">IFERROR(G23/F23,"")</f>
        <v>0.6093465507</v>
      </c>
      <c r="N23" s="13">
        <f t="shared" si="25"/>
        <v>0.9993359894</v>
      </c>
      <c r="O23" s="14">
        <f t="shared" si="25"/>
        <v>0.001993355482</v>
      </c>
      <c r="P23" s="13">
        <f t="shared" si="3"/>
        <v>0.0488372093</v>
      </c>
      <c r="Q23" s="13">
        <f t="shared" si="4"/>
        <v>0.0006644518272</v>
      </c>
      <c r="R23" s="13">
        <f t="shared" si="5"/>
        <v>0.001328903654</v>
      </c>
      <c r="S23" s="14" t="str">
        <f t="shared" si="6"/>
        <v/>
      </c>
      <c r="T23" s="14" t="str">
        <f t="shared" si="7"/>
        <v/>
      </c>
      <c r="U23" s="14" t="str">
        <f t="shared" si="8"/>
        <v/>
      </c>
    </row>
    <row r="24" ht="15.75" customHeight="1">
      <c r="A24" s="9">
        <v>44968.5584994907</v>
      </c>
      <c r="B24" s="10">
        <v>13.0</v>
      </c>
      <c r="C24" s="10" t="s">
        <v>69</v>
      </c>
      <c r="D24" s="10" t="s">
        <v>147</v>
      </c>
      <c r="E24" s="12" t="s">
        <v>62</v>
      </c>
      <c r="F24" s="11">
        <v>5733.0</v>
      </c>
      <c r="G24" s="11">
        <v>3067.0</v>
      </c>
      <c r="H24" s="11">
        <v>3064.0</v>
      </c>
      <c r="I24" s="11">
        <v>4.0</v>
      </c>
      <c r="J24" s="11">
        <v>134.0</v>
      </c>
      <c r="K24" s="11">
        <v>6.0</v>
      </c>
      <c r="L24" s="11">
        <v>10.0</v>
      </c>
      <c r="M24" s="13">
        <f t="shared" ref="M24:O24" si="26">IFERROR(G24/F24,"")</f>
        <v>0.5349729635</v>
      </c>
      <c r="N24" s="13">
        <f t="shared" si="26"/>
        <v>0.9990218455</v>
      </c>
      <c r="O24" s="14">
        <f t="shared" si="26"/>
        <v>0.001305483029</v>
      </c>
      <c r="P24" s="13">
        <f t="shared" si="3"/>
        <v>0.04373368146</v>
      </c>
      <c r="Q24" s="13">
        <f t="shared" si="4"/>
        <v>0.001958224543</v>
      </c>
      <c r="R24" s="13">
        <f t="shared" si="5"/>
        <v>0.003263707572</v>
      </c>
      <c r="S24" s="14" t="str">
        <f t="shared" si="6"/>
        <v/>
      </c>
      <c r="T24" s="14" t="str">
        <f t="shared" si="7"/>
        <v/>
      </c>
      <c r="U24" s="14" t="str">
        <f t="shared" si="8"/>
        <v/>
      </c>
    </row>
    <row r="25" ht="15.75" customHeight="1">
      <c r="A25" s="9">
        <v>44968.6250253472</v>
      </c>
      <c r="B25" s="10">
        <v>15.0</v>
      </c>
      <c r="C25" s="10" t="s">
        <v>69</v>
      </c>
      <c r="D25" s="10" t="s">
        <v>151</v>
      </c>
      <c r="E25" s="12" t="s">
        <v>62</v>
      </c>
      <c r="F25" s="11">
        <v>29791.0</v>
      </c>
      <c r="G25" s="11">
        <v>15413.0</v>
      </c>
      <c r="H25" s="11">
        <v>15409.0</v>
      </c>
      <c r="I25" s="11">
        <v>4.0</v>
      </c>
      <c r="J25" s="11">
        <v>125.0</v>
      </c>
      <c r="K25" s="11">
        <v>12.0</v>
      </c>
      <c r="L25" s="11">
        <v>23.0</v>
      </c>
      <c r="M25" s="13">
        <f t="shared" ref="M25:O25" si="27">IFERROR(G25/F25,"")</f>
        <v>0.5173710181</v>
      </c>
      <c r="N25" s="13">
        <f t="shared" si="27"/>
        <v>0.9997404788</v>
      </c>
      <c r="O25" s="14">
        <f t="shared" si="27"/>
        <v>0.0002595885521</v>
      </c>
      <c r="P25" s="13">
        <f t="shared" si="3"/>
        <v>0.008112142255</v>
      </c>
      <c r="Q25" s="13">
        <f t="shared" si="4"/>
        <v>0.0007787656564</v>
      </c>
      <c r="R25" s="13">
        <f t="shared" si="5"/>
        <v>0.001492634175</v>
      </c>
      <c r="S25" s="14" t="str">
        <f t="shared" si="6"/>
        <v/>
      </c>
      <c r="T25" s="14" t="str">
        <f t="shared" si="7"/>
        <v/>
      </c>
      <c r="U25" s="14" t="str">
        <f t="shared" si="8"/>
        <v/>
      </c>
    </row>
    <row r="26" ht="15.75" customHeight="1">
      <c r="A26" s="9">
        <v>44968.7088546991</v>
      </c>
      <c r="B26" s="10">
        <v>17.0</v>
      </c>
      <c r="C26" s="10" t="s">
        <v>69</v>
      </c>
      <c r="D26" s="10" t="s">
        <v>155</v>
      </c>
      <c r="E26" s="12" t="s">
        <v>62</v>
      </c>
      <c r="F26" s="11">
        <v>30079.0</v>
      </c>
      <c r="G26" s="11">
        <v>18861.0</v>
      </c>
      <c r="H26" s="11">
        <v>18867.0</v>
      </c>
      <c r="I26" s="11">
        <v>75.0</v>
      </c>
      <c r="J26" s="11">
        <v>188.0</v>
      </c>
      <c r="K26" s="11">
        <v>15.0</v>
      </c>
      <c r="L26" s="11">
        <v>25.0</v>
      </c>
      <c r="M26" s="13">
        <f t="shared" ref="M26:O26" si="28">IFERROR(G26/F26,"")</f>
        <v>0.6270487716</v>
      </c>
      <c r="N26" s="13">
        <f t="shared" si="28"/>
        <v>1.000318117</v>
      </c>
      <c r="O26" s="14">
        <f t="shared" si="28"/>
        <v>0.003975194785</v>
      </c>
      <c r="P26" s="13">
        <f t="shared" si="3"/>
        <v>0.00996448826</v>
      </c>
      <c r="Q26" s="13">
        <f t="shared" si="4"/>
        <v>0.0007950389569</v>
      </c>
      <c r="R26" s="13">
        <f t="shared" si="5"/>
        <v>0.001325064928</v>
      </c>
      <c r="S26" s="14" t="str">
        <f t="shared" si="6"/>
        <v/>
      </c>
      <c r="T26" s="14" t="str">
        <f t="shared" si="7"/>
        <v/>
      </c>
      <c r="U26" s="14" t="str">
        <f t="shared" si="8"/>
        <v/>
      </c>
    </row>
    <row r="27" ht="15.75" customHeight="1">
      <c r="A27" s="9">
        <v>44968.7918412384</v>
      </c>
      <c r="B27" s="10">
        <v>19.0</v>
      </c>
      <c r="C27" s="10" t="s">
        <v>69</v>
      </c>
      <c r="D27" s="10" t="s">
        <v>158</v>
      </c>
      <c r="E27" s="12" t="s">
        <v>62</v>
      </c>
      <c r="F27" s="11">
        <v>7290.0</v>
      </c>
      <c r="G27" s="11">
        <v>4108.0</v>
      </c>
      <c r="H27" s="11">
        <v>4107.0</v>
      </c>
      <c r="I27" s="11">
        <v>6.0</v>
      </c>
      <c r="J27" s="11">
        <v>159.0</v>
      </c>
      <c r="K27" s="11">
        <v>9.0</v>
      </c>
      <c r="L27" s="11">
        <v>5.0</v>
      </c>
      <c r="M27" s="13">
        <f t="shared" ref="M27:O27" si="29">IFERROR(G27/F27,"")</f>
        <v>0.5635116598</v>
      </c>
      <c r="N27" s="13">
        <f t="shared" si="29"/>
        <v>0.9997565725</v>
      </c>
      <c r="O27" s="14">
        <f t="shared" si="29"/>
        <v>0.00146092038</v>
      </c>
      <c r="P27" s="13">
        <f t="shared" si="3"/>
        <v>0.03871439007</v>
      </c>
      <c r="Q27" s="13">
        <f t="shared" si="4"/>
        <v>0.00219138057</v>
      </c>
      <c r="R27" s="13">
        <f t="shared" si="5"/>
        <v>0.00121743365</v>
      </c>
      <c r="S27" s="14" t="str">
        <f t="shared" si="6"/>
        <v/>
      </c>
      <c r="T27" s="14" t="str">
        <f t="shared" si="7"/>
        <v/>
      </c>
      <c r="U27" s="14" t="str">
        <f t="shared" si="8"/>
        <v/>
      </c>
    </row>
    <row r="28" ht="15.75" customHeight="1">
      <c r="A28" s="9">
        <v>44969.5005141782</v>
      </c>
      <c r="B28" s="10">
        <v>12.0</v>
      </c>
      <c r="C28" s="10" t="s">
        <v>77</v>
      </c>
      <c r="D28" s="10" t="s">
        <v>163</v>
      </c>
      <c r="E28" s="12" t="s">
        <v>62</v>
      </c>
      <c r="F28" s="11">
        <v>10594.0</v>
      </c>
      <c r="G28" s="11">
        <v>6540.0</v>
      </c>
      <c r="H28" s="11">
        <v>6540.0</v>
      </c>
      <c r="I28" s="11">
        <v>3.0</v>
      </c>
      <c r="J28" s="11">
        <v>231.0</v>
      </c>
      <c r="K28" s="11">
        <v>15.0</v>
      </c>
      <c r="L28" s="11">
        <v>15.0</v>
      </c>
      <c r="M28" s="13">
        <f t="shared" ref="M28:O28" si="30">IFERROR(G28/F28,"")</f>
        <v>0.6173305645</v>
      </c>
      <c r="N28" s="13">
        <f t="shared" si="30"/>
        <v>1</v>
      </c>
      <c r="O28" s="14">
        <f t="shared" si="30"/>
        <v>0.0004587155963</v>
      </c>
      <c r="P28" s="13">
        <f t="shared" si="3"/>
        <v>0.03532110092</v>
      </c>
      <c r="Q28" s="13">
        <f t="shared" si="4"/>
        <v>0.002293577982</v>
      </c>
      <c r="R28" s="13">
        <f t="shared" si="5"/>
        <v>0.002293577982</v>
      </c>
      <c r="S28" s="14" t="str">
        <f t="shared" si="6"/>
        <v/>
      </c>
      <c r="T28" s="14" t="str">
        <f t="shared" si="7"/>
        <v/>
      </c>
      <c r="U28" s="14" t="str">
        <f t="shared" si="8"/>
        <v/>
      </c>
    </row>
    <row r="29" ht="15.75" customHeight="1">
      <c r="A29" s="9">
        <v>44969.5836273843</v>
      </c>
      <c r="B29" s="10">
        <v>14.0</v>
      </c>
      <c r="C29" s="10" t="s">
        <v>77</v>
      </c>
      <c r="D29" s="10" t="s">
        <v>166</v>
      </c>
      <c r="E29" s="12" t="s">
        <v>62</v>
      </c>
      <c r="F29" s="11">
        <v>21084.0</v>
      </c>
      <c r="G29" s="11">
        <v>6905.0</v>
      </c>
      <c r="H29" s="11">
        <v>6904.0</v>
      </c>
      <c r="I29" s="11">
        <v>2.0</v>
      </c>
      <c r="J29" s="11">
        <v>106.0</v>
      </c>
      <c r="K29" s="11">
        <v>7.0</v>
      </c>
      <c r="L29" s="11">
        <v>9.0</v>
      </c>
      <c r="M29" s="13">
        <f t="shared" ref="M29:O29" si="31">IFERROR(G29/F29,"")</f>
        <v>0.3274995257</v>
      </c>
      <c r="N29" s="13">
        <f t="shared" si="31"/>
        <v>0.9998551774</v>
      </c>
      <c r="O29" s="14">
        <f t="shared" si="31"/>
        <v>0.0002896871379</v>
      </c>
      <c r="P29" s="13">
        <f t="shared" si="3"/>
        <v>0.01535341831</v>
      </c>
      <c r="Q29" s="13">
        <f t="shared" si="4"/>
        <v>0.001013904983</v>
      </c>
      <c r="R29" s="13">
        <f t="shared" si="5"/>
        <v>0.001303592121</v>
      </c>
      <c r="S29" s="14" t="str">
        <f t="shared" si="6"/>
        <v/>
      </c>
      <c r="T29" s="14" t="str">
        <f t="shared" si="7"/>
        <v/>
      </c>
      <c r="U29" s="14" t="str">
        <f t="shared" si="8"/>
        <v/>
      </c>
    </row>
    <row r="30" ht="15.75" customHeight="1">
      <c r="A30" s="9">
        <v>44969.6670067477</v>
      </c>
      <c r="B30" s="10">
        <v>16.0</v>
      </c>
      <c r="C30" s="10" t="s">
        <v>77</v>
      </c>
      <c r="D30" s="10" t="s">
        <v>169</v>
      </c>
      <c r="E30" s="12" t="s">
        <v>62</v>
      </c>
      <c r="F30" s="11">
        <v>8510.0</v>
      </c>
      <c r="G30" s="11">
        <v>4320.0</v>
      </c>
      <c r="H30" s="11">
        <v>4321.0</v>
      </c>
      <c r="I30" s="11">
        <v>7.0</v>
      </c>
      <c r="J30" s="11">
        <v>152.0</v>
      </c>
      <c r="K30" s="11">
        <v>3.0</v>
      </c>
      <c r="L30" s="11">
        <v>8.0</v>
      </c>
      <c r="M30" s="13">
        <f t="shared" ref="M30:O30" si="32">IFERROR(G30/F30,"")</f>
        <v>0.5076380729</v>
      </c>
      <c r="N30" s="13">
        <f t="shared" si="32"/>
        <v>1.000231481</v>
      </c>
      <c r="O30" s="14">
        <f t="shared" si="32"/>
        <v>0.001619995371</v>
      </c>
      <c r="P30" s="13">
        <f t="shared" si="3"/>
        <v>0.03517704235</v>
      </c>
      <c r="Q30" s="13">
        <f t="shared" si="4"/>
        <v>0.0006942837306</v>
      </c>
      <c r="R30" s="13">
        <f t="shared" si="5"/>
        <v>0.001851423282</v>
      </c>
      <c r="S30" s="14" t="str">
        <f t="shared" si="6"/>
        <v/>
      </c>
      <c r="T30" s="14" t="str">
        <f t="shared" si="7"/>
        <v/>
      </c>
      <c r="U30" s="14" t="str">
        <f t="shared" si="8"/>
        <v/>
      </c>
    </row>
    <row r="31" ht="15.75" customHeight="1">
      <c r="A31" s="9">
        <v>44969.7502056134</v>
      </c>
      <c r="B31" s="10">
        <v>18.0</v>
      </c>
      <c r="C31" s="10" t="s">
        <v>77</v>
      </c>
      <c r="D31" s="10" t="s">
        <v>172</v>
      </c>
      <c r="E31" s="12" t="s">
        <v>62</v>
      </c>
      <c r="F31" s="11">
        <v>1480.0</v>
      </c>
      <c r="G31" s="11">
        <v>848.0</v>
      </c>
      <c r="H31" s="11">
        <v>847.0</v>
      </c>
      <c r="I31" s="11">
        <v>5.0</v>
      </c>
      <c r="J31" s="11">
        <v>49.0</v>
      </c>
      <c r="K31" s="11">
        <v>0.0</v>
      </c>
      <c r="L31" s="11">
        <v>0.0</v>
      </c>
      <c r="M31" s="13">
        <f t="shared" ref="M31:O31" si="33">IFERROR(G31/F31,"")</f>
        <v>0.572972973</v>
      </c>
      <c r="N31" s="13">
        <f t="shared" si="33"/>
        <v>0.9988207547</v>
      </c>
      <c r="O31" s="14">
        <f t="shared" si="33"/>
        <v>0.005903187721</v>
      </c>
      <c r="P31" s="13">
        <f t="shared" si="3"/>
        <v>0.05785123967</v>
      </c>
      <c r="Q31" s="13">
        <f t="shared" si="4"/>
        <v>0</v>
      </c>
      <c r="R31" s="13">
        <f t="shared" si="5"/>
        <v>0</v>
      </c>
      <c r="S31" s="14" t="str">
        <f t="shared" si="6"/>
        <v/>
      </c>
      <c r="T31" s="14" t="str">
        <f t="shared" si="7"/>
        <v/>
      </c>
      <c r="U31" s="14" t="str">
        <f t="shared" si="8"/>
        <v/>
      </c>
    </row>
    <row r="32" ht="15.75" customHeight="1">
      <c r="A32" s="9">
        <v>44970.5208300463</v>
      </c>
      <c r="B32" s="10">
        <v>12.0</v>
      </c>
      <c r="C32" s="10" t="s">
        <v>71</v>
      </c>
      <c r="D32" s="10" t="s">
        <v>174</v>
      </c>
      <c r="E32" s="12" t="s">
        <v>62</v>
      </c>
      <c r="F32" s="11">
        <v>46499.0</v>
      </c>
      <c r="G32" s="11">
        <v>29711.0</v>
      </c>
      <c r="H32" s="11">
        <v>29719.0</v>
      </c>
      <c r="I32" s="11">
        <v>57.0</v>
      </c>
      <c r="J32" s="11">
        <v>300.0</v>
      </c>
      <c r="K32" s="11">
        <v>19.0</v>
      </c>
      <c r="L32" s="11">
        <v>56.0</v>
      </c>
      <c r="M32" s="13">
        <f t="shared" ref="M32:O32" si="34">IFERROR(G32/F32,"")</f>
        <v>0.6389599776</v>
      </c>
      <c r="N32" s="13">
        <f t="shared" si="34"/>
        <v>1.000269261</v>
      </c>
      <c r="O32" s="14">
        <f t="shared" si="34"/>
        <v>0.001917964938</v>
      </c>
      <c r="P32" s="13">
        <f t="shared" si="3"/>
        <v>0.01009455231</v>
      </c>
      <c r="Q32" s="13">
        <f t="shared" si="4"/>
        <v>0.0006393216461</v>
      </c>
      <c r="R32" s="13">
        <f t="shared" si="5"/>
        <v>0.001884316431</v>
      </c>
      <c r="S32" s="14" t="str">
        <f t="shared" si="6"/>
        <v/>
      </c>
      <c r="T32" s="14" t="str">
        <f t="shared" si="7"/>
        <v/>
      </c>
      <c r="U32" s="14" t="str">
        <f t="shared" si="8"/>
        <v/>
      </c>
    </row>
    <row r="33" ht="15.75" customHeight="1">
      <c r="A33" s="9">
        <v>44970.7919043866</v>
      </c>
      <c r="B33" s="10">
        <v>19.0</v>
      </c>
      <c r="C33" s="10" t="s">
        <v>71</v>
      </c>
      <c r="D33" s="10" t="s">
        <v>177</v>
      </c>
      <c r="E33" s="12" t="s">
        <v>62</v>
      </c>
      <c r="F33" s="11">
        <v>4866.0</v>
      </c>
      <c r="G33" s="11">
        <v>2451.0</v>
      </c>
      <c r="H33" s="11">
        <v>2461.0</v>
      </c>
      <c r="I33" s="11">
        <v>70.0</v>
      </c>
      <c r="J33" s="11">
        <v>191.0</v>
      </c>
      <c r="K33" s="11">
        <v>5.0</v>
      </c>
      <c r="L33" s="11">
        <v>5.0</v>
      </c>
      <c r="M33" s="13">
        <f t="shared" ref="M33:O33" si="35">IFERROR(G33/F33,"")</f>
        <v>0.5036991369</v>
      </c>
      <c r="N33" s="13">
        <f t="shared" si="35"/>
        <v>1.004079967</v>
      </c>
      <c r="O33" s="14">
        <f t="shared" si="35"/>
        <v>0.02844372206</v>
      </c>
      <c r="P33" s="13">
        <f t="shared" si="3"/>
        <v>0.07761072735</v>
      </c>
      <c r="Q33" s="13">
        <f t="shared" si="4"/>
        <v>0.002031694433</v>
      </c>
      <c r="R33" s="13">
        <f t="shared" si="5"/>
        <v>0.002031694433</v>
      </c>
      <c r="S33" s="14" t="str">
        <f t="shared" si="6"/>
        <v/>
      </c>
      <c r="T33" s="14" t="str">
        <f t="shared" si="7"/>
        <v/>
      </c>
      <c r="U33" s="14" t="str">
        <f t="shared" si="8"/>
        <v/>
      </c>
    </row>
    <row r="34" ht="15.75" customHeight="1">
      <c r="A34" s="9">
        <v>44971.8163104398</v>
      </c>
      <c r="B34" s="10">
        <v>19.0</v>
      </c>
      <c r="C34" s="10" t="s">
        <v>59</v>
      </c>
      <c r="D34" s="10" t="s">
        <v>180</v>
      </c>
      <c r="E34" s="12" t="s">
        <v>62</v>
      </c>
      <c r="F34" s="11">
        <v>25282.0</v>
      </c>
      <c r="G34" s="11">
        <v>14840.0</v>
      </c>
      <c r="H34" s="11">
        <v>14844.0</v>
      </c>
      <c r="I34" s="11">
        <v>2.0</v>
      </c>
      <c r="J34" s="11">
        <v>225.0</v>
      </c>
      <c r="K34" s="11">
        <v>33.0</v>
      </c>
      <c r="L34" s="11">
        <v>31.0</v>
      </c>
      <c r="M34" s="13">
        <f t="shared" ref="M34:O34" si="36">IFERROR(G34/F34,"")</f>
        <v>0.5869788783</v>
      </c>
      <c r="N34" s="13">
        <f t="shared" si="36"/>
        <v>1.000269542</v>
      </c>
      <c r="O34" s="14">
        <f t="shared" si="36"/>
        <v>0.0001347345729</v>
      </c>
      <c r="P34" s="13">
        <f t="shared" si="3"/>
        <v>0.01515763945</v>
      </c>
      <c r="Q34" s="13">
        <f t="shared" si="4"/>
        <v>0.002223120453</v>
      </c>
      <c r="R34" s="13">
        <f t="shared" si="5"/>
        <v>0.00208838588</v>
      </c>
      <c r="S34" s="14" t="str">
        <f t="shared" si="6"/>
        <v/>
      </c>
      <c r="T34" s="14" t="str">
        <f t="shared" si="7"/>
        <v/>
      </c>
      <c r="U34" s="14" t="str">
        <f t="shared" si="8"/>
        <v/>
      </c>
    </row>
    <row r="35" ht="15.75" customHeight="1">
      <c r="A35" s="9">
        <v>44972.5889185532</v>
      </c>
      <c r="B35" s="10">
        <v>14.0</v>
      </c>
      <c r="C35" s="10" t="s">
        <v>80</v>
      </c>
      <c r="D35" s="10" t="s">
        <v>183</v>
      </c>
      <c r="E35" s="12" t="s">
        <v>62</v>
      </c>
      <c r="F35" s="11">
        <v>8915.0</v>
      </c>
      <c r="G35" s="11">
        <v>4691.0</v>
      </c>
      <c r="H35" s="11">
        <v>4691.0</v>
      </c>
      <c r="I35" s="11">
        <v>6.0</v>
      </c>
      <c r="J35" s="11">
        <v>149.0</v>
      </c>
      <c r="K35" s="11">
        <v>10.0</v>
      </c>
      <c r="L35" s="11">
        <v>8.0</v>
      </c>
      <c r="M35" s="13">
        <f t="shared" ref="M35:O35" si="37">IFERROR(G35/F35,"")</f>
        <v>0.5261918116</v>
      </c>
      <c r="N35" s="13">
        <f t="shared" si="37"/>
        <v>1</v>
      </c>
      <c r="O35" s="14">
        <f t="shared" si="37"/>
        <v>0.00127904498</v>
      </c>
      <c r="P35" s="13">
        <f t="shared" si="3"/>
        <v>0.03176295033</v>
      </c>
      <c r="Q35" s="13">
        <f t="shared" si="4"/>
        <v>0.002131741633</v>
      </c>
      <c r="R35" s="13">
        <f t="shared" si="5"/>
        <v>0.001705393306</v>
      </c>
      <c r="S35" s="14" t="str">
        <f t="shared" si="6"/>
        <v/>
      </c>
      <c r="T35" s="14" t="str">
        <f t="shared" si="7"/>
        <v/>
      </c>
      <c r="U35" s="14" t="str">
        <f t="shared" si="8"/>
        <v/>
      </c>
    </row>
    <row r="36" ht="15.75" customHeight="1">
      <c r="A36" s="9">
        <v>44972.7498728357</v>
      </c>
      <c r="B36" s="10">
        <v>17.0</v>
      </c>
      <c r="C36" s="10" t="s">
        <v>80</v>
      </c>
      <c r="D36" s="10" t="s">
        <v>186</v>
      </c>
      <c r="E36" s="12" t="s">
        <v>62</v>
      </c>
      <c r="F36" s="11">
        <v>26815.0</v>
      </c>
      <c r="G36" s="11">
        <v>14615.0</v>
      </c>
      <c r="H36" s="11">
        <v>14613.0</v>
      </c>
      <c r="I36" s="11">
        <v>1.0</v>
      </c>
      <c r="J36" s="11">
        <v>252.0</v>
      </c>
      <c r="K36" s="11">
        <v>11.0</v>
      </c>
      <c r="L36" s="11">
        <v>42.0</v>
      </c>
      <c r="M36" s="13">
        <f t="shared" ref="M36:O36" si="38">IFERROR(G36/F36,"")</f>
        <v>0.5450307664</v>
      </c>
      <c r="N36" s="13">
        <f t="shared" si="38"/>
        <v>0.9998631543</v>
      </c>
      <c r="O36" s="14">
        <f t="shared" si="38"/>
        <v>0.00006843221789</v>
      </c>
      <c r="P36" s="13">
        <f t="shared" si="3"/>
        <v>0.01724491891</v>
      </c>
      <c r="Q36" s="13">
        <f t="shared" si="4"/>
        <v>0.0007527543968</v>
      </c>
      <c r="R36" s="13">
        <f t="shared" si="5"/>
        <v>0.002874153151</v>
      </c>
      <c r="S36" s="14" t="str">
        <f t="shared" si="6"/>
        <v/>
      </c>
      <c r="T36" s="14" t="str">
        <f t="shared" si="7"/>
        <v/>
      </c>
      <c r="U36" s="14" t="str">
        <f t="shared" si="8"/>
        <v/>
      </c>
    </row>
    <row r="37" ht="15.75" customHeight="1">
      <c r="A37" s="9">
        <v>44973.5004800579</v>
      </c>
      <c r="B37" s="10">
        <v>12.0</v>
      </c>
      <c r="C37" s="10" t="s">
        <v>84</v>
      </c>
      <c r="D37" s="10" t="s">
        <v>189</v>
      </c>
      <c r="E37" s="12" t="s">
        <v>62</v>
      </c>
      <c r="F37" s="11">
        <v>101612.0</v>
      </c>
      <c r="G37" s="11">
        <v>69913.0</v>
      </c>
      <c r="H37" s="11">
        <v>69917.0</v>
      </c>
      <c r="I37" s="11">
        <v>39.0</v>
      </c>
      <c r="J37" s="11">
        <v>462.0</v>
      </c>
      <c r="K37" s="11">
        <v>26.0</v>
      </c>
      <c r="L37" s="11">
        <v>91.0</v>
      </c>
      <c r="M37" s="13">
        <f t="shared" ref="M37:O37" si="39">IFERROR(G37/F37,"")</f>
        <v>0.6880388143</v>
      </c>
      <c r="N37" s="13">
        <f t="shared" si="39"/>
        <v>1.000057214</v>
      </c>
      <c r="O37" s="14">
        <f t="shared" si="39"/>
        <v>0.0005578042536</v>
      </c>
      <c r="P37" s="13">
        <f t="shared" si="3"/>
        <v>0.006607835004</v>
      </c>
      <c r="Q37" s="13">
        <f t="shared" si="4"/>
        <v>0.0003718695024</v>
      </c>
      <c r="R37" s="13">
        <f t="shared" si="5"/>
        <v>0.001301543258</v>
      </c>
      <c r="S37" s="14" t="str">
        <f t="shared" si="6"/>
        <v/>
      </c>
      <c r="T37" s="14" t="str">
        <f t="shared" si="7"/>
        <v/>
      </c>
      <c r="U37" s="14" t="str">
        <f t="shared" si="8"/>
        <v/>
      </c>
    </row>
    <row r="38" ht="15.75" customHeight="1">
      <c r="A38" s="9">
        <v>44973.7503584028</v>
      </c>
      <c r="B38" s="10">
        <v>18.0</v>
      </c>
      <c r="C38" s="10" t="s">
        <v>84</v>
      </c>
      <c r="D38" s="10" t="s">
        <v>192</v>
      </c>
      <c r="E38" s="12" t="s">
        <v>62</v>
      </c>
      <c r="F38" s="11">
        <v>38034.0</v>
      </c>
      <c r="G38" s="11">
        <v>21175.0</v>
      </c>
      <c r="H38" s="11">
        <v>21174.0</v>
      </c>
      <c r="I38" s="11">
        <v>5.0</v>
      </c>
      <c r="J38" s="11">
        <v>186.0</v>
      </c>
      <c r="K38" s="11">
        <v>18.0</v>
      </c>
      <c r="L38" s="11">
        <v>38.0</v>
      </c>
      <c r="M38" s="13">
        <f t="shared" ref="M38:O38" si="40">IFERROR(G38/F38,"")</f>
        <v>0.5567387075</v>
      </c>
      <c r="N38" s="13">
        <f t="shared" si="40"/>
        <v>0.9999527745</v>
      </c>
      <c r="O38" s="14">
        <f t="shared" si="40"/>
        <v>0.0002361386606</v>
      </c>
      <c r="P38" s="13">
        <f t="shared" si="3"/>
        <v>0.008784358175</v>
      </c>
      <c r="Q38" s="13">
        <f t="shared" si="4"/>
        <v>0.0008500991782</v>
      </c>
      <c r="R38" s="13">
        <f t="shared" si="5"/>
        <v>0.001794653821</v>
      </c>
      <c r="S38" s="14" t="str">
        <f t="shared" si="6"/>
        <v/>
      </c>
      <c r="T38" s="14" t="str">
        <f t="shared" si="7"/>
        <v/>
      </c>
      <c r="U38" s="14" t="str">
        <f t="shared" si="8"/>
        <v/>
      </c>
    </row>
    <row r="39" ht="15.75" customHeight="1">
      <c r="A39" s="9">
        <v>44974.7451912037</v>
      </c>
      <c r="B39" s="10">
        <v>17.0</v>
      </c>
      <c r="C39" s="10" t="s">
        <v>60</v>
      </c>
      <c r="D39" s="10" t="s">
        <v>195</v>
      </c>
      <c r="E39" s="12" t="s">
        <v>62</v>
      </c>
      <c r="F39" s="11">
        <v>7664.0</v>
      </c>
      <c r="G39" s="11">
        <v>3831.0</v>
      </c>
      <c r="H39" s="11">
        <v>3832.0</v>
      </c>
      <c r="I39" s="11">
        <v>12.0</v>
      </c>
      <c r="J39" s="11">
        <v>134.0</v>
      </c>
      <c r="K39" s="11">
        <v>11.0</v>
      </c>
      <c r="L39" s="11">
        <v>6.0</v>
      </c>
      <c r="M39" s="13">
        <f t="shared" ref="M39:O39" si="41">IFERROR(G39/F39,"")</f>
        <v>0.4998695198</v>
      </c>
      <c r="N39" s="13">
        <f t="shared" si="41"/>
        <v>1.000261028</v>
      </c>
      <c r="O39" s="14">
        <f t="shared" si="41"/>
        <v>0.003131524008</v>
      </c>
      <c r="P39" s="13">
        <f t="shared" si="3"/>
        <v>0.03496868476</v>
      </c>
      <c r="Q39" s="13">
        <f t="shared" si="4"/>
        <v>0.002870563674</v>
      </c>
      <c r="R39" s="13">
        <f t="shared" si="5"/>
        <v>0.001565762004</v>
      </c>
      <c r="S39" s="14" t="str">
        <f t="shared" si="6"/>
        <v/>
      </c>
      <c r="T39" s="14" t="str">
        <f t="shared" si="7"/>
        <v/>
      </c>
      <c r="U39" s="14" t="str">
        <f t="shared" si="8"/>
        <v/>
      </c>
    </row>
    <row r="40" ht="15.75" customHeight="1">
      <c r="A40" s="9">
        <v>44976.4531297222</v>
      </c>
      <c r="B40" s="10">
        <v>10.0</v>
      </c>
      <c r="C40" s="10" t="s">
        <v>77</v>
      </c>
      <c r="D40" s="10" t="s">
        <v>198</v>
      </c>
      <c r="E40" s="12" t="s">
        <v>62</v>
      </c>
      <c r="F40" s="11">
        <v>23599.0</v>
      </c>
      <c r="G40" s="11">
        <v>7544.0</v>
      </c>
      <c r="H40" s="11">
        <v>7541.0</v>
      </c>
      <c r="I40" s="11">
        <v>9.0</v>
      </c>
      <c r="J40" s="11">
        <v>151.0</v>
      </c>
      <c r="K40" s="11">
        <v>8.0</v>
      </c>
      <c r="L40" s="11">
        <v>11.0</v>
      </c>
      <c r="M40" s="13">
        <f t="shared" ref="M40:O40" si="42">IFERROR(G40/F40,"")</f>
        <v>0.3196745625</v>
      </c>
      <c r="N40" s="13">
        <f t="shared" si="42"/>
        <v>0.999602333</v>
      </c>
      <c r="O40" s="14">
        <f t="shared" si="42"/>
        <v>0.001193475666</v>
      </c>
      <c r="P40" s="13">
        <f t="shared" si="3"/>
        <v>0.02002386951</v>
      </c>
      <c r="Q40" s="13">
        <f t="shared" si="4"/>
        <v>0.001060867259</v>
      </c>
      <c r="R40" s="13">
        <f t="shared" si="5"/>
        <v>0.001458692481</v>
      </c>
      <c r="S40" s="14" t="str">
        <f t="shared" si="6"/>
        <v/>
      </c>
      <c r="T40" s="14" t="str">
        <f t="shared" si="7"/>
        <v/>
      </c>
      <c r="U40" s="14" t="str">
        <f t="shared" si="8"/>
        <v/>
      </c>
    </row>
    <row r="41" ht="15.75" customHeight="1">
      <c r="A41" s="9">
        <v>44976.7500727199</v>
      </c>
      <c r="B41" s="10">
        <v>18.0</v>
      </c>
      <c r="C41" s="10" t="s">
        <v>77</v>
      </c>
      <c r="D41" s="10" t="s">
        <v>201</v>
      </c>
      <c r="E41" s="12" t="s">
        <v>62</v>
      </c>
      <c r="F41" s="11">
        <v>6982.0</v>
      </c>
      <c r="G41" s="11">
        <v>3381.0</v>
      </c>
      <c r="H41" s="11">
        <v>3378.0</v>
      </c>
      <c r="I41" s="11">
        <v>5.0</v>
      </c>
      <c r="J41" s="11">
        <v>136.0</v>
      </c>
      <c r="K41" s="11">
        <v>4.0</v>
      </c>
      <c r="L41" s="11">
        <v>4.0</v>
      </c>
      <c r="M41" s="13">
        <f t="shared" ref="M41:O41" si="43">IFERROR(G41/F41,"")</f>
        <v>0.4842452019</v>
      </c>
      <c r="N41" s="13">
        <f t="shared" si="43"/>
        <v>0.9991126886</v>
      </c>
      <c r="O41" s="14">
        <f t="shared" si="43"/>
        <v>0.001480165779</v>
      </c>
      <c r="P41" s="13">
        <f t="shared" si="3"/>
        <v>0.04026050918</v>
      </c>
      <c r="Q41" s="13">
        <f t="shared" si="4"/>
        <v>0.001184132623</v>
      </c>
      <c r="R41" s="13">
        <f t="shared" si="5"/>
        <v>0.001184132623</v>
      </c>
      <c r="S41" s="14" t="str">
        <f t="shared" si="6"/>
        <v/>
      </c>
      <c r="T41" s="14" t="str">
        <f t="shared" si="7"/>
        <v/>
      </c>
      <c r="U41" s="14" t="str">
        <f t="shared" si="8"/>
        <v/>
      </c>
    </row>
    <row r="42" ht="15.75" customHeight="1">
      <c r="A42" s="9">
        <v>44977.5004239931</v>
      </c>
      <c r="B42" s="10">
        <v>12.0</v>
      </c>
      <c r="C42" s="10" t="s">
        <v>71</v>
      </c>
      <c r="D42" s="10" t="s">
        <v>205</v>
      </c>
      <c r="E42" s="12" t="s">
        <v>62</v>
      </c>
      <c r="F42" s="11">
        <v>60640.0</v>
      </c>
      <c r="G42" s="11">
        <v>36202.0</v>
      </c>
      <c r="H42" s="11">
        <v>36204.0</v>
      </c>
      <c r="I42" s="11">
        <v>44.0</v>
      </c>
      <c r="J42" s="11">
        <v>260.0</v>
      </c>
      <c r="K42" s="11">
        <v>27.0</v>
      </c>
      <c r="L42" s="11">
        <v>35.0</v>
      </c>
      <c r="M42" s="13">
        <f t="shared" ref="M42:O42" si="44">IFERROR(G42/F42,"")</f>
        <v>0.5969986807</v>
      </c>
      <c r="N42" s="13">
        <f t="shared" si="44"/>
        <v>1.000055246</v>
      </c>
      <c r="O42" s="14">
        <f t="shared" si="44"/>
        <v>0.001215335322</v>
      </c>
      <c r="P42" s="13">
        <f t="shared" si="3"/>
        <v>0.007181526903</v>
      </c>
      <c r="Q42" s="13">
        <f t="shared" si="4"/>
        <v>0.0007457739476</v>
      </c>
      <c r="R42" s="13">
        <f t="shared" si="5"/>
        <v>0.0009667440062</v>
      </c>
      <c r="S42" s="14" t="str">
        <f t="shared" si="6"/>
        <v/>
      </c>
      <c r="T42" s="14" t="str">
        <f t="shared" si="7"/>
        <v/>
      </c>
      <c r="U42" s="14" t="str">
        <f t="shared" si="8"/>
        <v/>
      </c>
    </row>
    <row r="43" ht="15.75" customHeight="1">
      <c r="A43" s="9">
        <v>44977.7500271644</v>
      </c>
      <c r="B43" s="10">
        <v>18.0</v>
      </c>
      <c r="C43" s="10" t="s">
        <v>71</v>
      </c>
      <c r="D43" s="10" t="s">
        <v>208</v>
      </c>
      <c r="E43" s="12" t="s">
        <v>62</v>
      </c>
      <c r="F43" s="11">
        <v>108849.0</v>
      </c>
      <c r="G43" s="11">
        <v>70753.0</v>
      </c>
      <c r="H43" s="11">
        <v>70751.0</v>
      </c>
      <c r="I43" s="11">
        <v>4.0</v>
      </c>
      <c r="J43" s="11">
        <v>189.0</v>
      </c>
      <c r="K43" s="11">
        <v>32.0</v>
      </c>
      <c r="L43" s="11">
        <v>44.0</v>
      </c>
      <c r="M43" s="13">
        <f t="shared" ref="M43:O43" si="45">IFERROR(G43/F43,"")</f>
        <v>0.6500105651</v>
      </c>
      <c r="N43" s="13">
        <f t="shared" si="45"/>
        <v>0.9999717326</v>
      </c>
      <c r="O43" s="14">
        <f t="shared" si="45"/>
        <v>0.00005653630337</v>
      </c>
      <c r="P43" s="13">
        <f t="shared" si="3"/>
        <v>0.002671340334</v>
      </c>
      <c r="Q43" s="13">
        <f t="shared" si="4"/>
        <v>0.000452290427</v>
      </c>
      <c r="R43" s="13">
        <f t="shared" si="5"/>
        <v>0.0006218993371</v>
      </c>
      <c r="S43" s="14" t="str">
        <f t="shared" si="6"/>
        <v/>
      </c>
      <c r="T43" s="14" t="str">
        <f t="shared" si="7"/>
        <v/>
      </c>
      <c r="U43" s="14" t="str">
        <f t="shared" si="8"/>
        <v/>
      </c>
    </row>
    <row r="44" ht="15.75" customHeight="1">
      <c r="A44" s="9">
        <v>44978.5006428357</v>
      </c>
      <c r="B44" s="10">
        <v>12.0</v>
      </c>
      <c r="C44" s="10" t="s">
        <v>59</v>
      </c>
      <c r="D44" s="10" t="s">
        <v>211</v>
      </c>
      <c r="E44" s="12" t="s">
        <v>62</v>
      </c>
      <c r="F44" s="11">
        <v>45143.0</v>
      </c>
      <c r="G44" s="11">
        <v>29085.0</v>
      </c>
      <c r="H44" s="11">
        <v>29083.0</v>
      </c>
      <c r="I44" s="11">
        <v>3.0</v>
      </c>
      <c r="J44" s="11">
        <v>261.0</v>
      </c>
      <c r="K44" s="11">
        <v>21.0</v>
      </c>
      <c r="L44" s="11">
        <v>60.0</v>
      </c>
      <c r="M44" s="13">
        <f t="shared" ref="M44:O44" si="46">IFERROR(G44/F44,"")</f>
        <v>0.6442859358</v>
      </c>
      <c r="N44" s="13">
        <f t="shared" si="46"/>
        <v>0.999931236</v>
      </c>
      <c r="O44" s="14">
        <f t="shared" si="46"/>
        <v>0.0001031530447</v>
      </c>
      <c r="P44" s="13">
        <f t="shared" si="3"/>
        <v>0.008974314892</v>
      </c>
      <c r="Q44" s="13">
        <f t="shared" si="4"/>
        <v>0.0007220713131</v>
      </c>
      <c r="R44" s="13">
        <f t="shared" si="5"/>
        <v>0.002063060895</v>
      </c>
      <c r="S44" s="14" t="str">
        <f t="shared" si="6"/>
        <v/>
      </c>
      <c r="T44" s="14" t="str">
        <f t="shared" si="7"/>
        <v/>
      </c>
      <c r="U44" s="14" t="str">
        <f t="shared" si="8"/>
        <v/>
      </c>
    </row>
    <row r="45" ht="15.75" customHeight="1">
      <c r="A45" s="9">
        <v>44978.7498587384</v>
      </c>
      <c r="B45" s="10">
        <v>17.0</v>
      </c>
      <c r="C45" s="10" t="s">
        <v>59</v>
      </c>
      <c r="D45" s="10" t="s">
        <v>215</v>
      </c>
      <c r="E45" s="12" t="s">
        <v>62</v>
      </c>
      <c r="F45" s="11">
        <v>25652.0</v>
      </c>
      <c r="G45" s="11">
        <v>13509.0</v>
      </c>
      <c r="H45" s="11">
        <v>13505.0</v>
      </c>
      <c r="I45" s="11">
        <v>9.0</v>
      </c>
      <c r="J45" s="11">
        <v>260.0</v>
      </c>
      <c r="K45" s="11">
        <v>35.0</v>
      </c>
      <c r="L45" s="11">
        <v>38.0</v>
      </c>
      <c r="M45" s="13">
        <f t="shared" ref="M45:O45" si="47">IFERROR(G45/F45,"")</f>
        <v>0.5266256042</v>
      </c>
      <c r="N45" s="13">
        <f t="shared" si="47"/>
        <v>0.9997039011</v>
      </c>
      <c r="O45" s="14">
        <f t="shared" si="47"/>
        <v>0.0006664198445</v>
      </c>
      <c r="P45" s="13">
        <f t="shared" si="3"/>
        <v>0.01925212884</v>
      </c>
      <c r="Q45" s="13">
        <f t="shared" si="4"/>
        <v>0.002591632729</v>
      </c>
      <c r="R45" s="13">
        <f t="shared" si="5"/>
        <v>0.002813772677</v>
      </c>
      <c r="S45" s="14" t="str">
        <f t="shared" si="6"/>
        <v/>
      </c>
      <c r="T45" s="14" t="str">
        <f t="shared" si="7"/>
        <v/>
      </c>
      <c r="U45" s="14" t="str">
        <f t="shared" si="8"/>
        <v/>
      </c>
    </row>
    <row r="46" ht="15.75" customHeight="1">
      <c r="A46" s="9">
        <v>44979.5745187616</v>
      </c>
      <c r="B46" s="10">
        <v>13.0</v>
      </c>
      <c r="C46" s="10" t="s">
        <v>80</v>
      </c>
      <c r="D46" s="10" t="s">
        <v>219</v>
      </c>
      <c r="E46" s="12" t="s">
        <v>62</v>
      </c>
      <c r="F46" s="11">
        <v>6486.0</v>
      </c>
      <c r="G46" s="11">
        <v>4101.0</v>
      </c>
      <c r="H46" s="11">
        <v>4100.0</v>
      </c>
      <c r="I46" s="11">
        <v>8.0</v>
      </c>
      <c r="J46" s="11">
        <v>168.0</v>
      </c>
      <c r="K46" s="11">
        <v>12.0</v>
      </c>
      <c r="L46" s="11">
        <v>9.0</v>
      </c>
      <c r="M46" s="13">
        <f t="shared" ref="M46:O46" si="48">IFERROR(G46/F46,"")</f>
        <v>0.6322849214</v>
      </c>
      <c r="N46" s="13">
        <f t="shared" si="48"/>
        <v>0.999756157</v>
      </c>
      <c r="O46" s="14">
        <f t="shared" si="48"/>
        <v>0.001951219512</v>
      </c>
      <c r="P46" s="13">
        <f t="shared" si="3"/>
        <v>0.04097560976</v>
      </c>
      <c r="Q46" s="13">
        <f t="shared" si="4"/>
        <v>0.002926829268</v>
      </c>
      <c r="R46" s="13">
        <f t="shared" si="5"/>
        <v>0.002195121951</v>
      </c>
      <c r="S46" s="14" t="str">
        <f t="shared" si="6"/>
        <v/>
      </c>
      <c r="T46" s="14" t="str">
        <f t="shared" si="7"/>
        <v/>
      </c>
      <c r="U46" s="14" t="str">
        <f t="shared" si="8"/>
        <v/>
      </c>
    </row>
    <row r="47" ht="15.75" customHeight="1">
      <c r="A47" s="9">
        <v>44979.7503599306</v>
      </c>
      <c r="B47" s="10">
        <v>18.0</v>
      </c>
      <c r="C47" s="10" t="s">
        <v>80</v>
      </c>
      <c r="D47" s="10" t="s">
        <v>224</v>
      </c>
      <c r="E47" s="12" t="s">
        <v>62</v>
      </c>
      <c r="F47" s="11">
        <v>27928.0</v>
      </c>
      <c r="G47" s="11">
        <v>15772.0</v>
      </c>
      <c r="H47" s="11">
        <v>15772.0</v>
      </c>
      <c r="I47" s="11">
        <v>8.0</v>
      </c>
      <c r="J47" s="11">
        <v>376.0</v>
      </c>
      <c r="K47" s="11">
        <v>12.0</v>
      </c>
      <c r="L47" s="11">
        <v>57.0</v>
      </c>
      <c r="M47" s="13">
        <f t="shared" ref="M47:O47" si="49">IFERROR(G47/F47,"")</f>
        <v>0.5647378975</v>
      </c>
      <c r="N47" s="13">
        <f t="shared" si="49"/>
        <v>1</v>
      </c>
      <c r="O47" s="14">
        <f t="shared" si="49"/>
        <v>0.000507227999</v>
      </c>
      <c r="P47" s="13">
        <f t="shared" si="3"/>
        <v>0.02383971595</v>
      </c>
      <c r="Q47" s="13">
        <f t="shared" si="4"/>
        <v>0.0007608419985</v>
      </c>
      <c r="R47" s="13">
        <f t="shared" si="5"/>
        <v>0.003613999493</v>
      </c>
      <c r="S47" s="14" t="str">
        <f t="shared" si="6"/>
        <v/>
      </c>
      <c r="T47" s="14" t="str">
        <f t="shared" si="7"/>
        <v/>
      </c>
      <c r="U47" s="14" t="str">
        <f t="shared" si="8"/>
        <v/>
      </c>
    </row>
    <row r="48" ht="15.75" customHeight="1">
      <c r="A48" s="9">
        <v>44980.5001778704</v>
      </c>
      <c r="B48" s="10">
        <v>12.0</v>
      </c>
      <c r="C48" s="10" t="s">
        <v>84</v>
      </c>
      <c r="D48" s="10" t="s">
        <v>227</v>
      </c>
      <c r="E48" s="12" t="s">
        <v>62</v>
      </c>
      <c r="F48" s="11">
        <v>37390.0</v>
      </c>
      <c r="G48" s="11">
        <v>24323.0</v>
      </c>
      <c r="H48" s="11">
        <v>24321.0</v>
      </c>
      <c r="I48" s="11">
        <v>2.0</v>
      </c>
      <c r="J48" s="11">
        <v>296.0</v>
      </c>
      <c r="K48" s="11">
        <v>11.0</v>
      </c>
      <c r="L48" s="11">
        <v>45.0</v>
      </c>
      <c r="M48" s="13">
        <f t="shared" ref="M48:O48" si="50">IFERROR(G48/F48,"")</f>
        <v>0.6505215298</v>
      </c>
      <c r="N48" s="13">
        <f t="shared" si="50"/>
        <v>0.9999177733</v>
      </c>
      <c r="O48" s="14">
        <f t="shared" si="50"/>
        <v>0.0000822334608</v>
      </c>
      <c r="P48" s="13">
        <f t="shared" si="3"/>
        <v>0.0121705522</v>
      </c>
      <c r="Q48" s="13">
        <f t="shared" si="4"/>
        <v>0.0004522840344</v>
      </c>
      <c r="R48" s="13">
        <f t="shared" si="5"/>
        <v>0.001850252868</v>
      </c>
      <c r="S48" s="14" t="str">
        <f t="shared" si="6"/>
        <v/>
      </c>
      <c r="T48" s="14" t="str">
        <f t="shared" si="7"/>
        <v/>
      </c>
      <c r="U48" s="14" t="str">
        <f t="shared" si="8"/>
        <v/>
      </c>
    </row>
    <row r="49" ht="15.75" customHeight="1">
      <c r="A49" s="9">
        <v>44981.6179668866</v>
      </c>
      <c r="B49" s="10">
        <v>14.0</v>
      </c>
      <c r="C49" s="10" t="s">
        <v>60</v>
      </c>
      <c r="D49" s="10" t="s">
        <v>232</v>
      </c>
      <c r="E49" s="12" t="s">
        <v>62</v>
      </c>
      <c r="F49" s="11">
        <v>63794.0</v>
      </c>
      <c r="G49" s="11">
        <v>35340.0</v>
      </c>
      <c r="H49" s="11">
        <v>35337.0</v>
      </c>
      <c r="I49" s="11">
        <v>52.0</v>
      </c>
      <c r="J49" s="11">
        <v>411.0</v>
      </c>
      <c r="K49" s="11">
        <v>49.0</v>
      </c>
      <c r="L49" s="11">
        <v>116.0</v>
      </c>
      <c r="M49" s="13">
        <f t="shared" ref="M49:O49" si="51">IFERROR(G49/F49,"")</f>
        <v>0.5539705928</v>
      </c>
      <c r="N49" s="13">
        <f t="shared" si="51"/>
        <v>0.9999151104</v>
      </c>
      <c r="O49" s="14">
        <f t="shared" si="51"/>
        <v>0.001471545406</v>
      </c>
      <c r="P49" s="13">
        <f t="shared" si="3"/>
        <v>0.01163086849</v>
      </c>
      <c r="Q49" s="13">
        <f t="shared" si="4"/>
        <v>0.001386648555</v>
      </c>
      <c r="R49" s="13">
        <f t="shared" si="5"/>
        <v>0.003282678213</v>
      </c>
      <c r="S49" s="14" t="str">
        <f t="shared" si="6"/>
        <v/>
      </c>
      <c r="T49" s="14" t="str">
        <f t="shared" si="7"/>
        <v/>
      </c>
      <c r="U49" s="14" t="str">
        <f t="shared" si="8"/>
        <v/>
      </c>
    </row>
    <row r="50" ht="15.75" customHeight="1">
      <c r="A50" s="9">
        <v>44982.7872894792</v>
      </c>
      <c r="B50" s="10">
        <v>18.0</v>
      </c>
      <c r="C50" s="10" t="s">
        <v>69</v>
      </c>
      <c r="D50" s="10" t="s">
        <v>235</v>
      </c>
      <c r="E50" s="12" t="s">
        <v>62</v>
      </c>
      <c r="F50" s="11">
        <v>20203.0</v>
      </c>
      <c r="G50" s="11">
        <v>12268.0</v>
      </c>
      <c r="H50" s="11">
        <v>12264.0</v>
      </c>
      <c r="I50" s="11">
        <v>2.0</v>
      </c>
      <c r="J50" s="11">
        <v>198.0</v>
      </c>
      <c r="K50" s="11">
        <v>15.0</v>
      </c>
      <c r="L50" s="11">
        <v>28.0</v>
      </c>
      <c r="M50" s="13">
        <f t="shared" ref="M50:O50" si="52">IFERROR(G50/F50,"")</f>
        <v>0.607236549</v>
      </c>
      <c r="N50" s="13">
        <f t="shared" si="52"/>
        <v>0.9996739485</v>
      </c>
      <c r="O50" s="14">
        <f t="shared" si="52"/>
        <v>0.0001630789302</v>
      </c>
      <c r="P50" s="13">
        <f t="shared" si="3"/>
        <v>0.01614481409</v>
      </c>
      <c r="Q50" s="13">
        <f t="shared" si="4"/>
        <v>0.001223091977</v>
      </c>
      <c r="R50" s="13">
        <f t="shared" si="5"/>
        <v>0.002283105023</v>
      </c>
      <c r="S50" s="14" t="str">
        <f t="shared" si="6"/>
        <v/>
      </c>
      <c r="T50" s="14" t="str">
        <f t="shared" si="7"/>
        <v/>
      </c>
      <c r="U50" s="14" t="str">
        <f t="shared" si="8"/>
        <v/>
      </c>
    </row>
    <row r="51" ht="15.75" customHeight="1">
      <c r="A51" s="9">
        <v>44983.6111340972</v>
      </c>
      <c r="B51" s="10">
        <v>14.0</v>
      </c>
      <c r="C51" s="10" t="s">
        <v>77</v>
      </c>
      <c r="D51" s="10" t="s">
        <v>238</v>
      </c>
      <c r="E51" s="12" t="s">
        <v>62</v>
      </c>
      <c r="F51" s="11">
        <v>170352.0</v>
      </c>
      <c r="G51" s="11">
        <v>121561.0</v>
      </c>
      <c r="H51" s="11">
        <v>121557.0</v>
      </c>
      <c r="I51" s="11">
        <v>3.0</v>
      </c>
      <c r="J51" s="11">
        <v>422.0</v>
      </c>
      <c r="K51" s="11">
        <v>69.0</v>
      </c>
      <c r="L51" s="11">
        <v>144.0</v>
      </c>
      <c r="M51" s="13">
        <f t="shared" ref="M51:O51" si="53">IFERROR(G51/F51,"")</f>
        <v>0.7135871607</v>
      </c>
      <c r="N51" s="13">
        <f t="shared" si="53"/>
        <v>0.9999670947</v>
      </c>
      <c r="O51" s="14">
        <f t="shared" si="53"/>
        <v>0.00002467977986</v>
      </c>
      <c r="P51" s="13">
        <f t="shared" si="3"/>
        <v>0.003471622366</v>
      </c>
      <c r="Q51" s="13">
        <f t="shared" si="4"/>
        <v>0.0005676349367</v>
      </c>
      <c r="R51" s="13">
        <f t="shared" si="5"/>
        <v>0.001184629433</v>
      </c>
      <c r="S51" s="14" t="str">
        <f t="shared" si="6"/>
        <v/>
      </c>
      <c r="T51" s="14" t="str">
        <f t="shared" si="7"/>
        <v/>
      </c>
      <c r="U51" s="14" t="str">
        <f t="shared" si="8"/>
        <v/>
      </c>
    </row>
    <row r="52" ht="15.75" customHeight="1">
      <c r="A52" s="9">
        <v>44983.7508995949</v>
      </c>
      <c r="B52" s="10">
        <v>18.0</v>
      </c>
      <c r="C52" s="10" t="s">
        <v>77</v>
      </c>
      <c r="D52" s="10" t="s">
        <v>241</v>
      </c>
      <c r="E52" s="12" t="s">
        <v>62</v>
      </c>
      <c r="F52" s="11">
        <v>5995.0</v>
      </c>
      <c r="G52" s="11">
        <v>3713.0</v>
      </c>
      <c r="H52" s="11">
        <v>3714.0</v>
      </c>
      <c r="I52" s="11">
        <v>15.0</v>
      </c>
      <c r="J52" s="11">
        <v>257.0</v>
      </c>
      <c r="K52" s="11">
        <v>8.0</v>
      </c>
      <c r="L52" s="11">
        <v>19.0</v>
      </c>
      <c r="M52" s="13">
        <f t="shared" ref="M52:O52" si="54">IFERROR(G52/F52,"")</f>
        <v>0.6193494579</v>
      </c>
      <c r="N52" s="13">
        <f t="shared" si="54"/>
        <v>1.000269324</v>
      </c>
      <c r="O52" s="14">
        <f t="shared" si="54"/>
        <v>0.004038772213</v>
      </c>
      <c r="P52" s="13">
        <f t="shared" si="3"/>
        <v>0.06919763059</v>
      </c>
      <c r="Q52" s="13">
        <f t="shared" si="4"/>
        <v>0.002154011847</v>
      </c>
      <c r="R52" s="13">
        <f t="shared" si="5"/>
        <v>0.005115778137</v>
      </c>
      <c r="S52" s="14" t="str">
        <f t="shared" si="6"/>
        <v/>
      </c>
      <c r="T52" s="14" t="str">
        <f t="shared" si="7"/>
        <v/>
      </c>
      <c r="U52" s="14" t="str">
        <f t="shared" si="8"/>
        <v/>
      </c>
    </row>
    <row r="53" ht="15.75" customHeight="1">
      <c r="A53" s="9">
        <v>44984.7892589815</v>
      </c>
      <c r="B53" s="10">
        <v>18.0</v>
      </c>
      <c r="C53" s="10" t="s">
        <v>71</v>
      </c>
      <c r="D53" s="10" t="s">
        <v>244</v>
      </c>
      <c r="E53" s="12" t="s">
        <v>62</v>
      </c>
      <c r="F53" s="11">
        <v>43681.0</v>
      </c>
      <c r="G53" s="11">
        <v>26716.0</v>
      </c>
      <c r="H53" s="11">
        <v>26713.0</v>
      </c>
      <c r="I53" s="11">
        <v>2.0</v>
      </c>
      <c r="J53" s="11">
        <v>218.0</v>
      </c>
      <c r="K53" s="11">
        <v>32.0</v>
      </c>
      <c r="L53" s="11">
        <v>39.0</v>
      </c>
      <c r="M53" s="13">
        <f t="shared" ref="M53:O53" si="55">IFERROR(G53/F53,"")</f>
        <v>0.6116160344</v>
      </c>
      <c r="N53" s="13">
        <f t="shared" si="55"/>
        <v>0.9998877077</v>
      </c>
      <c r="O53" s="14">
        <f t="shared" si="55"/>
        <v>0.00007486991353</v>
      </c>
      <c r="P53" s="13">
        <f t="shared" si="3"/>
        <v>0.008160820574</v>
      </c>
      <c r="Q53" s="13">
        <f t="shared" si="4"/>
        <v>0.001197918616</v>
      </c>
      <c r="R53" s="13">
        <f t="shared" si="5"/>
        <v>0.001459963314</v>
      </c>
      <c r="S53" s="14" t="str">
        <f t="shared" si="6"/>
        <v/>
      </c>
      <c r="T53" s="14" t="str">
        <f t="shared" si="7"/>
        <v/>
      </c>
      <c r="U53" s="14" t="str">
        <f t="shared" si="8"/>
        <v/>
      </c>
    </row>
    <row r="54" ht="15.75" customHeight="1">
      <c r="A54" s="9">
        <v>44985.7899486806</v>
      </c>
      <c r="B54" s="10">
        <v>18.0</v>
      </c>
      <c r="C54" s="10" t="s">
        <v>59</v>
      </c>
      <c r="D54" s="10" t="s">
        <v>247</v>
      </c>
      <c r="E54" s="12" t="s">
        <v>62</v>
      </c>
      <c r="F54" s="11">
        <v>13137.0</v>
      </c>
      <c r="G54" s="11">
        <v>6405.0</v>
      </c>
      <c r="H54" s="11">
        <v>6401.0</v>
      </c>
      <c r="I54" s="11">
        <v>2.0</v>
      </c>
      <c r="J54" s="11">
        <v>249.0</v>
      </c>
      <c r="K54" s="11">
        <v>16.0</v>
      </c>
      <c r="L54" s="11">
        <v>15.0</v>
      </c>
      <c r="M54" s="13">
        <f t="shared" ref="M54:O54" si="56">IFERROR(G54/F54,"")</f>
        <v>0.4875542361</v>
      </c>
      <c r="N54" s="13">
        <f t="shared" si="56"/>
        <v>0.9993754879</v>
      </c>
      <c r="O54" s="14">
        <f t="shared" si="56"/>
        <v>0.0003124511795</v>
      </c>
      <c r="P54" s="13">
        <f t="shared" si="3"/>
        <v>0.03890017185</v>
      </c>
      <c r="Q54" s="13">
        <f t="shared" si="4"/>
        <v>0.002499609436</v>
      </c>
      <c r="R54" s="13">
        <f t="shared" si="5"/>
        <v>0.002343383846</v>
      </c>
      <c r="S54" s="14" t="str">
        <f t="shared" si="6"/>
        <v/>
      </c>
      <c r="T54" s="14" t="str">
        <f t="shared" si="7"/>
        <v/>
      </c>
      <c r="U54" s="14" t="str">
        <f t="shared" si="8"/>
        <v/>
      </c>
    </row>
    <row r="55" ht="15.75" customHeight="1">
      <c r="A55" s="9">
        <v>44986.5923881829</v>
      </c>
      <c r="B55" s="10">
        <v>14.0</v>
      </c>
      <c r="C55" s="10" t="s">
        <v>80</v>
      </c>
      <c r="D55" s="10" t="s">
        <v>250</v>
      </c>
      <c r="E55" s="12" t="s">
        <v>62</v>
      </c>
      <c r="F55" s="11">
        <v>83970.0</v>
      </c>
      <c r="G55" s="11">
        <v>58969.0</v>
      </c>
      <c r="H55" s="11">
        <v>58965.0</v>
      </c>
      <c r="I55" s="11">
        <v>2.0</v>
      </c>
      <c r="J55" s="11">
        <v>242.0</v>
      </c>
      <c r="K55" s="11">
        <v>51.0</v>
      </c>
      <c r="L55" s="11">
        <v>43.0</v>
      </c>
      <c r="M55" s="13">
        <f t="shared" ref="M55:O55" si="57">IFERROR(G55/F55,"")</f>
        <v>0.7022627129</v>
      </c>
      <c r="N55" s="13">
        <f t="shared" si="57"/>
        <v>0.9999321677</v>
      </c>
      <c r="O55" s="14">
        <f t="shared" si="57"/>
        <v>0.00003391842619</v>
      </c>
      <c r="P55" s="13">
        <f t="shared" si="3"/>
        <v>0.004104129568</v>
      </c>
      <c r="Q55" s="13">
        <f t="shared" si="4"/>
        <v>0.0008649198677</v>
      </c>
      <c r="R55" s="13">
        <f t="shared" si="5"/>
        <v>0.000729246163</v>
      </c>
      <c r="S55" s="14" t="str">
        <f t="shared" si="6"/>
        <v/>
      </c>
      <c r="T55" s="14" t="str">
        <f t="shared" si="7"/>
        <v/>
      </c>
      <c r="U55" s="14" t="str">
        <f t="shared" si="8"/>
        <v/>
      </c>
    </row>
    <row r="56" ht="15.75" customHeight="1">
      <c r="A56" s="9">
        <v>44987.6095471412</v>
      </c>
      <c r="B56" s="10">
        <v>14.0</v>
      </c>
      <c r="C56" s="10" t="s">
        <v>84</v>
      </c>
      <c r="D56" s="10" t="s">
        <v>253</v>
      </c>
      <c r="E56" s="12" t="s">
        <v>62</v>
      </c>
      <c r="F56" s="11">
        <v>253.0</v>
      </c>
      <c r="G56" s="11">
        <v>99.0</v>
      </c>
      <c r="H56" s="11">
        <v>99.0</v>
      </c>
      <c r="I56" s="11">
        <v>0.0</v>
      </c>
      <c r="J56" s="11">
        <v>6.0</v>
      </c>
      <c r="K56" s="11">
        <v>0.0</v>
      </c>
      <c r="L56" s="11">
        <v>4.0</v>
      </c>
      <c r="M56" s="13">
        <f t="shared" ref="M56:O56" si="58">IFERROR(G56/F56,"")</f>
        <v>0.3913043478</v>
      </c>
      <c r="N56" s="13">
        <f t="shared" si="58"/>
        <v>1</v>
      </c>
      <c r="O56" s="14">
        <f t="shared" si="58"/>
        <v>0</v>
      </c>
      <c r="P56" s="13">
        <f t="shared" si="3"/>
        <v>0.06060606061</v>
      </c>
      <c r="Q56" s="13">
        <f t="shared" si="4"/>
        <v>0</v>
      </c>
      <c r="R56" s="13">
        <f t="shared" si="5"/>
        <v>0.0404040404</v>
      </c>
      <c r="S56" s="14" t="str">
        <f t="shared" si="6"/>
        <v/>
      </c>
      <c r="T56" s="14" t="str">
        <f t="shared" si="7"/>
        <v/>
      </c>
      <c r="U56" s="14" t="str">
        <f t="shared" si="8"/>
        <v/>
      </c>
    </row>
    <row r="57" ht="15.75" customHeight="1">
      <c r="A57" s="9">
        <v>44989.5171665625</v>
      </c>
      <c r="B57" s="10">
        <v>12.0</v>
      </c>
      <c r="C57" s="10" t="s">
        <v>69</v>
      </c>
      <c r="D57" s="10" t="s">
        <v>256</v>
      </c>
      <c r="E57" s="12" t="s">
        <v>62</v>
      </c>
      <c r="F57" s="11">
        <v>39965.0</v>
      </c>
      <c r="G57" s="11">
        <v>24471.0</v>
      </c>
      <c r="H57" s="11">
        <v>24471.0</v>
      </c>
      <c r="I57" s="11">
        <v>44.0</v>
      </c>
      <c r="J57" s="11">
        <v>321.0</v>
      </c>
      <c r="K57" s="11">
        <v>17.0</v>
      </c>
      <c r="L57" s="11">
        <v>53.0</v>
      </c>
      <c r="M57" s="13">
        <f t="shared" ref="M57:O57" si="59">IFERROR(G57/F57,"")</f>
        <v>0.6123107719</v>
      </c>
      <c r="N57" s="13">
        <f t="shared" si="59"/>
        <v>1</v>
      </c>
      <c r="O57" s="14">
        <f t="shared" si="59"/>
        <v>0.001798046667</v>
      </c>
      <c r="P57" s="13">
        <f t="shared" si="3"/>
        <v>0.01311756773</v>
      </c>
      <c r="Q57" s="13">
        <f t="shared" si="4"/>
        <v>0.0006946998488</v>
      </c>
      <c r="R57" s="13">
        <f t="shared" si="5"/>
        <v>0.00216582894</v>
      </c>
      <c r="S57" s="14" t="str">
        <f t="shared" si="6"/>
        <v/>
      </c>
      <c r="T57" s="14" t="str">
        <f t="shared" si="7"/>
        <v/>
      </c>
      <c r="U57" s="14" t="str">
        <f t="shared" si="8"/>
        <v/>
      </c>
    </row>
    <row r="58" ht="15.75" customHeight="1">
      <c r="A58" s="9">
        <v>44990.7483821181</v>
      </c>
      <c r="B58" s="10">
        <v>17.0</v>
      </c>
      <c r="C58" s="10" t="s">
        <v>77</v>
      </c>
      <c r="D58" s="10" t="s">
        <v>260</v>
      </c>
      <c r="E58" s="12" t="s">
        <v>62</v>
      </c>
      <c r="F58" s="11">
        <v>27645.0</v>
      </c>
      <c r="G58" s="11">
        <v>13334.0</v>
      </c>
      <c r="H58" s="11">
        <v>13331.0</v>
      </c>
      <c r="I58" s="11">
        <v>1.0</v>
      </c>
      <c r="J58" s="11">
        <v>209.0</v>
      </c>
      <c r="K58" s="11">
        <v>16.0</v>
      </c>
      <c r="L58" s="11">
        <v>28.0</v>
      </c>
      <c r="M58" s="13">
        <f t="shared" ref="M58:O58" si="60">IFERROR(G58/F58,"")</f>
        <v>0.4823295352</v>
      </c>
      <c r="N58" s="13">
        <f t="shared" si="60"/>
        <v>0.9997750112</v>
      </c>
      <c r="O58" s="14">
        <f t="shared" si="60"/>
        <v>0.0000750131273</v>
      </c>
      <c r="P58" s="13">
        <f t="shared" si="3"/>
        <v>0.01567774361</v>
      </c>
      <c r="Q58" s="13">
        <f t="shared" si="4"/>
        <v>0.001200210037</v>
      </c>
      <c r="R58" s="13">
        <f t="shared" si="5"/>
        <v>0.002100367564</v>
      </c>
      <c r="S58" s="14" t="str">
        <f t="shared" si="6"/>
        <v/>
      </c>
      <c r="T58" s="14" t="str">
        <f t="shared" si="7"/>
        <v/>
      </c>
      <c r="U58" s="14" t="str">
        <f t="shared" si="8"/>
        <v/>
      </c>
    </row>
    <row r="59" ht="15.75" customHeight="1">
      <c r="A59" s="9">
        <v>44992.4871458565</v>
      </c>
      <c r="B59" s="10">
        <v>11.0</v>
      </c>
      <c r="C59" s="10" t="s">
        <v>59</v>
      </c>
      <c r="D59" s="10" t="s">
        <v>265</v>
      </c>
      <c r="E59" s="12" t="s">
        <v>62</v>
      </c>
      <c r="F59" s="11">
        <v>91104.0</v>
      </c>
      <c r="G59" s="11">
        <v>35029.0</v>
      </c>
      <c r="H59" s="11">
        <v>35026.0</v>
      </c>
      <c r="I59" s="11">
        <v>2.0</v>
      </c>
      <c r="J59" s="11">
        <v>295.0</v>
      </c>
      <c r="K59" s="11">
        <v>33.0</v>
      </c>
      <c r="L59" s="11">
        <v>53.0</v>
      </c>
      <c r="M59" s="13">
        <f t="shared" ref="M59:O59" si="61">IFERROR(G59/F59,"")</f>
        <v>0.3844946435</v>
      </c>
      <c r="N59" s="13">
        <f t="shared" si="61"/>
        <v>0.9999143567</v>
      </c>
      <c r="O59" s="14">
        <f t="shared" si="61"/>
        <v>0.00005710043967</v>
      </c>
      <c r="P59" s="13">
        <f t="shared" si="3"/>
        <v>0.008422314852</v>
      </c>
      <c r="Q59" s="13">
        <f t="shared" si="4"/>
        <v>0.0009421572546</v>
      </c>
      <c r="R59" s="13">
        <f t="shared" si="5"/>
        <v>0.001513161651</v>
      </c>
      <c r="S59" s="14" t="str">
        <f t="shared" si="6"/>
        <v/>
      </c>
      <c r="T59" s="14" t="str">
        <f t="shared" si="7"/>
        <v/>
      </c>
      <c r="U59" s="14" t="str">
        <f t="shared" si="8"/>
        <v/>
      </c>
    </row>
    <row r="60" ht="15.75" customHeight="1">
      <c r="A60" s="9">
        <v>44994.5992374769</v>
      </c>
      <c r="B60" s="10">
        <v>14.0</v>
      </c>
      <c r="C60" s="10" t="s">
        <v>84</v>
      </c>
      <c r="D60" s="10" t="s">
        <v>268</v>
      </c>
      <c r="E60" s="12" t="s">
        <v>62</v>
      </c>
      <c r="F60" s="11">
        <v>188874.0</v>
      </c>
      <c r="G60" s="11">
        <v>43786.0</v>
      </c>
      <c r="H60" s="11">
        <v>43784.0</v>
      </c>
      <c r="I60" s="11">
        <v>4.0</v>
      </c>
      <c r="J60" s="11">
        <v>257.0</v>
      </c>
      <c r="K60" s="11">
        <v>33.0</v>
      </c>
      <c r="L60" s="11">
        <v>81.0</v>
      </c>
      <c r="M60" s="13">
        <f t="shared" ref="M60:O60" si="62">IFERROR(G60/F60,"")</f>
        <v>0.2318265087</v>
      </c>
      <c r="N60" s="13">
        <f t="shared" si="62"/>
        <v>0.9999543233</v>
      </c>
      <c r="O60" s="14">
        <f t="shared" si="62"/>
        <v>0.00009135757354</v>
      </c>
      <c r="P60" s="13">
        <f t="shared" si="3"/>
        <v>0.0058697241</v>
      </c>
      <c r="Q60" s="13">
        <f t="shared" si="4"/>
        <v>0.0007536999817</v>
      </c>
      <c r="R60" s="13">
        <f t="shared" si="5"/>
        <v>0.001849990864</v>
      </c>
      <c r="S60" s="14" t="str">
        <f t="shared" si="6"/>
        <v/>
      </c>
      <c r="T60" s="14" t="str">
        <f t="shared" si="7"/>
        <v/>
      </c>
      <c r="U60" s="14" t="str">
        <f t="shared" si="8"/>
        <v/>
      </c>
    </row>
    <row r="61" ht="15.75" customHeight="1">
      <c r="A61" s="9">
        <v>44995.4079023611</v>
      </c>
      <c r="B61" s="10">
        <v>9.0</v>
      </c>
      <c r="C61" s="10" t="s">
        <v>60</v>
      </c>
      <c r="D61" s="10" t="s">
        <v>271</v>
      </c>
      <c r="E61" s="12" t="s">
        <v>62</v>
      </c>
      <c r="F61" s="11">
        <v>46686.0</v>
      </c>
      <c r="G61" s="11">
        <v>14471.0</v>
      </c>
      <c r="H61" s="11">
        <v>14467.0</v>
      </c>
      <c r="I61" s="11">
        <v>2.0</v>
      </c>
      <c r="J61" s="11">
        <v>222.0</v>
      </c>
      <c r="K61" s="11">
        <v>7.0</v>
      </c>
      <c r="L61" s="11">
        <v>13.0</v>
      </c>
      <c r="M61" s="13">
        <f t="shared" ref="M61:O61" si="63">IFERROR(G61/F61,"")</f>
        <v>0.3099644433</v>
      </c>
      <c r="N61" s="13">
        <f t="shared" si="63"/>
        <v>0.9997235851</v>
      </c>
      <c r="O61" s="14">
        <f t="shared" si="63"/>
        <v>0.0001382456625</v>
      </c>
      <c r="P61" s="13">
        <f t="shared" si="3"/>
        <v>0.01534526854</v>
      </c>
      <c r="Q61" s="13">
        <f t="shared" si="4"/>
        <v>0.0004838598189</v>
      </c>
      <c r="R61" s="13">
        <f t="shared" si="5"/>
        <v>0.0008985968065</v>
      </c>
      <c r="S61" s="14" t="str">
        <f t="shared" si="6"/>
        <v/>
      </c>
      <c r="T61" s="14" t="str">
        <f t="shared" si="7"/>
        <v/>
      </c>
      <c r="U61" s="14" t="str">
        <f t="shared" si="8"/>
        <v/>
      </c>
    </row>
    <row r="62" ht="15.75" customHeight="1">
      <c r="A62" s="9">
        <v>44996.5071434607</v>
      </c>
      <c r="B62" s="10">
        <v>12.0</v>
      </c>
      <c r="C62" s="10" t="s">
        <v>69</v>
      </c>
      <c r="D62" s="10" t="s">
        <v>274</v>
      </c>
      <c r="E62" s="12" t="s">
        <v>62</v>
      </c>
      <c r="F62" s="11">
        <v>99338.0</v>
      </c>
      <c r="G62" s="11">
        <v>30099.0</v>
      </c>
      <c r="H62" s="11">
        <v>30095.0</v>
      </c>
      <c r="I62" s="11">
        <v>8.0</v>
      </c>
      <c r="J62" s="11">
        <v>379.0</v>
      </c>
      <c r="K62" s="11">
        <v>49.0</v>
      </c>
      <c r="L62" s="11">
        <v>60.0</v>
      </c>
      <c r="M62" s="13">
        <f t="shared" ref="M62:O62" si="64">IFERROR(G62/F62,"")</f>
        <v>0.3029958324</v>
      </c>
      <c r="N62" s="13">
        <f t="shared" si="64"/>
        <v>0.9998671052</v>
      </c>
      <c r="O62" s="14">
        <f t="shared" si="64"/>
        <v>0.0002658248879</v>
      </c>
      <c r="P62" s="13">
        <f t="shared" si="3"/>
        <v>0.01259345406</v>
      </c>
      <c r="Q62" s="13">
        <f t="shared" si="4"/>
        <v>0.001628177438</v>
      </c>
      <c r="R62" s="13">
        <f t="shared" si="5"/>
        <v>0.001993686659</v>
      </c>
      <c r="S62" s="14" t="str">
        <f t="shared" si="6"/>
        <v/>
      </c>
      <c r="T62" s="14" t="str">
        <f t="shared" si="7"/>
        <v/>
      </c>
      <c r="U62" s="14" t="str">
        <f t="shared" si="8"/>
        <v/>
      </c>
    </row>
    <row r="63" ht="15.75" customHeight="1">
      <c r="A63" s="9">
        <v>44996.750146713</v>
      </c>
      <c r="B63" s="10">
        <v>18.0</v>
      </c>
      <c r="C63" s="10" t="s">
        <v>69</v>
      </c>
      <c r="D63" s="10" t="s">
        <v>277</v>
      </c>
      <c r="E63" s="12" t="s">
        <v>62</v>
      </c>
      <c r="F63" s="11">
        <v>3062.0</v>
      </c>
      <c r="G63" s="11">
        <v>1459.0</v>
      </c>
      <c r="H63" s="11">
        <v>1454.0</v>
      </c>
      <c r="I63" s="11">
        <v>11.0</v>
      </c>
      <c r="J63" s="11">
        <v>82.0</v>
      </c>
      <c r="K63" s="11">
        <v>8.0</v>
      </c>
      <c r="L63" s="11">
        <v>5.0</v>
      </c>
      <c r="M63" s="13">
        <f t="shared" ref="M63:O63" si="65">IFERROR(G63/F63,"")</f>
        <v>0.4764859569</v>
      </c>
      <c r="N63" s="13">
        <f t="shared" si="65"/>
        <v>0.9965729952</v>
      </c>
      <c r="O63" s="14">
        <f t="shared" si="65"/>
        <v>0.007565337001</v>
      </c>
      <c r="P63" s="13">
        <f t="shared" si="3"/>
        <v>0.05639614856</v>
      </c>
      <c r="Q63" s="13">
        <f t="shared" si="4"/>
        <v>0.005502063274</v>
      </c>
      <c r="R63" s="13">
        <f t="shared" si="5"/>
        <v>0.003438789546</v>
      </c>
      <c r="S63" s="14" t="str">
        <f t="shared" si="6"/>
        <v/>
      </c>
      <c r="T63" s="14" t="str">
        <f t="shared" si="7"/>
        <v/>
      </c>
      <c r="U63" s="14" t="str">
        <f t="shared" si="8"/>
        <v/>
      </c>
    </row>
    <row r="64" ht="15.75" customHeight="1">
      <c r="A64" s="9">
        <v>44997.49980375</v>
      </c>
      <c r="B64" s="10">
        <v>11.0</v>
      </c>
      <c r="C64" s="10" t="s">
        <v>77</v>
      </c>
      <c r="D64" s="10" t="s">
        <v>280</v>
      </c>
      <c r="E64" s="12" t="s">
        <v>62</v>
      </c>
      <c r="F64" s="11">
        <v>109602.0</v>
      </c>
      <c r="G64" s="11">
        <v>37498.0</v>
      </c>
      <c r="H64" s="11">
        <v>37495.0</v>
      </c>
      <c r="I64" s="11">
        <v>2.0</v>
      </c>
      <c r="J64" s="11">
        <v>317.0</v>
      </c>
      <c r="K64" s="11">
        <v>24.0</v>
      </c>
      <c r="L64" s="11">
        <v>43.0</v>
      </c>
      <c r="M64" s="13">
        <f t="shared" ref="M64:O64" si="66">IFERROR(G64/F64,"")</f>
        <v>0.3421287933</v>
      </c>
      <c r="N64" s="13">
        <f t="shared" si="66"/>
        <v>0.9999199957</v>
      </c>
      <c r="O64" s="14">
        <f t="shared" si="66"/>
        <v>0.00005334044539</v>
      </c>
      <c r="P64" s="13">
        <f t="shared" si="3"/>
        <v>0.008454460595</v>
      </c>
      <c r="Q64" s="13">
        <f t="shared" si="4"/>
        <v>0.0006400853447</v>
      </c>
      <c r="R64" s="13">
        <f t="shared" si="5"/>
        <v>0.001146819576</v>
      </c>
      <c r="S64" s="14" t="str">
        <f t="shared" si="6"/>
        <v/>
      </c>
      <c r="T64" s="14" t="str">
        <f t="shared" si="7"/>
        <v/>
      </c>
      <c r="U64" s="14" t="str">
        <f t="shared" si="8"/>
        <v/>
      </c>
    </row>
    <row r="65" ht="15.75" customHeight="1">
      <c r="A65" s="9">
        <v>44997.7499032986</v>
      </c>
      <c r="B65" s="10">
        <v>17.0</v>
      </c>
      <c r="C65" s="10" t="s">
        <v>77</v>
      </c>
      <c r="D65" s="10" t="s">
        <v>283</v>
      </c>
      <c r="E65" s="12" t="s">
        <v>62</v>
      </c>
      <c r="F65" s="11">
        <v>9457.0</v>
      </c>
      <c r="G65" s="11">
        <v>4993.0</v>
      </c>
      <c r="H65" s="11">
        <v>4987.0</v>
      </c>
      <c r="I65" s="11">
        <v>12.0</v>
      </c>
      <c r="J65" s="11">
        <v>127.0</v>
      </c>
      <c r="K65" s="11">
        <v>6.0</v>
      </c>
      <c r="L65" s="11">
        <v>8.0</v>
      </c>
      <c r="M65" s="13">
        <f t="shared" ref="M65:O65" si="67">IFERROR(G65/F65,"")</f>
        <v>0.5279687004</v>
      </c>
      <c r="N65" s="13">
        <f t="shared" si="67"/>
        <v>0.9987983176</v>
      </c>
      <c r="O65" s="14">
        <f t="shared" si="67"/>
        <v>0.002406256266</v>
      </c>
      <c r="P65" s="13">
        <f t="shared" si="3"/>
        <v>0.02546621215</v>
      </c>
      <c r="Q65" s="13">
        <f t="shared" si="4"/>
        <v>0.001203128133</v>
      </c>
      <c r="R65" s="13">
        <f t="shared" si="5"/>
        <v>0.001604170844</v>
      </c>
      <c r="S65" s="14" t="str">
        <f t="shared" si="6"/>
        <v/>
      </c>
      <c r="T65" s="14" t="str">
        <f t="shared" si="7"/>
        <v/>
      </c>
      <c r="U65" s="14" t="str">
        <f t="shared" si="8"/>
        <v/>
      </c>
    </row>
    <row r="66" ht="15.75" customHeight="1">
      <c r="A66" s="9">
        <v>44998.500553588</v>
      </c>
      <c r="B66" s="10">
        <v>12.0</v>
      </c>
      <c r="C66" s="10" t="s">
        <v>71</v>
      </c>
      <c r="D66" s="10" t="s">
        <v>286</v>
      </c>
      <c r="E66" s="12" t="s">
        <v>62</v>
      </c>
      <c r="F66" s="11">
        <v>64086.0</v>
      </c>
      <c r="G66" s="11">
        <v>16508.0</v>
      </c>
      <c r="H66" s="11">
        <v>16508.0</v>
      </c>
      <c r="I66" s="11">
        <v>16.0</v>
      </c>
      <c r="J66" s="11">
        <v>282.0</v>
      </c>
      <c r="K66" s="11">
        <v>21.0</v>
      </c>
      <c r="L66" s="11">
        <v>40.0</v>
      </c>
      <c r="M66" s="13">
        <f t="shared" ref="M66:O66" si="68">IFERROR(G66/F66,"")</f>
        <v>0.2575913616</v>
      </c>
      <c r="N66" s="13">
        <f t="shared" si="68"/>
        <v>1</v>
      </c>
      <c r="O66" s="14">
        <f t="shared" si="68"/>
        <v>0.0009692270414</v>
      </c>
      <c r="P66" s="13">
        <f t="shared" si="3"/>
        <v>0.01708262661</v>
      </c>
      <c r="Q66" s="13">
        <f t="shared" si="4"/>
        <v>0.001272110492</v>
      </c>
      <c r="R66" s="13">
        <f t="shared" si="5"/>
        <v>0.002423067604</v>
      </c>
      <c r="S66" s="14" t="str">
        <f t="shared" si="6"/>
        <v/>
      </c>
      <c r="T66" s="14" t="str">
        <f t="shared" si="7"/>
        <v/>
      </c>
      <c r="U66" s="14" t="str">
        <f t="shared" si="8"/>
        <v/>
      </c>
    </row>
    <row r="67" ht="15.75" customHeight="1">
      <c r="A67" s="9">
        <v>44998.750293206</v>
      </c>
      <c r="B67" s="10">
        <v>18.0</v>
      </c>
      <c r="C67" s="10" t="s">
        <v>71</v>
      </c>
      <c r="D67" s="10" t="s">
        <v>289</v>
      </c>
      <c r="E67" s="12" t="s">
        <v>62</v>
      </c>
      <c r="F67" s="11">
        <v>9756.0</v>
      </c>
      <c r="G67" s="11">
        <v>4771.0</v>
      </c>
      <c r="H67" s="11">
        <v>4768.0</v>
      </c>
      <c r="I67" s="11">
        <v>1.0</v>
      </c>
      <c r="J67" s="11">
        <v>179.0</v>
      </c>
      <c r="K67" s="11">
        <v>15.0</v>
      </c>
      <c r="L67" s="11">
        <v>6.0</v>
      </c>
      <c r="M67" s="13">
        <f t="shared" ref="M67:O67" si="69">IFERROR(G67/F67,"")</f>
        <v>0.4890323903</v>
      </c>
      <c r="N67" s="13">
        <f t="shared" si="69"/>
        <v>0.999371201</v>
      </c>
      <c r="O67" s="14">
        <f t="shared" si="69"/>
        <v>0.0002097315436</v>
      </c>
      <c r="P67" s="13">
        <f t="shared" si="3"/>
        <v>0.03754194631</v>
      </c>
      <c r="Q67" s="13">
        <f t="shared" si="4"/>
        <v>0.003145973154</v>
      </c>
      <c r="R67" s="13">
        <f t="shared" si="5"/>
        <v>0.001258389262</v>
      </c>
      <c r="S67" s="14" t="str">
        <f t="shared" si="6"/>
        <v/>
      </c>
      <c r="T67" s="14" t="str">
        <f t="shared" si="7"/>
        <v/>
      </c>
      <c r="U67" s="14" t="str">
        <f t="shared" si="8"/>
        <v/>
      </c>
    </row>
    <row r="68" ht="15.75" customHeight="1">
      <c r="A68" s="9">
        <v>44999.5004257523</v>
      </c>
      <c r="B68" s="10">
        <v>12.0</v>
      </c>
      <c r="C68" s="10" t="s">
        <v>59</v>
      </c>
      <c r="D68" s="10" t="s">
        <v>292</v>
      </c>
      <c r="E68" s="12" t="s">
        <v>62</v>
      </c>
      <c r="F68" s="11">
        <v>64536.0</v>
      </c>
      <c r="G68" s="11">
        <v>15384.0</v>
      </c>
      <c r="H68" s="11">
        <v>15381.0</v>
      </c>
      <c r="I68" s="11">
        <v>1.0</v>
      </c>
      <c r="J68" s="11">
        <v>190.0</v>
      </c>
      <c r="K68" s="11">
        <v>31.0</v>
      </c>
      <c r="L68" s="11">
        <v>9.0</v>
      </c>
      <c r="M68" s="13">
        <f t="shared" ref="M68:O68" si="70">IFERROR(G68/F68,"")</f>
        <v>0.2383785794</v>
      </c>
      <c r="N68" s="13">
        <f t="shared" si="70"/>
        <v>0.9998049922</v>
      </c>
      <c r="O68" s="14">
        <f t="shared" si="70"/>
        <v>0.00006501527859</v>
      </c>
      <c r="P68" s="13">
        <f t="shared" si="3"/>
        <v>0.01235290293</v>
      </c>
      <c r="Q68" s="13">
        <f t="shared" si="4"/>
        <v>0.002015473636</v>
      </c>
      <c r="R68" s="13">
        <f t="shared" si="5"/>
        <v>0.0005851375073</v>
      </c>
      <c r="S68" s="14" t="str">
        <f t="shared" si="6"/>
        <v/>
      </c>
      <c r="T68" s="14" t="str">
        <f t="shared" si="7"/>
        <v/>
      </c>
      <c r="U68" s="14" t="str">
        <f t="shared" si="8"/>
        <v/>
      </c>
    </row>
    <row r="69" ht="15.75" customHeight="1">
      <c r="A69" s="9">
        <v>44999.7500480556</v>
      </c>
      <c r="B69" s="10">
        <v>18.0</v>
      </c>
      <c r="C69" s="10" t="s">
        <v>59</v>
      </c>
      <c r="D69" s="10" t="s">
        <v>295</v>
      </c>
      <c r="E69" s="12" t="s">
        <v>62</v>
      </c>
      <c r="F69" s="11">
        <v>2625.0</v>
      </c>
      <c r="G69" s="11">
        <v>1256.0</v>
      </c>
      <c r="H69" s="11">
        <v>1255.0</v>
      </c>
      <c r="I69" s="11">
        <v>1.0</v>
      </c>
      <c r="J69" s="11">
        <v>76.0</v>
      </c>
      <c r="K69" s="11">
        <v>1.0</v>
      </c>
      <c r="L69" s="11">
        <v>3.0</v>
      </c>
      <c r="M69" s="13">
        <f t="shared" ref="M69:O69" si="71">IFERROR(G69/F69,"")</f>
        <v>0.4784761905</v>
      </c>
      <c r="N69" s="13">
        <f t="shared" si="71"/>
        <v>0.9992038217</v>
      </c>
      <c r="O69" s="14">
        <f t="shared" si="71"/>
        <v>0.000796812749</v>
      </c>
      <c r="P69" s="13">
        <f t="shared" si="3"/>
        <v>0.06055776892</v>
      </c>
      <c r="Q69" s="13">
        <f t="shared" si="4"/>
        <v>0.000796812749</v>
      </c>
      <c r="R69" s="13">
        <f t="shared" si="5"/>
        <v>0.002390438247</v>
      </c>
      <c r="S69" s="14" t="str">
        <f t="shared" si="6"/>
        <v/>
      </c>
      <c r="T69" s="14" t="str">
        <f t="shared" si="7"/>
        <v/>
      </c>
      <c r="U69" s="14" t="str">
        <f t="shared" si="8"/>
        <v/>
      </c>
    </row>
    <row r="70" ht="15.75" customHeight="1">
      <c r="A70" s="9">
        <v>45000.5005107755</v>
      </c>
      <c r="B70" s="10">
        <v>12.0</v>
      </c>
      <c r="C70" s="10" t="s">
        <v>80</v>
      </c>
      <c r="D70" s="10" t="s">
        <v>298</v>
      </c>
      <c r="E70" s="12" t="s">
        <v>62</v>
      </c>
      <c r="F70" s="11">
        <v>58823.0</v>
      </c>
      <c r="G70" s="11">
        <v>12453.0</v>
      </c>
      <c r="H70" s="11">
        <v>12451.0</v>
      </c>
      <c r="I70" s="11">
        <v>1.0</v>
      </c>
      <c r="J70" s="11">
        <v>197.0</v>
      </c>
      <c r="K70" s="11">
        <v>13.0</v>
      </c>
      <c r="L70" s="11">
        <v>16.0</v>
      </c>
      <c r="M70" s="13">
        <f t="shared" ref="M70:O70" si="72">IFERROR(G70/F70,"")</f>
        <v>0.2117029053</v>
      </c>
      <c r="N70" s="13">
        <f t="shared" si="72"/>
        <v>0.9998393961</v>
      </c>
      <c r="O70" s="14">
        <f t="shared" si="72"/>
        <v>0.00008031483415</v>
      </c>
      <c r="P70" s="13">
        <f t="shared" si="3"/>
        <v>0.01582202233</v>
      </c>
      <c r="Q70" s="13">
        <f t="shared" si="4"/>
        <v>0.001044092844</v>
      </c>
      <c r="R70" s="13">
        <f t="shared" si="5"/>
        <v>0.001285037346</v>
      </c>
      <c r="S70" s="14" t="str">
        <f t="shared" si="6"/>
        <v/>
      </c>
      <c r="T70" s="14" t="str">
        <f t="shared" si="7"/>
        <v/>
      </c>
      <c r="U70" s="14" t="str">
        <f t="shared" si="8"/>
        <v/>
      </c>
    </row>
    <row r="71" ht="15.75" customHeight="1">
      <c r="A71" s="9">
        <v>45000.7500791782</v>
      </c>
      <c r="B71" s="10">
        <v>18.0</v>
      </c>
      <c r="C71" s="10" t="s">
        <v>80</v>
      </c>
      <c r="D71" s="10" t="s">
        <v>301</v>
      </c>
      <c r="E71" s="12" t="s">
        <v>62</v>
      </c>
      <c r="F71" s="11">
        <v>94091.0</v>
      </c>
      <c r="G71" s="11">
        <v>21555.0</v>
      </c>
      <c r="H71" s="11">
        <v>21553.0</v>
      </c>
      <c r="I71" s="11">
        <v>2.0</v>
      </c>
      <c r="J71" s="11">
        <v>128.0</v>
      </c>
      <c r="K71" s="11">
        <v>13.0</v>
      </c>
      <c r="L71" s="11">
        <v>23.0</v>
      </c>
      <c r="M71" s="13">
        <f t="shared" ref="M71:O71" si="73">IFERROR(G71/F71,"")</f>
        <v>0.2290867352</v>
      </c>
      <c r="N71" s="13">
        <f t="shared" si="73"/>
        <v>0.9999072141</v>
      </c>
      <c r="O71" s="14">
        <f t="shared" si="73"/>
        <v>0.00009279450657</v>
      </c>
      <c r="P71" s="13">
        <f t="shared" si="3"/>
        <v>0.00593884842</v>
      </c>
      <c r="Q71" s="13">
        <f t="shared" si="4"/>
        <v>0.0006031642927</v>
      </c>
      <c r="R71" s="13">
        <f t="shared" si="5"/>
        <v>0.001067136825</v>
      </c>
      <c r="S71" s="14" t="str">
        <f t="shared" si="6"/>
        <v/>
      </c>
      <c r="T71" s="14" t="str">
        <f t="shared" si="7"/>
        <v/>
      </c>
      <c r="U71" s="14" t="str">
        <f t="shared" si="8"/>
        <v/>
      </c>
    </row>
    <row r="72" ht="15.75" customHeight="1">
      <c r="A72" s="9">
        <v>45001.5001126157</v>
      </c>
      <c r="B72" s="10">
        <v>12.0</v>
      </c>
      <c r="C72" s="10" t="s">
        <v>84</v>
      </c>
      <c r="D72" s="10" t="s">
        <v>305</v>
      </c>
      <c r="E72" s="12" t="s">
        <v>62</v>
      </c>
      <c r="F72" s="11">
        <v>7901.0</v>
      </c>
      <c r="G72" s="11">
        <v>3942.0</v>
      </c>
      <c r="H72" s="11">
        <v>3941.0</v>
      </c>
      <c r="I72" s="11">
        <v>14.0</v>
      </c>
      <c r="J72" s="11">
        <v>183.0</v>
      </c>
      <c r="K72" s="11">
        <v>7.0</v>
      </c>
      <c r="L72" s="11">
        <v>5.0</v>
      </c>
      <c r="M72" s="13">
        <f t="shared" ref="M72:O72" si="74">IFERROR(G72/F72,"")</f>
        <v>0.4989241868</v>
      </c>
      <c r="N72" s="13">
        <f t="shared" si="74"/>
        <v>0.9997463217</v>
      </c>
      <c r="O72" s="14">
        <f t="shared" si="74"/>
        <v>0.003552397869</v>
      </c>
      <c r="P72" s="13">
        <f t="shared" si="3"/>
        <v>0.046434915</v>
      </c>
      <c r="Q72" s="13">
        <f t="shared" si="4"/>
        <v>0.001776198934</v>
      </c>
      <c r="R72" s="13">
        <f t="shared" si="5"/>
        <v>0.001268713524</v>
      </c>
      <c r="S72" s="14" t="str">
        <f t="shared" si="6"/>
        <v/>
      </c>
      <c r="T72" s="14" t="str">
        <f t="shared" si="7"/>
        <v/>
      </c>
      <c r="U72" s="14" t="str">
        <f t="shared" si="8"/>
        <v/>
      </c>
    </row>
    <row r="73" ht="15.75" customHeight="1">
      <c r="A73" s="9">
        <v>45001.7502001273</v>
      </c>
      <c r="B73" s="10">
        <v>18.0</v>
      </c>
      <c r="C73" s="10" t="s">
        <v>84</v>
      </c>
      <c r="D73" s="10" t="s">
        <v>308</v>
      </c>
      <c r="E73" s="12" t="s">
        <v>62</v>
      </c>
      <c r="F73" s="11">
        <v>6242.0</v>
      </c>
      <c r="G73" s="11">
        <v>3237.0</v>
      </c>
      <c r="H73" s="11">
        <v>3240.0</v>
      </c>
      <c r="I73" s="11">
        <v>9.0</v>
      </c>
      <c r="J73" s="11">
        <v>173.0</v>
      </c>
      <c r="K73" s="11">
        <v>9.0</v>
      </c>
      <c r="L73" s="11">
        <v>11.0</v>
      </c>
      <c r="M73" s="13">
        <f t="shared" ref="M73:O73" si="75">IFERROR(G73/F73,"")</f>
        <v>0.5185837872</v>
      </c>
      <c r="N73" s="13">
        <f t="shared" si="75"/>
        <v>1.000926784</v>
      </c>
      <c r="O73" s="14">
        <f t="shared" si="75"/>
        <v>0.002777777778</v>
      </c>
      <c r="P73" s="13">
        <f t="shared" si="3"/>
        <v>0.05339506173</v>
      </c>
      <c r="Q73" s="13">
        <f t="shared" si="4"/>
        <v>0.002777777778</v>
      </c>
      <c r="R73" s="13">
        <f t="shared" si="5"/>
        <v>0.003395061728</v>
      </c>
      <c r="S73" s="14" t="str">
        <f t="shared" si="6"/>
        <v/>
      </c>
      <c r="T73" s="14" t="str">
        <f t="shared" si="7"/>
        <v/>
      </c>
      <c r="U73" s="14" t="str">
        <f t="shared" si="8"/>
        <v/>
      </c>
    </row>
    <row r="74" ht="15.75" customHeight="1">
      <c r="A74" s="9">
        <v>45002.4843428819</v>
      </c>
      <c r="B74" s="10">
        <v>11.0</v>
      </c>
      <c r="C74" s="10" t="s">
        <v>60</v>
      </c>
      <c r="D74" s="10" t="s">
        <v>311</v>
      </c>
      <c r="E74" s="12" t="s">
        <v>62</v>
      </c>
      <c r="F74" s="11">
        <v>3632.0</v>
      </c>
      <c r="G74" s="11">
        <v>1581.0</v>
      </c>
      <c r="H74" s="11">
        <v>1588.0</v>
      </c>
      <c r="I74" s="11">
        <v>44.0</v>
      </c>
      <c r="J74" s="11">
        <v>129.0</v>
      </c>
      <c r="K74" s="11">
        <v>6.0</v>
      </c>
      <c r="L74" s="11">
        <v>5.0</v>
      </c>
      <c r="M74" s="13">
        <f t="shared" ref="M74:O74" si="76">IFERROR(G74/F74,"")</f>
        <v>0.4352973568</v>
      </c>
      <c r="N74" s="13">
        <f t="shared" si="76"/>
        <v>1.004427577</v>
      </c>
      <c r="O74" s="14">
        <f t="shared" si="76"/>
        <v>0.02770780856</v>
      </c>
      <c r="P74" s="13">
        <f t="shared" si="3"/>
        <v>0.08123425693</v>
      </c>
      <c r="Q74" s="13">
        <f t="shared" si="4"/>
        <v>0.003778337531</v>
      </c>
      <c r="R74" s="13">
        <f t="shared" si="5"/>
        <v>0.00314861461</v>
      </c>
      <c r="S74" s="14" t="str">
        <f t="shared" si="6"/>
        <v/>
      </c>
      <c r="T74" s="14" t="str">
        <f t="shared" si="7"/>
        <v/>
      </c>
      <c r="U74" s="14" t="str">
        <f t="shared" si="8"/>
        <v/>
      </c>
    </row>
    <row r="75" ht="15.75" customHeight="1">
      <c r="A75" s="9">
        <v>45002.7501459954</v>
      </c>
      <c r="B75" s="10">
        <v>18.0</v>
      </c>
      <c r="C75" s="10" t="s">
        <v>60</v>
      </c>
      <c r="D75" s="10" t="s">
        <v>314</v>
      </c>
      <c r="E75" s="12" t="s">
        <v>62</v>
      </c>
      <c r="F75" s="11">
        <v>74553.0</v>
      </c>
      <c r="G75" s="11">
        <v>16870.0</v>
      </c>
      <c r="H75" s="11">
        <v>16868.0</v>
      </c>
      <c r="I75" s="11">
        <v>1.0</v>
      </c>
      <c r="J75" s="11">
        <v>288.0</v>
      </c>
      <c r="K75" s="11">
        <v>17.0</v>
      </c>
      <c r="L75" s="11">
        <v>26.0</v>
      </c>
      <c r="M75" s="13">
        <f t="shared" ref="M75:O75" si="77">IFERROR(G75/F75,"")</f>
        <v>0.2262819739</v>
      </c>
      <c r="N75" s="13">
        <f t="shared" si="77"/>
        <v>0.9998814464</v>
      </c>
      <c r="O75" s="14">
        <f t="shared" si="77"/>
        <v>0.00005928385108</v>
      </c>
      <c r="P75" s="13">
        <f t="shared" si="3"/>
        <v>0.01707374911</v>
      </c>
      <c r="Q75" s="13">
        <f t="shared" si="4"/>
        <v>0.001007825468</v>
      </c>
      <c r="R75" s="13">
        <f t="shared" si="5"/>
        <v>0.001541380128</v>
      </c>
      <c r="S75" s="14" t="str">
        <f t="shared" si="6"/>
        <v/>
      </c>
      <c r="T75" s="14" t="str">
        <f t="shared" si="7"/>
        <v/>
      </c>
      <c r="U75" s="14" t="str">
        <f t="shared" si="8"/>
        <v/>
      </c>
    </row>
    <row r="76" ht="15.75" customHeight="1">
      <c r="A76" s="9">
        <v>45003.5001986574</v>
      </c>
      <c r="B76" s="10">
        <v>12.0</v>
      </c>
      <c r="C76" s="10" t="s">
        <v>69</v>
      </c>
      <c r="D76" s="10" t="s">
        <v>317</v>
      </c>
      <c r="E76" s="12" t="s">
        <v>62</v>
      </c>
      <c r="F76" s="11">
        <v>54885.0</v>
      </c>
      <c r="G76" s="11">
        <v>13853.0</v>
      </c>
      <c r="H76" s="11">
        <v>13850.0</v>
      </c>
      <c r="I76" s="11">
        <v>1.0</v>
      </c>
      <c r="J76" s="11">
        <v>260.0</v>
      </c>
      <c r="K76" s="11">
        <v>19.0</v>
      </c>
      <c r="L76" s="11">
        <v>26.0</v>
      </c>
      <c r="M76" s="13">
        <f t="shared" ref="M76:O76" si="78">IFERROR(G76/F76,"")</f>
        <v>0.2524004737</v>
      </c>
      <c r="N76" s="13">
        <f t="shared" si="78"/>
        <v>0.9997834404</v>
      </c>
      <c r="O76" s="14">
        <f t="shared" si="78"/>
        <v>0.00007220216606</v>
      </c>
      <c r="P76" s="13">
        <f t="shared" si="3"/>
        <v>0.01877256318</v>
      </c>
      <c r="Q76" s="13">
        <f t="shared" si="4"/>
        <v>0.001371841155</v>
      </c>
      <c r="R76" s="13">
        <f t="shared" si="5"/>
        <v>0.001877256318</v>
      </c>
      <c r="S76" s="14" t="str">
        <f t="shared" si="6"/>
        <v/>
      </c>
      <c r="T76" s="14" t="str">
        <f t="shared" si="7"/>
        <v/>
      </c>
      <c r="U76" s="14" t="str">
        <f t="shared" si="8"/>
        <v/>
      </c>
    </row>
    <row r="77" ht="15.75" customHeight="1">
      <c r="A77" s="9">
        <v>45003.7499607176</v>
      </c>
      <c r="B77" s="10">
        <v>17.0</v>
      </c>
      <c r="C77" s="10" t="s">
        <v>69</v>
      </c>
      <c r="D77" s="10" t="s">
        <v>320</v>
      </c>
      <c r="E77" s="12" t="s">
        <v>62</v>
      </c>
      <c r="F77" s="11">
        <v>51406.0</v>
      </c>
      <c r="G77" s="11">
        <v>10469.0</v>
      </c>
      <c r="H77" s="11">
        <v>10467.0</v>
      </c>
      <c r="I77" s="11">
        <v>2.0</v>
      </c>
      <c r="J77" s="11">
        <v>215.0</v>
      </c>
      <c r="K77" s="11">
        <v>23.0</v>
      </c>
      <c r="L77" s="11">
        <v>21.0</v>
      </c>
      <c r="M77" s="13">
        <f t="shared" ref="M77:O77" si="79">IFERROR(G77/F77,"")</f>
        <v>0.20365327</v>
      </c>
      <c r="N77" s="13">
        <f t="shared" si="79"/>
        <v>0.9998089598</v>
      </c>
      <c r="O77" s="14">
        <f t="shared" si="79"/>
        <v>0.0001910767173</v>
      </c>
      <c r="P77" s="13">
        <f t="shared" si="3"/>
        <v>0.02054074711</v>
      </c>
      <c r="Q77" s="13">
        <f t="shared" si="4"/>
        <v>0.002197382249</v>
      </c>
      <c r="R77" s="13">
        <f t="shared" si="5"/>
        <v>0.002006305532</v>
      </c>
      <c r="S77" s="14" t="str">
        <f t="shared" si="6"/>
        <v/>
      </c>
      <c r="T77" s="14" t="str">
        <f t="shared" si="7"/>
        <v/>
      </c>
      <c r="U77" s="14" t="str">
        <f t="shared" si="8"/>
        <v/>
      </c>
    </row>
    <row r="78" ht="15.75" customHeight="1">
      <c r="A78" s="9">
        <v>45004.5765083681</v>
      </c>
      <c r="B78" s="10">
        <v>13.0</v>
      </c>
      <c r="C78" s="10" t="s">
        <v>77</v>
      </c>
      <c r="D78" s="10" t="s">
        <v>323</v>
      </c>
      <c r="E78" s="12" t="s">
        <v>62</v>
      </c>
      <c r="F78" s="11">
        <v>21246.0</v>
      </c>
      <c r="G78" s="11">
        <v>10143.0</v>
      </c>
      <c r="H78" s="11">
        <v>10140.0</v>
      </c>
      <c r="I78" s="11">
        <v>3.0</v>
      </c>
      <c r="J78" s="11">
        <v>237.0</v>
      </c>
      <c r="K78" s="11">
        <v>24.0</v>
      </c>
      <c r="L78" s="11">
        <v>21.0</v>
      </c>
      <c r="M78" s="13">
        <f t="shared" ref="M78:O78" si="80">IFERROR(G78/F78,"")</f>
        <v>0.477407512</v>
      </c>
      <c r="N78" s="13">
        <f t="shared" si="80"/>
        <v>0.9997042295</v>
      </c>
      <c r="O78" s="14">
        <f t="shared" si="80"/>
        <v>0.0002958579882</v>
      </c>
      <c r="P78" s="13">
        <f t="shared" si="3"/>
        <v>0.02337278107</v>
      </c>
      <c r="Q78" s="13">
        <f t="shared" si="4"/>
        <v>0.002366863905</v>
      </c>
      <c r="R78" s="13">
        <f t="shared" si="5"/>
        <v>0.002071005917</v>
      </c>
      <c r="S78" s="14" t="str">
        <f t="shared" si="6"/>
        <v/>
      </c>
      <c r="T78" s="14" t="str">
        <f t="shared" si="7"/>
        <v/>
      </c>
      <c r="U78" s="14" t="str">
        <f t="shared" si="8"/>
        <v/>
      </c>
    </row>
    <row r="79" ht="15.75" customHeight="1">
      <c r="A79" s="9">
        <v>45005.8856201852</v>
      </c>
      <c r="B79" s="10">
        <v>21.0</v>
      </c>
      <c r="C79" s="10" t="s">
        <v>71</v>
      </c>
      <c r="D79" s="10" t="s">
        <v>326</v>
      </c>
      <c r="E79" s="12" t="s">
        <v>62</v>
      </c>
      <c r="F79" s="11">
        <v>5774.0</v>
      </c>
      <c r="G79" s="11">
        <v>2313.0</v>
      </c>
      <c r="H79" s="11">
        <v>2314.0</v>
      </c>
      <c r="I79" s="11">
        <v>10.0</v>
      </c>
      <c r="J79" s="11">
        <v>140.0</v>
      </c>
      <c r="K79" s="11">
        <v>13.0</v>
      </c>
      <c r="L79" s="11">
        <v>16.0</v>
      </c>
      <c r="M79" s="13">
        <f t="shared" ref="M79:O79" si="81">IFERROR(G79/F79,"")</f>
        <v>0.4005888466</v>
      </c>
      <c r="N79" s="13">
        <f t="shared" si="81"/>
        <v>1.000432339</v>
      </c>
      <c r="O79" s="14">
        <f t="shared" si="81"/>
        <v>0.004321521175</v>
      </c>
      <c r="P79" s="13">
        <f t="shared" si="3"/>
        <v>0.06050129646</v>
      </c>
      <c r="Q79" s="13">
        <f t="shared" si="4"/>
        <v>0.005617977528</v>
      </c>
      <c r="R79" s="13">
        <f t="shared" si="5"/>
        <v>0.006914433881</v>
      </c>
      <c r="S79" s="14" t="str">
        <f t="shared" si="6"/>
        <v/>
      </c>
      <c r="T79" s="14" t="str">
        <f t="shared" si="7"/>
        <v/>
      </c>
      <c r="U79" s="14" t="str">
        <f t="shared" si="8"/>
        <v/>
      </c>
    </row>
    <row r="80" ht="15.75" customHeight="1">
      <c r="A80" s="9">
        <v>45006.7710328472</v>
      </c>
      <c r="B80" s="10">
        <v>18.0</v>
      </c>
      <c r="C80" s="10" t="s">
        <v>59</v>
      </c>
      <c r="D80" s="10" t="s">
        <v>329</v>
      </c>
      <c r="E80" s="12" t="s">
        <v>62</v>
      </c>
      <c r="F80" s="11">
        <v>142212.0</v>
      </c>
      <c r="G80" s="11">
        <v>26755.0</v>
      </c>
      <c r="H80" s="11">
        <v>26753.0</v>
      </c>
      <c r="I80" s="11">
        <v>1.0</v>
      </c>
      <c r="J80" s="11">
        <v>267.0</v>
      </c>
      <c r="K80" s="11">
        <v>30.0</v>
      </c>
      <c r="L80" s="11">
        <v>28.0</v>
      </c>
      <c r="M80" s="13">
        <f t="shared" ref="M80:O80" si="82">IFERROR(G80/F80,"")</f>
        <v>0.1881346159</v>
      </c>
      <c r="N80" s="13">
        <f t="shared" si="82"/>
        <v>0.9999252476</v>
      </c>
      <c r="O80" s="14">
        <f t="shared" si="82"/>
        <v>0.00003737898553</v>
      </c>
      <c r="P80" s="13">
        <f t="shared" si="3"/>
        <v>0.009980189138</v>
      </c>
      <c r="Q80" s="13">
        <f t="shared" si="4"/>
        <v>0.001121369566</v>
      </c>
      <c r="R80" s="13">
        <f t="shared" si="5"/>
        <v>0.001046611595</v>
      </c>
      <c r="S80" s="14" t="str">
        <f t="shared" si="6"/>
        <v/>
      </c>
      <c r="T80" s="14" t="str">
        <f t="shared" si="7"/>
        <v/>
      </c>
      <c r="U80" s="14" t="str">
        <f t="shared" si="8"/>
        <v/>
      </c>
    </row>
    <row r="81" ht="15.75" customHeight="1">
      <c r="A81" s="9">
        <v>45007.6175036921</v>
      </c>
      <c r="B81" s="10">
        <v>14.0</v>
      </c>
      <c r="C81" s="10" t="s">
        <v>80</v>
      </c>
      <c r="D81" s="10" t="s">
        <v>331</v>
      </c>
      <c r="E81" s="12" t="s">
        <v>62</v>
      </c>
      <c r="F81" s="11">
        <v>95566.0</v>
      </c>
      <c r="G81" s="11">
        <v>18217.0</v>
      </c>
      <c r="H81" s="11">
        <v>18216.0</v>
      </c>
      <c r="I81" s="11">
        <v>52.0</v>
      </c>
      <c r="J81" s="11">
        <v>388.0</v>
      </c>
      <c r="K81" s="11">
        <v>30.0</v>
      </c>
      <c r="L81" s="11">
        <v>48.0</v>
      </c>
      <c r="M81" s="13">
        <f t="shared" ref="M81:O81" si="83">IFERROR(G81/F81,"")</f>
        <v>0.1906221878</v>
      </c>
      <c r="N81" s="13">
        <f t="shared" si="83"/>
        <v>0.9999451062</v>
      </c>
      <c r="O81" s="14">
        <f t="shared" si="83"/>
        <v>0.002854633289</v>
      </c>
      <c r="P81" s="13">
        <f t="shared" si="3"/>
        <v>0.02129995608</v>
      </c>
      <c r="Q81" s="13">
        <f t="shared" si="4"/>
        <v>0.001646903821</v>
      </c>
      <c r="R81" s="13">
        <f t="shared" si="5"/>
        <v>0.002635046113</v>
      </c>
      <c r="S81" s="14" t="str">
        <f t="shared" si="6"/>
        <v/>
      </c>
      <c r="T81" s="14" t="str">
        <f t="shared" si="7"/>
        <v/>
      </c>
      <c r="U81" s="14" t="str">
        <f t="shared" si="8"/>
        <v/>
      </c>
    </row>
    <row r="82" ht="15.75" customHeight="1">
      <c r="A82" s="9">
        <v>45008.7772654167</v>
      </c>
      <c r="B82" s="10">
        <v>18.0</v>
      </c>
      <c r="C82" s="10" t="s">
        <v>84</v>
      </c>
      <c r="D82" s="10" t="s">
        <v>334</v>
      </c>
      <c r="E82" s="12" t="s">
        <v>62</v>
      </c>
      <c r="F82" s="11">
        <v>137286.0</v>
      </c>
      <c r="G82" s="11">
        <v>22002.0</v>
      </c>
      <c r="H82" s="11">
        <v>22001.0</v>
      </c>
      <c r="I82" s="11">
        <v>3.0</v>
      </c>
      <c r="J82" s="11">
        <v>257.0</v>
      </c>
      <c r="K82" s="11">
        <v>34.0</v>
      </c>
      <c r="L82" s="11">
        <v>19.0</v>
      </c>
      <c r="M82" s="13">
        <f t="shared" ref="M82:O82" si="84">IFERROR(G82/F82,"")</f>
        <v>0.1602639745</v>
      </c>
      <c r="N82" s="13">
        <f t="shared" si="84"/>
        <v>0.9999545496</v>
      </c>
      <c r="O82" s="14">
        <f t="shared" si="84"/>
        <v>0.0001363574383</v>
      </c>
      <c r="P82" s="13">
        <f t="shared" si="3"/>
        <v>0.01168128721</v>
      </c>
      <c r="Q82" s="13">
        <f t="shared" si="4"/>
        <v>0.001545384301</v>
      </c>
      <c r="R82" s="13">
        <f t="shared" si="5"/>
        <v>0.0008635971092</v>
      </c>
      <c r="S82" s="14" t="str">
        <f t="shared" si="6"/>
        <v/>
      </c>
      <c r="T82" s="14" t="str">
        <f t="shared" si="7"/>
        <v/>
      </c>
      <c r="U82" s="14" t="str">
        <f t="shared" si="8"/>
        <v/>
      </c>
    </row>
    <row r="83" ht="15.75" customHeight="1">
      <c r="A83" s="9">
        <v>45009.5919542014</v>
      </c>
      <c r="B83" s="10">
        <v>14.0</v>
      </c>
      <c r="C83" s="10" t="s">
        <v>60</v>
      </c>
      <c r="D83" s="10" t="s">
        <v>339</v>
      </c>
      <c r="E83" s="12" t="s">
        <v>62</v>
      </c>
      <c r="F83" s="11">
        <v>71225.0</v>
      </c>
      <c r="G83" s="11">
        <v>13393.0</v>
      </c>
      <c r="H83" s="11">
        <v>13397.0</v>
      </c>
      <c r="I83" s="11">
        <v>34.0</v>
      </c>
      <c r="J83" s="11">
        <v>280.0</v>
      </c>
      <c r="K83" s="11">
        <v>22.0</v>
      </c>
      <c r="L83" s="11">
        <v>25.0</v>
      </c>
      <c r="M83" s="13">
        <f t="shared" ref="M83:O83" si="85">IFERROR(G83/F83,"")</f>
        <v>0.188037908</v>
      </c>
      <c r="N83" s="13">
        <f t="shared" si="85"/>
        <v>1.000298663</v>
      </c>
      <c r="O83" s="14">
        <f t="shared" si="85"/>
        <v>0.002537881615</v>
      </c>
      <c r="P83" s="13">
        <f t="shared" si="3"/>
        <v>0.02090020154</v>
      </c>
      <c r="Q83" s="13">
        <f t="shared" si="4"/>
        <v>0.001642158692</v>
      </c>
      <c r="R83" s="13">
        <f t="shared" si="5"/>
        <v>0.001866089423</v>
      </c>
      <c r="S83" s="14" t="str">
        <f t="shared" si="6"/>
        <v/>
      </c>
      <c r="T83" s="14" t="str">
        <f t="shared" si="7"/>
        <v/>
      </c>
      <c r="U83" s="14" t="str">
        <f t="shared" si="8"/>
        <v/>
      </c>
    </row>
    <row r="84" ht="15.75" customHeight="1">
      <c r="A84" s="9">
        <v>45010.5006563542</v>
      </c>
      <c r="B84" s="10">
        <v>12.0</v>
      </c>
      <c r="C84" s="10" t="s">
        <v>69</v>
      </c>
      <c r="D84" s="10" t="s">
        <v>342</v>
      </c>
      <c r="E84" s="12" t="s">
        <v>62</v>
      </c>
      <c r="F84" s="11">
        <v>107000.0</v>
      </c>
      <c r="G84" s="11">
        <v>26765.0</v>
      </c>
      <c r="H84" s="11">
        <v>26763.0</v>
      </c>
      <c r="I84" s="11">
        <v>1.0</v>
      </c>
      <c r="J84" s="11">
        <v>278.0</v>
      </c>
      <c r="K84" s="11">
        <v>49.0</v>
      </c>
      <c r="L84" s="11">
        <v>47.0</v>
      </c>
      <c r="M84" s="13">
        <f t="shared" ref="M84:O84" si="86">IFERROR(G84/F84,"")</f>
        <v>0.2501401869</v>
      </c>
      <c r="N84" s="13">
        <f t="shared" si="86"/>
        <v>0.9999252755</v>
      </c>
      <c r="O84" s="14">
        <f t="shared" si="86"/>
        <v>0.00003736501887</v>
      </c>
      <c r="P84" s="13">
        <f t="shared" si="3"/>
        <v>0.01038747525</v>
      </c>
      <c r="Q84" s="13">
        <f t="shared" si="4"/>
        <v>0.001830885925</v>
      </c>
      <c r="R84" s="13">
        <f t="shared" si="5"/>
        <v>0.001756155887</v>
      </c>
      <c r="S84" s="14" t="str">
        <f t="shared" si="6"/>
        <v/>
      </c>
      <c r="T84" s="14" t="str">
        <f t="shared" si="7"/>
        <v/>
      </c>
      <c r="U84" s="14" t="str">
        <f t="shared" si="8"/>
        <v/>
      </c>
    </row>
    <row r="85" ht="15.75" customHeight="1">
      <c r="A85" s="9">
        <v>45011.7453989815</v>
      </c>
      <c r="B85" s="10">
        <v>17.0</v>
      </c>
      <c r="C85" s="10" t="s">
        <v>77</v>
      </c>
      <c r="D85" s="10" t="s">
        <v>346</v>
      </c>
      <c r="E85" s="12" t="s">
        <v>62</v>
      </c>
      <c r="F85" s="11">
        <v>196830.0</v>
      </c>
      <c r="G85" s="11">
        <v>41673.0</v>
      </c>
      <c r="H85" s="11">
        <v>41671.0</v>
      </c>
      <c r="I85" s="11">
        <v>1.0</v>
      </c>
      <c r="J85" s="11">
        <v>383.0</v>
      </c>
      <c r="K85" s="11">
        <v>76.0</v>
      </c>
      <c r="L85" s="11">
        <v>65.0</v>
      </c>
      <c r="M85" s="13">
        <f t="shared" ref="M85:O85" si="87">IFERROR(G85/F85,"")</f>
        <v>0.2117207743</v>
      </c>
      <c r="N85" s="13">
        <f t="shared" si="87"/>
        <v>0.9999520073</v>
      </c>
      <c r="O85" s="14">
        <f t="shared" si="87"/>
        <v>0.00002399750426</v>
      </c>
      <c r="P85" s="13">
        <f t="shared" si="3"/>
        <v>0.009191044131</v>
      </c>
      <c r="Q85" s="13">
        <f t="shared" si="4"/>
        <v>0.001823810324</v>
      </c>
      <c r="R85" s="13">
        <f t="shared" si="5"/>
        <v>0.001559837777</v>
      </c>
      <c r="S85" s="14" t="str">
        <f t="shared" si="6"/>
        <v/>
      </c>
      <c r="T85" s="14" t="str">
        <f t="shared" si="7"/>
        <v/>
      </c>
      <c r="U85" s="14" t="str">
        <f t="shared" si="8"/>
        <v/>
      </c>
    </row>
    <row r="86" ht="15.75" customHeight="1">
      <c r="A86" s="9">
        <v>45012.5817034954</v>
      </c>
      <c r="B86" s="10">
        <v>13.0</v>
      </c>
      <c r="C86" s="10" t="s">
        <v>71</v>
      </c>
      <c r="D86" s="10" t="s">
        <v>349</v>
      </c>
      <c r="E86" s="12" t="s">
        <v>62</v>
      </c>
      <c r="F86" s="11">
        <v>126698.0</v>
      </c>
      <c r="G86" s="11">
        <v>18451.0</v>
      </c>
      <c r="H86" s="11">
        <v>18458.0</v>
      </c>
      <c r="I86" s="11">
        <v>14.0</v>
      </c>
      <c r="J86" s="11">
        <v>268.0</v>
      </c>
      <c r="K86" s="11">
        <v>33.0</v>
      </c>
      <c r="L86" s="11">
        <v>29.0</v>
      </c>
      <c r="M86" s="13">
        <f t="shared" ref="M86:O86" si="88">IFERROR(G86/F86,"")</f>
        <v>0.1456297653</v>
      </c>
      <c r="N86" s="13">
        <f t="shared" si="88"/>
        <v>1.000379383</v>
      </c>
      <c r="O86" s="14">
        <f t="shared" si="88"/>
        <v>0.0007584787084</v>
      </c>
      <c r="P86" s="13">
        <f t="shared" si="3"/>
        <v>0.01451944956</v>
      </c>
      <c r="Q86" s="13">
        <f t="shared" si="4"/>
        <v>0.00178784267</v>
      </c>
      <c r="R86" s="13">
        <f t="shared" si="5"/>
        <v>0.001571134467</v>
      </c>
      <c r="S86" s="14" t="str">
        <f t="shared" si="6"/>
        <v/>
      </c>
      <c r="T86" s="14" t="str">
        <f t="shared" si="7"/>
        <v/>
      </c>
      <c r="U86" s="14" t="str">
        <f t="shared" si="8"/>
        <v/>
      </c>
    </row>
    <row r="87" ht="15.75" customHeight="1">
      <c r="A87" s="9">
        <v>45013.9279271412</v>
      </c>
      <c r="B87" s="10">
        <v>22.0</v>
      </c>
      <c r="C87" s="10" t="s">
        <v>59</v>
      </c>
      <c r="D87" s="10" t="s">
        <v>352</v>
      </c>
      <c r="E87" s="12" t="s">
        <v>62</v>
      </c>
      <c r="F87" s="11">
        <v>46296.0</v>
      </c>
      <c r="G87" s="11">
        <v>14680.0</v>
      </c>
      <c r="H87" s="11">
        <v>14677.0</v>
      </c>
      <c r="I87" s="11">
        <v>2.0</v>
      </c>
      <c r="J87" s="11">
        <v>227.0</v>
      </c>
      <c r="K87" s="11">
        <v>16.0</v>
      </c>
      <c r="L87" s="11">
        <v>11.0</v>
      </c>
      <c r="M87" s="13">
        <f t="shared" ref="M87:O87" si="89">IFERROR(G87/F87,"")</f>
        <v>0.3170900294</v>
      </c>
      <c r="N87" s="13">
        <f t="shared" si="89"/>
        <v>0.9997956403</v>
      </c>
      <c r="O87" s="14">
        <f t="shared" si="89"/>
        <v>0.0001362676296</v>
      </c>
      <c r="P87" s="13">
        <f t="shared" si="3"/>
        <v>0.01546637596</v>
      </c>
      <c r="Q87" s="13">
        <f t="shared" si="4"/>
        <v>0.001090141037</v>
      </c>
      <c r="R87" s="13">
        <f t="shared" si="5"/>
        <v>0.0007494719629</v>
      </c>
      <c r="S87" s="14" t="str">
        <f t="shared" si="6"/>
        <v/>
      </c>
      <c r="T87" s="14" t="str">
        <f t="shared" si="7"/>
        <v/>
      </c>
      <c r="U87" s="14" t="str">
        <f t="shared" si="8"/>
        <v/>
      </c>
    </row>
    <row r="88" ht="15.75" customHeight="1">
      <c r="A88" s="9">
        <v>45014.4956403704</v>
      </c>
      <c r="B88" s="10">
        <v>11.0</v>
      </c>
      <c r="C88" s="10" t="s">
        <v>80</v>
      </c>
      <c r="D88" s="10" t="s">
        <v>354</v>
      </c>
      <c r="E88" s="12" t="s">
        <v>62</v>
      </c>
      <c r="F88" s="11">
        <v>90532.0</v>
      </c>
      <c r="G88" s="11">
        <v>13859.0</v>
      </c>
      <c r="H88" s="11">
        <v>13860.0</v>
      </c>
      <c r="I88" s="11">
        <v>8.0</v>
      </c>
      <c r="J88" s="11">
        <v>215.0</v>
      </c>
      <c r="K88" s="11">
        <v>17.0</v>
      </c>
      <c r="L88" s="11">
        <v>7.0</v>
      </c>
      <c r="M88" s="13">
        <f t="shared" ref="M88:O88" si="90">IFERROR(G88/F88,"")</f>
        <v>0.1530839924</v>
      </c>
      <c r="N88" s="13">
        <f t="shared" si="90"/>
        <v>1.000072155</v>
      </c>
      <c r="O88" s="14">
        <f t="shared" si="90"/>
        <v>0.0005772005772</v>
      </c>
      <c r="P88" s="13">
        <f t="shared" si="3"/>
        <v>0.01551226551</v>
      </c>
      <c r="Q88" s="13">
        <f t="shared" si="4"/>
        <v>0.001226551227</v>
      </c>
      <c r="R88" s="13">
        <f t="shared" si="5"/>
        <v>0.0005050505051</v>
      </c>
      <c r="S88" s="14" t="str">
        <f t="shared" si="6"/>
        <v/>
      </c>
      <c r="T88" s="14" t="str">
        <f t="shared" si="7"/>
        <v/>
      </c>
      <c r="U88" s="14" t="str">
        <f t="shared" si="8"/>
        <v/>
      </c>
    </row>
    <row r="89" ht="15.75" customHeight="1">
      <c r="A89" s="9">
        <v>45015.5186461227</v>
      </c>
      <c r="B89" s="10">
        <v>12.0</v>
      </c>
      <c r="C89" s="10" t="s">
        <v>84</v>
      </c>
      <c r="D89" s="10" t="s">
        <v>357</v>
      </c>
      <c r="E89" s="12" t="s">
        <v>62</v>
      </c>
      <c r="F89" s="11">
        <v>138572.0</v>
      </c>
      <c r="G89" s="11">
        <v>28346.0</v>
      </c>
      <c r="H89" s="11">
        <v>28346.0</v>
      </c>
      <c r="I89" s="11">
        <v>0.0</v>
      </c>
      <c r="J89" s="11">
        <v>339.0</v>
      </c>
      <c r="K89" s="11">
        <v>21.0</v>
      </c>
      <c r="L89" s="11">
        <v>38.0</v>
      </c>
      <c r="M89" s="13">
        <f t="shared" ref="M89:O89" si="91">IFERROR(G89/F89,"")</f>
        <v>0.2045579193</v>
      </c>
      <c r="N89" s="13">
        <f t="shared" si="91"/>
        <v>1</v>
      </c>
      <c r="O89" s="14">
        <f t="shared" si="91"/>
        <v>0</v>
      </c>
      <c r="P89" s="13">
        <f t="shared" si="3"/>
        <v>0.01195935935</v>
      </c>
      <c r="Q89" s="13">
        <f t="shared" si="4"/>
        <v>0.0007408452692</v>
      </c>
      <c r="R89" s="13">
        <f t="shared" si="5"/>
        <v>0.001340577154</v>
      </c>
      <c r="S89" s="14" t="str">
        <f t="shared" si="6"/>
        <v/>
      </c>
      <c r="T89" s="14" t="str">
        <f t="shared" si="7"/>
        <v/>
      </c>
      <c r="U89" s="14" t="str">
        <f t="shared" si="8"/>
        <v/>
      </c>
    </row>
    <row r="90" ht="15.75" customHeight="1">
      <c r="A90" s="9">
        <v>45016.5779257407</v>
      </c>
      <c r="B90" s="10">
        <v>13.0</v>
      </c>
      <c r="C90" s="10" t="s">
        <v>60</v>
      </c>
      <c r="D90" s="10" t="s">
        <v>360</v>
      </c>
      <c r="E90" s="12" t="s">
        <v>62</v>
      </c>
      <c r="F90" s="11">
        <v>82896.0</v>
      </c>
      <c r="G90" s="11">
        <v>15260.0</v>
      </c>
      <c r="H90" s="11">
        <v>15257.0</v>
      </c>
      <c r="I90" s="11">
        <v>2.0</v>
      </c>
      <c r="J90" s="11">
        <v>250.0</v>
      </c>
      <c r="K90" s="11">
        <v>22.0</v>
      </c>
      <c r="L90" s="11">
        <v>14.0</v>
      </c>
      <c r="M90" s="13">
        <f t="shared" ref="M90:O90" si="92">IFERROR(G90/F90,"")</f>
        <v>0.1840860838</v>
      </c>
      <c r="N90" s="13">
        <f t="shared" si="92"/>
        <v>0.9998034076</v>
      </c>
      <c r="O90" s="14">
        <f t="shared" si="92"/>
        <v>0.0001310873697</v>
      </c>
      <c r="P90" s="13">
        <f t="shared" si="3"/>
        <v>0.01638592122</v>
      </c>
      <c r="Q90" s="13">
        <f t="shared" si="4"/>
        <v>0.001441961067</v>
      </c>
      <c r="R90" s="13">
        <f t="shared" si="5"/>
        <v>0.0009176115881</v>
      </c>
      <c r="S90" s="14" t="str">
        <f t="shared" si="6"/>
        <v/>
      </c>
      <c r="T90" s="14" t="str">
        <f t="shared" si="7"/>
        <v/>
      </c>
      <c r="U90" s="14" t="str">
        <f t="shared" si="8"/>
        <v/>
      </c>
    </row>
    <row r="91" ht="15.75" customHeight="1">
      <c r="A91" s="9">
        <v>45017.5290871875</v>
      </c>
      <c r="B91" s="10">
        <v>12.0</v>
      </c>
      <c r="C91" s="10" t="s">
        <v>69</v>
      </c>
      <c r="D91" s="10" t="s">
        <v>363</v>
      </c>
      <c r="E91" s="12" t="s">
        <v>62</v>
      </c>
      <c r="F91" s="11">
        <v>88673.0</v>
      </c>
      <c r="G91" s="11">
        <v>16600.0</v>
      </c>
      <c r="H91" s="11">
        <v>16597.0</v>
      </c>
      <c r="I91" s="11">
        <v>52.0</v>
      </c>
      <c r="J91" s="11">
        <v>262.0</v>
      </c>
      <c r="K91" s="11">
        <v>15.0</v>
      </c>
      <c r="L91" s="11">
        <v>20.0</v>
      </c>
      <c r="M91" s="13">
        <f t="shared" ref="M91:O91" si="93">IFERROR(G91/F91,"")</f>
        <v>0.1872046734</v>
      </c>
      <c r="N91" s="13">
        <f t="shared" si="93"/>
        <v>0.9998192771</v>
      </c>
      <c r="O91" s="14">
        <f t="shared" si="93"/>
        <v>0.003133096343</v>
      </c>
      <c r="P91" s="13">
        <f t="shared" si="3"/>
        <v>0.01578598542</v>
      </c>
      <c r="Q91" s="13">
        <f t="shared" si="4"/>
        <v>0.0009037777912</v>
      </c>
      <c r="R91" s="13">
        <f t="shared" si="5"/>
        <v>0.001205037055</v>
      </c>
      <c r="S91" s="14" t="str">
        <f t="shared" si="6"/>
        <v/>
      </c>
      <c r="T91" s="14" t="str">
        <f t="shared" si="7"/>
        <v/>
      </c>
      <c r="U91" s="14" t="str">
        <f t="shared" si="8"/>
        <v/>
      </c>
    </row>
    <row r="92" ht="15.75" customHeight="1">
      <c r="A92" s="9">
        <v>45018.4901103357</v>
      </c>
      <c r="B92" s="10">
        <v>11.0</v>
      </c>
      <c r="C92" s="10" t="s">
        <v>77</v>
      </c>
      <c r="D92" s="10" t="s">
        <v>366</v>
      </c>
      <c r="E92" s="12" t="s">
        <v>62</v>
      </c>
      <c r="F92" s="11">
        <v>43588.0</v>
      </c>
      <c r="G92" s="11">
        <v>9596.0</v>
      </c>
      <c r="H92" s="11">
        <v>9592.0</v>
      </c>
      <c r="I92" s="11">
        <v>0.0</v>
      </c>
      <c r="J92" s="11">
        <v>217.0</v>
      </c>
      <c r="K92" s="11">
        <v>18.0</v>
      </c>
      <c r="L92" s="11">
        <v>16.0</v>
      </c>
      <c r="M92" s="13">
        <f t="shared" ref="M92:O92" si="94">IFERROR(G92/F92,"")</f>
        <v>0.2201523355</v>
      </c>
      <c r="N92" s="13">
        <f t="shared" si="94"/>
        <v>0.9995831596</v>
      </c>
      <c r="O92" s="14">
        <f t="shared" si="94"/>
        <v>0</v>
      </c>
      <c r="P92" s="13">
        <f t="shared" si="3"/>
        <v>0.02262301918</v>
      </c>
      <c r="Q92" s="13">
        <f t="shared" si="4"/>
        <v>0.001876563803</v>
      </c>
      <c r="R92" s="13">
        <f t="shared" si="5"/>
        <v>0.001668056714</v>
      </c>
      <c r="S92" s="14" t="str">
        <f t="shared" si="6"/>
        <v/>
      </c>
      <c r="T92" s="14" t="str">
        <f t="shared" si="7"/>
        <v/>
      </c>
      <c r="U92" s="14" t="str">
        <f t="shared" si="8"/>
        <v/>
      </c>
    </row>
    <row r="93" ht="15.75" customHeight="1">
      <c r="A93" s="9">
        <v>45019.6300724306</v>
      </c>
      <c r="B93" s="10">
        <v>15.0</v>
      </c>
      <c r="C93" s="10" t="s">
        <v>71</v>
      </c>
      <c r="D93" s="10" t="s">
        <v>369</v>
      </c>
      <c r="E93" s="12" t="s">
        <v>62</v>
      </c>
      <c r="F93" s="11">
        <v>130047.0</v>
      </c>
      <c r="G93" s="11">
        <v>21104.0</v>
      </c>
      <c r="H93" s="11">
        <v>21106.0</v>
      </c>
      <c r="I93" s="11">
        <v>10.0</v>
      </c>
      <c r="J93" s="11">
        <v>220.0</v>
      </c>
      <c r="K93" s="11">
        <v>15.0</v>
      </c>
      <c r="L93" s="11">
        <v>21.0</v>
      </c>
      <c r="M93" s="13">
        <f t="shared" ref="M93:O93" si="95">IFERROR(G93/F93,"")</f>
        <v>0.1622797912</v>
      </c>
      <c r="N93" s="13">
        <f t="shared" si="95"/>
        <v>1.000094769</v>
      </c>
      <c r="O93" s="14">
        <f t="shared" si="95"/>
        <v>0.0004737989197</v>
      </c>
      <c r="P93" s="13">
        <f t="shared" si="3"/>
        <v>0.01042357623</v>
      </c>
      <c r="Q93" s="13">
        <f t="shared" si="4"/>
        <v>0.0007106983796</v>
      </c>
      <c r="R93" s="13">
        <f t="shared" si="5"/>
        <v>0.0009949777315</v>
      </c>
      <c r="S93" s="14" t="str">
        <f t="shared" si="6"/>
        <v/>
      </c>
      <c r="T93" s="14" t="str">
        <f t="shared" si="7"/>
        <v/>
      </c>
      <c r="U93" s="14" t="str">
        <f t="shared" si="8"/>
        <v/>
      </c>
    </row>
    <row r="94" ht="15.75" customHeight="1">
      <c r="A94" s="9">
        <v>45020.5466653241</v>
      </c>
      <c r="B94" s="10">
        <v>13.0</v>
      </c>
      <c r="C94" s="10" t="s">
        <v>59</v>
      </c>
      <c r="D94" s="10" t="s">
        <v>374</v>
      </c>
      <c r="E94" s="12" t="s">
        <v>62</v>
      </c>
      <c r="F94" s="11">
        <v>5060.0</v>
      </c>
      <c r="G94" s="11">
        <v>2615.0</v>
      </c>
      <c r="H94" s="11">
        <v>2621.0</v>
      </c>
      <c r="I94" s="11">
        <v>19.0</v>
      </c>
      <c r="J94" s="11">
        <v>190.0</v>
      </c>
      <c r="K94" s="11">
        <v>10.0</v>
      </c>
      <c r="L94" s="11">
        <v>6.0</v>
      </c>
      <c r="M94" s="13">
        <f t="shared" ref="M94:O94" si="96">IFERROR(G94/F94,"")</f>
        <v>0.516798419</v>
      </c>
      <c r="N94" s="13">
        <f t="shared" si="96"/>
        <v>1.002294455</v>
      </c>
      <c r="O94" s="14">
        <f t="shared" si="96"/>
        <v>0.007249141549</v>
      </c>
      <c r="P94" s="13">
        <f t="shared" si="3"/>
        <v>0.07249141549</v>
      </c>
      <c r="Q94" s="13">
        <f t="shared" si="4"/>
        <v>0.003815337657</v>
      </c>
      <c r="R94" s="13">
        <f t="shared" si="5"/>
        <v>0.002289202594</v>
      </c>
      <c r="S94" s="14" t="str">
        <f t="shared" si="6"/>
        <v/>
      </c>
      <c r="T94" s="14" t="str">
        <f t="shared" si="7"/>
        <v/>
      </c>
      <c r="U94" s="14" t="str">
        <f t="shared" si="8"/>
        <v/>
      </c>
    </row>
    <row r="95" ht="15.75" customHeight="1">
      <c r="A95" s="9">
        <v>45021.6796144792</v>
      </c>
      <c r="B95" s="10">
        <v>16.0</v>
      </c>
      <c r="C95" s="10" t="s">
        <v>80</v>
      </c>
      <c r="D95" s="10" t="s">
        <v>378</v>
      </c>
      <c r="E95" s="12" t="s">
        <v>62</v>
      </c>
      <c r="F95" s="11">
        <v>68535.0</v>
      </c>
      <c r="G95" s="11">
        <v>13031.0</v>
      </c>
      <c r="H95" s="11">
        <v>13029.0</v>
      </c>
      <c r="I95" s="11">
        <v>0.0</v>
      </c>
      <c r="J95" s="11">
        <v>269.0</v>
      </c>
      <c r="K95" s="11">
        <v>18.0</v>
      </c>
      <c r="L95" s="11">
        <v>18.0</v>
      </c>
      <c r="M95" s="13">
        <f t="shared" ref="M95:O95" si="97">IFERROR(G95/F95,"")</f>
        <v>0.1901364266</v>
      </c>
      <c r="N95" s="13">
        <f t="shared" si="97"/>
        <v>0.9998465198</v>
      </c>
      <c r="O95" s="14">
        <f t="shared" si="97"/>
        <v>0</v>
      </c>
      <c r="P95" s="13">
        <f t="shared" si="3"/>
        <v>0.02064625067</v>
      </c>
      <c r="Q95" s="13">
        <f t="shared" si="4"/>
        <v>0.001381533502</v>
      </c>
      <c r="R95" s="13">
        <f t="shared" si="5"/>
        <v>0.001381533502</v>
      </c>
      <c r="S95" s="14" t="str">
        <f t="shared" si="6"/>
        <v/>
      </c>
      <c r="T95" s="14" t="str">
        <f t="shared" si="7"/>
        <v/>
      </c>
      <c r="U95" s="14" t="str">
        <f t="shared" si="8"/>
        <v/>
      </c>
    </row>
    <row r="96" ht="15.75" customHeight="1">
      <c r="A96" s="9">
        <v>45022.5879475579</v>
      </c>
      <c r="B96" s="10">
        <v>14.0</v>
      </c>
      <c r="C96" s="10" t="s">
        <v>84</v>
      </c>
      <c r="D96" s="10" t="s">
        <v>382</v>
      </c>
      <c r="E96" s="12" t="s">
        <v>62</v>
      </c>
      <c r="F96" s="11">
        <v>140086.0</v>
      </c>
      <c r="G96" s="11">
        <v>31134.0</v>
      </c>
      <c r="H96" s="11">
        <v>31131.0</v>
      </c>
      <c r="I96" s="11">
        <v>0.0</v>
      </c>
      <c r="J96" s="11">
        <v>382.0</v>
      </c>
      <c r="K96" s="11">
        <v>36.0</v>
      </c>
      <c r="L96" s="11">
        <v>33.0</v>
      </c>
      <c r="M96" s="13">
        <f t="shared" ref="M96:O96" si="98">IFERROR(G96/F96,"")</f>
        <v>0.2222491898</v>
      </c>
      <c r="N96" s="13">
        <f t="shared" si="98"/>
        <v>0.9999036423</v>
      </c>
      <c r="O96" s="14">
        <f t="shared" si="98"/>
        <v>0</v>
      </c>
      <c r="P96" s="13">
        <f t="shared" si="3"/>
        <v>0.01227072693</v>
      </c>
      <c r="Q96" s="13">
        <f t="shared" si="4"/>
        <v>0.001156403585</v>
      </c>
      <c r="R96" s="13">
        <f t="shared" si="5"/>
        <v>0.001060036619</v>
      </c>
      <c r="S96" s="14" t="str">
        <f t="shared" si="6"/>
        <v/>
      </c>
      <c r="T96" s="14" t="str">
        <f t="shared" si="7"/>
        <v/>
      </c>
      <c r="U96" s="14" t="str">
        <f t="shared" si="8"/>
        <v/>
      </c>
    </row>
    <row r="97" ht="15.75" customHeight="1">
      <c r="A97" s="9">
        <v>45023.6296054167</v>
      </c>
      <c r="B97" s="10">
        <v>15.0</v>
      </c>
      <c r="C97" s="10" t="s">
        <v>60</v>
      </c>
      <c r="D97" s="10" t="s">
        <v>386</v>
      </c>
      <c r="E97" s="12" t="s">
        <v>62</v>
      </c>
      <c r="F97" s="11">
        <v>58452.0</v>
      </c>
      <c r="G97" s="11">
        <v>13104.0</v>
      </c>
      <c r="H97" s="11">
        <v>13103.0</v>
      </c>
      <c r="I97" s="11">
        <v>0.0</v>
      </c>
      <c r="J97" s="11">
        <v>260.0</v>
      </c>
      <c r="K97" s="11">
        <v>10.0</v>
      </c>
      <c r="L97" s="11">
        <v>11.0</v>
      </c>
      <c r="M97" s="13">
        <f t="shared" ref="M97:O97" si="99">IFERROR(G97/F97,"")</f>
        <v>0.2241839458</v>
      </c>
      <c r="N97" s="13">
        <f t="shared" si="99"/>
        <v>0.9999236874</v>
      </c>
      <c r="O97" s="14">
        <f t="shared" si="99"/>
        <v>0</v>
      </c>
      <c r="P97" s="13">
        <f t="shared" si="3"/>
        <v>0.0198427841</v>
      </c>
      <c r="Q97" s="13">
        <f t="shared" si="4"/>
        <v>0.0007631840037</v>
      </c>
      <c r="R97" s="13">
        <f t="shared" si="5"/>
        <v>0.000839502404</v>
      </c>
      <c r="S97" s="14" t="str">
        <f t="shared" si="6"/>
        <v/>
      </c>
      <c r="T97" s="14" t="str">
        <f t="shared" si="7"/>
        <v/>
      </c>
      <c r="U97" s="14" t="str">
        <f t="shared" si="8"/>
        <v/>
      </c>
    </row>
    <row r="98" ht="15.75" customHeight="1">
      <c r="A98" s="9">
        <v>45024.8240757407</v>
      </c>
      <c r="B98" s="10">
        <v>19.0</v>
      </c>
      <c r="C98" s="10" t="s">
        <v>69</v>
      </c>
      <c r="D98" s="10" t="s">
        <v>390</v>
      </c>
      <c r="E98" s="12" t="s">
        <v>62</v>
      </c>
      <c r="F98" s="11">
        <v>51926.0</v>
      </c>
      <c r="G98" s="11">
        <v>15347.0</v>
      </c>
      <c r="H98" s="11">
        <v>15345.0</v>
      </c>
      <c r="I98" s="11">
        <v>1.0</v>
      </c>
      <c r="J98" s="11">
        <v>285.0</v>
      </c>
      <c r="K98" s="11">
        <v>10.0</v>
      </c>
      <c r="L98" s="11">
        <v>22.0</v>
      </c>
      <c r="M98" s="13">
        <f t="shared" ref="M98:O98" si="100">IFERROR(G98/F98,"")</f>
        <v>0.2955552132</v>
      </c>
      <c r="N98" s="13">
        <f t="shared" si="100"/>
        <v>0.9998696814</v>
      </c>
      <c r="O98" s="14">
        <f t="shared" si="100"/>
        <v>0.0000651678071</v>
      </c>
      <c r="P98" s="13">
        <f t="shared" si="3"/>
        <v>0.01857282502</v>
      </c>
      <c r="Q98" s="13">
        <f t="shared" si="4"/>
        <v>0.000651678071</v>
      </c>
      <c r="R98" s="13">
        <f t="shared" si="5"/>
        <v>0.001433691756</v>
      </c>
      <c r="S98" s="14" t="str">
        <f t="shared" si="6"/>
        <v/>
      </c>
      <c r="T98" s="14" t="str">
        <f t="shared" si="7"/>
        <v/>
      </c>
      <c r="U98" s="14" t="str">
        <f t="shared" si="8"/>
        <v/>
      </c>
    </row>
    <row r="99" ht="15.75" customHeight="1">
      <c r="A99" s="9">
        <v>45025.5661296875</v>
      </c>
      <c r="B99" s="10">
        <v>13.0</v>
      </c>
      <c r="C99" s="10" t="s">
        <v>77</v>
      </c>
      <c r="D99" s="10" t="s">
        <v>394</v>
      </c>
      <c r="E99" s="12" t="s">
        <v>62</v>
      </c>
      <c r="F99" s="11">
        <v>85699.0</v>
      </c>
      <c r="G99" s="11">
        <v>18449.0</v>
      </c>
      <c r="H99" s="11">
        <v>18446.0</v>
      </c>
      <c r="I99" s="11">
        <v>1.0</v>
      </c>
      <c r="J99" s="11">
        <v>233.0</v>
      </c>
      <c r="K99" s="11">
        <v>18.0</v>
      </c>
      <c r="L99" s="11">
        <v>18.0</v>
      </c>
      <c r="M99" s="13">
        <f t="shared" ref="M99:O99" si="101">IFERROR(G99/F99,"")</f>
        <v>0.2152767243</v>
      </c>
      <c r="N99" s="13">
        <f t="shared" si="101"/>
        <v>0.9998373896</v>
      </c>
      <c r="O99" s="14">
        <f t="shared" si="101"/>
        <v>0.00005421229535</v>
      </c>
      <c r="P99" s="13">
        <f t="shared" si="3"/>
        <v>0.01263146482</v>
      </c>
      <c r="Q99" s="13">
        <f t="shared" si="4"/>
        <v>0.0009758213163</v>
      </c>
      <c r="R99" s="13">
        <f t="shared" si="5"/>
        <v>0.0009758213163</v>
      </c>
      <c r="S99" s="14" t="str">
        <f t="shared" si="6"/>
        <v/>
      </c>
      <c r="T99" s="14" t="str">
        <f t="shared" si="7"/>
        <v/>
      </c>
      <c r="U99" s="14" t="str">
        <f t="shared" si="8"/>
        <v/>
      </c>
    </row>
    <row r="100" ht="15.75" customHeight="1">
      <c r="A100" s="9">
        <v>45026.5001825463</v>
      </c>
      <c r="B100" s="10">
        <v>12.0</v>
      </c>
      <c r="C100" s="10" t="s">
        <v>71</v>
      </c>
      <c r="D100" s="10" t="s">
        <v>397</v>
      </c>
      <c r="E100" s="12" t="s">
        <v>62</v>
      </c>
      <c r="F100" s="11">
        <v>44292.0</v>
      </c>
      <c r="G100" s="11">
        <v>14603.0</v>
      </c>
      <c r="H100" s="11">
        <v>14609.0</v>
      </c>
      <c r="I100" s="11">
        <v>12.0</v>
      </c>
      <c r="J100" s="11">
        <v>298.0</v>
      </c>
      <c r="K100" s="11">
        <v>37.0</v>
      </c>
      <c r="L100" s="11">
        <v>14.0</v>
      </c>
      <c r="M100" s="13">
        <f t="shared" ref="M100:O100" si="102">IFERROR(G100/F100,"")</f>
        <v>0.3296983654</v>
      </c>
      <c r="N100" s="13">
        <f t="shared" si="102"/>
        <v>1.000410874</v>
      </c>
      <c r="O100" s="14">
        <f t="shared" si="102"/>
        <v>0.0008214114587</v>
      </c>
      <c r="P100" s="13">
        <f t="shared" si="3"/>
        <v>0.02039838456</v>
      </c>
      <c r="Q100" s="13">
        <f t="shared" si="4"/>
        <v>0.002532685331</v>
      </c>
      <c r="R100" s="13">
        <f t="shared" si="5"/>
        <v>0.0009583133685</v>
      </c>
      <c r="S100" s="14" t="str">
        <f t="shared" si="6"/>
        <v/>
      </c>
      <c r="T100" s="14" t="str">
        <f t="shared" si="7"/>
        <v/>
      </c>
      <c r="U100" s="14" t="str">
        <f t="shared" si="8"/>
        <v/>
      </c>
    </row>
    <row r="101" ht="15.75" customHeight="1">
      <c r="A101" s="9">
        <v>45027.5905011227</v>
      </c>
      <c r="B101" s="10">
        <v>14.0</v>
      </c>
      <c r="C101" s="10" t="s">
        <v>59</v>
      </c>
      <c r="D101" s="10" t="s">
        <v>400</v>
      </c>
      <c r="E101" s="12" t="s">
        <v>62</v>
      </c>
      <c r="F101" s="11">
        <v>136373.0</v>
      </c>
      <c r="G101" s="11">
        <v>21673.0</v>
      </c>
      <c r="H101" s="11">
        <v>21679.0</v>
      </c>
      <c r="I101" s="11">
        <v>33.0</v>
      </c>
      <c r="J101" s="11">
        <v>315.0</v>
      </c>
      <c r="K101" s="11">
        <v>11.0</v>
      </c>
      <c r="L101" s="11">
        <v>32.0</v>
      </c>
      <c r="M101" s="13">
        <f t="shared" ref="M101:O101" si="103">IFERROR(G101/F101,"")</f>
        <v>0.1589244205</v>
      </c>
      <c r="N101" s="13">
        <f t="shared" si="103"/>
        <v>1.000276842</v>
      </c>
      <c r="O101" s="14">
        <f t="shared" si="103"/>
        <v>0.001522210434</v>
      </c>
      <c r="P101" s="13">
        <f t="shared" si="3"/>
        <v>0.01453019051</v>
      </c>
      <c r="Q101" s="13">
        <f t="shared" si="4"/>
        <v>0.000507403478</v>
      </c>
      <c r="R101" s="13">
        <f t="shared" si="5"/>
        <v>0.001476082845</v>
      </c>
      <c r="S101" s="14" t="str">
        <f t="shared" si="6"/>
        <v/>
      </c>
      <c r="T101" s="14" t="str">
        <f t="shared" si="7"/>
        <v/>
      </c>
      <c r="U101" s="14" t="str">
        <f t="shared" si="8"/>
        <v/>
      </c>
    </row>
    <row r="102" ht="15.75" customHeight="1">
      <c r="A102" s="9">
        <v>45028.5306683681</v>
      </c>
      <c r="B102" s="10">
        <v>12.0</v>
      </c>
      <c r="C102" s="10" t="s">
        <v>80</v>
      </c>
      <c r="D102" s="10" t="s">
        <v>403</v>
      </c>
      <c r="E102" s="12" t="s">
        <v>62</v>
      </c>
      <c r="F102" s="11">
        <v>18010.0</v>
      </c>
      <c r="G102" s="11">
        <v>6838.0</v>
      </c>
      <c r="H102" s="11">
        <v>6835.0</v>
      </c>
      <c r="I102" s="11">
        <v>1.0</v>
      </c>
      <c r="J102" s="11">
        <v>134.0</v>
      </c>
      <c r="K102" s="11">
        <v>30.0</v>
      </c>
      <c r="L102" s="11">
        <v>11.0</v>
      </c>
      <c r="M102" s="13">
        <f t="shared" ref="M102:O102" si="104">IFERROR(G102/F102,"")</f>
        <v>0.3796779567</v>
      </c>
      <c r="N102" s="13">
        <f t="shared" si="104"/>
        <v>0.9995612752</v>
      </c>
      <c r="O102" s="14">
        <f t="shared" si="104"/>
        <v>0.0001463057791</v>
      </c>
      <c r="P102" s="13">
        <f t="shared" si="3"/>
        <v>0.0196049744</v>
      </c>
      <c r="Q102" s="13">
        <f t="shared" si="4"/>
        <v>0.004389173372</v>
      </c>
      <c r="R102" s="13">
        <f t="shared" si="5"/>
        <v>0.00160936357</v>
      </c>
      <c r="S102" s="14" t="str">
        <f t="shared" si="6"/>
        <v/>
      </c>
      <c r="T102" s="14" t="str">
        <f t="shared" si="7"/>
        <v/>
      </c>
      <c r="U102" s="14" t="str">
        <f t="shared" si="8"/>
        <v/>
      </c>
    </row>
    <row r="103" ht="15.75" customHeight="1">
      <c r="A103" s="9">
        <v>45029.583377419</v>
      </c>
      <c r="B103" s="10">
        <v>14.0</v>
      </c>
      <c r="C103" s="10" t="s">
        <v>84</v>
      </c>
      <c r="D103" s="10" t="s">
        <v>406</v>
      </c>
      <c r="E103" s="12" t="s">
        <v>62</v>
      </c>
      <c r="F103" s="11">
        <v>95064.0</v>
      </c>
      <c r="G103" s="11">
        <v>27992.0</v>
      </c>
      <c r="H103" s="11">
        <v>27997.0</v>
      </c>
      <c r="I103" s="11">
        <v>48.0</v>
      </c>
      <c r="J103" s="11">
        <v>356.0</v>
      </c>
      <c r="K103" s="11">
        <v>26.0</v>
      </c>
      <c r="L103" s="11">
        <v>39.0</v>
      </c>
      <c r="M103" s="13">
        <f t="shared" ref="M103:O103" si="105">IFERROR(G103/F103,"")</f>
        <v>0.2944542624</v>
      </c>
      <c r="N103" s="13">
        <f t="shared" si="105"/>
        <v>1.000178622</v>
      </c>
      <c r="O103" s="14">
        <f t="shared" si="105"/>
        <v>0.001714469407</v>
      </c>
      <c r="P103" s="13">
        <f t="shared" si="3"/>
        <v>0.01271564811</v>
      </c>
      <c r="Q103" s="13">
        <f t="shared" si="4"/>
        <v>0.000928670929</v>
      </c>
      <c r="R103" s="13">
        <f t="shared" si="5"/>
        <v>0.001393006394</v>
      </c>
      <c r="S103" s="14" t="str">
        <f t="shared" si="6"/>
        <v/>
      </c>
      <c r="T103" s="14" t="str">
        <f t="shared" si="7"/>
        <v/>
      </c>
      <c r="U103" s="14" t="str">
        <f t="shared" si="8"/>
        <v/>
      </c>
    </row>
    <row r="104" ht="15.75" customHeight="1">
      <c r="A104" s="9">
        <v>45030.5001306597</v>
      </c>
      <c r="B104" s="10">
        <v>12.0</v>
      </c>
      <c r="C104" s="10" t="s">
        <v>60</v>
      </c>
      <c r="D104" s="10" t="s">
        <v>409</v>
      </c>
      <c r="E104" s="12" t="s">
        <v>62</v>
      </c>
      <c r="F104" s="11">
        <v>127889.0</v>
      </c>
      <c r="G104" s="11">
        <v>20115.0</v>
      </c>
      <c r="H104" s="11">
        <v>20121.0</v>
      </c>
      <c r="I104" s="11">
        <v>35.0</v>
      </c>
      <c r="J104" s="11">
        <v>291.0</v>
      </c>
      <c r="K104" s="11">
        <v>14.0</v>
      </c>
      <c r="L104" s="11">
        <v>22.0</v>
      </c>
      <c r="M104" s="13">
        <f t="shared" ref="M104:O104" si="106">IFERROR(G104/F104,"")</f>
        <v>0.1572848329</v>
      </c>
      <c r="N104" s="13">
        <f t="shared" si="106"/>
        <v>1.000298285</v>
      </c>
      <c r="O104" s="14">
        <f t="shared" si="106"/>
        <v>0.001739476169</v>
      </c>
      <c r="P104" s="13">
        <f t="shared" si="3"/>
        <v>0.01446250186</v>
      </c>
      <c r="Q104" s="13">
        <f t="shared" si="4"/>
        <v>0.0006957904677</v>
      </c>
      <c r="R104" s="13">
        <f t="shared" si="5"/>
        <v>0.001093385021</v>
      </c>
      <c r="S104" s="14" t="str">
        <f t="shared" si="6"/>
        <v/>
      </c>
      <c r="T104" s="14" t="str">
        <f t="shared" si="7"/>
        <v/>
      </c>
      <c r="U104" s="14" t="str">
        <f t="shared" si="8"/>
        <v/>
      </c>
    </row>
    <row r="105" ht="15.75" customHeight="1">
      <c r="A105" s="9">
        <v>45031.5148675694</v>
      </c>
      <c r="B105" s="10">
        <v>12.0</v>
      </c>
      <c r="C105" s="10" t="s">
        <v>69</v>
      </c>
      <c r="D105" s="10" t="s">
        <v>412</v>
      </c>
      <c r="E105" s="12" t="s">
        <v>62</v>
      </c>
      <c r="F105" s="11">
        <v>147109.0</v>
      </c>
      <c r="G105" s="11">
        <v>22743.0</v>
      </c>
      <c r="H105" s="11">
        <v>22740.0</v>
      </c>
      <c r="I105" s="11">
        <v>1.0</v>
      </c>
      <c r="J105" s="11">
        <v>302.0</v>
      </c>
      <c r="K105" s="11">
        <v>26.0</v>
      </c>
      <c r="L105" s="11">
        <v>12.0</v>
      </c>
      <c r="M105" s="13">
        <f t="shared" ref="M105:O105" si="107">IFERROR(G105/F105,"")</f>
        <v>0.1545996506</v>
      </c>
      <c r="N105" s="13">
        <f t="shared" si="107"/>
        <v>0.9998680913</v>
      </c>
      <c r="O105" s="14">
        <f t="shared" si="107"/>
        <v>0.00004397537379</v>
      </c>
      <c r="P105" s="13">
        <f t="shared" si="3"/>
        <v>0.01328056288</v>
      </c>
      <c r="Q105" s="13">
        <f t="shared" si="4"/>
        <v>0.001143359719</v>
      </c>
      <c r="R105" s="13">
        <f t="shared" si="5"/>
        <v>0.0005277044855</v>
      </c>
      <c r="S105" s="14" t="str">
        <f t="shared" si="6"/>
        <v/>
      </c>
      <c r="T105" s="14" t="str">
        <f t="shared" si="7"/>
        <v/>
      </c>
      <c r="U105" s="14" t="str">
        <f t="shared" si="8"/>
        <v/>
      </c>
    </row>
    <row r="106" ht="15.75" customHeight="1">
      <c r="A106" s="9">
        <v>45032.5001385069</v>
      </c>
      <c r="B106" s="10">
        <v>12.0</v>
      </c>
      <c r="C106" s="10" t="s">
        <v>77</v>
      </c>
      <c r="D106" s="10" t="s">
        <v>415</v>
      </c>
      <c r="E106" s="12" t="s">
        <v>62</v>
      </c>
      <c r="F106" s="11">
        <v>9012.0</v>
      </c>
      <c r="G106" s="11">
        <v>4815.0</v>
      </c>
      <c r="H106" s="11">
        <v>4810.0</v>
      </c>
      <c r="I106" s="11">
        <v>7.0</v>
      </c>
      <c r="J106" s="11">
        <v>254.0</v>
      </c>
      <c r="K106" s="11">
        <v>36.0</v>
      </c>
      <c r="L106" s="11">
        <v>3.0</v>
      </c>
      <c r="M106" s="13">
        <f t="shared" ref="M106:O106" si="108">IFERROR(G106/F106,"")</f>
        <v>0.5342876165</v>
      </c>
      <c r="N106" s="13">
        <f t="shared" si="108"/>
        <v>0.9989615784</v>
      </c>
      <c r="O106" s="14">
        <f t="shared" si="108"/>
        <v>0.001455301455</v>
      </c>
      <c r="P106" s="13">
        <f t="shared" si="3"/>
        <v>0.05280665281</v>
      </c>
      <c r="Q106" s="13">
        <f t="shared" si="4"/>
        <v>0.007484407484</v>
      </c>
      <c r="R106" s="13">
        <f t="shared" si="5"/>
        <v>0.0006237006237</v>
      </c>
      <c r="S106" s="14" t="str">
        <f t="shared" si="6"/>
        <v/>
      </c>
      <c r="T106" s="14" t="str">
        <f t="shared" si="7"/>
        <v/>
      </c>
      <c r="U106" s="14" t="str">
        <f t="shared" si="8"/>
        <v/>
      </c>
    </row>
    <row r="107" ht="15.75" customHeight="1">
      <c r="A107" s="9">
        <v>45033.5000140972</v>
      </c>
      <c r="B107" s="10">
        <v>12.0</v>
      </c>
      <c r="C107" s="10" t="s">
        <v>71</v>
      </c>
      <c r="D107" s="10" t="s">
        <v>418</v>
      </c>
      <c r="E107" s="12" t="s">
        <v>62</v>
      </c>
      <c r="F107" s="11">
        <v>120195.0</v>
      </c>
      <c r="G107" s="11">
        <v>31953.0</v>
      </c>
      <c r="H107" s="11">
        <v>31950.0</v>
      </c>
      <c r="I107" s="11">
        <v>2.0</v>
      </c>
      <c r="J107" s="11">
        <v>294.0</v>
      </c>
      <c r="K107" s="11">
        <v>12.0</v>
      </c>
      <c r="L107" s="11">
        <v>22.0</v>
      </c>
      <c r="M107" s="13">
        <f t="shared" ref="M107:O107" si="109">IFERROR(G107/F107,"")</f>
        <v>0.2658430051</v>
      </c>
      <c r="N107" s="13">
        <f t="shared" si="109"/>
        <v>0.9999061121</v>
      </c>
      <c r="O107" s="14">
        <f t="shared" si="109"/>
        <v>0.00006259780908</v>
      </c>
      <c r="P107" s="13">
        <f t="shared" si="3"/>
        <v>0.009201877934</v>
      </c>
      <c r="Q107" s="13">
        <f t="shared" si="4"/>
        <v>0.0003755868545</v>
      </c>
      <c r="R107" s="13">
        <f t="shared" si="5"/>
        <v>0.0006885758998</v>
      </c>
      <c r="S107" s="14" t="str">
        <f t="shared" si="6"/>
        <v/>
      </c>
      <c r="T107" s="14" t="str">
        <f t="shared" si="7"/>
        <v/>
      </c>
      <c r="U107" s="14" t="str">
        <f t="shared" si="8"/>
        <v/>
      </c>
    </row>
    <row r="108" ht="15.75" customHeight="1">
      <c r="A108" s="9">
        <v>45034.4862203357</v>
      </c>
      <c r="B108" s="10">
        <v>11.0</v>
      </c>
      <c r="C108" s="10" t="s">
        <v>59</v>
      </c>
      <c r="D108" s="10" t="s">
        <v>421</v>
      </c>
      <c r="E108" s="12" t="s">
        <v>62</v>
      </c>
      <c r="F108" s="11">
        <v>127763.0</v>
      </c>
      <c r="G108" s="11">
        <v>20349.0</v>
      </c>
      <c r="H108" s="11">
        <v>20349.0</v>
      </c>
      <c r="I108" s="11">
        <v>27.0</v>
      </c>
      <c r="J108" s="11">
        <v>270.0</v>
      </c>
      <c r="K108" s="11">
        <v>7.0</v>
      </c>
      <c r="L108" s="11">
        <v>21.0</v>
      </c>
      <c r="M108" s="13">
        <f t="shared" ref="M108:O108" si="110">IFERROR(G108/F108,"")</f>
        <v>0.1592714636</v>
      </c>
      <c r="N108" s="13">
        <f t="shared" si="110"/>
        <v>1</v>
      </c>
      <c r="O108" s="14">
        <f t="shared" si="110"/>
        <v>0.001326846528</v>
      </c>
      <c r="P108" s="13">
        <f t="shared" si="3"/>
        <v>0.01326846528</v>
      </c>
      <c r="Q108" s="13">
        <f t="shared" si="4"/>
        <v>0.000343997248</v>
      </c>
      <c r="R108" s="13">
        <f t="shared" si="5"/>
        <v>0.001031991744</v>
      </c>
      <c r="S108" s="14" t="str">
        <f t="shared" si="6"/>
        <v/>
      </c>
      <c r="T108" s="14" t="str">
        <f t="shared" si="7"/>
        <v/>
      </c>
      <c r="U108" s="14" t="str">
        <f t="shared" si="8"/>
        <v/>
      </c>
    </row>
    <row r="109" ht="15.75" customHeight="1">
      <c r="A109" s="9">
        <v>45035.5832823611</v>
      </c>
      <c r="B109" s="10">
        <v>13.0</v>
      </c>
      <c r="C109" s="10" t="s">
        <v>80</v>
      </c>
      <c r="D109" s="10" t="s">
        <v>424</v>
      </c>
      <c r="E109" s="12" t="s">
        <v>62</v>
      </c>
      <c r="F109" s="11">
        <v>117386.0</v>
      </c>
      <c r="G109" s="11">
        <v>22425.0</v>
      </c>
      <c r="H109" s="11">
        <v>22420.0</v>
      </c>
      <c r="I109" s="11">
        <v>5.0</v>
      </c>
      <c r="J109" s="11">
        <v>305.0</v>
      </c>
      <c r="K109" s="11">
        <v>29.0</v>
      </c>
      <c r="L109" s="11">
        <v>21.0</v>
      </c>
      <c r="M109" s="13">
        <f t="shared" ref="M109:O109" si="111">IFERROR(G109/F109,"")</f>
        <v>0.1910364098</v>
      </c>
      <c r="N109" s="13">
        <f t="shared" si="111"/>
        <v>0.9997770346</v>
      </c>
      <c r="O109" s="14">
        <f t="shared" si="111"/>
        <v>0.000223015165</v>
      </c>
      <c r="P109" s="13">
        <f t="shared" si="3"/>
        <v>0.01360392507</v>
      </c>
      <c r="Q109" s="13">
        <f t="shared" si="4"/>
        <v>0.001293487957</v>
      </c>
      <c r="R109" s="13">
        <f t="shared" si="5"/>
        <v>0.0009366636931</v>
      </c>
      <c r="S109" s="14" t="str">
        <f t="shared" si="6"/>
        <v/>
      </c>
      <c r="T109" s="14" t="str">
        <f t="shared" si="7"/>
        <v/>
      </c>
      <c r="U109" s="14" t="str">
        <f t="shared" si="8"/>
        <v/>
      </c>
    </row>
    <row r="110" ht="15.75" customHeight="1">
      <c r="A110" s="9">
        <v>45036.2632396065</v>
      </c>
      <c r="B110" s="10">
        <v>6.0</v>
      </c>
      <c r="C110" s="10" t="s">
        <v>84</v>
      </c>
      <c r="D110" s="10"/>
      <c r="E110" s="12" t="s">
        <v>62</v>
      </c>
      <c r="F110" s="11">
        <v>78383.0</v>
      </c>
      <c r="G110" s="11">
        <v>15586.0</v>
      </c>
      <c r="H110" s="11">
        <v>15582.0</v>
      </c>
      <c r="I110" s="11">
        <v>3.0</v>
      </c>
      <c r="J110" s="11">
        <v>204.0</v>
      </c>
      <c r="K110" s="11">
        <v>24.0</v>
      </c>
      <c r="L110" s="11">
        <v>18.0</v>
      </c>
      <c r="M110" s="13">
        <f t="shared" ref="M110:O110" si="112">IFERROR(G110/F110,"")</f>
        <v>0.1988441371</v>
      </c>
      <c r="N110" s="13">
        <f t="shared" si="112"/>
        <v>0.9997433594</v>
      </c>
      <c r="O110" s="14">
        <f t="shared" si="112"/>
        <v>0.0001925298421</v>
      </c>
      <c r="P110" s="13">
        <f t="shared" si="3"/>
        <v>0.01309202926</v>
      </c>
      <c r="Q110" s="13">
        <f t="shared" si="4"/>
        <v>0.001540238737</v>
      </c>
      <c r="R110" s="13">
        <f t="shared" si="5"/>
        <v>0.001155179053</v>
      </c>
      <c r="S110" s="14" t="str">
        <f t="shared" si="6"/>
        <v/>
      </c>
      <c r="T110" s="14" t="str">
        <f t="shared" si="7"/>
        <v/>
      </c>
      <c r="U110" s="14" t="str">
        <f t="shared" si="8"/>
        <v/>
      </c>
    </row>
    <row r="111" ht="15.75" customHeight="1">
      <c r="A111" s="9">
        <v>45037.4315748727</v>
      </c>
      <c r="B111" s="10">
        <v>10.0</v>
      </c>
      <c r="C111" s="10" t="s">
        <v>60</v>
      </c>
      <c r="D111" s="10"/>
      <c r="E111" s="12" t="s">
        <v>62</v>
      </c>
      <c r="F111" s="11">
        <v>23834.0</v>
      </c>
      <c r="G111" s="11">
        <v>8221.0</v>
      </c>
      <c r="H111" s="11">
        <v>8218.0</v>
      </c>
      <c r="I111" s="11">
        <v>2.0</v>
      </c>
      <c r="J111" s="11">
        <v>304.0</v>
      </c>
      <c r="K111" s="11">
        <v>17.0</v>
      </c>
      <c r="L111" s="11">
        <v>11.0</v>
      </c>
      <c r="M111" s="13">
        <f t="shared" ref="M111:O111" si="113">IFERROR(G111/F111,"")</f>
        <v>0.3449274146</v>
      </c>
      <c r="N111" s="13">
        <f t="shared" si="113"/>
        <v>0.9996350809</v>
      </c>
      <c r="O111" s="14">
        <f t="shared" si="113"/>
        <v>0.0002433682161</v>
      </c>
      <c r="P111" s="13">
        <f t="shared" si="3"/>
        <v>0.03699196885</v>
      </c>
      <c r="Q111" s="13">
        <f t="shared" si="4"/>
        <v>0.002068629837</v>
      </c>
      <c r="R111" s="13">
        <f t="shared" si="5"/>
        <v>0.001338525189</v>
      </c>
      <c r="S111" s="14" t="str">
        <f t="shared" si="6"/>
        <v/>
      </c>
      <c r="T111" s="14" t="str">
        <f t="shared" si="7"/>
        <v/>
      </c>
      <c r="U111" s="14" t="str">
        <f t="shared" si="8"/>
        <v/>
      </c>
    </row>
    <row r="112" ht="15.75" customHeight="1">
      <c r="A112" s="9">
        <v>45038.7135756366</v>
      </c>
      <c r="B112" s="10">
        <v>17.0</v>
      </c>
      <c r="C112" s="10" t="s">
        <v>69</v>
      </c>
      <c r="D112" s="10" t="s">
        <v>431</v>
      </c>
      <c r="E112" s="12" t="s">
        <v>62</v>
      </c>
      <c r="F112" s="11">
        <v>89025.0</v>
      </c>
      <c r="G112" s="11">
        <v>15087.0</v>
      </c>
      <c r="H112" s="11">
        <v>15082.0</v>
      </c>
      <c r="I112" s="11">
        <v>3.0</v>
      </c>
      <c r="J112" s="11">
        <v>211.0</v>
      </c>
      <c r="K112" s="11">
        <v>10.0</v>
      </c>
      <c r="L112" s="11">
        <v>11.0</v>
      </c>
      <c r="M112" s="13">
        <f t="shared" ref="M112:O112" si="114">IFERROR(G112/F112,"")</f>
        <v>0.1694692502</v>
      </c>
      <c r="N112" s="13">
        <f t="shared" si="114"/>
        <v>0.9996685889</v>
      </c>
      <c r="O112" s="14">
        <f t="shared" si="114"/>
        <v>0.0001989126111</v>
      </c>
      <c r="P112" s="13">
        <f t="shared" si="3"/>
        <v>0.01399018698</v>
      </c>
      <c r="Q112" s="13">
        <f t="shared" si="4"/>
        <v>0.0006630420369</v>
      </c>
      <c r="R112" s="13">
        <f t="shared" si="5"/>
        <v>0.0007293462406</v>
      </c>
      <c r="S112" s="14" t="str">
        <f t="shared" si="6"/>
        <v/>
      </c>
      <c r="T112" s="14" t="str">
        <f t="shared" si="7"/>
        <v/>
      </c>
      <c r="U112" s="14" t="str">
        <f t="shared" si="8"/>
        <v/>
      </c>
    </row>
    <row r="113" ht="15.75" customHeight="1">
      <c r="A113" s="9">
        <v>45039.5209434144</v>
      </c>
      <c r="B113" s="10">
        <v>12.0</v>
      </c>
      <c r="C113" s="10" t="s">
        <v>77</v>
      </c>
      <c r="D113" s="10" t="s">
        <v>434</v>
      </c>
      <c r="E113" s="12" t="s">
        <v>62</v>
      </c>
      <c r="F113" s="11">
        <v>210821.0</v>
      </c>
      <c r="G113" s="11">
        <v>35177.0</v>
      </c>
      <c r="H113" s="11">
        <v>35171.0</v>
      </c>
      <c r="I113" s="11">
        <v>6.0</v>
      </c>
      <c r="J113" s="11">
        <v>296.0</v>
      </c>
      <c r="K113" s="11">
        <v>20.0</v>
      </c>
      <c r="L113" s="11">
        <v>24.0</v>
      </c>
      <c r="M113" s="13">
        <f t="shared" ref="M113:O113" si="115">IFERROR(G113/F113,"")</f>
        <v>0.1668571916</v>
      </c>
      <c r="N113" s="13">
        <f t="shared" si="115"/>
        <v>0.999829434</v>
      </c>
      <c r="O113" s="14">
        <f t="shared" si="115"/>
        <v>0.0001705950925</v>
      </c>
      <c r="P113" s="13">
        <f t="shared" si="3"/>
        <v>0.008416024566</v>
      </c>
      <c r="Q113" s="13">
        <f t="shared" si="4"/>
        <v>0.0005686503085</v>
      </c>
      <c r="R113" s="13">
        <f t="shared" si="5"/>
        <v>0.0006823803702</v>
      </c>
      <c r="S113" s="14" t="str">
        <f t="shared" si="6"/>
        <v/>
      </c>
      <c r="T113" s="14" t="str">
        <f t="shared" si="7"/>
        <v/>
      </c>
      <c r="U113" s="14" t="str">
        <f t="shared" si="8"/>
        <v/>
      </c>
    </row>
    <row r="114" ht="15.75" customHeight="1">
      <c r="A114" s="9">
        <v>45040.5833158565</v>
      </c>
      <c r="B114" s="10">
        <v>13.0</v>
      </c>
      <c r="C114" s="10" t="s">
        <v>71</v>
      </c>
      <c r="D114" s="10" t="s">
        <v>436</v>
      </c>
      <c r="E114" s="12" t="s">
        <v>62</v>
      </c>
      <c r="F114" s="11">
        <v>199781.0</v>
      </c>
      <c r="G114" s="11">
        <v>40291.0</v>
      </c>
      <c r="H114" s="11">
        <v>40292.0</v>
      </c>
      <c r="I114" s="11">
        <v>31.0</v>
      </c>
      <c r="J114" s="11">
        <v>298.0</v>
      </c>
      <c r="K114" s="11">
        <v>13.0</v>
      </c>
      <c r="L114" s="11">
        <v>15.0</v>
      </c>
      <c r="M114" s="13">
        <f t="shared" ref="M114:O114" si="116">IFERROR(G114/F114,"")</f>
        <v>0.201675835</v>
      </c>
      <c r="N114" s="13">
        <f t="shared" si="116"/>
        <v>1.000024819</v>
      </c>
      <c r="O114" s="14">
        <f t="shared" si="116"/>
        <v>0.0007693835004</v>
      </c>
      <c r="P114" s="13">
        <f t="shared" si="3"/>
        <v>0.007396009133</v>
      </c>
      <c r="Q114" s="13">
        <f t="shared" si="4"/>
        <v>0.0003226446937</v>
      </c>
      <c r="R114" s="13">
        <f t="shared" si="5"/>
        <v>0.0003722823389</v>
      </c>
      <c r="S114" s="14" t="str">
        <f t="shared" si="6"/>
        <v/>
      </c>
      <c r="T114" s="14" t="str">
        <f t="shared" si="7"/>
        <v/>
      </c>
      <c r="U114" s="14" t="str">
        <f t="shared" si="8"/>
        <v/>
      </c>
    </row>
    <row r="115" ht="15.75" customHeight="1">
      <c r="A115" s="9">
        <v>45041.5001139468</v>
      </c>
      <c r="B115" s="10">
        <v>12.0</v>
      </c>
      <c r="C115" s="10" t="s">
        <v>59</v>
      </c>
      <c r="D115" s="10" t="s">
        <v>439</v>
      </c>
      <c r="E115" s="12" t="s">
        <v>62</v>
      </c>
      <c r="F115" s="11">
        <v>143201.0</v>
      </c>
      <c r="G115" s="11">
        <v>37279.0</v>
      </c>
      <c r="H115" s="11">
        <v>37276.0</v>
      </c>
      <c r="I115" s="11">
        <v>15.0</v>
      </c>
      <c r="J115" s="11">
        <v>368.0</v>
      </c>
      <c r="K115" s="11">
        <v>14.0</v>
      </c>
      <c r="L115" s="11">
        <v>43.0</v>
      </c>
      <c r="M115" s="13">
        <f t="shared" ref="M115:O115" si="117">IFERROR(G115/F115,"")</f>
        <v>0.2603263944</v>
      </c>
      <c r="N115" s="13">
        <f t="shared" si="117"/>
        <v>0.9999195257</v>
      </c>
      <c r="O115" s="14">
        <f t="shared" si="117"/>
        <v>0.0004024036914</v>
      </c>
      <c r="P115" s="13">
        <f t="shared" si="3"/>
        <v>0.009872303895</v>
      </c>
      <c r="Q115" s="13">
        <f t="shared" si="4"/>
        <v>0.0003755767786</v>
      </c>
      <c r="R115" s="13">
        <f t="shared" si="5"/>
        <v>0.001153557249</v>
      </c>
      <c r="S115" s="14" t="str">
        <f t="shared" si="6"/>
        <v/>
      </c>
      <c r="T115" s="14" t="str">
        <f t="shared" si="7"/>
        <v/>
      </c>
      <c r="U115" s="14" t="str">
        <f t="shared" si="8"/>
        <v/>
      </c>
    </row>
    <row r="116" ht="15.75" customHeight="1">
      <c r="A116" s="9">
        <v>45042.5002242361</v>
      </c>
      <c r="B116" s="10">
        <v>12.0</v>
      </c>
      <c r="C116" s="10" t="s">
        <v>80</v>
      </c>
      <c r="D116" s="10" t="s">
        <v>443</v>
      </c>
      <c r="E116" s="12" t="s">
        <v>62</v>
      </c>
      <c r="F116" s="11">
        <v>156049.0</v>
      </c>
      <c r="G116" s="11">
        <v>24401.0</v>
      </c>
      <c r="H116" s="11">
        <v>24396.0</v>
      </c>
      <c r="I116" s="11">
        <v>2.0</v>
      </c>
      <c r="J116" s="11">
        <v>260.0</v>
      </c>
      <c r="K116" s="11">
        <v>35.0</v>
      </c>
      <c r="L116" s="11">
        <v>15.0</v>
      </c>
      <c r="M116" s="13">
        <f t="shared" ref="M116:O116" si="118">IFERROR(G116/F116,"")</f>
        <v>0.1563675512</v>
      </c>
      <c r="N116" s="13">
        <f t="shared" si="118"/>
        <v>0.9997950904</v>
      </c>
      <c r="O116" s="14">
        <f t="shared" si="118"/>
        <v>0.00008198065257</v>
      </c>
      <c r="P116" s="13">
        <f t="shared" si="3"/>
        <v>0.01065748483</v>
      </c>
      <c r="Q116" s="13">
        <f t="shared" si="4"/>
        <v>0.00143466142</v>
      </c>
      <c r="R116" s="13">
        <f t="shared" si="5"/>
        <v>0.0006148548942</v>
      </c>
      <c r="S116" s="14" t="str">
        <f t="shared" si="6"/>
        <v/>
      </c>
      <c r="T116" s="14" t="str">
        <f t="shared" si="7"/>
        <v/>
      </c>
      <c r="U116" s="14" t="str">
        <f t="shared" si="8"/>
        <v/>
      </c>
    </row>
    <row r="117" ht="15.75" customHeight="1">
      <c r="A117" s="9">
        <v>45043.4791396528</v>
      </c>
      <c r="B117" s="10">
        <v>11.0</v>
      </c>
      <c r="C117" s="10" t="s">
        <v>84</v>
      </c>
      <c r="D117" s="10" t="s">
        <v>445</v>
      </c>
      <c r="E117" s="12" t="s">
        <v>62</v>
      </c>
      <c r="F117" s="11">
        <v>6309.0</v>
      </c>
      <c r="G117" s="11">
        <v>3059.0</v>
      </c>
      <c r="H117" s="11">
        <v>3067.0</v>
      </c>
      <c r="I117" s="11">
        <v>25.0</v>
      </c>
      <c r="J117" s="11">
        <v>214.0</v>
      </c>
      <c r="K117" s="11">
        <v>20.0</v>
      </c>
      <c r="L117" s="11">
        <v>11.0</v>
      </c>
      <c r="M117" s="13">
        <f t="shared" ref="M117:O117" si="119">IFERROR(G117/F117,"")</f>
        <v>0.4848628943</v>
      </c>
      <c r="N117" s="13">
        <f t="shared" si="119"/>
        <v>1.002615234</v>
      </c>
      <c r="O117" s="14">
        <f t="shared" si="119"/>
        <v>0.008151287903</v>
      </c>
      <c r="P117" s="13">
        <f t="shared" si="3"/>
        <v>0.06977502445</v>
      </c>
      <c r="Q117" s="13">
        <f t="shared" si="4"/>
        <v>0.006521030323</v>
      </c>
      <c r="R117" s="13">
        <f t="shared" si="5"/>
        <v>0.003586566678</v>
      </c>
      <c r="S117" s="14" t="str">
        <f t="shared" si="6"/>
        <v/>
      </c>
      <c r="T117" s="14" t="str">
        <f t="shared" si="7"/>
        <v/>
      </c>
      <c r="U117" s="14" t="str">
        <f t="shared" si="8"/>
        <v/>
      </c>
    </row>
    <row r="118" ht="15.75" customHeight="1">
      <c r="A118" s="9">
        <v>45044.5124231944</v>
      </c>
      <c r="B118" s="10">
        <v>12.0</v>
      </c>
      <c r="C118" s="10" t="s">
        <v>60</v>
      </c>
      <c r="D118" s="10" t="s">
        <v>448</v>
      </c>
      <c r="E118" s="12" t="s">
        <v>62</v>
      </c>
      <c r="F118" s="11">
        <v>306072.0</v>
      </c>
      <c r="G118" s="11">
        <v>37373.0</v>
      </c>
      <c r="H118" s="11">
        <v>37381.0</v>
      </c>
      <c r="I118" s="11">
        <v>32.0</v>
      </c>
      <c r="J118" s="11">
        <v>343.0</v>
      </c>
      <c r="K118" s="11">
        <v>19.0</v>
      </c>
      <c r="L118" s="11">
        <v>24.0</v>
      </c>
      <c r="M118" s="13">
        <f t="shared" ref="M118:O118" si="120">IFERROR(G118/F118,"")</f>
        <v>0.1221052563</v>
      </c>
      <c r="N118" s="13">
        <f t="shared" si="120"/>
        <v>1.000214058</v>
      </c>
      <c r="O118" s="14">
        <f t="shared" si="120"/>
        <v>0.0008560498649</v>
      </c>
      <c r="P118" s="13">
        <f t="shared" si="3"/>
        <v>0.009175784489</v>
      </c>
      <c r="Q118" s="13">
        <f t="shared" si="4"/>
        <v>0.0005082796073</v>
      </c>
      <c r="R118" s="13">
        <f t="shared" si="5"/>
        <v>0.0006420373987</v>
      </c>
      <c r="S118" s="14" t="str">
        <f t="shared" si="6"/>
        <v/>
      </c>
      <c r="T118" s="14" t="str">
        <f t="shared" si="7"/>
        <v/>
      </c>
      <c r="U118" s="14" t="str">
        <f t="shared" si="8"/>
        <v/>
      </c>
    </row>
    <row r="119" ht="15.75" customHeight="1">
      <c r="A119" s="9">
        <v>45045.517648588</v>
      </c>
      <c r="B119" s="10">
        <v>12.0</v>
      </c>
      <c r="C119" s="10" t="s">
        <v>69</v>
      </c>
      <c r="D119" s="10" t="s">
        <v>450</v>
      </c>
      <c r="E119" s="12" t="s">
        <v>62</v>
      </c>
      <c r="F119" s="11">
        <v>34297.0</v>
      </c>
      <c r="G119" s="11">
        <v>11225.0</v>
      </c>
      <c r="H119" s="11">
        <v>11223.0</v>
      </c>
      <c r="I119" s="11">
        <v>2.0</v>
      </c>
      <c r="J119" s="11">
        <v>317.0</v>
      </c>
      <c r="K119" s="11">
        <v>40.0</v>
      </c>
      <c r="L119" s="11">
        <v>7.0</v>
      </c>
      <c r="M119" s="13">
        <f t="shared" ref="M119:O119" si="121">IFERROR(G119/F119,"")</f>
        <v>0.327288101</v>
      </c>
      <c r="N119" s="13">
        <f t="shared" si="121"/>
        <v>0.9998218263</v>
      </c>
      <c r="O119" s="14">
        <f t="shared" si="121"/>
        <v>0.0001782054709</v>
      </c>
      <c r="P119" s="13">
        <f t="shared" si="3"/>
        <v>0.02824556714</v>
      </c>
      <c r="Q119" s="13">
        <f t="shared" si="4"/>
        <v>0.003564109418</v>
      </c>
      <c r="R119" s="13">
        <f t="shared" si="5"/>
        <v>0.0006237191482</v>
      </c>
      <c r="S119" s="14" t="str">
        <f t="shared" si="6"/>
        <v/>
      </c>
      <c r="T119" s="14" t="str">
        <f t="shared" si="7"/>
        <v/>
      </c>
      <c r="U119" s="14" t="str">
        <f t="shared" si="8"/>
        <v/>
      </c>
    </row>
    <row r="120" ht="15.75" customHeight="1">
      <c r="A120" s="9">
        <v>45046.5857752894</v>
      </c>
      <c r="B120" s="10">
        <v>14.0</v>
      </c>
      <c r="C120" s="10" t="s">
        <v>77</v>
      </c>
      <c r="D120" s="10" t="s">
        <v>453</v>
      </c>
      <c r="E120" s="12" t="s">
        <v>62</v>
      </c>
      <c r="F120" s="11">
        <v>446231.0</v>
      </c>
      <c r="G120" s="11">
        <v>55146.0</v>
      </c>
      <c r="H120" s="11">
        <v>55140.0</v>
      </c>
      <c r="I120" s="11">
        <v>3.0</v>
      </c>
      <c r="J120" s="11">
        <v>286.0</v>
      </c>
      <c r="K120" s="11">
        <v>22.0</v>
      </c>
      <c r="L120" s="11">
        <v>14.0</v>
      </c>
      <c r="M120" s="13">
        <f t="shared" ref="M120:O120" si="122">IFERROR(G120/F120,"")</f>
        <v>0.1235817323</v>
      </c>
      <c r="N120" s="13">
        <f t="shared" si="122"/>
        <v>0.9998911979</v>
      </c>
      <c r="O120" s="14">
        <f t="shared" si="122"/>
        <v>0.00005440696409</v>
      </c>
      <c r="P120" s="13">
        <f t="shared" si="3"/>
        <v>0.005186797243</v>
      </c>
      <c r="Q120" s="13">
        <f t="shared" si="4"/>
        <v>0.0003989844033</v>
      </c>
      <c r="R120" s="13">
        <f t="shared" si="5"/>
        <v>0.0002538991658</v>
      </c>
      <c r="S120" s="14" t="str">
        <f t="shared" si="6"/>
        <v/>
      </c>
      <c r="T120" s="14" t="str">
        <f t="shared" si="7"/>
        <v/>
      </c>
      <c r="U120" s="14" t="str">
        <f t="shared" si="8"/>
        <v/>
      </c>
    </row>
    <row r="121" ht="15.75" customHeight="1">
      <c r="A121" s="9">
        <v>45047.8834711574</v>
      </c>
      <c r="B121" s="10">
        <v>21.0</v>
      </c>
      <c r="C121" s="10" t="s">
        <v>71</v>
      </c>
      <c r="D121" s="10"/>
      <c r="E121" s="12" t="s">
        <v>62</v>
      </c>
      <c r="F121" s="11">
        <v>16921.0</v>
      </c>
      <c r="G121" s="11">
        <v>7134.0</v>
      </c>
      <c r="H121" s="11">
        <v>7130.0</v>
      </c>
      <c r="I121" s="11">
        <v>0.0</v>
      </c>
      <c r="J121" s="11">
        <v>221.0</v>
      </c>
      <c r="K121" s="11">
        <v>8.0</v>
      </c>
      <c r="L121" s="11">
        <v>3.0</v>
      </c>
      <c r="M121" s="13">
        <f t="shared" ref="M121:O121" si="123">IFERROR(G121/F121,"")</f>
        <v>0.421606288</v>
      </c>
      <c r="N121" s="13">
        <f t="shared" si="123"/>
        <v>0.9994393047</v>
      </c>
      <c r="O121" s="14">
        <f t="shared" si="123"/>
        <v>0</v>
      </c>
      <c r="P121" s="13">
        <f t="shared" si="3"/>
        <v>0.03099579243</v>
      </c>
      <c r="Q121" s="13">
        <f t="shared" si="4"/>
        <v>0.001122019635</v>
      </c>
      <c r="R121" s="13">
        <f t="shared" si="5"/>
        <v>0.0004207573633</v>
      </c>
      <c r="S121" s="14" t="str">
        <f t="shared" si="6"/>
        <v/>
      </c>
      <c r="T121" s="14" t="str">
        <f t="shared" si="7"/>
        <v/>
      </c>
      <c r="U121" s="14" t="str">
        <f t="shared" si="8"/>
        <v/>
      </c>
    </row>
    <row r="122" ht="15.75" customHeight="1">
      <c r="A122" s="9">
        <v>45048.606492419</v>
      </c>
      <c r="B122" s="10">
        <v>14.0</v>
      </c>
      <c r="C122" s="10" t="s">
        <v>59</v>
      </c>
      <c r="D122" s="10"/>
      <c r="E122" s="12" t="s">
        <v>62</v>
      </c>
      <c r="F122" s="11">
        <v>163355.0</v>
      </c>
      <c r="G122" s="11">
        <v>23922.0</v>
      </c>
      <c r="H122" s="11">
        <v>23919.0</v>
      </c>
      <c r="I122" s="11">
        <v>1.0</v>
      </c>
      <c r="J122" s="11">
        <v>278.0</v>
      </c>
      <c r="K122" s="11">
        <v>25.0</v>
      </c>
      <c r="L122" s="11">
        <v>11.0</v>
      </c>
      <c r="M122" s="13">
        <f t="shared" ref="M122:O122" si="124">IFERROR(G122/F122,"")</f>
        <v>0.1464417985</v>
      </c>
      <c r="N122" s="13">
        <f t="shared" si="124"/>
        <v>0.9998745924</v>
      </c>
      <c r="O122" s="14">
        <f t="shared" si="124"/>
        <v>0.00004180776788</v>
      </c>
      <c r="P122" s="13">
        <f t="shared" si="3"/>
        <v>0.01162255947</v>
      </c>
      <c r="Q122" s="13">
        <f t="shared" si="4"/>
        <v>0.001045194197</v>
      </c>
      <c r="R122" s="13">
        <f t="shared" si="5"/>
        <v>0.0004598854467</v>
      </c>
      <c r="S122" s="14" t="str">
        <f t="shared" si="6"/>
        <v/>
      </c>
      <c r="T122" s="14" t="str">
        <f t="shared" si="7"/>
        <v/>
      </c>
      <c r="U122" s="14" t="str">
        <f t="shared" si="8"/>
        <v/>
      </c>
    </row>
    <row r="123" ht="15.75" customHeight="1">
      <c r="A123" s="9">
        <v>45049.8181963194</v>
      </c>
      <c r="B123" s="10">
        <v>19.0</v>
      </c>
      <c r="C123" s="10" t="s">
        <v>80</v>
      </c>
      <c r="D123" s="10"/>
      <c r="E123" s="12" t="s">
        <v>62</v>
      </c>
      <c r="F123" s="11">
        <v>100142.0</v>
      </c>
      <c r="G123" s="11">
        <v>27128.0</v>
      </c>
      <c r="H123" s="11">
        <v>27129.0</v>
      </c>
      <c r="I123" s="11">
        <v>3.0</v>
      </c>
      <c r="J123" s="11">
        <v>382.0</v>
      </c>
      <c r="K123" s="11">
        <v>13.0</v>
      </c>
      <c r="L123" s="11">
        <v>28.0</v>
      </c>
      <c r="M123" s="13">
        <f t="shared" ref="M123:O123" si="125">IFERROR(G123/F123,"")</f>
        <v>0.2708953286</v>
      </c>
      <c r="N123" s="13">
        <f t="shared" si="125"/>
        <v>1.000036862</v>
      </c>
      <c r="O123" s="14">
        <f t="shared" si="125"/>
        <v>0.0001105827712</v>
      </c>
      <c r="P123" s="13">
        <f t="shared" si="3"/>
        <v>0.01408087287</v>
      </c>
      <c r="Q123" s="13">
        <f t="shared" si="4"/>
        <v>0.0004791920086</v>
      </c>
      <c r="R123" s="13">
        <f t="shared" si="5"/>
        <v>0.001032105865</v>
      </c>
      <c r="S123" s="14" t="str">
        <f t="shared" si="6"/>
        <v/>
      </c>
      <c r="T123" s="14" t="str">
        <f t="shared" si="7"/>
        <v/>
      </c>
      <c r="U123" s="14" t="str">
        <f t="shared" si="8"/>
        <v/>
      </c>
    </row>
    <row r="124" ht="15.75" customHeight="1">
      <c r="A124" s="9">
        <v>45050.8907077431</v>
      </c>
      <c r="B124" s="10">
        <v>21.0</v>
      </c>
      <c r="C124" s="10" t="s">
        <v>84</v>
      </c>
      <c r="D124" s="10" t="s">
        <v>459</v>
      </c>
      <c r="E124" s="12" t="s">
        <v>62</v>
      </c>
      <c r="F124" s="11">
        <v>5249.0</v>
      </c>
      <c r="G124" s="11">
        <v>2061.0</v>
      </c>
      <c r="H124" s="11">
        <v>2068.0</v>
      </c>
      <c r="I124" s="11">
        <v>25.0</v>
      </c>
      <c r="J124" s="11">
        <v>142.0</v>
      </c>
      <c r="K124" s="11">
        <v>14.0</v>
      </c>
      <c r="L124" s="11">
        <v>5.0</v>
      </c>
      <c r="M124" s="13">
        <f t="shared" ref="M124:O124" si="126">IFERROR(G124/F124,"")</f>
        <v>0.3926462183</v>
      </c>
      <c r="N124" s="13">
        <f t="shared" si="126"/>
        <v>1.00339641</v>
      </c>
      <c r="O124" s="14">
        <f t="shared" si="126"/>
        <v>0.01208897485</v>
      </c>
      <c r="P124" s="13">
        <f t="shared" si="3"/>
        <v>0.06866537718</v>
      </c>
      <c r="Q124" s="13">
        <f t="shared" si="4"/>
        <v>0.006769825919</v>
      </c>
      <c r="R124" s="13">
        <f t="shared" si="5"/>
        <v>0.002417794971</v>
      </c>
      <c r="S124" s="14">
        <f t="shared" si="6"/>
        <v>0.9836864643</v>
      </c>
      <c r="T124" s="14">
        <f t="shared" si="7"/>
        <v>1.00355033</v>
      </c>
      <c r="U124" s="14">
        <f t="shared" si="8"/>
        <v>5.550873166</v>
      </c>
    </row>
    <row r="125" ht="15.75" customHeight="1">
      <c r="A125" s="9">
        <v>45051.5836703357</v>
      </c>
      <c r="B125" s="10">
        <v>14.0</v>
      </c>
      <c r="C125" s="10" t="s">
        <v>60</v>
      </c>
      <c r="D125" s="10" t="s">
        <v>462</v>
      </c>
      <c r="E125" s="12" t="s">
        <v>62</v>
      </c>
      <c r="F125" s="11">
        <v>362102.0</v>
      </c>
      <c r="G125" s="11">
        <v>58072.0</v>
      </c>
      <c r="H125" s="11">
        <v>58068.0</v>
      </c>
      <c r="I125" s="11">
        <v>2.0</v>
      </c>
      <c r="J125" s="11">
        <v>333.0</v>
      </c>
      <c r="K125" s="11">
        <v>27.0</v>
      </c>
      <c r="L125" s="11">
        <v>34.0</v>
      </c>
      <c r="M125" s="13">
        <f t="shared" ref="M125:O125" si="127">IFERROR(G125/F125,"")</f>
        <v>0.1603747011</v>
      </c>
      <c r="N125" s="13">
        <f t="shared" si="127"/>
        <v>0.99993112</v>
      </c>
      <c r="O125" s="14">
        <f t="shared" si="127"/>
        <v>0.0000344423779</v>
      </c>
      <c r="P125" s="13">
        <f t="shared" si="3"/>
        <v>0.005734655921</v>
      </c>
      <c r="Q125" s="13">
        <f t="shared" si="4"/>
        <v>0.0004649721017</v>
      </c>
      <c r="R125" s="13">
        <f t="shared" si="5"/>
        <v>0.0005855204243</v>
      </c>
      <c r="S125" s="14">
        <f t="shared" si="6"/>
        <v>0.4032281538</v>
      </c>
      <c r="T125" s="14">
        <f t="shared" si="7"/>
        <v>1.000084613</v>
      </c>
      <c r="U125" s="14">
        <f t="shared" si="8"/>
        <v>0.3801611903</v>
      </c>
    </row>
    <row r="126" ht="15.75" customHeight="1">
      <c r="A126" s="9">
        <v>45052.9122711458</v>
      </c>
      <c r="B126" s="10">
        <v>21.0</v>
      </c>
      <c r="C126" s="10" t="s">
        <v>69</v>
      </c>
      <c r="D126" s="10" t="s">
        <v>464</v>
      </c>
      <c r="E126" s="12" t="s">
        <v>62</v>
      </c>
      <c r="F126" s="11">
        <v>27768.0</v>
      </c>
      <c r="G126" s="11">
        <v>14833.0</v>
      </c>
      <c r="H126" s="11">
        <v>14833.0</v>
      </c>
      <c r="I126" s="11">
        <v>43.0</v>
      </c>
      <c r="J126" s="11">
        <v>347.0</v>
      </c>
      <c r="K126" s="11">
        <v>16.0</v>
      </c>
      <c r="L126" s="11">
        <v>17.0</v>
      </c>
      <c r="M126" s="13">
        <f t="shared" ref="M126:O126" si="128">IFERROR(G126/F126,"")</f>
        <v>0.53417603</v>
      </c>
      <c r="N126" s="13">
        <f t="shared" si="128"/>
        <v>1</v>
      </c>
      <c r="O126" s="14">
        <f t="shared" si="128"/>
        <v>0.002898941549</v>
      </c>
      <c r="P126" s="13">
        <f t="shared" si="3"/>
        <v>0.02339378413</v>
      </c>
      <c r="Q126" s="13">
        <f t="shared" si="4"/>
        <v>0.001078675925</v>
      </c>
      <c r="R126" s="13">
        <f t="shared" si="5"/>
        <v>0.001146093171</v>
      </c>
      <c r="S126" s="14">
        <f t="shared" si="6"/>
        <v>1.362779882</v>
      </c>
      <c r="T126" s="14">
        <f t="shared" si="7"/>
        <v>1.000160066</v>
      </c>
      <c r="U126" s="14">
        <f t="shared" si="8"/>
        <v>0.897648062</v>
      </c>
    </row>
    <row r="127" ht="15.75" customHeight="1">
      <c r="A127" s="9">
        <v>45053.5002077894</v>
      </c>
      <c r="B127" s="10">
        <v>12.0</v>
      </c>
      <c r="C127" s="10" t="s">
        <v>77</v>
      </c>
      <c r="D127" s="10" t="s">
        <v>467</v>
      </c>
      <c r="E127" s="12" t="s">
        <v>62</v>
      </c>
      <c r="F127" s="11">
        <v>135385.0</v>
      </c>
      <c r="G127" s="11">
        <v>19573.0</v>
      </c>
      <c r="H127" s="11">
        <v>19570.0</v>
      </c>
      <c r="I127" s="11">
        <v>1.0</v>
      </c>
      <c r="J127" s="11">
        <v>185.0</v>
      </c>
      <c r="K127" s="11">
        <v>12.0</v>
      </c>
      <c r="L127" s="11">
        <v>13.0</v>
      </c>
      <c r="M127" s="13">
        <f t="shared" ref="M127:O127" si="129">IFERROR(G127/F127,"")</f>
        <v>0.1445728847</v>
      </c>
      <c r="N127" s="13">
        <f t="shared" si="129"/>
        <v>0.9998467276</v>
      </c>
      <c r="O127" s="14">
        <f t="shared" si="129"/>
        <v>0.00005109862034</v>
      </c>
      <c r="P127" s="13">
        <f t="shared" si="3"/>
        <v>0.009453244762</v>
      </c>
      <c r="Q127" s="13">
        <f t="shared" si="4"/>
        <v>0.000613183444</v>
      </c>
      <c r="R127" s="13">
        <f t="shared" si="5"/>
        <v>0.0006642820644</v>
      </c>
      <c r="S127" s="14">
        <f t="shared" si="6"/>
        <v>0.3682013935</v>
      </c>
      <c r="T127" s="14">
        <f t="shared" si="7"/>
        <v>1.000006206</v>
      </c>
      <c r="U127" s="14">
        <f t="shared" si="8"/>
        <v>0.5096576392</v>
      </c>
    </row>
    <row r="128" ht="15.75" customHeight="1">
      <c r="A128" s="9">
        <v>45054.5251654514</v>
      </c>
      <c r="B128" s="10">
        <v>12.0</v>
      </c>
      <c r="C128" s="10" t="s">
        <v>71</v>
      </c>
      <c r="D128" s="10" t="s">
        <v>469</v>
      </c>
      <c r="E128" s="12" t="s">
        <v>62</v>
      </c>
      <c r="F128" s="11">
        <v>83080.0</v>
      </c>
      <c r="G128" s="11">
        <v>21041.0</v>
      </c>
      <c r="H128" s="11">
        <v>21042.0</v>
      </c>
      <c r="I128" s="11">
        <v>16.0</v>
      </c>
      <c r="J128" s="11">
        <v>328.0</v>
      </c>
      <c r="K128" s="11">
        <v>49.0</v>
      </c>
      <c r="L128" s="11">
        <v>21.0</v>
      </c>
      <c r="M128" s="13">
        <f t="shared" ref="M128:O128" si="130">IFERROR(G128/F128,"")</f>
        <v>0.2532619162</v>
      </c>
      <c r="N128" s="13">
        <f t="shared" si="130"/>
        <v>1.000047526</v>
      </c>
      <c r="O128" s="14">
        <f t="shared" si="130"/>
        <v>0.0007603839939</v>
      </c>
      <c r="P128" s="13">
        <f t="shared" si="3"/>
        <v>0.01558787188</v>
      </c>
      <c r="Q128" s="13">
        <f t="shared" si="4"/>
        <v>0.002328675981</v>
      </c>
      <c r="R128" s="13">
        <f t="shared" si="5"/>
        <v>0.000998003992</v>
      </c>
      <c r="S128" s="14">
        <f t="shared" si="6"/>
        <v>0.6408666907</v>
      </c>
      <c r="T128" s="14">
        <f t="shared" si="7"/>
        <v>1.0002076</v>
      </c>
      <c r="U128" s="14">
        <f t="shared" si="8"/>
        <v>1.925138695</v>
      </c>
    </row>
    <row r="129" ht="15.75" customHeight="1">
      <c r="A129" s="9">
        <v>45056.5801459954</v>
      </c>
      <c r="B129" s="10">
        <v>13.0</v>
      </c>
      <c r="C129" s="10" t="s">
        <v>80</v>
      </c>
      <c r="D129" s="10" t="s">
        <v>472</v>
      </c>
      <c r="E129" s="12" t="s">
        <v>62</v>
      </c>
      <c r="F129" s="11">
        <v>70812.0</v>
      </c>
      <c r="G129" s="11">
        <v>11527.0</v>
      </c>
      <c r="H129" s="11">
        <v>11522.0</v>
      </c>
      <c r="I129" s="11">
        <v>1.0</v>
      </c>
      <c r="J129" s="11">
        <v>225.0</v>
      </c>
      <c r="K129" s="11">
        <v>19.0</v>
      </c>
      <c r="L129" s="11">
        <v>14.0</v>
      </c>
      <c r="M129" s="13">
        <f t="shared" ref="M129:O129" si="131">IFERROR(G129/F129,"")</f>
        <v>0.1627831441</v>
      </c>
      <c r="N129" s="13">
        <f t="shared" si="131"/>
        <v>0.9995662358</v>
      </c>
      <c r="O129" s="14">
        <f t="shared" si="131"/>
        <v>0.00008679048776</v>
      </c>
      <c r="P129" s="13">
        <f t="shared" si="3"/>
        <v>0.01952785975</v>
      </c>
      <c r="Q129" s="13">
        <f t="shared" si="4"/>
        <v>0.001649019267</v>
      </c>
      <c r="R129" s="13">
        <f t="shared" si="5"/>
        <v>0.001215066829</v>
      </c>
      <c r="S129" s="14">
        <f t="shared" si="6"/>
        <v>0.4176638671</v>
      </c>
      <c r="T129" s="14">
        <f t="shared" si="7"/>
        <v>0.9997262324</v>
      </c>
      <c r="U129" s="14">
        <f t="shared" si="8"/>
        <v>1.375255048</v>
      </c>
    </row>
    <row r="130" ht="15.75" customHeight="1">
      <c r="A130" s="9">
        <v>45057.5852489352</v>
      </c>
      <c r="B130" s="10">
        <v>14.0</v>
      </c>
      <c r="C130" s="10" t="s">
        <v>84</v>
      </c>
      <c r="D130" s="10" t="s">
        <v>474</v>
      </c>
      <c r="E130" s="12" t="s">
        <v>62</v>
      </c>
      <c r="F130" s="11">
        <v>46658.0</v>
      </c>
      <c r="G130" s="11">
        <v>12314.0</v>
      </c>
      <c r="H130" s="11">
        <v>12310.0</v>
      </c>
      <c r="I130" s="11">
        <v>56.0</v>
      </c>
      <c r="J130" s="11">
        <v>242.0</v>
      </c>
      <c r="K130" s="11">
        <v>21.0</v>
      </c>
      <c r="L130" s="11">
        <v>9.0</v>
      </c>
      <c r="M130" s="13">
        <f t="shared" ref="M130:O130" si="132">IFERROR(G130/F130,"")</f>
        <v>0.2639204424</v>
      </c>
      <c r="N130" s="13">
        <f t="shared" si="132"/>
        <v>0.9996751665</v>
      </c>
      <c r="O130" s="14">
        <f t="shared" si="132"/>
        <v>0.004549147035</v>
      </c>
      <c r="P130" s="13">
        <f t="shared" si="3"/>
        <v>0.01965881397</v>
      </c>
      <c r="Q130" s="13">
        <f t="shared" si="4"/>
        <v>0.001705930138</v>
      </c>
      <c r="R130" s="13">
        <f t="shared" si="5"/>
        <v>0.0007311129163</v>
      </c>
      <c r="S130" s="14">
        <f t="shared" si="6"/>
        <v>0.6831266001</v>
      </c>
      <c r="T130" s="14">
        <f t="shared" si="7"/>
        <v>0.99983603</v>
      </c>
      <c r="U130" s="14">
        <f t="shared" si="8"/>
        <v>1.422717781</v>
      </c>
    </row>
    <row r="131" ht="15.75" customHeight="1">
      <c r="A131" s="9">
        <v>45058.5731830324</v>
      </c>
      <c r="B131" s="10">
        <v>13.0</v>
      </c>
      <c r="C131" s="10" t="s">
        <v>60</v>
      </c>
      <c r="D131" s="10" t="s">
        <v>477</v>
      </c>
      <c r="E131" s="12" t="s">
        <v>62</v>
      </c>
      <c r="F131" s="11">
        <v>6284.0</v>
      </c>
      <c r="G131" s="11">
        <v>2595.0</v>
      </c>
      <c r="H131" s="11">
        <v>2601.0</v>
      </c>
      <c r="I131" s="11">
        <v>32.0</v>
      </c>
      <c r="J131" s="11">
        <v>182.0</v>
      </c>
      <c r="K131" s="11">
        <v>12.0</v>
      </c>
      <c r="L131" s="11">
        <v>2.0</v>
      </c>
      <c r="M131" s="13">
        <f t="shared" ref="M131:O131" si="133">IFERROR(G131/F131,"")</f>
        <v>0.4129535328</v>
      </c>
      <c r="N131" s="13">
        <f t="shared" si="133"/>
        <v>1.002312139</v>
      </c>
      <c r="O131" s="14">
        <f t="shared" si="133"/>
        <v>0.0123029604</v>
      </c>
      <c r="P131" s="13">
        <f t="shared" si="3"/>
        <v>0.06997308727</v>
      </c>
      <c r="Q131" s="13">
        <f t="shared" si="4"/>
        <v>0.00461361015</v>
      </c>
      <c r="R131" s="13">
        <f t="shared" si="5"/>
        <v>0.000768935025</v>
      </c>
      <c r="S131" s="14">
        <f t="shared" si="6"/>
        <v>1.068880987</v>
      </c>
      <c r="T131" s="14">
        <f t="shared" si="7"/>
        <v>1.002472575</v>
      </c>
      <c r="U131" s="14">
        <f t="shared" si="8"/>
        <v>3.803125802</v>
      </c>
    </row>
    <row r="132" ht="15.75" customHeight="1">
      <c r="A132" s="9">
        <v>45059.551688206</v>
      </c>
      <c r="B132" s="10">
        <v>13.0</v>
      </c>
      <c r="C132" s="10" t="s">
        <v>69</v>
      </c>
      <c r="D132" s="10" t="s">
        <v>479</v>
      </c>
      <c r="E132" s="12" t="s">
        <v>62</v>
      </c>
      <c r="F132" s="11">
        <v>126220.0</v>
      </c>
      <c r="G132" s="11">
        <v>26221.0</v>
      </c>
      <c r="H132" s="11">
        <v>26216.0</v>
      </c>
      <c r="I132" s="11">
        <v>7.0</v>
      </c>
      <c r="J132" s="11">
        <v>323.0</v>
      </c>
      <c r="K132" s="11">
        <v>18.0</v>
      </c>
      <c r="L132" s="11">
        <v>36.0</v>
      </c>
      <c r="M132" s="13">
        <f t="shared" ref="M132:O132" si="134">IFERROR(G132/F132,"")</f>
        <v>0.2077404532</v>
      </c>
      <c r="N132" s="13">
        <f t="shared" si="134"/>
        <v>0.9998093131</v>
      </c>
      <c r="O132" s="14">
        <f t="shared" si="134"/>
        <v>0.0002670125114</v>
      </c>
      <c r="P132" s="13">
        <f t="shared" si="3"/>
        <v>0.01232072017</v>
      </c>
      <c r="Q132" s="13">
        <f t="shared" si="4"/>
        <v>0.0006866036009</v>
      </c>
      <c r="R132" s="13">
        <f t="shared" si="5"/>
        <v>0.001373207202</v>
      </c>
      <c r="S132" s="14">
        <f t="shared" si="6"/>
        <v>0.540873539</v>
      </c>
      <c r="T132" s="14">
        <f t="shared" si="7"/>
        <v>0.9999627876</v>
      </c>
      <c r="U132" s="14">
        <f t="shared" si="8"/>
        <v>0.5613671041</v>
      </c>
    </row>
    <row r="133" ht="15.75" customHeight="1">
      <c r="A133" s="9">
        <v>45060.5007067824</v>
      </c>
      <c r="B133" s="10">
        <v>12.0</v>
      </c>
      <c r="C133" s="10" t="s">
        <v>77</v>
      </c>
      <c r="D133" s="10" t="s">
        <v>481</v>
      </c>
      <c r="E133" s="12" t="s">
        <v>62</v>
      </c>
      <c r="F133" s="11">
        <v>14707.0</v>
      </c>
      <c r="G133" s="11">
        <v>6310.0</v>
      </c>
      <c r="H133" s="11">
        <v>6303.0</v>
      </c>
      <c r="I133" s="11">
        <v>12.0</v>
      </c>
      <c r="J133" s="11">
        <v>264.0</v>
      </c>
      <c r="K133" s="11">
        <v>11.0</v>
      </c>
      <c r="L133" s="11">
        <v>4.0</v>
      </c>
      <c r="M133" s="13">
        <f t="shared" ref="M133:O133" si="135">IFERROR(G133/F133,"")</f>
        <v>0.4290473924</v>
      </c>
      <c r="N133" s="13">
        <f t="shared" si="135"/>
        <v>0.9988906498</v>
      </c>
      <c r="O133" s="14">
        <f t="shared" si="135"/>
        <v>0.001903855307</v>
      </c>
      <c r="P133" s="13">
        <f t="shared" si="3"/>
        <v>0.04188481675</v>
      </c>
      <c r="Q133" s="13">
        <f t="shared" si="4"/>
        <v>0.001745200698</v>
      </c>
      <c r="R133" s="13">
        <f t="shared" si="5"/>
        <v>0.0006346184357</v>
      </c>
      <c r="S133" s="14">
        <f t="shared" si="6"/>
        <v>1.128618237</v>
      </c>
      <c r="T133" s="14">
        <f t="shared" si="7"/>
        <v>0.9990499752</v>
      </c>
      <c r="U133" s="14">
        <f t="shared" si="8"/>
        <v>1.426876091</v>
      </c>
    </row>
    <row r="134" ht="15.75" customHeight="1">
      <c r="A134" s="9">
        <v>45061.5002018171</v>
      </c>
      <c r="B134" s="10">
        <v>12.0</v>
      </c>
      <c r="C134" s="10" t="s">
        <v>71</v>
      </c>
      <c r="D134" s="10" t="s">
        <v>484</v>
      </c>
      <c r="E134" s="12" t="s">
        <v>62</v>
      </c>
      <c r="F134" s="11">
        <v>48095.0</v>
      </c>
      <c r="G134" s="11">
        <v>14153.0</v>
      </c>
      <c r="H134" s="11">
        <v>14149.0</v>
      </c>
      <c r="I134" s="11">
        <v>1.0</v>
      </c>
      <c r="J134" s="11">
        <v>243.0</v>
      </c>
      <c r="K134" s="11">
        <v>20.0</v>
      </c>
      <c r="L134" s="11">
        <v>12.0</v>
      </c>
      <c r="M134" s="13">
        <f t="shared" ref="M134:O134" si="136">IFERROR(G134/F134,"")</f>
        <v>0.2942717538</v>
      </c>
      <c r="N134" s="13">
        <f t="shared" si="136"/>
        <v>0.9997173744</v>
      </c>
      <c r="O134" s="14">
        <f t="shared" si="136"/>
        <v>0.00007067637289</v>
      </c>
      <c r="P134" s="13">
        <f t="shared" si="3"/>
        <v>0.01717435861</v>
      </c>
      <c r="Q134" s="13">
        <f t="shared" si="4"/>
        <v>0.001413527458</v>
      </c>
      <c r="R134" s="13">
        <f t="shared" si="5"/>
        <v>0.0008481164747</v>
      </c>
      <c r="S134" s="14">
        <f t="shared" si="6"/>
        <v>0.7745718318</v>
      </c>
      <c r="T134" s="14">
        <f t="shared" si="7"/>
        <v>0.9998773952</v>
      </c>
      <c r="U134" s="14">
        <f t="shared" si="8"/>
        <v>1.15310652</v>
      </c>
    </row>
    <row r="135" ht="15.75" customHeight="1">
      <c r="A135" s="9">
        <v>45062.4975294676</v>
      </c>
      <c r="B135" s="10">
        <v>11.0</v>
      </c>
      <c r="C135" s="10" t="s">
        <v>59</v>
      </c>
      <c r="D135" s="10" t="s">
        <v>486</v>
      </c>
      <c r="E135" s="12" t="s">
        <v>62</v>
      </c>
      <c r="F135" s="11">
        <v>58171.0</v>
      </c>
      <c r="G135" s="11">
        <v>11846.0</v>
      </c>
      <c r="H135" s="11">
        <v>11842.0</v>
      </c>
      <c r="I135" s="11">
        <v>1.0</v>
      </c>
      <c r="J135" s="11">
        <v>354.0</v>
      </c>
      <c r="K135" s="11">
        <v>19.0</v>
      </c>
      <c r="L135" s="11">
        <v>20.0</v>
      </c>
      <c r="M135" s="13">
        <f t="shared" ref="M135:O135" si="137">IFERROR(G135/F135,"")</f>
        <v>0.2036409895</v>
      </c>
      <c r="N135" s="13">
        <f t="shared" si="137"/>
        <v>0.9996623333</v>
      </c>
      <c r="O135" s="14">
        <f t="shared" si="137"/>
        <v>0.00008444519507</v>
      </c>
      <c r="P135" s="13">
        <f t="shared" si="3"/>
        <v>0.02989359905</v>
      </c>
      <c r="Q135" s="13">
        <f t="shared" si="4"/>
        <v>0.001604458706</v>
      </c>
      <c r="R135" s="13">
        <f t="shared" si="5"/>
        <v>0.001688903901</v>
      </c>
      <c r="S135" s="14">
        <f t="shared" si="6"/>
        <v>0.5405331024</v>
      </c>
      <c r="T135" s="14">
        <f t="shared" si="7"/>
        <v>0.9998223452</v>
      </c>
      <c r="U135" s="14">
        <f t="shared" si="8"/>
        <v>1.310710961</v>
      </c>
    </row>
    <row r="136" ht="15.75" customHeight="1">
      <c r="A136" s="9">
        <v>45063.5831928935</v>
      </c>
      <c r="B136" s="10">
        <v>13.0</v>
      </c>
      <c r="C136" s="10" t="s">
        <v>80</v>
      </c>
      <c r="D136" s="10" t="s">
        <v>489</v>
      </c>
      <c r="E136" s="12" t="s">
        <v>62</v>
      </c>
      <c r="F136" s="11">
        <v>126412.0</v>
      </c>
      <c r="G136" s="11">
        <v>57758.0</v>
      </c>
      <c r="H136" s="11">
        <v>57753.0</v>
      </c>
      <c r="I136" s="11">
        <v>5.0</v>
      </c>
      <c r="J136" s="11">
        <v>375.0</v>
      </c>
      <c r="K136" s="11">
        <v>24.0</v>
      </c>
      <c r="L136" s="11">
        <v>72.0</v>
      </c>
      <c r="M136" s="13">
        <f t="shared" ref="M136:O136" si="138">IFERROR(G136/F136,"")</f>
        <v>0.4569028257</v>
      </c>
      <c r="N136" s="13">
        <f t="shared" si="138"/>
        <v>0.9999134319</v>
      </c>
      <c r="O136" s="14">
        <f t="shared" si="138"/>
        <v>0.00008657558915</v>
      </c>
      <c r="P136" s="13">
        <f t="shared" si="3"/>
        <v>0.006493169186</v>
      </c>
      <c r="Q136" s="13">
        <f t="shared" si="4"/>
        <v>0.0004155628279</v>
      </c>
      <c r="R136" s="13">
        <f t="shared" si="5"/>
        <v>0.001246688484</v>
      </c>
      <c r="S136" s="14">
        <f t="shared" si="6"/>
        <v>1.225145143</v>
      </c>
      <c r="T136" s="14">
        <f t="shared" si="7"/>
        <v>1.000074755</v>
      </c>
      <c r="U136" s="14">
        <f t="shared" si="8"/>
        <v>0.3425598743</v>
      </c>
    </row>
    <row r="137" ht="15.75" customHeight="1">
      <c r="A137" s="9">
        <v>45064.4999654514</v>
      </c>
      <c r="B137" s="10">
        <v>11.0</v>
      </c>
      <c r="C137" s="10" t="s">
        <v>84</v>
      </c>
      <c r="D137" s="10" t="s">
        <v>491</v>
      </c>
      <c r="E137" s="12" t="s">
        <v>62</v>
      </c>
      <c r="F137" s="11">
        <v>6702.0</v>
      </c>
      <c r="G137" s="11">
        <v>3450.0</v>
      </c>
      <c r="H137" s="11">
        <v>3461.0</v>
      </c>
      <c r="I137" s="11">
        <v>54.0</v>
      </c>
      <c r="J137" s="11">
        <v>231.0</v>
      </c>
      <c r="K137" s="11">
        <v>5.0</v>
      </c>
      <c r="L137" s="11">
        <v>5.0</v>
      </c>
      <c r="M137" s="13">
        <f t="shared" ref="M137:O137" si="139">IFERROR(G137/F137,"")</f>
        <v>0.5147717099</v>
      </c>
      <c r="N137" s="13">
        <f t="shared" si="139"/>
        <v>1.003188406</v>
      </c>
      <c r="O137" s="14">
        <f t="shared" si="139"/>
        <v>0.01560242704</v>
      </c>
      <c r="P137" s="13">
        <f t="shared" si="3"/>
        <v>0.06674371569</v>
      </c>
      <c r="Q137" s="13">
        <f t="shared" si="4"/>
        <v>0.001444669171</v>
      </c>
      <c r="R137" s="13">
        <f t="shared" si="5"/>
        <v>0.001444669171</v>
      </c>
      <c r="S137" s="14">
        <f t="shared" si="6"/>
        <v>1.387931183</v>
      </c>
      <c r="T137" s="14">
        <f t="shared" si="7"/>
        <v>1.003350977</v>
      </c>
      <c r="U137" s="14">
        <f t="shared" si="8"/>
        <v>1.190880551</v>
      </c>
    </row>
    <row r="138" ht="15.75" customHeight="1">
      <c r="A138" s="9">
        <v>45065.5007434144</v>
      </c>
      <c r="B138" s="10">
        <v>12.0</v>
      </c>
      <c r="C138" s="10" t="s">
        <v>60</v>
      </c>
      <c r="D138" s="10" t="s">
        <v>494</v>
      </c>
      <c r="E138" s="12" t="s">
        <v>62</v>
      </c>
      <c r="F138" s="11">
        <v>104950.0</v>
      </c>
      <c r="G138" s="11">
        <v>32835.0</v>
      </c>
      <c r="H138" s="11">
        <v>32826.0</v>
      </c>
      <c r="I138" s="11">
        <v>4.0</v>
      </c>
      <c r="J138" s="11">
        <v>282.0</v>
      </c>
      <c r="K138" s="11">
        <v>12.0</v>
      </c>
      <c r="L138" s="11">
        <v>19.0</v>
      </c>
      <c r="M138" s="13">
        <f t="shared" ref="M138:O138" si="140">IFERROR(G138/F138,"")</f>
        <v>0.3128632682</v>
      </c>
      <c r="N138" s="13">
        <f t="shared" si="140"/>
        <v>0.9997259022</v>
      </c>
      <c r="O138" s="14">
        <f t="shared" si="140"/>
        <v>0.0001218546274</v>
      </c>
      <c r="P138" s="13">
        <f t="shared" si="3"/>
        <v>0.008590751234</v>
      </c>
      <c r="Q138" s="13">
        <f t="shared" si="4"/>
        <v>0.0003655638823</v>
      </c>
      <c r="R138" s="13">
        <f t="shared" si="5"/>
        <v>0.0005788094803</v>
      </c>
      <c r="S138" s="14">
        <f t="shared" si="6"/>
        <v>0.8435441918</v>
      </c>
      <c r="T138" s="14">
        <f t="shared" si="7"/>
        <v>0.9998924725</v>
      </c>
      <c r="U138" s="14">
        <f t="shared" si="8"/>
        <v>0.3013443676</v>
      </c>
    </row>
    <row r="139" ht="15.75" customHeight="1">
      <c r="A139" s="9">
        <v>45066.5001049653</v>
      </c>
      <c r="B139" s="10">
        <v>12.0</v>
      </c>
      <c r="C139" s="10" t="s">
        <v>69</v>
      </c>
      <c r="D139" s="10" t="s">
        <v>498</v>
      </c>
      <c r="E139" s="12" t="s">
        <v>62</v>
      </c>
      <c r="F139" s="11">
        <v>38787.0</v>
      </c>
      <c r="G139" s="11">
        <v>9562.0</v>
      </c>
      <c r="H139" s="11">
        <v>9580.0</v>
      </c>
      <c r="I139" s="11">
        <v>39.0</v>
      </c>
      <c r="J139" s="11">
        <v>313.0</v>
      </c>
      <c r="K139" s="11">
        <v>14.0</v>
      </c>
      <c r="L139" s="11">
        <v>13.0</v>
      </c>
      <c r="M139" s="13">
        <f t="shared" ref="M139:O139" si="141">IFERROR(G139/F139,"")</f>
        <v>0.2465258979</v>
      </c>
      <c r="N139" s="13">
        <f t="shared" si="141"/>
        <v>1.001882451</v>
      </c>
      <c r="O139" s="14">
        <f t="shared" si="141"/>
        <v>0.004070981211</v>
      </c>
      <c r="P139" s="13">
        <f t="shared" si="3"/>
        <v>0.03267223382</v>
      </c>
      <c r="Q139" s="13">
        <f t="shared" si="4"/>
        <v>0.001461377871</v>
      </c>
      <c r="R139" s="13">
        <f t="shared" si="5"/>
        <v>0.001356993737</v>
      </c>
      <c r="S139" s="14">
        <f t="shared" si="6"/>
        <v>0.6750036591</v>
      </c>
      <c r="T139" s="14">
        <f t="shared" si="7"/>
        <v>1.002049381</v>
      </c>
      <c r="U139" s="14">
        <f t="shared" si="8"/>
        <v>1.216123381</v>
      </c>
    </row>
    <row r="140" ht="15.75" customHeight="1">
      <c r="A140" s="9">
        <v>45067.5665088079</v>
      </c>
      <c r="B140" s="10">
        <v>13.0</v>
      </c>
      <c r="C140" s="10" t="s">
        <v>77</v>
      </c>
      <c r="D140" s="10" t="s">
        <v>501</v>
      </c>
      <c r="E140" s="12" t="s">
        <v>62</v>
      </c>
      <c r="F140" s="11">
        <v>78137.0</v>
      </c>
      <c r="G140" s="11">
        <v>29704.0</v>
      </c>
      <c r="H140" s="11">
        <v>29700.0</v>
      </c>
      <c r="I140" s="11">
        <v>3.0</v>
      </c>
      <c r="J140" s="11">
        <v>309.0</v>
      </c>
      <c r="K140" s="11">
        <v>20.0</v>
      </c>
      <c r="L140" s="11">
        <v>36.0</v>
      </c>
      <c r="M140" s="13">
        <f t="shared" ref="M140:O140" si="142">IFERROR(G140/F140,"")</f>
        <v>0.3801528085</v>
      </c>
      <c r="N140" s="13">
        <f t="shared" si="142"/>
        <v>0.999865338</v>
      </c>
      <c r="O140" s="14">
        <f t="shared" si="142"/>
        <v>0.000101010101</v>
      </c>
      <c r="P140" s="13">
        <f t="shared" si="3"/>
        <v>0.0104040404</v>
      </c>
      <c r="Q140" s="13">
        <f t="shared" si="4"/>
        <v>0.0006734006734</v>
      </c>
      <c r="R140" s="13">
        <f t="shared" si="5"/>
        <v>0.001212121212</v>
      </c>
      <c r="S140" s="14">
        <f t="shared" si="6"/>
        <v>1.028242032</v>
      </c>
      <c r="T140" s="14">
        <f t="shared" si="7"/>
        <v>1.000027953</v>
      </c>
      <c r="U140" s="14">
        <f t="shared" si="8"/>
        <v>0.559708193</v>
      </c>
    </row>
    <row r="141" ht="15.75" customHeight="1">
      <c r="A141" s="9">
        <v>45068.5000259491</v>
      </c>
      <c r="B141" s="10">
        <v>12.0</v>
      </c>
      <c r="C141" s="10" t="s">
        <v>71</v>
      </c>
      <c r="D141" s="10" t="s">
        <v>504</v>
      </c>
      <c r="E141" s="12" t="s">
        <v>62</v>
      </c>
      <c r="F141" s="11">
        <v>47089.0</v>
      </c>
      <c r="G141" s="11">
        <v>26206.0</v>
      </c>
      <c r="H141" s="11">
        <v>26199.0</v>
      </c>
      <c r="I141" s="11">
        <v>2.0</v>
      </c>
      <c r="J141" s="11">
        <v>364.0</v>
      </c>
      <c r="K141" s="11">
        <v>29.0</v>
      </c>
      <c r="L141" s="11">
        <v>12.0</v>
      </c>
      <c r="M141" s="13">
        <f t="shared" ref="M141:O141" si="143">IFERROR(G141/F141,"")</f>
        <v>0.5565206311</v>
      </c>
      <c r="N141" s="13">
        <f t="shared" si="143"/>
        <v>0.9997328856</v>
      </c>
      <c r="O141" s="14">
        <f t="shared" si="143"/>
        <v>0.00007633879156</v>
      </c>
      <c r="P141" s="13">
        <f t="shared" si="3"/>
        <v>0.01389366006</v>
      </c>
      <c r="Q141" s="13">
        <f t="shared" si="4"/>
        <v>0.001106912478</v>
      </c>
      <c r="R141" s="13">
        <f t="shared" si="5"/>
        <v>0.0004580327493</v>
      </c>
      <c r="S141" s="14">
        <f t="shared" si="6"/>
        <v>1.505283906</v>
      </c>
      <c r="T141" s="14">
        <f t="shared" si="7"/>
        <v>0.999895479</v>
      </c>
      <c r="U141" s="14">
        <f t="shared" si="8"/>
        <v>0.9200287543</v>
      </c>
    </row>
    <row r="142" ht="15.75" customHeight="1">
      <c r="A142" s="9">
        <v>45068.5000260185</v>
      </c>
      <c r="B142" s="10">
        <v>12.0</v>
      </c>
      <c r="C142" s="10" t="s">
        <v>71</v>
      </c>
      <c r="D142" s="10" t="s">
        <v>507</v>
      </c>
      <c r="E142" s="12" t="s">
        <v>62</v>
      </c>
      <c r="F142" s="11">
        <v>7981.0</v>
      </c>
      <c r="G142" s="11">
        <v>2879.0</v>
      </c>
      <c r="H142" s="11">
        <v>2893.0</v>
      </c>
      <c r="I142" s="11">
        <v>67.0</v>
      </c>
      <c r="J142" s="11">
        <v>173.0</v>
      </c>
      <c r="K142" s="11">
        <v>5.0</v>
      </c>
      <c r="L142" s="11">
        <v>9.0</v>
      </c>
      <c r="M142" s="13">
        <f t="shared" ref="M142:O142" si="144">IFERROR(G142/F142,"")</f>
        <v>0.3607317379</v>
      </c>
      <c r="N142" s="13">
        <f t="shared" si="144"/>
        <v>1.0048628</v>
      </c>
      <c r="O142" s="14">
        <f t="shared" si="144"/>
        <v>0.02315935016</v>
      </c>
      <c r="P142" s="13">
        <f t="shared" si="3"/>
        <v>0.05979951607</v>
      </c>
      <c r="Q142" s="13">
        <f t="shared" si="4"/>
        <v>0.001728309713</v>
      </c>
      <c r="R142" s="13">
        <f t="shared" si="5"/>
        <v>0.003110957484</v>
      </c>
      <c r="S142" s="14">
        <f t="shared" si="6"/>
        <v>0.975711679</v>
      </c>
      <c r="T142" s="14">
        <f t="shared" si="7"/>
        <v>1.005026227</v>
      </c>
      <c r="U142" s="14">
        <f t="shared" si="8"/>
        <v>1.436513423</v>
      </c>
    </row>
    <row r="143" ht="15.75" customHeight="1">
      <c r="A143" s="9">
        <v>45070.5001609954</v>
      </c>
      <c r="B143" s="10">
        <v>12.0</v>
      </c>
      <c r="C143" s="10" t="s">
        <v>80</v>
      </c>
      <c r="D143" s="10" t="s">
        <v>510</v>
      </c>
      <c r="E143" s="12" t="s">
        <v>62</v>
      </c>
      <c r="F143" s="11">
        <v>155440.0</v>
      </c>
      <c r="G143" s="11">
        <v>22194.0</v>
      </c>
      <c r="H143" s="11">
        <v>22214.0</v>
      </c>
      <c r="I143" s="11">
        <v>130.0</v>
      </c>
      <c r="J143" s="11">
        <v>303.0</v>
      </c>
      <c r="K143" s="11">
        <v>8.0</v>
      </c>
      <c r="L143" s="11">
        <v>28.0</v>
      </c>
      <c r="M143" s="13">
        <f t="shared" ref="M143:O143" si="145">IFERROR(G143/F143,"")</f>
        <v>0.1427817808</v>
      </c>
      <c r="N143" s="13">
        <f t="shared" si="145"/>
        <v>1.000901144</v>
      </c>
      <c r="O143" s="14">
        <f t="shared" si="145"/>
        <v>0.005852165301</v>
      </c>
      <c r="P143" s="13">
        <f t="shared" si="3"/>
        <v>0.01364004682</v>
      </c>
      <c r="Q143" s="13">
        <f t="shared" si="4"/>
        <v>0.0003601332493</v>
      </c>
      <c r="R143" s="13">
        <f t="shared" si="5"/>
        <v>0.001260466373</v>
      </c>
      <c r="S143" s="14">
        <f t="shared" si="6"/>
        <v>0.3958115291</v>
      </c>
      <c r="T143" s="14">
        <f t="shared" si="7"/>
        <v>1.001071893</v>
      </c>
      <c r="U143" s="14">
        <f t="shared" si="8"/>
        <v>0.2993307524</v>
      </c>
    </row>
    <row r="144" ht="15.75" customHeight="1">
      <c r="A144" s="9">
        <v>45071.500117581</v>
      </c>
      <c r="B144" s="10">
        <v>12.0</v>
      </c>
      <c r="C144" s="10" t="s">
        <v>84</v>
      </c>
      <c r="D144" s="10" t="s">
        <v>513</v>
      </c>
      <c r="E144" s="12" t="s">
        <v>62</v>
      </c>
      <c r="F144" s="11">
        <v>14712.0</v>
      </c>
      <c r="G144" s="11">
        <v>7058.0</v>
      </c>
      <c r="H144" s="11">
        <v>7050.0</v>
      </c>
      <c r="I144" s="11">
        <v>3.0</v>
      </c>
      <c r="J144" s="11">
        <v>229.0</v>
      </c>
      <c r="K144" s="11">
        <v>15.0</v>
      </c>
      <c r="L144" s="11">
        <v>9.0</v>
      </c>
      <c r="M144" s="13">
        <f t="shared" ref="M144:O144" si="146">IFERROR(G144/F144,"")</f>
        <v>0.4797444263</v>
      </c>
      <c r="N144" s="13">
        <f t="shared" si="146"/>
        <v>0.9988665344</v>
      </c>
      <c r="O144" s="14">
        <f t="shared" si="146"/>
        <v>0.0004255319149</v>
      </c>
      <c r="P144" s="13">
        <f t="shared" si="3"/>
        <v>0.0324822695</v>
      </c>
      <c r="Q144" s="13">
        <f t="shared" si="4"/>
        <v>0.002127659574</v>
      </c>
      <c r="R144" s="13">
        <f t="shared" si="5"/>
        <v>0.001276595745</v>
      </c>
      <c r="S144" s="14">
        <f t="shared" si="6"/>
        <v>1.329920204</v>
      </c>
      <c r="T144" s="14">
        <f t="shared" si="7"/>
        <v>0.9990445379</v>
      </c>
      <c r="U144" s="14">
        <f t="shared" si="8"/>
        <v>1.739574468</v>
      </c>
    </row>
    <row r="145" ht="15.75" customHeight="1">
      <c r="A145" s="9">
        <v>45072.4999397454</v>
      </c>
      <c r="B145" s="10">
        <v>11.0</v>
      </c>
      <c r="C145" s="10" t="s">
        <v>60</v>
      </c>
      <c r="D145" s="10" t="s">
        <v>516</v>
      </c>
      <c r="E145" s="12" t="s">
        <v>62</v>
      </c>
      <c r="F145" s="11">
        <v>38450.0</v>
      </c>
      <c r="G145" s="11">
        <v>14768.0</v>
      </c>
      <c r="H145" s="11">
        <v>14760.0</v>
      </c>
      <c r="I145" s="11">
        <v>3.0</v>
      </c>
      <c r="J145" s="11">
        <v>276.0</v>
      </c>
      <c r="K145" s="11">
        <v>12.0</v>
      </c>
      <c r="L145" s="11">
        <v>13.0</v>
      </c>
      <c r="M145" s="13">
        <f t="shared" ref="M145:O145" si="147">IFERROR(G145/F145,"")</f>
        <v>0.384083225</v>
      </c>
      <c r="N145" s="13">
        <f t="shared" si="147"/>
        <v>0.9994582882</v>
      </c>
      <c r="O145" s="14">
        <f t="shared" si="147"/>
        <v>0.0002032520325</v>
      </c>
      <c r="P145" s="13">
        <f t="shared" si="3"/>
        <v>0.01869918699</v>
      </c>
      <c r="Q145" s="13">
        <f t="shared" si="4"/>
        <v>0.0008130081301</v>
      </c>
      <c r="R145" s="13">
        <f t="shared" si="5"/>
        <v>0.0008807588076</v>
      </c>
      <c r="S145" s="14">
        <f t="shared" si="6"/>
        <v>1.064733664</v>
      </c>
      <c r="T145" s="14">
        <f t="shared" si="7"/>
        <v>0.9996389458</v>
      </c>
      <c r="U145" s="14">
        <f t="shared" si="8"/>
        <v>0.6636071887</v>
      </c>
    </row>
    <row r="146" ht="15.75" customHeight="1">
      <c r="A146" s="9">
        <v>45073.4999907407</v>
      </c>
      <c r="B146" s="10">
        <v>11.0</v>
      </c>
      <c r="C146" s="10" t="s">
        <v>69</v>
      </c>
      <c r="D146" s="10" t="s">
        <v>519</v>
      </c>
      <c r="E146" s="12" t="s">
        <v>62</v>
      </c>
      <c r="F146" s="11">
        <v>45779.0</v>
      </c>
      <c r="G146" s="11">
        <v>21674.0</v>
      </c>
      <c r="H146" s="11">
        <v>21665.0</v>
      </c>
      <c r="I146" s="11">
        <v>1.0</v>
      </c>
      <c r="J146" s="11">
        <v>324.0</v>
      </c>
      <c r="K146" s="11">
        <v>23.0</v>
      </c>
      <c r="L146" s="11">
        <v>19.0</v>
      </c>
      <c r="M146" s="13">
        <f t="shared" ref="M146:O146" si="148">IFERROR(G146/F146,"")</f>
        <v>0.4734485244</v>
      </c>
      <c r="N146" s="13">
        <f t="shared" si="148"/>
        <v>0.9995847559</v>
      </c>
      <c r="O146" s="14">
        <f t="shared" si="148"/>
        <v>0.00004615739672</v>
      </c>
      <c r="P146" s="13">
        <f t="shared" si="3"/>
        <v>0.01495499654</v>
      </c>
      <c r="Q146" s="13">
        <f t="shared" si="4"/>
        <v>0.001061620125</v>
      </c>
      <c r="R146" s="13">
        <f t="shared" si="5"/>
        <v>0.0008769905377</v>
      </c>
      <c r="S146" s="14">
        <f t="shared" si="6"/>
        <v>1.312467063</v>
      </c>
      <c r="T146" s="14">
        <f t="shared" si="7"/>
        <v>0.9997754</v>
      </c>
      <c r="U146" s="14">
        <f t="shared" si="8"/>
        <v>0.866533458</v>
      </c>
    </row>
    <row r="147" ht="15.75" customHeight="1">
      <c r="A147" s="9">
        <v>45074.5067505787</v>
      </c>
      <c r="B147" s="10">
        <v>12.0</v>
      </c>
      <c r="C147" s="10" t="s">
        <v>77</v>
      </c>
      <c r="D147" s="10" t="s">
        <v>522</v>
      </c>
      <c r="E147" s="12" t="s">
        <v>62</v>
      </c>
      <c r="F147" s="11">
        <v>5789.0</v>
      </c>
      <c r="G147" s="11">
        <v>2615.0</v>
      </c>
      <c r="H147" s="11">
        <v>2613.0</v>
      </c>
      <c r="I147" s="11">
        <v>3.0</v>
      </c>
      <c r="J147" s="11">
        <v>203.0</v>
      </c>
      <c r="K147" s="11">
        <v>6.0</v>
      </c>
      <c r="L147" s="11">
        <v>7.0</v>
      </c>
      <c r="M147" s="13">
        <f t="shared" ref="M147:O147" si="149">IFERROR(G147/F147,"")</f>
        <v>0.451718777</v>
      </c>
      <c r="N147" s="13">
        <f t="shared" si="149"/>
        <v>0.9992351816</v>
      </c>
      <c r="O147" s="14">
        <f t="shared" si="149"/>
        <v>0.001148105626</v>
      </c>
      <c r="P147" s="13">
        <f t="shared" si="3"/>
        <v>0.07768848067</v>
      </c>
      <c r="Q147" s="13">
        <f t="shared" si="4"/>
        <v>0.002296211251</v>
      </c>
      <c r="R147" s="13">
        <f t="shared" si="5"/>
        <v>0.002678913127</v>
      </c>
      <c r="S147" s="14">
        <f t="shared" si="6"/>
        <v>1.280274692</v>
      </c>
      <c r="T147" s="14">
        <f t="shared" si="7"/>
        <v>0.999420779</v>
      </c>
      <c r="U147" s="14">
        <f t="shared" si="8"/>
        <v>1.873169248</v>
      </c>
    </row>
    <row r="148" ht="15.75" customHeight="1">
      <c r="A148" s="9">
        <v>45075.4999775579</v>
      </c>
      <c r="B148" s="10">
        <v>11.0</v>
      </c>
      <c r="C148" s="10" t="s">
        <v>71</v>
      </c>
      <c r="D148" s="10" t="s">
        <v>525</v>
      </c>
      <c r="E148" s="12" t="s">
        <v>62</v>
      </c>
      <c r="F148" s="11">
        <v>82990.0</v>
      </c>
      <c r="G148" s="11">
        <v>31022.0</v>
      </c>
      <c r="H148" s="11">
        <v>31017.0</v>
      </c>
      <c r="I148" s="11">
        <v>8.0</v>
      </c>
      <c r="J148" s="11">
        <v>333.0</v>
      </c>
      <c r="K148" s="11">
        <v>38.0</v>
      </c>
      <c r="L148" s="11">
        <v>25.0</v>
      </c>
      <c r="M148" s="13">
        <f t="shared" ref="M148:O148" si="150">IFERROR(G148/F148,"")</f>
        <v>0.3738040728</v>
      </c>
      <c r="N148" s="13">
        <f t="shared" si="150"/>
        <v>0.9998388241</v>
      </c>
      <c r="O148" s="14">
        <f t="shared" si="150"/>
        <v>0.0002579230744</v>
      </c>
      <c r="P148" s="13">
        <f t="shared" si="3"/>
        <v>0.01073604797</v>
      </c>
      <c r="Q148" s="13">
        <f t="shared" si="4"/>
        <v>0.001225134604</v>
      </c>
      <c r="R148" s="13">
        <f t="shared" si="5"/>
        <v>0.0008060096076</v>
      </c>
      <c r="S148" s="14">
        <f t="shared" si="6"/>
        <v>1.059446537</v>
      </c>
      <c r="T148" s="14">
        <f t="shared" si="7"/>
        <v>1.000029693</v>
      </c>
      <c r="U148" s="14">
        <f t="shared" si="8"/>
        <v>1.00906264</v>
      </c>
    </row>
    <row r="149" ht="15.75" customHeight="1">
      <c r="A149" s="9">
        <v>45076.4999453588</v>
      </c>
      <c r="B149" s="10">
        <v>11.0</v>
      </c>
      <c r="C149" s="10" t="s">
        <v>59</v>
      </c>
      <c r="D149" s="10" t="s">
        <v>528</v>
      </c>
      <c r="E149" s="12" t="s">
        <v>62</v>
      </c>
      <c r="F149" s="11">
        <v>44465.0</v>
      </c>
      <c r="G149" s="11">
        <v>11024.0</v>
      </c>
      <c r="H149" s="11">
        <v>11016.0</v>
      </c>
      <c r="I149" s="11">
        <v>9.0</v>
      </c>
      <c r="J149" s="11">
        <v>358.0</v>
      </c>
      <c r="K149" s="11">
        <v>22.0</v>
      </c>
      <c r="L149" s="11">
        <v>15.0</v>
      </c>
      <c r="M149" s="13">
        <f t="shared" ref="M149:O149" si="151">IFERROR(G149/F149,"")</f>
        <v>0.2479253345</v>
      </c>
      <c r="N149" s="13">
        <f t="shared" si="151"/>
        <v>0.9992743106</v>
      </c>
      <c r="O149" s="14">
        <f t="shared" si="151"/>
        <v>0.0008169934641</v>
      </c>
      <c r="P149" s="13">
        <f t="shared" si="3"/>
        <v>0.03249818446</v>
      </c>
      <c r="Q149" s="13">
        <f t="shared" si="4"/>
        <v>0.001997095134</v>
      </c>
      <c r="R149" s="13">
        <f t="shared" si="5"/>
        <v>0.001361655773</v>
      </c>
      <c r="S149" s="14">
        <f t="shared" si="6"/>
        <v>0.7217032076</v>
      </c>
      <c r="T149" s="14">
        <f t="shared" si="7"/>
        <v>0.9994672318</v>
      </c>
      <c r="U149" s="14">
        <f t="shared" si="8"/>
        <v>1.644875659</v>
      </c>
    </row>
    <row r="150" ht="15.75" customHeight="1">
      <c r="A150" s="9">
        <v>45077.5000380093</v>
      </c>
      <c r="B150" s="10">
        <v>12.0</v>
      </c>
      <c r="C150" s="10" t="s">
        <v>80</v>
      </c>
      <c r="D150" s="10" t="s">
        <v>532</v>
      </c>
      <c r="E150" s="12" t="s">
        <v>62</v>
      </c>
      <c r="F150" s="11">
        <v>53651.0</v>
      </c>
      <c r="G150" s="11">
        <v>19962.0</v>
      </c>
      <c r="H150" s="11">
        <v>19957.0</v>
      </c>
      <c r="I150" s="11">
        <v>2.0</v>
      </c>
      <c r="J150" s="11">
        <v>250.0</v>
      </c>
      <c r="K150" s="11">
        <v>44.0</v>
      </c>
      <c r="L150" s="11">
        <v>17.0</v>
      </c>
      <c r="M150" s="13">
        <f t="shared" ref="M150:O150" si="152">IFERROR(G150/F150,"")</f>
        <v>0.37207135</v>
      </c>
      <c r="N150" s="13">
        <f t="shared" si="152"/>
        <v>0.9997495241</v>
      </c>
      <c r="O150" s="14">
        <f t="shared" si="152"/>
        <v>0.0001002154632</v>
      </c>
      <c r="P150" s="13">
        <f t="shared" si="3"/>
        <v>0.01252693291</v>
      </c>
      <c r="Q150" s="13">
        <f t="shared" si="4"/>
        <v>0.002204740191</v>
      </c>
      <c r="R150" s="13">
        <f t="shared" si="5"/>
        <v>0.0008518314376</v>
      </c>
      <c r="S150" s="14">
        <f t="shared" si="6"/>
        <v>1.094229433</v>
      </c>
      <c r="T150" s="14">
        <f t="shared" si="7"/>
        <v>0.9999403762</v>
      </c>
      <c r="U150" s="14">
        <f t="shared" si="8"/>
        <v>1.815899209</v>
      </c>
    </row>
    <row r="151" ht="15.75" customHeight="1">
      <c r="A151" s="9">
        <v>45078.5005099653</v>
      </c>
      <c r="B151" s="10">
        <v>12.0</v>
      </c>
      <c r="C151" s="10" t="s">
        <v>84</v>
      </c>
      <c r="D151" s="10" t="s">
        <v>535</v>
      </c>
      <c r="E151" s="12" t="s">
        <v>62</v>
      </c>
      <c r="F151" s="11">
        <v>34491.0</v>
      </c>
      <c r="G151" s="11">
        <v>13718.0</v>
      </c>
      <c r="H151" s="11">
        <v>13712.0</v>
      </c>
      <c r="I151" s="11">
        <v>5.0</v>
      </c>
      <c r="J151" s="11">
        <v>245.0</v>
      </c>
      <c r="K151" s="11">
        <v>23.0</v>
      </c>
      <c r="L151" s="11">
        <v>13.0</v>
      </c>
      <c r="M151" s="13">
        <f t="shared" ref="M151:O151" si="153">IFERROR(G151/F151,"")</f>
        <v>0.3977269433</v>
      </c>
      <c r="N151" s="13">
        <f t="shared" si="153"/>
        <v>0.9995626185</v>
      </c>
      <c r="O151" s="14">
        <f t="shared" si="153"/>
        <v>0.0003646441074</v>
      </c>
      <c r="P151" s="13">
        <f t="shared" si="3"/>
        <v>0.01786756126</v>
      </c>
      <c r="Q151" s="13">
        <f t="shared" si="4"/>
        <v>0.001677362894</v>
      </c>
      <c r="R151" s="13">
        <f t="shared" si="5"/>
        <v>0.0009480746791</v>
      </c>
      <c r="S151" s="14">
        <f t="shared" si="6"/>
        <v>1.169680298</v>
      </c>
      <c r="T151" s="14">
        <f t="shared" si="7"/>
        <v>0.9997555953</v>
      </c>
      <c r="U151" s="14">
        <f t="shared" si="8"/>
        <v>1.381533282</v>
      </c>
    </row>
    <row r="152" ht="15.75" customHeight="1">
      <c r="A152" s="9">
        <v>45079.510194456</v>
      </c>
      <c r="B152" s="10">
        <v>12.0</v>
      </c>
      <c r="C152" s="10" t="s">
        <v>60</v>
      </c>
      <c r="D152" s="10" t="s">
        <v>538</v>
      </c>
      <c r="E152" s="12" t="s">
        <v>62</v>
      </c>
      <c r="F152" s="11">
        <v>27206.0</v>
      </c>
      <c r="G152" s="11">
        <v>12057.0</v>
      </c>
      <c r="H152" s="11">
        <v>12052.0</v>
      </c>
      <c r="I152" s="11">
        <v>4.0</v>
      </c>
      <c r="J152" s="11">
        <v>472.0</v>
      </c>
      <c r="K152" s="11">
        <v>32.0</v>
      </c>
      <c r="L152" s="11">
        <v>19.0</v>
      </c>
      <c r="M152" s="13">
        <f t="shared" ref="M152:O152" si="154">IFERROR(G152/F152,"")</f>
        <v>0.4431742998</v>
      </c>
      <c r="N152" s="13">
        <f t="shared" si="154"/>
        <v>0.9995853031</v>
      </c>
      <c r="O152" s="14">
        <f t="shared" si="154"/>
        <v>0.0003318951211</v>
      </c>
      <c r="P152" s="13">
        <f t="shared" si="3"/>
        <v>0.03916362429</v>
      </c>
      <c r="Q152" s="13">
        <f t="shared" si="4"/>
        <v>0.002655160969</v>
      </c>
      <c r="R152" s="13">
        <f t="shared" si="5"/>
        <v>0.001576501825</v>
      </c>
      <c r="S152" s="14">
        <f t="shared" si="6"/>
        <v>1.295343474</v>
      </c>
      <c r="T152" s="14">
        <f t="shared" si="7"/>
        <v>0.9997802681</v>
      </c>
      <c r="U152" s="14">
        <f t="shared" si="8"/>
        <v>2.206881292</v>
      </c>
    </row>
    <row r="153" ht="15.75" customHeight="1">
      <c r="A153" s="9">
        <v>45080.4999677662</v>
      </c>
      <c r="B153" s="10">
        <v>11.0</v>
      </c>
      <c r="C153" s="10" t="s">
        <v>69</v>
      </c>
      <c r="D153" s="10" t="s">
        <v>541</v>
      </c>
      <c r="E153" s="12" t="s">
        <v>62</v>
      </c>
      <c r="F153" s="11">
        <v>6850.0</v>
      </c>
      <c r="G153" s="11">
        <v>2922.0</v>
      </c>
      <c r="H153" s="11">
        <v>2916.0</v>
      </c>
      <c r="I153" s="11">
        <v>3.0</v>
      </c>
      <c r="J153" s="11">
        <v>163.0</v>
      </c>
      <c r="K153" s="11">
        <v>6.0</v>
      </c>
      <c r="L153" s="11">
        <v>6.0</v>
      </c>
      <c r="M153" s="13">
        <f t="shared" ref="M153:O153" si="155">IFERROR(G153/F153,"")</f>
        <v>0.4265693431</v>
      </c>
      <c r="N153" s="13">
        <f t="shared" si="155"/>
        <v>0.9979466119</v>
      </c>
      <c r="O153" s="14">
        <f t="shared" si="155"/>
        <v>0.001028806584</v>
      </c>
      <c r="P153" s="13">
        <f t="shared" si="3"/>
        <v>0.05589849108</v>
      </c>
      <c r="Q153" s="13">
        <f t="shared" si="4"/>
        <v>0.002057613169</v>
      </c>
      <c r="R153" s="13">
        <f t="shared" si="5"/>
        <v>0.002057613169</v>
      </c>
      <c r="S153" s="14">
        <f t="shared" si="6"/>
        <v>1.262292871</v>
      </c>
      <c r="T153" s="14">
        <f t="shared" si="7"/>
        <v>0.9981424605</v>
      </c>
      <c r="U153" s="14">
        <f t="shared" si="8"/>
        <v>1.710219479</v>
      </c>
    </row>
    <row r="154" ht="15.75" customHeight="1">
      <c r="A154" s="9">
        <v>45081.5004269907</v>
      </c>
      <c r="B154" s="10">
        <v>12.0</v>
      </c>
      <c r="C154" s="10" t="s">
        <v>77</v>
      </c>
      <c r="D154" s="10" t="s">
        <v>544</v>
      </c>
      <c r="E154" s="12" t="s">
        <v>62</v>
      </c>
      <c r="F154" s="11">
        <v>36283.0</v>
      </c>
      <c r="G154" s="11">
        <v>10587.0</v>
      </c>
      <c r="H154" s="11">
        <v>10580.0</v>
      </c>
      <c r="I154" s="11">
        <v>4.0</v>
      </c>
      <c r="J154" s="11">
        <v>316.0</v>
      </c>
      <c r="K154" s="11">
        <v>9.0</v>
      </c>
      <c r="L154" s="11">
        <v>13.0</v>
      </c>
      <c r="M154" s="13">
        <f t="shared" ref="M154:O154" si="156">IFERROR(G154/F154,"")</f>
        <v>0.2917895433</v>
      </c>
      <c r="N154" s="13">
        <f t="shared" si="156"/>
        <v>0.9993388118</v>
      </c>
      <c r="O154" s="14">
        <f t="shared" si="156"/>
        <v>0.0003780718336</v>
      </c>
      <c r="P154" s="13">
        <f t="shared" si="3"/>
        <v>0.02986767486</v>
      </c>
      <c r="Q154" s="13">
        <f t="shared" si="4"/>
        <v>0.0008506616257</v>
      </c>
      <c r="R154" s="13">
        <f t="shared" si="5"/>
        <v>0.001228733459</v>
      </c>
      <c r="S154" s="14">
        <f t="shared" si="6"/>
        <v>0.8765604537</v>
      </c>
      <c r="T154" s="14">
        <f t="shared" si="7"/>
        <v>0.9995353128</v>
      </c>
      <c r="U154" s="14">
        <f t="shared" si="8"/>
        <v>0.7070415879</v>
      </c>
    </row>
    <row r="155" ht="15.75" customHeight="1">
      <c r="A155" s="9">
        <v>45082.499989838</v>
      </c>
      <c r="B155" s="10">
        <v>11.0</v>
      </c>
      <c r="C155" s="10" t="s">
        <v>71</v>
      </c>
      <c r="D155" s="10" t="s">
        <v>547</v>
      </c>
      <c r="E155" s="12" t="s">
        <v>62</v>
      </c>
      <c r="F155" s="11">
        <v>6142.0</v>
      </c>
      <c r="G155" s="11">
        <v>3063.0</v>
      </c>
      <c r="H155" s="11">
        <v>3056.0</v>
      </c>
      <c r="I155" s="11">
        <v>5.0</v>
      </c>
      <c r="J155" s="11">
        <v>203.0</v>
      </c>
      <c r="K155" s="11">
        <v>5.0</v>
      </c>
      <c r="L155" s="11">
        <v>4.0</v>
      </c>
      <c r="M155" s="13">
        <f t="shared" ref="M155:O155" si="157">IFERROR(G155/F155,"")</f>
        <v>0.4986974927</v>
      </c>
      <c r="N155" s="13">
        <f t="shared" si="157"/>
        <v>0.9977146588</v>
      </c>
      <c r="O155" s="14">
        <f t="shared" si="157"/>
        <v>0.001636125654</v>
      </c>
      <c r="P155" s="13">
        <f t="shared" si="3"/>
        <v>0.06642670157</v>
      </c>
      <c r="Q155" s="13">
        <f t="shared" si="4"/>
        <v>0.001636125654</v>
      </c>
      <c r="R155" s="13">
        <f t="shared" si="5"/>
        <v>0.001308900524</v>
      </c>
      <c r="S155" s="14">
        <f t="shared" si="6"/>
        <v>1.498129424</v>
      </c>
      <c r="T155" s="14">
        <f t="shared" si="7"/>
        <v>0.9979108405</v>
      </c>
      <c r="U155" s="14">
        <f t="shared" si="8"/>
        <v>1.359893106</v>
      </c>
    </row>
    <row r="156" ht="15.75" customHeight="1">
      <c r="A156" s="9">
        <v>45083.5006279514</v>
      </c>
      <c r="B156" s="10">
        <v>12.0</v>
      </c>
      <c r="C156" s="10" t="s">
        <v>59</v>
      </c>
      <c r="D156" s="10" t="s">
        <v>550</v>
      </c>
      <c r="E156" s="12" t="s">
        <v>62</v>
      </c>
      <c r="F156" s="11">
        <v>11547.0</v>
      </c>
      <c r="G156" s="11">
        <v>5393.0</v>
      </c>
      <c r="H156" s="11">
        <v>5402.0</v>
      </c>
      <c r="I156" s="11">
        <v>51.0</v>
      </c>
      <c r="J156" s="11">
        <v>271.0</v>
      </c>
      <c r="K156" s="11">
        <v>12.0</v>
      </c>
      <c r="L156" s="11">
        <v>9.0</v>
      </c>
      <c r="M156" s="13">
        <f t="shared" ref="M156:O156" si="158">IFERROR(G156/F156,"")</f>
        <v>0.467047718</v>
      </c>
      <c r="N156" s="13">
        <f t="shared" si="158"/>
        <v>1.00166883</v>
      </c>
      <c r="O156" s="14">
        <f t="shared" si="158"/>
        <v>0.009440947797</v>
      </c>
      <c r="P156" s="13">
        <f t="shared" si="3"/>
        <v>0.05016660496</v>
      </c>
      <c r="Q156" s="13">
        <f t="shared" si="4"/>
        <v>0.002221399482</v>
      </c>
      <c r="R156" s="13">
        <f t="shared" si="5"/>
        <v>0.001666049611</v>
      </c>
      <c r="S156" s="14">
        <f t="shared" si="6"/>
        <v>1.392484138</v>
      </c>
      <c r="T156" s="14">
        <f t="shared" si="7"/>
        <v>1.001869681</v>
      </c>
      <c r="U156" s="14">
        <f t="shared" si="8"/>
        <v>1.868845175</v>
      </c>
    </row>
    <row r="157" ht="15.75" customHeight="1">
      <c r="A157" s="9">
        <v>45084.5001543171</v>
      </c>
      <c r="B157" s="10">
        <v>12.0</v>
      </c>
      <c r="C157" s="10" t="s">
        <v>80</v>
      </c>
      <c r="D157" s="10" t="s">
        <v>554</v>
      </c>
      <c r="E157" s="12" t="s">
        <v>62</v>
      </c>
      <c r="F157" s="11">
        <v>40299.0</v>
      </c>
      <c r="G157" s="11">
        <v>14899.0</v>
      </c>
      <c r="H157" s="11">
        <v>14894.0</v>
      </c>
      <c r="I157" s="11">
        <v>5.0</v>
      </c>
      <c r="J157" s="11">
        <v>337.0</v>
      </c>
      <c r="K157" s="11">
        <v>17.0</v>
      </c>
      <c r="L157" s="11">
        <v>21.0</v>
      </c>
      <c r="M157" s="13">
        <f t="shared" ref="M157:O157" si="159">IFERROR(G157/F157,"")</f>
        <v>0.3697114072</v>
      </c>
      <c r="N157" s="13">
        <f t="shared" si="159"/>
        <v>0.999664407</v>
      </c>
      <c r="O157" s="14">
        <f t="shared" si="159"/>
        <v>0.0003357056533</v>
      </c>
      <c r="P157" s="13">
        <f t="shared" si="3"/>
        <v>0.02262656103</v>
      </c>
      <c r="Q157" s="13">
        <f t="shared" si="4"/>
        <v>0.001141399221</v>
      </c>
      <c r="R157" s="13">
        <f t="shared" si="5"/>
        <v>0.001409963744</v>
      </c>
      <c r="S157" s="14">
        <f t="shared" si="6"/>
        <v>1.11064432</v>
      </c>
      <c r="T157" s="14">
        <f t="shared" si="7"/>
        <v>0.9998609721</v>
      </c>
      <c r="U157" s="14">
        <f t="shared" si="8"/>
        <v>0.97209167</v>
      </c>
    </row>
    <row r="158" ht="15.75" customHeight="1">
      <c r="A158" s="9">
        <v>45085.4998877778</v>
      </c>
      <c r="B158" s="10">
        <v>11.0</v>
      </c>
      <c r="C158" s="10" t="s">
        <v>84</v>
      </c>
      <c r="D158" s="10" t="s">
        <v>559</v>
      </c>
      <c r="E158" s="12" t="s">
        <v>62</v>
      </c>
      <c r="F158" s="11">
        <v>82270.0</v>
      </c>
      <c r="G158" s="11">
        <v>18018.0</v>
      </c>
      <c r="H158" s="11">
        <v>18023.0</v>
      </c>
      <c r="I158" s="11">
        <v>46.0</v>
      </c>
      <c r="J158" s="11">
        <v>371.0</v>
      </c>
      <c r="K158" s="11">
        <v>19.0</v>
      </c>
      <c r="L158" s="11">
        <v>13.0</v>
      </c>
      <c r="M158" s="13">
        <f t="shared" ref="M158:O158" si="160">IFERROR(G158/F158,"")</f>
        <v>0.2190105749</v>
      </c>
      <c r="N158" s="13">
        <f t="shared" si="160"/>
        <v>1.0002775</v>
      </c>
      <c r="O158" s="14">
        <f t="shared" si="160"/>
        <v>0.002552294291</v>
      </c>
      <c r="P158" s="13">
        <f t="shared" si="3"/>
        <v>0.0205848083</v>
      </c>
      <c r="Q158" s="13">
        <f t="shared" si="4"/>
        <v>0.001054208511</v>
      </c>
      <c r="R158" s="13">
        <f t="shared" si="5"/>
        <v>0.0007213005604</v>
      </c>
      <c r="S158" s="14">
        <f t="shared" si="6"/>
        <v>0.6529712917</v>
      </c>
      <c r="T158" s="14">
        <f t="shared" si="7"/>
        <v>1.000482234</v>
      </c>
      <c r="U158" s="14">
        <f t="shared" si="8"/>
        <v>0.8868969791</v>
      </c>
    </row>
    <row r="159" ht="15.75" customHeight="1">
      <c r="A159" s="9">
        <v>45086.4999903009</v>
      </c>
      <c r="B159" s="10">
        <v>11.0</v>
      </c>
      <c r="C159" s="10" t="s">
        <v>60</v>
      </c>
      <c r="D159" s="10" t="s">
        <v>541</v>
      </c>
      <c r="E159" s="12" t="s">
        <v>62</v>
      </c>
      <c r="F159" s="11">
        <v>10936.0</v>
      </c>
      <c r="G159" s="11">
        <v>5231.0</v>
      </c>
      <c r="H159" s="11">
        <v>5223.0</v>
      </c>
      <c r="I159" s="11">
        <v>12.0</v>
      </c>
      <c r="J159" s="11">
        <v>250.0</v>
      </c>
      <c r="K159" s="11">
        <v>19.0</v>
      </c>
      <c r="L159" s="11">
        <v>11.0</v>
      </c>
      <c r="M159" s="13">
        <f t="shared" ref="M159:O159" si="161">IFERROR(G159/F159,"")</f>
        <v>0.4783284565</v>
      </c>
      <c r="N159" s="13">
        <f t="shared" si="161"/>
        <v>0.9984706557</v>
      </c>
      <c r="O159" s="14">
        <f t="shared" si="161"/>
        <v>0.002297530155</v>
      </c>
      <c r="P159" s="13">
        <f t="shared" si="3"/>
        <v>0.04786521156</v>
      </c>
      <c r="Q159" s="13">
        <f t="shared" si="4"/>
        <v>0.003637756079</v>
      </c>
      <c r="R159" s="13">
        <f t="shared" si="5"/>
        <v>0.002106069309</v>
      </c>
      <c r="S159" s="14">
        <f t="shared" si="6"/>
        <v>1.436939117</v>
      </c>
      <c r="T159" s="14">
        <f t="shared" si="7"/>
        <v>0.9986752939</v>
      </c>
      <c r="U159" s="14">
        <f t="shared" si="8"/>
        <v>3.098155594</v>
      </c>
    </row>
    <row r="160" ht="15.75" customHeight="1">
      <c r="A160" s="9">
        <v>45087.5001282755</v>
      </c>
      <c r="B160" s="10">
        <v>12.0</v>
      </c>
      <c r="C160" s="10" t="s">
        <v>69</v>
      </c>
      <c r="D160" s="10" t="s">
        <v>566</v>
      </c>
      <c r="E160" s="12" t="s">
        <v>62</v>
      </c>
      <c r="F160" s="11">
        <v>7976.0</v>
      </c>
      <c r="G160" s="11">
        <v>4361.0</v>
      </c>
      <c r="H160" s="11">
        <v>4355.0</v>
      </c>
      <c r="I160" s="11">
        <v>1.0</v>
      </c>
      <c r="J160" s="11">
        <v>261.0</v>
      </c>
      <c r="K160" s="11">
        <v>16.0</v>
      </c>
      <c r="L160" s="11">
        <v>5.0</v>
      </c>
      <c r="M160" s="13">
        <f t="shared" ref="M160:O160" si="162">IFERROR(G160/F160,"")</f>
        <v>0.5467652959</v>
      </c>
      <c r="N160" s="13">
        <f t="shared" si="162"/>
        <v>0.9986241688</v>
      </c>
      <c r="O160" s="14">
        <f t="shared" si="162"/>
        <v>0.0002296211251</v>
      </c>
      <c r="P160" s="13">
        <f t="shared" si="3"/>
        <v>0.05993111366</v>
      </c>
      <c r="Q160" s="13">
        <f t="shared" si="4"/>
        <v>0.003673938002</v>
      </c>
      <c r="R160" s="13">
        <f t="shared" si="5"/>
        <v>0.001148105626</v>
      </c>
      <c r="S160" s="14">
        <f t="shared" si="6"/>
        <v>1.617973598</v>
      </c>
      <c r="T160" s="14">
        <f t="shared" si="7"/>
        <v>0.9988288384</v>
      </c>
      <c r="U160" s="14">
        <f t="shared" si="8"/>
        <v>3.177037887</v>
      </c>
    </row>
    <row r="161" ht="15.75" customHeight="1">
      <c r="A161" s="9">
        <v>45088.5003382292</v>
      </c>
      <c r="B161" s="10">
        <v>12.0</v>
      </c>
      <c r="C161" s="10" t="s">
        <v>77</v>
      </c>
      <c r="D161" s="10" t="s">
        <v>571</v>
      </c>
      <c r="E161" s="12" t="s">
        <v>62</v>
      </c>
      <c r="F161" s="11">
        <v>22463.0</v>
      </c>
      <c r="G161" s="11">
        <v>13022.0</v>
      </c>
      <c r="H161" s="11">
        <v>13019.0</v>
      </c>
      <c r="I161" s="11">
        <v>48.0</v>
      </c>
      <c r="J161" s="11">
        <v>411.0</v>
      </c>
      <c r="K161" s="11">
        <v>11.0</v>
      </c>
      <c r="L161" s="11">
        <v>14.0</v>
      </c>
      <c r="M161" s="13">
        <f t="shared" ref="M161:O161" si="163">IFERROR(G161/F161,"")</f>
        <v>0.5797088546</v>
      </c>
      <c r="N161" s="13">
        <f t="shared" si="163"/>
        <v>0.9997696206</v>
      </c>
      <c r="O161" s="14">
        <f t="shared" si="163"/>
        <v>0.003686919118</v>
      </c>
      <c r="P161" s="13">
        <f t="shared" si="3"/>
        <v>0.03156924495</v>
      </c>
      <c r="Q161" s="13">
        <f t="shared" si="4"/>
        <v>0.0008449189646</v>
      </c>
      <c r="R161" s="13">
        <f t="shared" si="5"/>
        <v>0.001075351409</v>
      </c>
      <c r="S161" s="14">
        <f t="shared" si="6"/>
        <v>1.741494403</v>
      </c>
      <c r="T161" s="14">
        <f t="shared" si="7"/>
        <v>0.9999861772</v>
      </c>
      <c r="U161" s="14">
        <f t="shared" si="8"/>
        <v>0.7306436746</v>
      </c>
    </row>
    <row r="162" ht="15.75" customHeight="1">
      <c r="A162" s="9">
        <v>45089.5001407292</v>
      </c>
      <c r="B162" s="10">
        <v>12.0</v>
      </c>
      <c r="C162" s="10" t="s">
        <v>71</v>
      </c>
      <c r="D162" s="10" t="s">
        <v>574</v>
      </c>
      <c r="E162" s="12" t="s">
        <v>62</v>
      </c>
      <c r="F162" s="11">
        <v>10949.0</v>
      </c>
      <c r="G162" s="11">
        <v>6738.0</v>
      </c>
      <c r="H162" s="11">
        <v>6732.0</v>
      </c>
      <c r="I162" s="11">
        <v>1.0</v>
      </c>
      <c r="J162" s="11">
        <v>219.0</v>
      </c>
      <c r="K162" s="11">
        <v>7.0</v>
      </c>
      <c r="L162" s="11">
        <v>8.0</v>
      </c>
      <c r="M162" s="13">
        <f t="shared" ref="M162:O162" si="164">IFERROR(G162/F162,"")</f>
        <v>0.6153986665</v>
      </c>
      <c r="N162" s="13">
        <f t="shared" si="164"/>
        <v>0.999109528</v>
      </c>
      <c r="O162" s="14">
        <f t="shared" si="164"/>
        <v>0.0001485442662</v>
      </c>
      <c r="P162" s="13">
        <f t="shared" si="3"/>
        <v>0.0325311943</v>
      </c>
      <c r="Q162" s="13">
        <f t="shared" si="4"/>
        <v>0.001039809863</v>
      </c>
      <c r="R162" s="13">
        <f t="shared" si="5"/>
        <v>0.00118835413</v>
      </c>
      <c r="S162" s="14">
        <f t="shared" si="6"/>
        <v>1.834786573</v>
      </c>
      <c r="T162" s="14">
        <f t="shared" si="7"/>
        <v>0.9993263967</v>
      </c>
      <c r="U162" s="14">
        <f t="shared" si="8"/>
        <v>0.910214067</v>
      </c>
    </row>
    <row r="163" ht="15.75" customHeight="1">
      <c r="A163" s="9">
        <v>45090.5004019792</v>
      </c>
      <c r="B163" s="10">
        <v>12.0</v>
      </c>
      <c r="C163" s="10" t="s">
        <v>59</v>
      </c>
      <c r="D163" s="10" t="s">
        <v>577</v>
      </c>
      <c r="E163" s="12" t="s">
        <v>62</v>
      </c>
      <c r="F163" s="11">
        <v>8315.0</v>
      </c>
      <c r="G163" s="11">
        <v>4581.0</v>
      </c>
      <c r="H163" s="11">
        <v>4577.0</v>
      </c>
      <c r="I163" s="11">
        <v>2.0</v>
      </c>
      <c r="J163" s="11">
        <v>228.0</v>
      </c>
      <c r="K163" s="11">
        <v>15.0</v>
      </c>
      <c r="L163" s="11">
        <v>7.0</v>
      </c>
      <c r="M163" s="13">
        <f t="shared" ref="M163:O163" si="165">IFERROR(G163/F163,"")</f>
        <v>0.5509320505</v>
      </c>
      <c r="N163" s="13">
        <f t="shared" si="165"/>
        <v>0.9991268282</v>
      </c>
      <c r="O163" s="14">
        <f t="shared" si="165"/>
        <v>0.0004369674459</v>
      </c>
      <c r="P163" s="13">
        <f t="shared" si="3"/>
        <v>0.04981428884</v>
      </c>
      <c r="Q163" s="13">
        <f t="shared" si="4"/>
        <v>0.003277255844</v>
      </c>
      <c r="R163" s="13">
        <f t="shared" si="5"/>
        <v>0.001529386061</v>
      </c>
      <c r="S163" s="14">
        <f t="shared" si="6"/>
        <v>1.63030375</v>
      </c>
      <c r="T163" s="14">
        <f t="shared" si="7"/>
        <v>0.9993441557</v>
      </c>
      <c r="U163" s="14">
        <f t="shared" si="8"/>
        <v>2.871261679</v>
      </c>
    </row>
    <row r="164" ht="15.75" customHeight="1">
      <c r="A164" s="9">
        <v>45091.5004561921</v>
      </c>
      <c r="B164" s="10">
        <v>12.0</v>
      </c>
      <c r="C164" s="10" t="s">
        <v>80</v>
      </c>
      <c r="D164" s="10" t="s">
        <v>580</v>
      </c>
      <c r="E164" s="12" t="s">
        <v>62</v>
      </c>
      <c r="F164" s="11">
        <v>60280.0</v>
      </c>
      <c r="G164" s="11">
        <v>18823.0</v>
      </c>
      <c r="H164" s="11">
        <v>18817.0</v>
      </c>
      <c r="I164" s="11">
        <v>1.0</v>
      </c>
      <c r="J164" s="11">
        <v>331.0</v>
      </c>
      <c r="K164" s="11">
        <v>20.0</v>
      </c>
      <c r="L164" s="11">
        <v>10.0</v>
      </c>
      <c r="M164" s="13">
        <f t="shared" ref="M164:O164" si="166">IFERROR(G164/F164,"")</f>
        <v>0.3122594559</v>
      </c>
      <c r="N164" s="13">
        <f t="shared" si="166"/>
        <v>0.999681241</v>
      </c>
      <c r="O164" s="14">
        <f t="shared" si="166"/>
        <v>0.00005314343413</v>
      </c>
      <c r="P164" s="13">
        <f t="shared" si="3"/>
        <v>0.0175904767</v>
      </c>
      <c r="Q164" s="13">
        <f t="shared" si="4"/>
        <v>0.001062868683</v>
      </c>
      <c r="R164" s="13">
        <f t="shared" si="5"/>
        <v>0.0005314343413</v>
      </c>
      <c r="S164" s="14">
        <f t="shared" si="6"/>
        <v>0.9052903383</v>
      </c>
      <c r="T164" s="14">
        <f t="shared" si="7"/>
        <v>0.9999041851</v>
      </c>
      <c r="U164" s="14">
        <f t="shared" si="8"/>
        <v>0.9191156933</v>
      </c>
    </row>
    <row r="165" ht="15.75" customHeight="1">
      <c r="A165" s="9">
        <v>45092.5254080208</v>
      </c>
      <c r="B165" s="10">
        <v>12.0</v>
      </c>
      <c r="C165" s="10" t="s">
        <v>84</v>
      </c>
      <c r="D165" s="10" t="s">
        <v>583</v>
      </c>
      <c r="E165" s="12" t="s">
        <v>62</v>
      </c>
      <c r="F165" s="11">
        <v>16916.0</v>
      </c>
      <c r="G165" s="11">
        <v>12388.0</v>
      </c>
      <c r="H165" s="11">
        <v>12386.0</v>
      </c>
      <c r="I165" s="11">
        <v>3.0</v>
      </c>
      <c r="J165" s="11">
        <v>304.0</v>
      </c>
      <c r="K165" s="11">
        <v>24.0</v>
      </c>
      <c r="L165" s="11">
        <v>5.0</v>
      </c>
      <c r="M165" s="13">
        <f t="shared" ref="M165:O165" si="167">IFERROR(G165/F165,"")</f>
        <v>0.7323244266</v>
      </c>
      <c r="N165" s="13">
        <f t="shared" si="167"/>
        <v>0.9998385534</v>
      </c>
      <c r="O165" s="14">
        <f t="shared" si="167"/>
        <v>0.0002422089456</v>
      </c>
      <c r="P165" s="13">
        <f t="shared" si="3"/>
        <v>0.02454383982</v>
      </c>
      <c r="Q165" s="13">
        <f t="shared" si="4"/>
        <v>0.001937671565</v>
      </c>
      <c r="R165" s="13">
        <f t="shared" si="5"/>
        <v>0.000403681576</v>
      </c>
      <c r="S165" s="14">
        <f t="shared" si="6"/>
        <v>2.144875653</v>
      </c>
      <c r="T165" s="14">
        <f t="shared" si="7"/>
        <v>1.000063403</v>
      </c>
      <c r="U165" s="14">
        <f t="shared" si="8"/>
        <v>1.696171558</v>
      </c>
    </row>
    <row r="166" ht="15.75" customHeight="1">
      <c r="A166" s="9">
        <v>45093.6250607407</v>
      </c>
      <c r="B166" s="10">
        <v>15.0</v>
      </c>
      <c r="C166" s="10" t="s">
        <v>60</v>
      </c>
      <c r="D166" s="10" t="s">
        <v>586</v>
      </c>
      <c r="E166" s="12" t="s">
        <v>62</v>
      </c>
      <c r="F166" s="11">
        <v>22046.0</v>
      </c>
      <c r="G166" s="11">
        <v>15531.0</v>
      </c>
      <c r="H166" s="11">
        <v>15523.0</v>
      </c>
      <c r="I166" s="11">
        <v>1.0</v>
      </c>
      <c r="J166" s="11">
        <v>208.0</v>
      </c>
      <c r="K166" s="11">
        <v>14.0</v>
      </c>
      <c r="L166" s="11">
        <v>3.0</v>
      </c>
      <c r="M166" s="13">
        <f t="shared" ref="M166:O166" si="168">IFERROR(G166/F166,"")</f>
        <v>0.7044815386</v>
      </c>
      <c r="N166" s="13">
        <f t="shared" si="168"/>
        <v>0.9994849012</v>
      </c>
      <c r="O166" s="14">
        <f t="shared" si="168"/>
        <v>0.00006442053727</v>
      </c>
      <c r="P166" s="13">
        <f t="shared" si="3"/>
        <v>0.01339947175</v>
      </c>
      <c r="Q166" s="13">
        <f t="shared" si="4"/>
        <v>0.0009018875217</v>
      </c>
      <c r="R166" s="13">
        <f t="shared" si="5"/>
        <v>0.0001932616118</v>
      </c>
      <c r="S166" s="14">
        <f t="shared" si="6"/>
        <v>2.042405181</v>
      </c>
      <c r="T166" s="14">
        <f t="shared" si="7"/>
        <v>0.9997152149</v>
      </c>
      <c r="U166" s="14">
        <f t="shared" si="8"/>
        <v>0.7901595735</v>
      </c>
    </row>
    <row r="167" ht="15.75" customHeight="1">
      <c r="A167" s="9">
        <v>45094.6251987847</v>
      </c>
      <c r="B167" s="10">
        <v>15.0</v>
      </c>
      <c r="C167" s="10" t="s">
        <v>69</v>
      </c>
      <c r="D167" s="10" t="s">
        <v>589</v>
      </c>
      <c r="E167" s="12" t="s">
        <v>62</v>
      </c>
      <c r="F167" s="11">
        <v>21095.0</v>
      </c>
      <c r="G167" s="11">
        <v>11100.0</v>
      </c>
      <c r="H167" s="11">
        <v>11106.0</v>
      </c>
      <c r="I167" s="11">
        <v>58.0</v>
      </c>
      <c r="J167" s="11">
        <v>306.0</v>
      </c>
      <c r="K167" s="11">
        <v>20.0</v>
      </c>
      <c r="L167" s="11">
        <v>12.0</v>
      </c>
      <c r="M167" s="13">
        <f t="shared" ref="M167:O167" si="169">IFERROR(G167/F167,"")</f>
        <v>0.5261910405</v>
      </c>
      <c r="N167" s="13">
        <f t="shared" si="169"/>
        <v>1.000540541</v>
      </c>
      <c r="O167" s="14">
        <f t="shared" si="169"/>
        <v>0.005222402305</v>
      </c>
      <c r="P167" s="13">
        <f t="shared" si="3"/>
        <v>0.02755267423</v>
      </c>
      <c r="Q167" s="13">
        <f t="shared" si="4"/>
        <v>0.001800828381</v>
      </c>
      <c r="R167" s="13">
        <f t="shared" si="5"/>
        <v>0.001080497029</v>
      </c>
      <c r="S167" s="14">
        <f t="shared" si="6"/>
        <v>1.445826351</v>
      </c>
      <c r="T167" s="14">
        <f t="shared" si="7"/>
        <v>1.000777082</v>
      </c>
      <c r="U167" s="14">
        <f t="shared" si="8"/>
        <v>1.591246248</v>
      </c>
    </row>
    <row r="168" ht="15.75" customHeight="1">
      <c r="A168" s="9">
        <v>45095.6248453357</v>
      </c>
      <c r="B168" s="10">
        <v>14.0</v>
      </c>
      <c r="C168" s="10" t="s">
        <v>77</v>
      </c>
      <c r="D168" s="10" t="s">
        <v>593</v>
      </c>
      <c r="E168" s="12" t="s">
        <v>62</v>
      </c>
      <c r="F168" s="11">
        <v>82903.0</v>
      </c>
      <c r="G168" s="11">
        <v>56706.0</v>
      </c>
      <c r="H168" s="11">
        <v>56703.0</v>
      </c>
      <c r="I168" s="11">
        <v>8.0</v>
      </c>
      <c r="J168" s="11">
        <v>752.0</v>
      </c>
      <c r="K168" s="11">
        <v>39.0</v>
      </c>
      <c r="L168" s="11">
        <v>59.0</v>
      </c>
      <c r="M168" s="13">
        <f t="shared" ref="M168:O168" si="170">IFERROR(G168/F168,"")</f>
        <v>0.6840041977</v>
      </c>
      <c r="N168" s="13">
        <f t="shared" si="170"/>
        <v>0.9999470955</v>
      </c>
      <c r="O168" s="14">
        <f t="shared" si="170"/>
        <v>0.0001410860096</v>
      </c>
      <c r="P168" s="13">
        <f t="shared" si="3"/>
        <v>0.0132620849</v>
      </c>
      <c r="Q168" s="13">
        <f t="shared" si="4"/>
        <v>0.0006877942966</v>
      </c>
      <c r="R168" s="13">
        <f t="shared" si="5"/>
        <v>0.00104050932</v>
      </c>
      <c r="S168" s="14">
        <f t="shared" si="6"/>
        <v>1.863040096</v>
      </c>
      <c r="T168" s="14">
        <f t="shared" si="7"/>
        <v>1.000189478</v>
      </c>
      <c r="U168" s="14">
        <f t="shared" si="8"/>
        <v>0.6129966668</v>
      </c>
    </row>
    <row r="169" ht="15.75" customHeight="1">
      <c r="A169" s="9">
        <v>45096.6255028125</v>
      </c>
      <c r="B169" s="10">
        <v>15.0</v>
      </c>
      <c r="C169" s="10" t="s">
        <v>71</v>
      </c>
      <c r="D169" s="10" t="s">
        <v>598</v>
      </c>
      <c r="E169" s="12" t="s">
        <v>62</v>
      </c>
      <c r="F169" s="11">
        <v>27.0</v>
      </c>
      <c r="G169" s="11">
        <v>19.0</v>
      </c>
      <c r="H169" s="11">
        <v>19.0</v>
      </c>
      <c r="I169" s="11">
        <v>0.0</v>
      </c>
      <c r="J169" s="11">
        <v>4.0</v>
      </c>
      <c r="K169" s="11">
        <v>0.0</v>
      </c>
      <c r="L169" s="11">
        <v>0.0</v>
      </c>
      <c r="M169" s="13">
        <f t="shared" ref="M169:O169" si="171">IFERROR(G169/F169,"")</f>
        <v>0.7037037037</v>
      </c>
      <c r="N169" s="13">
        <f t="shared" si="171"/>
        <v>1</v>
      </c>
      <c r="O169" s="14">
        <f t="shared" si="171"/>
        <v>0</v>
      </c>
      <c r="P169" s="13">
        <f t="shared" si="3"/>
        <v>0.2105263158</v>
      </c>
      <c r="Q169" s="13">
        <f t="shared" si="4"/>
        <v>0</v>
      </c>
      <c r="R169" s="13">
        <f t="shared" si="5"/>
        <v>0</v>
      </c>
      <c r="S169" s="14">
        <f t="shared" si="6"/>
        <v>1.95076737</v>
      </c>
      <c r="T169" s="14">
        <f t="shared" si="7"/>
        <v>1.000230432</v>
      </c>
      <c r="U169" s="14">
        <f t="shared" si="8"/>
        <v>0</v>
      </c>
    </row>
    <row r="170" ht="15.75" customHeight="1">
      <c r="A170" s="9">
        <v>45096.8789136343</v>
      </c>
      <c r="B170" s="10">
        <v>21.0</v>
      </c>
      <c r="C170" s="10" t="s">
        <v>71</v>
      </c>
      <c r="D170" s="10" t="s">
        <v>598</v>
      </c>
      <c r="E170" s="12" t="s">
        <v>62</v>
      </c>
      <c r="F170" s="11">
        <v>3594.0</v>
      </c>
      <c r="G170" s="11">
        <v>2285.0</v>
      </c>
      <c r="H170" s="11">
        <v>2281.0</v>
      </c>
      <c r="I170" s="11">
        <v>0.0</v>
      </c>
      <c r="J170" s="11">
        <v>193.0</v>
      </c>
      <c r="K170" s="11">
        <v>4.0</v>
      </c>
      <c r="L170" s="11">
        <v>6.0</v>
      </c>
      <c r="M170" s="13">
        <f t="shared" ref="M170:O170" si="172">IFERROR(G170/F170,"")</f>
        <v>0.6357818587</v>
      </c>
      <c r="N170" s="13">
        <f t="shared" si="172"/>
        <v>0.998249453</v>
      </c>
      <c r="O170" s="14">
        <f t="shared" si="172"/>
        <v>0</v>
      </c>
      <c r="P170" s="13">
        <f t="shared" si="3"/>
        <v>0.08461201228</v>
      </c>
      <c r="Q170" s="13">
        <f t="shared" si="4"/>
        <v>0.001753616835</v>
      </c>
      <c r="R170" s="13">
        <f t="shared" si="5"/>
        <v>0.002630425252</v>
      </c>
      <c r="S170" s="14">
        <f t="shared" si="6"/>
        <v>1.762478296</v>
      </c>
      <c r="T170" s="14">
        <f t="shared" si="7"/>
        <v>0.9984914235</v>
      </c>
      <c r="U170" s="14">
        <f t="shared" si="8"/>
        <v>1.584241636</v>
      </c>
    </row>
    <row r="171" ht="15.75" customHeight="1">
      <c r="A171" s="9">
        <v>45097.746334375</v>
      </c>
      <c r="B171" s="10">
        <v>17.0</v>
      </c>
      <c r="C171" s="10" t="s">
        <v>59</v>
      </c>
      <c r="D171" s="10" t="s">
        <v>604</v>
      </c>
      <c r="E171" s="12" t="s">
        <v>62</v>
      </c>
      <c r="F171" s="11">
        <v>8024.0</v>
      </c>
      <c r="G171" s="11">
        <v>4748.0</v>
      </c>
      <c r="H171" s="11">
        <v>4745.0</v>
      </c>
      <c r="I171" s="11">
        <v>4.0</v>
      </c>
      <c r="J171" s="11">
        <v>282.0</v>
      </c>
      <c r="K171" s="11">
        <v>24.0</v>
      </c>
      <c r="L171" s="11">
        <v>10.0</v>
      </c>
      <c r="M171" s="13">
        <f t="shared" ref="M171:O171" si="173">IFERROR(G171/F171,"")</f>
        <v>0.5917248255</v>
      </c>
      <c r="N171" s="13">
        <f t="shared" si="173"/>
        <v>0.999368155</v>
      </c>
      <c r="O171" s="14">
        <f t="shared" si="173"/>
        <v>0.0008429926238</v>
      </c>
      <c r="P171" s="13">
        <f t="shared" si="3"/>
        <v>0.05943097998</v>
      </c>
      <c r="Q171" s="13">
        <f t="shared" si="4"/>
        <v>0.005057955743</v>
      </c>
      <c r="R171" s="13">
        <f t="shared" si="5"/>
        <v>0.00210748156</v>
      </c>
      <c r="S171" s="14">
        <f t="shared" si="6"/>
        <v>1.625894931</v>
      </c>
      <c r="T171" s="14">
        <f t="shared" si="7"/>
        <v>0.999614466</v>
      </c>
      <c r="U171" s="14">
        <f t="shared" si="8"/>
        <v>4.604308188</v>
      </c>
    </row>
    <row r="172" ht="15.75" customHeight="1">
      <c r="A172" s="9">
        <v>45098.7400220255</v>
      </c>
      <c r="B172" s="10">
        <v>17.0</v>
      </c>
      <c r="C172" s="10" t="s">
        <v>80</v>
      </c>
      <c r="D172" s="10" t="s">
        <v>607</v>
      </c>
      <c r="E172" s="12" t="s">
        <v>62</v>
      </c>
      <c r="F172" s="11">
        <v>53758.0</v>
      </c>
      <c r="G172" s="11">
        <v>13546.0</v>
      </c>
      <c r="H172" s="11">
        <v>13542.0</v>
      </c>
      <c r="I172" s="11">
        <v>11.0</v>
      </c>
      <c r="J172" s="11">
        <v>400.0</v>
      </c>
      <c r="K172" s="11">
        <v>29.0</v>
      </c>
      <c r="L172" s="11">
        <v>12.0</v>
      </c>
      <c r="M172" s="13">
        <f t="shared" ref="M172:O172" si="174">IFERROR(G172/F172,"")</f>
        <v>0.2519811005</v>
      </c>
      <c r="N172" s="13">
        <f t="shared" si="174"/>
        <v>0.9997047099</v>
      </c>
      <c r="O172" s="14">
        <f t="shared" si="174"/>
        <v>0.0008122876975</v>
      </c>
      <c r="P172" s="13">
        <f t="shared" si="3"/>
        <v>0.02953773446</v>
      </c>
      <c r="Q172" s="13">
        <f t="shared" si="4"/>
        <v>0.002141485748</v>
      </c>
      <c r="R172" s="13">
        <f t="shared" si="5"/>
        <v>0.0008861320337</v>
      </c>
      <c r="S172" s="14">
        <f t="shared" si="6"/>
        <v>0.6863275038</v>
      </c>
      <c r="T172" s="14">
        <f t="shared" si="7"/>
        <v>0.9999551746</v>
      </c>
      <c r="U172" s="14">
        <f t="shared" si="8"/>
        <v>1.934647763</v>
      </c>
    </row>
    <row r="173" ht="15.75" customHeight="1">
      <c r="A173" s="9">
        <v>45099.7044831829</v>
      </c>
      <c r="B173" s="10">
        <v>16.0</v>
      </c>
      <c r="C173" s="10" t="s">
        <v>84</v>
      </c>
      <c r="D173" s="10" t="s">
        <v>611</v>
      </c>
      <c r="E173" s="12" t="s">
        <v>62</v>
      </c>
      <c r="F173" s="11">
        <v>36931.0</v>
      </c>
      <c r="G173" s="11">
        <v>8376.0</v>
      </c>
      <c r="H173" s="11">
        <v>8373.0</v>
      </c>
      <c r="I173" s="11">
        <v>7.0</v>
      </c>
      <c r="J173" s="11">
        <v>391.0</v>
      </c>
      <c r="K173" s="11">
        <v>13.0</v>
      </c>
      <c r="L173" s="11">
        <v>14.0</v>
      </c>
      <c r="M173" s="13">
        <f t="shared" ref="M173:O173" si="175">IFERROR(G173/F173,"")</f>
        <v>0.2268013322</v>
      </c>
      <c r="N173" s="13">
        <f t="shared" si="175"/>
        <v>0.9996418338</v>
      </c>
      <c r="O173" s="14">
        <f t="shared" si="175"/>
        <v>0.0008360205422</v>
      </c>
      <c r="P173" s="13">
        <f t="shared" si="3"/>
        <v>0.04669771886</v>
      </c>
      <c r="Q173" s="13">
        <f t="shared" si="4"/>
        <v>0.001552609578</v>
      </c>
      <c r="R173" s="13">
        <f t="shared" si="5"/>
        <v>0.001672041084</v>
      </c>
      <c r="S173" s="14">
        <f t="shared" si="6"/>
        <v>0.6095640855</v>
      </c>
      <c r="T173" s="14">
        <f t="shared" si="7"/>
        <v>0.9998984483</v>
      </c>
      <c r="U173" s="14">
        <f t="shared" si="8"/>
        <v>1.424228174</v>
      </c>
    </row>
    <row r="174" ht="15.75" customHeight="1">
      <c r="A174" s="9">
        <v>45100.7624276852</v>
      </c>
      <c r="B174" s="10">
        <v>18.0</v>
      </c>
      <c r="C174" s="10" t="s">
        <v>60</v>
      </c>
      <c r="D174" s="10" t="s">
        <v>614</v>
      </c>
      <c r="E174" s="12" t="s">
        <v>62</v>
      </c>
      <c r="F174" s="11">
        <v>18324.0</v>
      </c>
      <c r="G174" s="11">
        <v>11547.0</v>
      </c>
      <c r="H174" s="11">
        <v>11543.0</v>
      </c>
      <c r="I174" s="11">
        <v>3.0</v>
      </c>
      <c r="J174" s="11">
        <v>239.0</v>
      </c>
      <c r="K174" s="11">
        <v>9.0</v>
      </c>
      <c r="L174" s="11">
        <v>13.0</v>
      </c>
      <c r="M174" s="13">
        <f t="shared" ref="M174:O174" si="176">IFERROR(G174/F174,"")</f>
        <v>0.6301571709</v>
      </c>
      <c r="N174" s="13">
        <f t="shared" si="176"/>
        <v>0.9996535897</v>
      </c>
      <c r="O174" s="14">
        <f t="shared" si="176"/>
        <v>0.0002598977735</v>
      </c>
      <c r="P174" s="13">
        <f t="shared" si="3"/>
        <v>0.02070518929</v>
      </c>
      <c r="Q174" s="13">
        <f t="shared" si="4"/>
        <v>0.0007796933206</v>
      </c>
      <c r="R174" s="13">
        <f t="shared" si="5"/>
        <v>0.001126223685</v>
      </c>
      <c r="S174" s="14">
        <f t="shared" si="6"/>
        <v>1.693646046</v>
      </c>
      <c r="T174" s="14">
        <f t="shared" si="7"/>
        <v>0.9999102072</v>
      </c>
      <c r="U174" s="14">
        <f t="shared" si="8"/>
        <v>0.7152224292</v>
      </c>
    </row>
    <row r="175" ht="15.75" customHeight="1">
      <c r="A175" s="9">
        <v>45101.8000136458</v>
      </c>
      <c r="B175" s="10">
        <v>19.0</v>
      </c>
      <c r="C175" s="10" t="s">
        <v>69</v>
      </c>
      <c r="D175" s="10" t="s">
        <v>617</v>
      </c>
      <c r="E175" s="12" t="s">
        <v>62</v>
      </c>
      <c r="F175" s="11">
        <v>85125.0</v>
      </c>
      <c r="G175" s="11">
        <v>27299.0</v>
      </c>
      <c r="H175" s="11">
        <v>27296.0</v>
      </c>
      <c r="I175" s="11">
        <v>5.0</v>
      </c>
      <c r="J175" s="11">
        <v>261.0</v>
      </c>
      <c r="K175" s="11">
        <v>29.0</v>
      </c>
      <c r="L175" s="11">
        <v>26.0</v>
      </c>
      <c r="M175" s="13">
        <f t="shared" ref="M175:O175" si="177">IFERROR(G175/F175,"")</f>
        <v>0.3206930984</v>
      </c>
      <c r="N175" s="13">
        <f t="shared" si="177"/>
        <v>0.9998901059</v>
      </c>
      <c r="O175" s="14">
        <f t="shared" si="177"/>
        <v>0.0001831770223</v>
      </c>
      <c r="P175" s="13">
        <f t="shared" si="3"/>
        <v>0.009561840563</v>
      </c>
      <c r="Q175" s="13">
        <f t="shared" si="4"/>
        <v>0.001062426729</v>
      </c>
      <c r="R175" s="13">
        <f t="shared" si="5"/>
        <v>0.0009525205158</v>
      </c>
      <c r="S175" s="14">
        <f t="shared" si="6"/>
        <v>0.8619129056</v>
      </c>
      <c r="T175" s="14">
        <f t="shared" si="7"/>
        <v>1.000146784</v>
      </c>
      <c r="U175" s="14">
        <f t="shared" si="8"/>
        <v>0.9809948452</v>
      </c>
    </row>
    <row r="176" ht="15.75" customHeight="1">
      <c r="A176" s="9">
        <v>45102.7638163773</v>
      </c>
      <c r="B176" s="10">
        <v>18.0</v>
      </c>
      <c r="C176" s="10" t="s">
        <v>77</v>
      </c>
      <c r="D176" s="10" t="s">
        <v>621</v>
      </c>
      <c r="E176" s="12" t="s">
        <v>62</v>
      </c>
      <c r="F176" s="11">
        <v>228651.0</v>
      </c>
      <c r="G176" s="11">
        <v>36198.0</v>
      </c>
      <c r="H176" s="11">
        <v>36195.0</v>
      </c>
      <c r="I176" s="11">
        <v>8.0</v>
      </c>
      <c r="J176" s="11">
        <v>415.0</v>
      </c>
      <c r="K176" s="11">
        <v>28.0</v>
      </c>
      <c r="L176" s="11">
        <v>7.0</v>
      </c>
      <c r="M176" s="13">
        <f t="shared" ref="M176:O176" si="178">IFERROR(G176/F176,"")</f>
        <v>0.1583111379</v>
      </c>
      <c r="N176" s="13">
        <f t="shared" si="178"/>
        <v>0.9999171225</v>
      </c>
      <c r="O176" s="14">
        <f t="shared" si="178"/>
        <v>0.0002210250035</v>
      </c>
      <c r="P176" s="13">
        <f t="shared" si="3"/>
        <v>0.01146567205</v>
      </c>
      <c r="Q176" s="13">
        <f t="shared" si="4"/>
        <v>0.0007735875121</v>
      </c>
      <c r="R176" s="13">
        <f t="shared" si="5"/>
        <v>0.000193396878</v>
      </c>
      <c r="S176" s="14">
        <f t="shared" si="6"/>
        <v>0.4235136786</v>
      </c>
      <c r="T176" s="14">
        <f t="shared" si="7"/>
        <v>1.000173808</v>
      </c>
      <c r="U176" s="14">
        <f t="shared" si="8"/>
        <v>0.7171639729</v>
      </c>
    </row>
    <row r="177" ht="15.75" customHeight="1">
      <c r="A177" s="9">
        <v>45103.8131659259</v>
      </c>
      <c r="B177" s="10">
        <v>19.0</v>
      </c>
      <c r="C177" s="10" t="s">
        <v>71</v>
      </c>
      <c r="D177" s="10" t="s">
        <v>624</v>
      </c>
      <c r="E177" s="12" t="s">
        <v>62</v>
      </c>
      <c r="F177" s="11">
        <v>53498.0</v>
      </c>
      <c r="G177" s="11">
        <v>13083.0</v>
      </c>
      <c r="H177" s="11">
        <v>13101.0</v>
      </c>
      <c r="I177" s="11">
        <v>67.0</v>
      </c>
      <c r="J177" s="11">
        <v>301.0</v>
      </c>
      <c r="K177" s="11">
        <v>26.0</v>
      </c>
      <c r="L177" s="11">
        <v>9.0</v>
      </c>
      <c r="M177" s="13">
        <f t="shared" ref="M177:O177" si="179">IFERROR(G177/F177,"")</f>
        <v>0.2445511982</v>
      </c>
      <c r="N177" s="13">
        <f t="shared" si="179"/>
        <v>1.001375831</v>
      </c>
      <c r="O177" s="14">
        <f t="shared" si="179"/>
        <v>0.005114113426</v>
      </c>
      <c r="P177" s="13">
        <f t="shared" si="3"/>
        <v>0.02297534539</v>
      </c>
      <c r="Q177" s="13">
        <f t="shared" si="4"/>
        <v>0.00198458133</v>
      </c>
      <c r="R177" s="13">
        <f t="shared" si="5"/>
        <v>0.0006869704603</v>
      </c>
      <c r="S177" s="14">
        <f t="shared" si="6"/>
        <v>0.6542229365</v>
      </c>
      <c r="T177" s="14">
        <f t="shared" si="7"/>
        <v>1.001632891</v>
      </c>
      <c r="U177" s="14">
        <f t="shared" si="8"/>
        <v>1.839830929</v>
      </c>
    </row>
    <row r="178" ht="15.75" customHeight="1">
      <c r="A178" s="9">
        <v>45104.8275810764</v>
      </c>
      <c r="B178" s="10">
        <v>19.0</v>
      </c>
      <c r="C178" s="10" t="s">
        <v>59</v>
      </c>
      <c r="D178" s="10" t="s">
        <v>627</v>
      </c>
      <c r="E178" s="12" t="s">
        <v>62</v>
      </c>
      <c r="F178" s="11">
        <v>70233.0</v>
      </c>
      <c r="G178" s="11">
        <v>14699.0</v>
      </c>
      <c r="H178" s="11">
        <v>14695.0</v>
      </c>
      <c r="I178" s="11">
        <v>6.0</v>
      </c>
      <c r="J178" s="11">
        <v>414.0</v>
      </c>
      <c r="K178" s="11">
        <v>22.0</v>
      </c>
      <c r="L178" s="11">
        <v>13.0</v>
      </c>
      <c r="M178" s="13">
        <f t="shared" ref="M178:O178" si="180">IFERROR(G178/F178,"")</f>
        <v>0.2092890806</v>
      </c>
      <c r="N178" s="13">
        <f t="shared" si="180"/>
        <v>0.9997278726</v>
      </c>
      <c r="O178" s="14">
        <f t="shared" si="180"/>
        <v>0.0004083021436</v>
      </c>
      <c r="P178" s="13">
        <f t="shared" si="3"/>
        <v>0.02817284791</v>
      </c>
      <c r="Q178" s="13">
        <f t="shared" si="4"/>
        <v>0.00149710786</v>
      </c>
      <c r="R178" s="13">
        <f t="shared" si="5"/>
        <v>0.0008846546444</v>
      </c>
      <c r="S178" s="14">
        <f t="shared" si="6"/>
        <v>0.5555250754</v>
      </c>
      <c r="T178" s="14">
        <f t="shared" si="7"/>
        <v>0.9999974219</v>
      </c>
      <c r="U178" s="14">
        <f t="shared" si="8"/>
        <v>1.394570662</v>
      </c>
    </row>
    <row r="179" ht="15.75" customHeight="1">
      <c r="A179" s="9">
        <v>45105.7639285648</v>
      </c>
      <c r="B179" s="10">
        <v>18.0</v>
      </c>
      <c r="C179" s="10" t="s">
        <v>80</v>
      </c>
      <c r="D179" s="10" t="s">
        <v>630</v>
      </c>
      <c r="E179" s="12" t="s">
        <v>62</v>
      </c>
      <c r="F179" s="11">
        <v>33832.0</v>
      </c>
      <c r="G179" s="11">
        <v>11262.0</v>
      </c>
      <c r="H179" s="11">
        <v>11257.0</v>
      </c>
      <c r="I179" s="11">
        <v>7.0</v>
      </c>
      <c r="J179" s="11">
        <v>374.0</v>
      </c>
      <c r="K179" s="11">
        <v>39.0</v>
      </c>
      <c r="L179" s="11">
        <v>18.0</v>
      </c>
      <c r="M179" s="13">
        <f t="shared" ref="M179:O179" si="181">IFERROR(G179/F179,"")</f>
        <v>0.3328801135</v>
      </c>
      <c r="N179" s="13">
        <f t="shared" si="181"/>
        <v>0.9995560291</v>
      </c>
      <c r="O179" s="14">
        <f t="shared" si="181"/>
        <v>0.0006218353025</v>
      </c>
      <c r="P179" s="13">
        <f t="shared" si="3"/>
        <v>0.03322377188</v>
      </c>
      <c r="Q179" s="13">
        <f t="shared" si="4"/>
        <v>0.003464510971</v>
      </c>
      <c r="R179" s="13">
        <f t="shared" si="5"/>
        <v>0.001599005064</v>
      </c>
      <c r="S179" s="14">
        <f t="shared" si="6"/>
        <v>0.8767433232</v>
      </c>
      <c r="T179" s="14">
        <f t="shared" si="7"/>
        <v>0.9998281097</v>
      </c>
      <c r="U179" s="14">
        <f t="shared" si="8"/>
        <v>3.242782269</v>
      </c>
    </row>
    <row r="180" ht="15.75" customHeight="1">
      <c r="A180" s="9">
        <v>45107.8672635417</v>
      </c>
      <c r="B180" s="10">
        <v>20.0</v>
      </c>
      <c r="C180" s="10" t="s">
        <v>60</v>
      </c>
      <c r="D180" s="10" t="s">
        <v>633</v>
      </c>
      <c r="E180" s="12" t="s">
        <v>62</v>
      </c>
      <c r="F180" s="11">
        <v>14920.0</v>
      </c>
      <c r="G180" s="11">
        <v>10193.0</v>
      </c>
      <c r="H180" s="11">
        <v>10191.0</v>
      </c>
      <c r="I180" s="11">
        <v>8.0</v>
      </c>
      <c r="J180" s="11">
        <v>489.0</v>
      </c>
      <c r="K180" s="11">
        <v>21.0</v>
      </c>
      <c r="L180" s="11">
        <v>18.0</v>
      </c>
      <c r="M180" s="13">
        <f t="shared" ref="M180:O180" si="182">IFERROR(G180/F180,"")</f>
        <v>0.6831769437</v>
      </c>
      <c r="N180" s="13">
        <f t="shared" si="182"/>
        <v>0.9998037869</v>
      </c>
      <c r="O180" s="14">
        <f t="shared" si="182"/>
        <v>0.0007850063782</v>
      </c>
      <c r="P180" s="13">
        <f t="shared" si="3"/>
        <v>0.04798351487</v>
      </c>
      <c r="Q180" s="13">
        <f t="shared" si="4"/>
        <v>0.002060641743</v>
      </c>
      <c r="R180" s="13">
        <f t="shared" si="5"/>
        <v>0.001766264351</v>
      </c>
      <c r="S180" s="14">
        <f t="shared" si="6"/>
        <v>1.778721119</v>
      </c>
      <c r="T180" s="14">
        <f t="shared" si="7"/>
        <v>1.000075935</v>
      </c>
      <c r="U180" s="14">
        <f t="shared" si="8"/>
        <v>1.928760671</v>
      </c>
    </row>
    <row r="181" ht="15.75" customHeight="1">
      <c r="A181" s="9">
        <v>45108.8815117708</v>
      </c>
      <c r="B181" s="10">
        <v>21.0</v>
      </c>
      <c r="C181" s="10" t="s">
        <v>69</v>
      </c>
      <c r="D181" s="10" t="s">
        <v>636</v>
      </c>
      <c r="E181" s="12" t="s">
        <v>62</v>
      </c>
      <c r="F181" s="11">
        <v>103596.0</v>
      </c>
      <c r="G181" s="11">
        <v>20922.0</v>
      </c>
      <c r="H181" s="11">
        <v>20921.0</v>
      </c>
      <c r="I181" s="11">
        <v>3.0</v>
      </c>
      <c r="J181" s="11">
        <v>272.0</v>
      </c>
      <c r="K181" s="11">
        <v>10.0</v>
      </c>
      <c r="L181" s="11">
        <v>7.0</v>
      </c>
      <c r="M181" s="13">
        <f t="shared" ref="M181:O181" si="183">IFERROR(G181/F181,"")</f>
        <v>0.2019576045</v>
      </c>
      <c r="N181" s="13">
        <f t="shared" si="183"/>
        <v>0.9999522034</v>
      </c>
      <c r="O181" s="14">
        <f t="shared" si="183"/>
        <v>0.0001433965872</v>
      </c>
      <c r="P181" s="13">
        <f t="shared" si="3"/>
        <v>0.01300129057</v>
      </c>
      <c r="Q181" s="13">
        <f t="shared" si="4"/>
        <v>0.0004779886239</v>
      </c>
      <c r="R181" s="13">
        <f t="shared" si="5"/>
        <v>0.0003345920367</v>
      </c>
      <c r="S181" s="14">
        <f t="shared" si="6"/>
        <v>0.5202556028</v>
      </c>
      <c r="T181" s="14">
        <f t="shared" si="7"/>
        <v>1.000224392</v>
      </c>
      <c r="U181" s="14">
        <f t="shared" si="8"/>
        <v>0.4431253286</v>
      </c>
    </row>
    <row r="182" ht="15.75" customHeight="1">
      <c r="A182" s="9">
        <v>45109.6043045486</v>
      </c>
      <c r="B182" s="10">
        <v>14.0</v>
      </c>
      <c r="C182" s="10" t="s">
        <v>77</v>
      </c>
      <c r="D182" s="10" t="s">
        <v>639</v>
      </c>
      <c r="E182" s="12" t="s">
        <v>62</v>
      </c>
      <c r="F182" s="11">
        <v>9845.0</v>
      </c>
      <c r="G182" s="11">
        <v>4724.0</v>
      </c>
      <c r="H182" s="11">
        <v>4719.0</v>
      </c>
      <c r="I182" s="11">
        <v>3.0</v>
      </c>
      <c r="J182" s="11">
        <v>142.0</v>
      </c>
      <c r="K182" s="11">
        <v>5.0</v>
      </c>
      <c r="L182" s="11">
        <v>3.0</v>
      </c>
      <c r="M182" s="13">
        <f t="shared" ref="M182:O182" si="184">IFERROR(G182/F182,"")</f>
        <v>0.479837481</v>
      </c>
      <c r="N182" s="13">
        <f t="shared" si="184"/>
        <v>0.9989415749</v>
      </c>
      <c r="O182" s="14">
        <f t="shared" si="184"/>
        <v>0.0006357279085</v>
      </c>
      <c r="P182" s="13">
        <f t="shared" si="3"/>
        <v>0.030091121</v>
      </c>
      <c r="Q182" s="13">
        <f t="shared" si="4"/>
        <v>0.001059546514</v>
      </c>
      <c r="R182" s="13">
        <f t="shared" si="5"/>
        <v>0.0006357279085</v>
      </c>
      <c r="S182" s="14">
        <f t="shared" si="6"/>
        <v>1.236091795</v>
      </c>
      <c r="T182" s="14">
        <f t="shared" si="7"/>
        <v>0.9992134883</v>
      </c>
      <c r="U182" s="14">
        <f t="shared" si="8"/>
        <v>0.9822658402</v>
      </c>
    </row>
    <row r="183" ht="15.75" customHeight="1">
      <c r="A183" s="9">
        <v>45110.6916290509</v>
      </c>
      <c r="B183" s="10">
        <v>16.0</v>
      </c>
      <c r="C183" s="10" t="s">
        <v>71</v>
      </c>
      <c r="D183" s="10" t="s">
        <v>642</v>
      </c>
      <c r="E183" s="12" t="s">
        <v>62</v>
      </c>
      <c r="F183" s="11">
        <v>44911.0</v>
      </c>
      <c r="G183" s="11">
        <v>13408.0</v>
      </c>
      <c r="H183" s="11">
        <v>13411.0</v>
      </c>
      <c r="I183" s="11">
        <v>55.0</v>
      </c>
      <c r="J183" s="11">
        <v>309.0</v>
      </c>
      <c r="K183" s="11">
        <v>12.0</v>
      </c>
      <c r="L183" s="11">
        <v>16.0</v>
      </c>
      <c r="M183" s="13">
        <f t="shared" ref="M183:O183" si="185">IFERROR(G183/F183,"")</f>
        <v>0.2985460132</v>
      </c>
      <c r="N183" s="13">
        <f t="shared" si="185"/>
        <v>1.000223747</v>
      </c>
      <c r="O183" s="14">
        <f t="shared" si="185"/>
        <v>0.004101111028</v>
      </c>
      <c r="P183" s="13">
        <f t="shared" si="3"/>
        <v>0.02304078741</v>
      </c>
      <c r="Q183" s="13">
        <f t="shared" si="4"/>
        <v>0.0008947878607</v>
      </c>
      <c r="R183" s="13">
        <f t="shared" si="5"/>
        <v>0.001193050481</v>
      </c>
      <c r="S183" s="14">
        <f t="shared" si="6"/>
        <v>0.7646835875</v>
      </c>
      <c r="T183" s="14">
        <f t="shared" si="7"/>
        <v>1.000495938</v>
      </c>
      <c r="U183" s="14">
        <f t="shared" si="8"/>
        <v>0.8335036723</v>
      </c>
    </row>
    <row r="184" ht="15.75" customHeight="1">
      <c r="A184" s="9">
        <v>45111.8344484607</v>
      </c>
      <c r="B184" s="10">
        <v>20.0</v>
      </c>
      <c r="C184" s="10" t="s">
        <v>59</v>
      </c>
      <c r="D184" s="10" t="s">
        <v>644</v>
      </c>
      <c r="E184" s="12" t="s">
        <v>62</v>
      </c>
      <c r="F184" s="11">
        <v>37111.0</v>
      </c>
      <c r="G184" s="11">
        <v>12541.0</v>
      </c>
      <c r="H184" s="11">
        <v>12539.0</v>
      </c>
      <c r="I184" s="11">
        <v>10.0</v>
      </c>
      <c r="J184" s="11">
        <v>346.0</v>
      </c>
      <c r="K184" s="11">
        <v>25.0</v>
      </c>
      <c r="L184" s="11">
        <v>16.0</v>
      </c>
      <c r="M184" s="13">
        <f t="shared" ref="M184:O184" si="186">IFERROR(G184/F184,"")</f>
        <v>0.3379321495</v>
      </c>
      <c r="N184" s="13">
        <f t="shared" si="186"/>
        <v>0.9998405231</v>
      </c>
      <c r="O184" s="14">
        <f t="shared" si="186"/>
        <v>0.0007975117633</v>
      </c>
      <c r="P184" s="13">
        <f t="shared" si="3"/>
        <v>0.02759390701</v>
      </c>
      <c r="Q184" s="13">
        <f t="shared" si="4"/>
        <v>0.001993779408</v>
      </c>
      <c r="R184" s="13">
        <f t="shared" si="5"/>
        <v>0.001276018821</v>
      </c>
      <c r="S184" s="14">
        <f t="shared" si="6"/>
        <v>0.8751630642</v>
      </c>
      <c r="T184" s="14">
        <f t="shared" si="7"/>
        <v>1.00011261</v>
      </c>
      <c r="U184" s="14">
        <f t="shared" si="8"/>
        <v>1.870999947</v>
      </c>
    </row>
    <row r="185" ht="15.75" customHeight="1">
      <c r="A185" s="9">
        <v>45112.6748123032</v>
      </c>
      <c r="B185" s="10">
        <v>16.0</v>
      </c>
      <c r="C185" s="10" t="s">
        <v>80</v>
      </c>
      <c r="D185" s="10" t="s">
        <v>648</v>
      </c>
      <c r="E185" s="12" t="s">
        <v>62</v>
      </c>
      <c r="F185" s="11">
        <v>14314.0</v>
      </c>
      <c r="G185" s="11">
        <v>7957.0</v>
      </c>
      <c r="H185" s="11">
        <v>7951.0</v>
      </c>
      <c r="I185" s="11">
        <v>19.0</v>
      </c>
      <c r="J185" s="11">
        <v>328.0</v>
      </c>
      <c r="K185" s="11">
        <v>5.0</v>
      </c>
      <c r="L185" s="11">
        <v>5.0</v>
      </c>
      <c r="M185" s="13">
        <f t="shared" ref="M185:O185" si="187">IFERROR(G185/F185,"")</f>
        <v>0.5558893391</v>
      </c>
      <c r="N185" s="13">
        <f t="shared" si="187"/>
        <v>0.999245947</v>
      </c>
      <c r="O185" s="14">
        <f t="shared" si="187"/>
        <v>0.002389636524</v>
      </c>
      <c r="P185" s="13">
        <f t="shared" si="3"/>
        <v>0.04125267262</v>
      </c>
      <c r="Q185" s="13">
        <f t="shared" si="4"/>
        <v>0.0006288517168</v>
      </c>
      <c r="R185" s="13">
        <f t="shared" si="5"/>
        <v>0.0006288517168</v>
      </c>
      <c r="S185" s="14">
        <f t="shared" si="6"/>
        <v>1.439619812</v>
      </c>
      <c r="T185" s="14">
        <f t="shared" si="7"/>
        <v>0.9995178722</v>
      </c>
      <c r="U185" s="14">
        <f t="shared" si="8"/>
        <v>0.5917781719</v>
      </c>
    </row>
    <row r="186" ht="15.75" customHeight="1">
      <c r="A186" s="9">
        <v>45113.555392581</v>
      </c>
      <c r="B186" s="10">
        <v>13.0</v>
      </c>
      <c r="C186" s="10" t="s">
        <v>84</v>
      </c>
      <c r="D186" s="10" t="s">
        <v>650</v>
      </c>
      <c r="E186" s="12" t="s">
        <v>62</v>
      </c>
      <c r="F186" s="11">
        <v>64029.0</v>
      </c>
      <c r="G186" s="11">
        <v>13795.0</v>
      </c>
      <c r="H186" s="11">
        <v>13792.0</v>
      </c>
      <c r="I186" s="11">
        <v>18.0</v>
      </c>
      <c r="J186" s="11">
        <v>233.0</v>
      </c>
      <c r="K186" s="11">
        <v>10.0</v>
      </c>
      <c r="L186" s="11">
        <v>7.0</v>
      </c>
      <c r="M186" s="13">
        <f t="shared" ref="M186:O186" si="188">IFERROR(G186/F186,"")</f>
        <v>0.2154492496</v>
      </c>
      <c r="N186" s="13">
        <f t="shared" si="188"/>
        <v>0.9997825299</v>
      </c>
      <c r="O186" s="14">
        <f t="shared" si="188"/>
        <v>0.001305104408</v>
      </c>
      <c r="P186" s="13">
        <f t="shared" si="3"/>
        <v>0.01689385151</v>
      </c>
      <c r="Q186" s="13">
        <f t="shared" si="4"/>
        <v>0.0007250580046</v>
      </c>
      <c r="R186" s="13">
        <f t="shared" si="5"/>
        <v>0.0005075406032</v>
      </c>
      <c r="S186" s="14">
        <f t="shared" si="6"/>
        <v>0.5550109363</v>
      </c>
      <c r="T186" s="14">
        <f t="shared" si="7"/>
        <v>1.00005453</v>
      </c>
      <c r="U186" s="14">
        <f t="shared" si="8"/>
        <v>0.6824545964</v>
      </c>
    </row>
    <row r="187" ht="15.75" customHeight="1">
      <c r="A187" s="9">
        <v>45114.727283287</v>
      </c>
      <c r="B187" s="10">
        <v>17.0</v>
      </c>
      <c r="C187" s="10" t="s">
        <v>60</v>
      </c>
      <c r="D187" s="10" t="s">
        <v>655</v>
      </c>
      <c r="E187" s="12" t="s">
        <v>62</v>
      </c>
      <c r="F187" s="11">
        <v>38897.0</v>
      </c>
      <c r="G187" s="11">
        <v>12040.0</v>
      </c>
      <c r="H187" s="11">
        <v>12039.0</v>
      </c>
      <c r="I187" s="11">
        <v>198.0</v>
      </c>
      <c r="J187" s="11">
        <v>337.0</v>
      </c>
      <c r="K187" s="11">
        <v>11.0</v>
      </c>
      <c r="L187" s="11">
        <v>14.0</v>
      </c>
      <c r="M187" s="13">
        <f t="shared" ref="M187:O187" si="189">IFERROR(G187/F187,"")</f>
        <v>0.3095354398</v>
      </c>
      <c r="N187" s="13">
        <f t="shared" si="189"/>
        <v>0.9999169435</v>
      </c>
      <c r="O187" s="14">
        <f t="shared" si="189"/>
        <v>0.01644654872</v>
      </c>
      <c r="P187" s="13">
        <f t="shared" si="3"/>
        <v>0.02799235817</v>
      </c>
      <c r="Q187" s="13">
        <f t="shared" si="4"/>
        <v>0.0009136971509</v>
      </c>
      <c r="R187" s="13">
        <f t="shared" si="5"/>
        <v>0.001162887283</v>
      </c>
      <c r="S187" s="14">
        <f t="shared" si="6"/>
        <v>0.7883316464</v>
      </c>
      <c r="T187" s="14">
        <f t="shared" si="7"/>
        <v>1.00018898</v>
      </c>
      <c r="U187" s="14">
        <f t="shared" si="8"/>
        <v>0.8606629902</v>
      </c>
    </row>
    <row r="188" ht="15.75" customHeight="1">
      <c r="A188" s="9">
        <v>45116.4399947107</v>
      </c>
      <c r="B188" s="10">
        <v>10.0</v>
      </c>
      <c r="C188" s="10" t="s">
        <v>77</v>
      </c>
      <c r="D188" s="10" t="s">
        <v>659</v>
      </c>
      <c r="E188" s="12" t="s">
        <v>62</v>
      </c>
      <c r="F188" s="11">
        <v>43245.0</v>
      </c>
      <c r="G188" s="11">
        <v>10197.0</v>
      </c>
      <c r="H188" s="11">
        <v>10213.0</v>
      </c>
      <c r="I188" s="11">
        <v>129.0</v>
      </c>
      <c r="J188" s="11">
        <v>239.0</v>
      </c>
      <c r="K188" s="11">
        <v>18.0</v>
      </c>
      <c r="L188" s="11">
        <v>6.0</v>
      </c>
      <c r="M188" s="13">
        <f t="shared" ref="M188:O188" si="190">IFERROR(G188/F188,"")</f>
        <v>0.2357960458</v>
      </c>
      <c r="N188" s="13">
        <f t="shared" si="190"/>
        <v>1.001569089</v>
      </c>
      <c r="O188" s="14">
        <f t="shared" si="190"/>
        <v>0.01263096054</v>
      </c>
      <c r="P188" s="13">
        <f t="shared" si="3"/>
        <v>0.02340154705</v>
      </c>
      <c r="Q188" s="13">
        <f t="shared" si="4"/>
        <v>0.00176245961</v>
      </c>
      <c r="R188" s="13">
        <f t="shared" si="5"/>
        <v>0.0005874865368</v>
      </c>
      <c r="S188" s="14">
        <f t="shared" si="6"/>
        <v>0.5928591205</v>
      </c>
      <c r="T188" s="14">
        <f t="shared" si="7"/>
        <v>1.001841717</v>
      </c>
      <c r="U188" s="14">
        <f t="shared" si="8"/>
        <v>1.658899915</v>
      </c>
    </row>
    <row r="189" ht="15.75" customHeight="1">
      <c r="A189" s="9">
        <v>45116.5521456019</v>
      </c>
      <c r="B189" s="10">
        <v>13.0</v>
      </c>
      <c r="C189" s="10" t="s">
        <v>77</v>
      </c>
      <c r="D189" s="10" t="s">
        <v>663</v>
      </c>
      <c r="E189" s="12" t="s">
        <v>62</v>
      </c>
      <c r="F189" s="11">
        <v>32240.0</v>
      </c>
      <c r="G189" s="11">
        <v>9235.0</v>
      </c>
      <c r="H189" s="11">
        <v>9238.0</v>
      </c>
      <c r="I189" s="11">
        <v>280.0</v>
      </c>
      <c r="J189" s="11">
        <v>349.0</v>
      </c>
      <c r="K189" s="11">
        <v>31.0</v>
      </c>
      <c r="L189" s="11">
        <v>15.0</v>
      </c>
      <c r="M189" s="13">
        <f t="shared" ref="M189:O189" si="191">IFERROR(G189/F189,"")</f>
        <v>0.2864454094</v>
      </c>
      <c r="N189" s="13">
        <f t="shared" si="191"/>
        <v>1.000324851</v>
      </c>
      <c r="O189" s="14">
        <f t="shared" si="191"/>
        <v>0.03030959082</v>
      </c>
      <c r="P189" s="13">
        <f t="shared" si="3"/>
        <v>0.03777873999</v>
      </c>
      <c r="Q189" s="13">
        <f t="shared" si="4"/>
        <v>0.003355704698</v>
      </c>
      <c r="R189" s="13">
        <f t="shared" si="5"/>
        <v>0.00162372808</v>
      </c>
      <c r="S189" s="14">
        <f t="shared" si="6"/>
        <v>0.7158561641</v>
      </c>
      <c r="T189" s="14">
        <f t="shared" si="7"/>
        <v>1.000598127</v>
      </c>
      <c r="U189" s="14">
        <f t="shared" si="8"/>
        <v>3.157871305</v>
      </c>
    </row>
    <row r="190" ht="15.75" customHeight="1">
      <c r="A190" s="9">
        <v>45117.6631023148</v>
      </c>
      <c r="B190" s="10">
        <v>15.0</v>
      </c>
      <c r="C190" s="10" t="s">
        <v>71</v>
      </c>
      <c r="D190" s="10" t="s">
        <v>668</v>
      </c>
      <c r="E190" s="12" t="s">
        <v>62</v>
      </c>
      <c r="F190" s="11">
        <v>182783.0</v>
      </c>
      <c r="G190" s="11">
        <v>47542.0</v>
      </c>
      <c r="H190" s="11">
        <v>47536.0</v>
      </c>
      <c r="I190" s="11">
        <v>373.0</v>
      </c>
      <c r="J190" s="11">
        <v>413.0</v>
      </c>
      <c r="K190" s="11">
        <v>33.0</v>
      </c>
      <c r="L190" s="11">
        <v>21.0</v>
      </c>
      <c r="M190" s="13">
        <f t="shared" ref="M190:O190" si="192">IFERROR(G190/F190,"")</f>
        <v>0.2601007752</v>
      </c>
      <c r="N190" s="13">
        <f t="shared" si="192"/>
        <v>0.9998737958</v>
      </c>
      <c r="O190" s="14">
        <f t="shared" si="192"/>
        <v>0.007846684618</v>
      </c>
      <c r="P190" s="13">
        <f t="shared" si="3"/>
        <v>0.008688152137</v>
      </c>
      <c r="Q190" s="13">
        <f t="shared" si="4"/>
        <v>0.0006942107035</v>
      </c>
      <c r="R190" s="13">
        <f t="shared" si="5"/>
        <v>0.0004417704477</v>
      </c>
      <c r="S190" s="14">
        <f t="shared" si="6"/>
        <v>0.6442873708</v>
      </c>
      <c r="T190" s="14">
        <f t="shared" si="7"/>
        <v>1.000146948</v>
      </c>
      <c r="U190" s="14">
        <f t="shared" si="8"/>
        <v>0.6536679756</v>
      </c>
    </row>
    <row r="191" ht="15.75" customHeight="1">
      <c r="A191" s="9">
        <v>45118.5602767708</v>
      </c>
      <c r="B191" s="10">
        <v>13.0</v>
      </c>
      <c r="C191" s="10" t="s">
        <v>59</v>
      </c>
      <c r="D191" s="10" t="s">
        <v>671</v>
      </c>
      <c r="E191" s="12" t="s">
        <v>62</v>
      </c>
      <c r="F191" s="11">
        <v>26651.0</v>
      </c>
      <c r="G191" s="11">
        <v>16506.0</v>
      </c>
      <c r="H191" s="11">
        <v>16502.0</v>
      </c>
      <c r="I191" s="11">
        <v>172.0</v>
      </c>
      <c r="J191" s="11">
        <v>314.0</v>
      </c>
      <c r="K191" s="11">
        <v>16.0</v>
      </c>
      <c r="L191" s="11">
        <v>13.0</v>
      </c>
      <c r="M191" s="13">
        <f t="shared" ref="M191:O191" si="193">IFERROR(G191/F191,"")</f>
        <v>0.6193388616</v>
      </c>
      <c r="N191" s="13">
        <f t="shared" si="193"/>
        <v>0.9997576639</v>
      </c>
      <c r="O191" s="14">
        <f t="shared" si="193"/>
        <v>0.01042297903</v>
      </c>
      <c r="P191" s="13">
        <f t="shared" si="3"/>
        <v>0.01902799661</v>
      </c>
      <c r="Q191" s="13">
        <f t="shared" si="4"/>
        <v>0.0009695794449</v>
      </c>
      <c r="R191" s="13">
        <f t="shared" si="5"/>
        <v>0.000787783299</v>
      </c>
      <c r="S191" s="14">
        <f t="shared" si="6"/>
        <v>1.534144627</v>
      </c>
      <c r="T191" s="14">
        <f t="shared" si="7"/>
        <v>1.000036036</v>
      </c>
      <c r="U191" s="14">
        <f t="shared" si="8"/>
        <v>0.9129548561</v>
      </c>
    </row>
    <row r="192" ht="15.75" customHeight="1">
      <c r="A192" s="9">
        <v>45119.57266875</v>
      </c>
      <c r="B192" s="10">
        <v>13.0</v>
      </c>
      <c r="C192" s="10" t="s">
        <v>80</v>
      </c>
      <c r="D192" s="10" t="s">
        <v>676</v>
      </c>
      <c r="E192" s="12" t="s">
        <v>62</v>
      </c>
      <c r="F192" s="11">
        <v>6067.0</v>
      </c>
      <c r="G192" s="11">
        <v>2990.0</v>
      </c>
      <c r="H192" s="11">
        <v>2986.0</v>
      </c>
      <c r="I192" s="11">
        <v>79.0</v>
      </c>
      <c r="J192" s="11">
        <v>234.0</v>
      </c>
      <c r="K192" s="11">
        <v>5.0</v>
      </c>
      <c r="L192" s="11">
        <v>2.0</v>
      </c>
      <c r="M192" s="13">
        <f t="shared" ref="M192:O192" si="194">IFERROR(G192/F192,"")</f>
        <v>0.4928300643</v>
      </c>
      <c r="N192" s="13">
        <f t="shared" si="194"/>
        <v>0.9986622074</v>
      </c>
      <c r="O192" s="14">
        <f t="shared" si="194"/>
        <v>0.02645679839</v>
      </c>
      <c r="P192" s="13">
        <f t="shared" si="3"/>
        <v>0.07836570663</v>
      </c>
      <c r="Q192" s="13">
        <f t="shared" si="4"/>
        <v>0.001674480911</v>
      </c>
      <c r="R192" s="13">
        <f t="shared" si="5"/>
        <v>0.0006697923644</v>
      </c>
      <c r="S192" s="14">
        <f t="shared" si="6"/>
        <v>1.217328959</v>
      </c>
      <c r="T192" s="14">
        <f t="shared" si="7"/>
        <v>0.9989445346</v>
      </c>
      <c r="U192" s="14">
        <f t="shared" si="8"/>
        <v>1.576090722</v>
      </c>
    </row>
    <row r="193" ht="15.75" customHeight="1">
      <c r="A193" s="9">
        <v>45120.5165001042</v>
      </c>
      <c r="B193" s="10">
        <v>12.0</v>
      </c>
      <c r="C193" s="10" t="s">
        <v>84</v>
      </c>
      <c r="D193" s="10" t="s">
        <v>679</v>
      </c>
      <c r="E193" s="12" t="s">
        <v>62</v>
      </c>
      <c r="F193" s="11">
        <v>57281.0</v>
      </c>
      <c r="G193" s="11">
        <v>16136.0</v>
      </c>
      <c r="H193" s="11">
        <v>16145.0</v>
      </c>
      <c r="I193" s="11">
        <v>474.0</v>
      </c>
      <c r="J193" s="11">
        <v>450.0</v>
      </c>
      <c r="K193" s="11">
        <v>9.0</v>
      </c>
      <c r="L193" s="11">
        <v>17.0</v>
      </c>
      <c r="M193" s="13">
        <f t="shared" ref="M193:O193" si="195">IFERROR(G193/F193,"")</f>
        <v>0.2816989927</v>
      </c>
      <c r="N193" s="13">
        <f t="shared" si="195"/>
        <v>1.000557759</v>
      </c>
      <c r="O193" s="14">
        <f t="shared" si="195"/>
        <v>0.02935893465</v>
      </c>
      <c r="P193" s="13">
        <f t="shared" si="3"/>
        <v>0.02787240632</v>
      </c>
      <c r="Q193" s="13">
        <f t="shared" si="4"/>
        <v>0.0005574481264</v>
      </c>
      <c r="R193" s="13">
        <f t="shared" si="5"/>
        <v>0.001052957572</v>
      </c>
      <c r="S193" s="14">
        <f t="shared" si="6"/>
        <v>0.6876457773</v>
      </c>
      <c r="T193" s="14">
        <f t="shared" si="7"/>
        <v>1.000836354</v>
      </c>
      <c r="U193" s="14">
        <f t="shared" si="8"/>
        <v>0.5245841338</v>
      </c>
    </row>
    <row r="194" ht="15.75" customHeight="1">
      <c r="A194" s="9">
        <v>45121.6265576157</v>
      </c>
      <c r="B194" s="10">
        <v>15.0</v>
      </c>
      <c r="C194" s="10" t="s">
        <v>60</v>
      </c>
      <c r="D194" s="10" t="s">
        <v>682</v>
      </c>
      <c r="E194" s="12" t="s">
        <v>62</v>
      </c>
      <c r="F194" s="11">
        <v>174423.0</v>
      </c>
      <c r="G194" s="11">
        <v>90536.0</v>
      </c>
      <c r="H194" s="11">
        <v>90543.0</v>
      </c>
      <c r="I194" s="11">
        <v>1415.0</v>
      </c>
      <c r="J194" s="11">
        <v>603.0</v>
      </c>
      <c r="K194" s="11">
        <v>34.0</v>
      </c>
      <c r="L194" s="11">
        <v>114.0</v>
      </c>
      <c r="M194" s="13">
        <f t="shared" ref="M194:O194" si="196">IFERROR(G194/F194,"")</f>
        <v>0.5190599864</v>
      </c>
      <c r="N194" s="13">
        <f t="shared" si="196"/>
        <v>1.000077317</v>
      </c>
      <c r="O194" s="14">
        <f t="shared" si="196"/>
        <v>0.01562793369</v>
      </c>
      <c r="P194" s="13">
        <f t="shared" si="3"/>
        <v>0.006659819091</v>
      </c>
      <c r="Q194" s="13">
        <f t="shared" si="4"/>
        <v>0.0003755121876</v>
      </c>
      <c r="R194" s="13">
        <f t="shared" si="5"/>
        <v>0.001259070276</v>
      </c>
      <c r="S194" s="14">
        <f t="shared" si="6"/>
        <v>1.261146708</v>
      </c>
      <c r="T194" s="14">
        <f t="shared" si="7"/>
        <v>1.000366381</v>
      </c>
      <c r="U194" s="14">
        <f t="shared" si="8"/>
        <v>0.3533741103</v>
      </c>
    </row>
    <row r="195" ht="15.75" customHeight="1">
      <c r="A195" s="9">
        <v>45122.6405403704</v>
      </c>
      <c r="B195" s="10">
        <v>15.0</v>
      </c>
      <c r="C195" s="10" t="s">
        <v>69</v>
      </c>
      <c r="D195" s="10" t="s">
        <v>685</v>
      </c>
      <c r="E195" s="12" t="s">
        <v>62</v>
      </c>
      <c r="F195" s="11">
        <v>7203.0</v>
      </c>
      <c r="G195" s="11">
        <v>3957.0</v>
      </c>
      <c r="H195" s="11">
        <v>3950.0</v>
      </c>
      <c r="I195" s="11">
        <v>135.0</v>
      </c>
      <c r="J195" s="11">
        <v>256.0</v>
      </c>
      <c r="K195" s="11">
        <v>14.0</v>
      </c>
      <c r="L195" s="11">
        <v>3.0</v>
      </c>
      <c r="M195" s="13">
        <f t="shared" ref="M195:O195" si="197">IFERROR(G195/F195,"")</f>
        <v>0.5493544357</v>
      </c>
      <c r="N195" s="13">
        <f t="shared" si="197"/>
        <v>0.9982309831</v>
      </c>
      <c r="O195" s="14">
        <f t="shared" si="197"/>
        <v>0.03417721519</v>
      </c>
      <c r="P195" s="13">
        <f t="shared" si="3"/>
        <v>0.06481012658</v>
      </c>
      <c r="Q195" s="13">
        <f t="shared" si="4"/>
        <v>0.003544303797</v>
      </c>
      <c r="R195" s="13">
        <f t="shared" si="5"/>
        <v>0.0007594936709</v>
      </c>
      <c r="S195" s="14">
        <f t="shared" si="6"/>
        <v>1.334752352</v>
      </c>
      <c r="T195" s="14">
        <f t="shared" si="7"/>
        <v>0.9985375586</v>
      </c>
      <c r="U195" s="14">
        <f t="shared" si="8"/>
        <v>3.337312255</v>
      </c>
    </row>
    <row r="196" ht="15.75" customHeight="1">
      <c r="A196" s="9">
        <v>45123.6597484259</v>
      </c>
      <c r="B196" s="10">
        <v>15.0</v>
      </c>
      <c r="C196" s="10" t="s">
        <v>77</v>
      </c>
      <c r="D196" s="10" t="s">
        <v>687</v>
      </c>
      <c r="E196" s="12" t="s">
        <v>62</v>
      </c>
      <c r="F196" s="11">
        <v>110763.0</v>
      </c>
      <c r="G196" s="11">
        <v>42997.0</v>
      </c>
      <c r="H196" s="11">
        <v>42993.0</v>
      </c>
      <c r="I196" s="11">
        <v>1374.0</v>
      </c>
      <c r="J196" s="11">
        <v>270.0</v>
      </c>
      <c r="K196" s="11">
        <v>25.0</v>
      </c>
      <c r="L196" s="11">
        <v>13.0</v>
      </c>
      <c r="M196" s="13">
        <f t="shared" ref="M196:O196" si="198">IFERROR(G196/F196,"")</f>
        <v>0.3881891968</v>
      </c>
      <c r="N196" s="13">
        <f t="shared" si="198"/>
        <v>0.9999069703</v>
      </c>
      <c r="O196" s="14">
        <f t="shared" si="198"/>
        <v>0.03195869095</v>
      </c>
      <c r="P196" s="13">
        <f t="shared" si="3"/>
        <v>0.006280092108</v>
      </c>
      <c r="Q196" s="13">
        <f t="shared" si="4"/>
        <v>0.00058149001</v>
      </c>
      <c r="R196" s="13">
        <f t="shared" si="5"/>
        <v>0.0003023748052</v>
      </c>
      <c r="S196" s="14">
        <f t="shared" si="6"/>
        <v>0.9431733139</v>
      </c>
      <c r="T196" s="14">
        <f t="shared" si="7"/>
        <v>1.000207677</v>
      </c>
      <c r="U196" s="14">
        <f t="shared" si="8"/>
        <v>0.5482737654</v>
      </c>
    </row>
    <row r="197" ht="15.75" customHeight="1">
      <c r="A197" s="9">
        <v>45124.7400169792</v>
      </c>
      <c r="B197" s="10">
        <v>17.0</v>
      </c>
      <c r="C197" s="10" t="s">
        <v>71</v>
      </c>
      <c r="D197" s="10" t="s">
        <v>691</v>
      </c>
      <c r="E197" s="12" t="s">
        <v>62</v>
      </c>
      <c r="F197" s="11">
        <v>36217.0</v>
      </c>
      <c r="G197" s="11">
        <v>11243.0</v>
      </c>
      <c r="H197" s="11">
        <v>11239.0</v>
      </c>
      <c r="I197" s="11">
        <v>596.0</v>
      </c>
      <c r="J197" s="11">
        <v>427.0</v>
      </c>
      <c r="K197" s="11">
        <v>9.0</v>
      </c>
      <c r="L197" s="11">
        <v>17.0</v>
      </c>
      <c r="M197" s="13">
        <f t="shared" ref="M197:O197" si="199">IFERROR(G197/F197,"")</f>
        <v>0.3104343264</v>
      </c>
      <c r="N197" s="13">
        <f t="shared" si="199"/>
        <v>0.9996442231</v>
      </c>
      <c r="O197" s="14">
        <f t="shared" si="199"/>
        <v>0.05302962897</v>
      </c>
      <c r="P197" s="13">
        <f t="shared" si="3"/>
        <v>0.03799270398</v>
      </c>
      <c r="Q197" s="13">
        <f t="shared" si="4"/>
        <v>0.0008007829878</v>
      </c>
      <c r="R197" s="13">
        <f t="shared" si="5"/>
        <v>0.001512590088</v>
      </c>
      <c r="S197" s="14">
        <f t="shared" si="6"/>
        <v>0.7486725073</v>
      </c>
      <c r="T197" s="14">
        <f t="shared" si="7"/>
        <v>0.9999565878</v>
      </c>
      <c r="U197" s="14">
        <f t="shared" si="8"/>
        <v>0.7550401493</v>
      </c>
    </row>
    <row r="198" ht="15.75" customHeight="1">
      <c r="A198" s="9">
        <v>45125.7292166435</v>
      </c>
      <c r="B198" s="10">
        <v>17.0</v>
      </c>
      <c r="C198" s="10" t="s">
        <v>59</v>
      </c>
      <c r="D198" s="10" t="s">
        <v>695</v>
      </c>
      <c r="E198" s="12" t="s">
        <v>62</v>
      </c>
      <c r="F198" s="11">
        <v>9224.0</v>
      </c>
      <c r="G198" s="11">
        <v>5302.0</v>
      </c>
      <c r="H198" s="11">
        <v>5297.0</v>
      </c>
      <c r="I198" s="11">
        <v>244.0</v>
      </c>
      <c r="J198" s="11">
        <v>235.0</v>
      </c>
      <c r="K198" s="11">
        <v>4.0</v>
      </c>
      <c r="L198" s="11">
        <v>3.0</v>
      </c>
      <c r="M198" s="13">
        <f t="shared" ref="M198:O198" si="200">IFERROR(G198/F198,"")</f>
        <v>0.5748048569</v>
      </c>
      <c r="N198" s="13">
        <f t="shared" si="200"/>
        <v>0.9990569596</v>
      </c>
      <c r="O198" s="14">
        <f t="shared" si="200"/>
        <v>0.0460638097</v>
      </c>
      <c r="P198" s="13">
        <f t="shared" si="3"/>
        <v>0.04436473476</v>
      </c>
      <c r="Q198" s="13">
        <f t="shared" si="4"/>
        <v>0.0007551444214</v>
      </c>
      <c r="R198" s="13">
        <f t="shared" si="5"/>
        <v>0.000566358316</v>
      </c>
      <c r="S198" s="14">
        <f t="shared" si="6"/>
        <v>1.380334976</v>
      </c>
      <c r="T198" s="14">
        <f t="shared" si="7"/>
        <v>0.9993691408</v>
      </c>
      <c r="U198" s="14">
        <f t="shared" si="8"/>
        <v>0.7120085783</v>
      </c>
    </row>
    <row r="199" ht="15.75" customHeight="1">
      <c r="A199" s="9">
        <v>45126.6374892245</v>
      </c>
      <c r="B199" s="10">
        <v>15.0</v>
      </c>
      <c r="C199" s="10" t="s">
        <v>80</v>
      </c>
      <c r="D199" s="10" t="s">
        <v>697</v>
      </c>
      <c r="E199" s="12" t="s">
        <v>62</v>
      </c>
      <c r="F199" s="11">
        <v>7552.0</v>
      </c>
      <c r="G199" s="11">
        <v>4649.0</v>
      </c>
      <c r="H199" s="11">
        <v>4644.0</v>
      </c>
      <c r="I199" s="11">
        <v>453.0</v>
      </c>
      <c r="J199" s="11">
        <v>341.0</v>
      </c>
      <c r="K199" s="11">
        <v>11.0</v>
      </c>
      <c r="L199" s="11">
        <v>5.0</v>
      </c>
      <c r="M199" s="13">
        <f t="shared" ref="M199:O199" si="201">IFERROR(G199/F199,"")</f>
        <v>0.6155985169</v>
      </c>
      <c r="N199" s="13">
        <f t="shared" si="201"/>
        <v>0.9989244999</v>
      </c>
      <c r="O199" s="14">
        <f t="shared" si="201"/>
        <v>0.09754521964</v>
      </c>
      <c r="P199" s="13">
        <f t="shared" si="3"/>
        <v>0.07342807924</v>
      </c>
      <c r="Q199" s="13">
        <f t="shared" si="4"/>
        <v>0.002368647717</v>
      </c>
      <c r="R199" s="13">
        <f t="shared" si="5"/>
        <v>0.001076658053</v>
      </c>
      <c r="S199" s="14">
        <f t="shared" si="6"/>
        <v>1.478296771</v>
      </c>
      <c r="T199" s="14">
        <f t="shared" si="7"/>
        <v>0.9992366397</v>
      </c>
      <c r="U199" s="14">
        <f t="shared" si="8"/>
        <v>2.241175244</v>
      </c>
    </row>
    <row r="200" ht="15.75" customHeight="1">
      <c r="A200" s="9">
        <v>45127.7110526736</v>
      </c>
      <c r="B200" s="10">
        <v>17.0</v>
      </c>
      <c r="C200" s="10" t="s">
        <v>84</v>
      </c>
      <c r="D200" s="10" t="s">
        <v>700</v>
      </c>
      <c r="E200" s="12" t="s">
        <v>62</v>
      </c>
      <c r="F200" s="11">
        <v>1058.0</v>
      </c>
      <c r="G200" s="11">
        <v>334.0</v>
      </c>
      <c r="H200" s="11">
        <v>334.0</v>
      </c>
      <c r="I200" s="11">
        <v>0.0</v>
      </c>
      <c r="J200" s="11">
        <v>27.0</v>
      </c>
      <c r="K200" s="11">
        <v>1.0</v>
      </c>
      <c r="L200" s="11">
        <v>0.0</v>
      </c>
      <c r="M200" s="13">
        <f t="shared" ref="M200:O200" si="202">IFERROR(G200/F200,"")</f>
        <v>0.3156899811</v>
      </c>
      <c r="N200" s="13">
        <f t="shared" si="202"/>
        <v>1</v>
      </c>
      <c r="O200" s="14">
        <f t="shared" si="202"/>
        <v>0</v>
      </c>
      <c r="P200" s="13">
        <f t="shared" si="3"/>
        <v>0.08083832335</v>
      </c>
      <c r="Q200" s="13">
        <f t="shared" si="4"/>
        <v>0.002994011976</v>
      </c>
      <c r="R200" s="13">
        <f t="shared" si="5"/>
        <v>0</v>
      </c>
      <c r="S200" s="14">
        <f t="shared" si="6"/>
        <v>0.7580971476</v>
      </c>
      <c r="T200" s="14">
        <f t="shared" si="7"/>
        <v>1.000312476</v>
      </c>
      <c r="U200" s="14">
        <f t="shared" si="8"/>
        <v>2.832884549</v>
      </c>
    </row>
    <row r="201" ht="15.75" customHeight="1">
      <c r="A201" s="9">
        <v>45127.7114031482</v>
      </c>
      <c r="B201" s="10">
        <v>17.0</v>
      </c>
      <c r="C201" s="10" t="s">
        <v>84</v>
      </c>
      <c r="D201" s="10" t="s">
        <v>700</v>
      </c>
      <c r="E201" s="12" t="s">
        <v>62</v>
      </c>
      <c r="F201" s="11">
        <v>27126.0</v>
      </c>
      <c r="G201" s="11">
        <v>7257.0</v>
      </c>
      <c r="H201" s="11">
        <v>7257.0</v>
      </c>
      <c r="I201" s="11">
        <v>262.0</v>
      </c>
      <c r="J201" s="11">
        <v>282.0</v>
      </c>
      <c r="K201" s="11">
        <v>25.0</v>
      </c>
      <c r="L201" s="11">
        <v>5.0</v>
      </c>
      <c r="M201" s="13">
        <f t="shared" ref="M201:O201" si="203">IFERROR(G201/F201,"")</f>
        <v>0.2675293077</v>
      </c>
      <c r="N201" s="13">
        <f t="shared" si="203"/>
        <v>1</v>
      </c>
      <c r="O201" s="14">
        <f t="shared" si="203"/>
        <v>0.0361030729</v>
      </c>
      <c r="P201" s="13">
        <f t="shared" si="3"/>
        <v>0.03885903266</v>
      </c>
      <c r="Q201" s="13">
        <f t="shared" si="4"/>
        <v>0.003444949704</v>
      </c>
      <c r="R201" s="13">
        <f t="shared" si="5"/>
        <v>0.0006889899407</v>
      </c>
      <c r="S201" s="14">
        <f t="shared" si="6"/>
        <v>0.6424442244</v>
      </c>
      <c r="T201" s="14">
        <f t="shared" si="7"/>
        <v>1.000312476</v>
      </c>
      <c r="U201" s="14">
        <f t="shared" si="8"/>
        <v>3.259554359</v>
      </c>
    </row>
    <row r="202" ht="15.75" customHeight="1">
      <c r="A202" s="9">
        <v>45128.7276926736</v>
      </c>
      <c r="B202" s="10">
        <v>17.0</v>
      </c>
      <c r="C202" s="10" t="s">
        <v>60</v>
      </c>
      <c r="D202" s="10" t="s">
        <v>705</v>
      </c>
      <c r="E202" s="12" t="s">
        <v>62</v>
      </c>
      <c r="F202" s="11">
        <v>26279.0</v>
      </c>
      <c r="G202" s="11">
        <v>15703.0</v>
      </c>
      <c r="H202" s="11">
        <v>15697.0</v>
      </c>
      <c r="I202" s="11">
        <v>1330.0</v>
      </c>
      <c r="J202" s="11">
        <v>388.0</v>
      </c>
      <c r="K202" s="11">
        <v>17.0</v>
      </c>
      <c r="L202" s="11">
        <v>15.0</v>
      </c>
      <c r="M202" s="13">
        <f t="shared" ref="M202:O202" si="204">IFERROR(G202/F202,"")</f>
        <v>0.597549374</v>
      </c>
      <c r="N202" s="13">
        <f t="shared" si="204"/>
        <v>0.9996179074</v>
      </c>
      <c r="O202" s="14">
        <f t="shared" si="204"/>
        <v>0.08472956616</v>
      </c>
      <c r="P202" s="13">
        <f t="shared" si="3"/>
        <v>0.024718099</v>
      </c>
      <c r="Q202" s="13">
        <f t="shared" si="4"/>
        <v>0.001083009492</v>
      </c>
      <c r="R202" s="13">
        <f t="shared" si="5"/>
        <v>0.0009555966108</v>
      </c>
      <c r="S202" s="14">
        <f t="shared" si="6"/>
        <v>1.432702826</v>
      </c>
      <c r="T202" s="14">
        <f t="shared" si="7"/>
        <v>0.9999302639</v>
      </c>
      <c r="U202" s="14">
        <f t="shared" si="8"/>
        <v>1.027367502</v>
      </c>
    </row>
    <row r="203" ht="15.75" customHeight="1">
      <c r="A203" s="9">
        <v>45129.720184456</v>
      </c>
      <c r="B203" s="10">
        <v>17.0</v>
      </c>
      <c r="C203" s="10" t="s">
        <v>69</v>
      </c>
      <c r="D203" s="10" t="s">
        <v>708</v>
      </c>
      <c r="E203" s="12" t="s">
        <v>62</v>
      </c>
      <c r="F203" s="11">
        <v>117235.0</v>
      </c>
      <c r="G203" s="11">
        <v>57940.0</v>
      </c>
      <c r="H203" s="11">
        <v>57935.0</v>
      </c>
      <c r="I203" s="11">
        <v>2769.0</v>
      </c>
      <c r="J203" s="11">
        <v>408.0</v>
      </c>
      <c r="K203" s="11">
        <v>33.0</v>
      </c>
      <c r="L203" s="11">
        <v>31.0</v>
      </c>
      <c r="M203" s="13">
        <f t="shared" ref="M203:O203" si="205">IFERROR(G203/F203,"")</f>
        <v>0.4942210091</v>
      </c>
      <c r="N203" s="13">
        <f t="shared" si="205"/>
        <v>0.9999137038</v>
      </c>
      <c r="O203" s="14">
        <f t="shared" si="205"/>
        <v>0.04779494261</v>
      </c>
      <c r="P203" s="13">
        <f t="shared" si="3"/>
        <v>0.007042375076</v>
      </c>
      <c r="Q203" s="13">
        <f t="shared" si="4"/>
        <v>0.0005696038664</v>
      </c>
      <c r="R203" s="13">
        <f t="shared" si="5"/>
        <v>0.00053508242</v>
      </c>
      <c r="S203" s="14">
        <f t="shared" si="6"/>
        <v>1.183344592</v>
      </c>
      <c r="T203" s="14">
        <f t="shared" si="7"/>
        <v>1.000219769</v>
      </c>
      <c r="U203" s="14">
        <f t="shared" si="8"/>
        <v>0.540314236</v>
      </c>
    </row>
    <row r="204" ht="15.75" customHeight="1">
      <c r="A204" s="9">
        <v>45131.0351410532</v>
      </c>
      <c r="B204" s="10">
        <v>0.0</v>
      </c>
      <c r="C204" s="10" t="s">
        <v>71</v>
      </c>
      <c r="D204" s="10" t="s">
        <v>711</v>
      </c>
      <c r="E204" s="12" t="s">
        <v>62</v>
      </c>
      <c r="F204" s="11">
        <v>23259.0</v>
      </c>
      <c r="G204" s="11">
        <v>10037.0</v>
      </c>
      <c r="H204" s="11">
        <v>10033.0</v>
      </c>
      <c r="I204" s="11">
        <v>741.0</v>
      </c>
      <c r="J204" s="11">
        <v>318.0</v>
      </c>
      <c r="K204" s="11">
        <v>19.0</v>
      </c>
      <c r="L204" s="11">
        <v>17.0</v>
      </c>
      <c r="M204" s="13">
        <f t="shared" ref="M204:O204" si="206">IFERROR(G204/F204,"")</f>
        <v>0.4315318801</v>
      </c>
      <c r="N204" s="13">
        <f t="shared" si="206"/>
        <v>0.9996014745</v>
      </c>
      <c r="O204" s="14">
        <f t="shared" si="206"/>
        <v>0.07385627429</v>
      </c>
      <c r="P204" s="13">
        <f t="shared" si="3"/>
        <v>0.03169540516</v>
      </c>
      <c r="Q204" s="13">
        <f t="shared" si="4"/>
        <v>0.001893750623</v>
      </c>
      <c r="R204" s="13">
        <f t="shared" si="5"/>
        <v>0.001694408452</v>
      </c>
      <c r="S204" s="14">
        <f t="shared" si="6"/>
        <v>1.03209149</v>
      </c>
      <c r="T204" s="14">
        <f t="shared" si="7"/>
        <v>0.9999138259</v>
      </c>
      <c r="U204" s="14">
        <f t="shared" si="8"/>
        <v>1.791835478</v>
      </c>
    </row>
    <row r="205" ht="15.75" customHeight="1">
      <c r="A205" s="9">
        <v>45131.6400290394</v>
      </c>
      <c r="B205" s="10">
        <v>15.0</v>
      </c>
      <c r="C205" s="10" t="s">
        <v>71</v>
      </c>
      <c r="D205" s="10" t="s">
        <v>714</v>
      </c>
      <c r="E205" s="12" t="s">
        <v>62</v>
      </c>
      <c r="F205" s="11">
        <v>394788.0</v>
      </c>
      <c r="G205" s="11">
        <v>99160.0</v>
      </c>
      <c r="H205" s="11">
        <v>99156.0</v>
      </c>
      <c r="I205" s="11">
        <v>4414.0</v>
      </c>
      <c r="J205" s="11">
        <v>854.0</v>
      </c>
      <c r="K205" s="11">
        <v>69.0</v>
      </c>
      <c r="L205" s="11">
        <v>23.0</v>
      </c>
      <c r="M205" s="13">
        <f t="shared" ref="M205:O205" si="207">IFERROR(G205/F205,"")</f>
        <v>0.2511727813</v>
      </c>
      <c r="N205" s="13">
        <f t="shared" si="207"/>
        <v>0.9999596612</v>
      </c>
      <c r="O205" s="14">
        <f t="shared" si="207"/>
        <v>0.04451571261</v>
      </c>
      <c r="P205" s="13">
        <f t="shared" si="3"/>
        <v>0.008612691113</v>
      </c>
      <c r="Q205" s="13">
        <f t="shared" si="4"/>
        <v>0.0006958731696</v>
      </c>
      <c r="R205" s="13">
        <f t="shared" si="5"/>
        <v>0.0002319577232</v>
      </c>
      <c r="S205" s="14">
        <f t="shared" si="6"/>
        <v>0.6000586646</v>
      </c>
      <c r="T205" s="14">
        <f t="shared" si="7"/>
        <v>1.000278509</v>
      </c>
      <c r="U205" s="14">
        <f t="shared" si="8"/>
        <v>0.6567650974</v>
      </c>
    </row>
    <row r="206" ht="15.75" customHeight="1">
      <c r="A206" s="9">
        <v>45132.6327009375</v>
      </c>
      <c r="B206" s="10">
        <v>15.0</v>
      </c>
      <c r="C206" s="10" t="s">
        <v>59</v>
      </c>
      <c r="D206" s="10" t="s">
        <v>717</v>
      </c>
      <c r="E206" s="12" t="s">
        <v>62</v>
      </c>
      <c r="F206" s="11">
        <v>13849.0</v>
      </c>
      <c r="G206" s="11">
        <v>9890.0</v>
      </c>
      <c r="H206" s="11">
        <v>9885.0</v>
      </c>
      <c r="I206" s="11">
        <v>845.0</v>
      </c>
      <c r="J206" s="11">
        <v>494.0</v>
      </c>
      <c r="K206" s="11">
        <v>21.0</v>
      </c>
      <c r="L206" s="11">
        <v>12.0</v>
      </c>
      <c r="M206" s="13">
        <f t="shared" ref="M206:O206" si="208">IFERROR(G206/F206,"")</f>
        <v>0.7141309842</v>
      </c>
      <c r="N206" s="13">
        <f t="shared" si="208"/>
        <v>0.9994944388</v>
      </c>
      <c r="O206" s="14">
        <f t="shared" si="208"/>
        <v>0.08548305513</v>
      </c>
      <c r="P206" s="13">
        <f t="shared" si="3"/>
        <v>0.04997470916</v>
      </c>
      <c r="Q206" s="13">
        <f t="shared" si="4"/>
        <v>0.002124430956</v>
      </c>
      <c r="R206" s="13">
        <f t="shared" si="5"/>
        <v>0.001213960546</v>
      </c>
      <c r="S206" s="14">
        <f t="shared" si="6"/>
        <v>1.69993411</v>
      </c>
      <c r="T206" s="14">
        <f t="shared" si="7"/>
        <v>0.999818113</v>
      </c>
      <c r="U206" s="14">
        <f t="shared" si="8"/>
        <v>2.00036167</v>
      </c>
    </row>
    <row r="207" ht="15.75" customHeight="1">
      <c r="A207" s="9">
        <v>45133.6026511574</v>
      </c>
      <c r="B207" s="10">
        <v>14.0</v>
      </c>
      <c r="C207" s="10" t="s">
        <v>80</v>
      </c>
      <c r="D207" s="10" t="s">
        <v>720</v>
      </c>
      <c r="E207" s="12" t="s">
        <v>62</v>
      </c>
      <c r="F207" s="11">
        <v>158799.0</v>
      </c>
      <c r="G207" s="11">
        <v>36754.0</v>
      </c>
      <c r="H207" s="11">
        <v>36749.0</v>
      </c>
      <c r="I207" s="11">
        <v>1541.0</v>
      </c>
      <c r="J207" s="11">
        <v>300.0</v>
      </c>
      <c r="K207" s="11">
        <v>17.0</v>
      </c>
      <c r="L207" s="11">
        <v>8.0</v>
      </c>
      <c r="M207" s="13">
        <f t="shared" ref="M207:O207" si="209">IFERROR(G207/F207,"")</f>
        <v>0.2314498202</v>
      </c>
      <c r="N207" s="13">
        <f t="shared" si="209"/>
        <v>0.9998639604</v>
      </c>
      <c r="O207" s="14">
        <f t="shared" si="209"/>
        <v>0.04193311383</v>
      </c>
      <c r="P207" s="13">
        <f t="shared" si="3"/>
        <v>0.008163487442</v>
      </c>
      <c r="Q207" s="13">
        <f t="shared" si="4"/>
        <v>0.0004625976217</v>
      </c>
      <c r="R207" s="13">
        <f t="shared" si="5"/>
        <v>0.0002176929984</v>
      </c>
      <c r="S207" s="14">
        <f t="shared" si="6"/>
        <v>0.5489714617</v>
      </c>
      <c r="T207" s="14">
        <f t="shared" si="7"/>
        <v>1.000188855</v>
      </c>
      <c r="U207" s="14">
        <f t="shared" si="8"/>
        <v>0.4357468467</v>
      </c>
    </row>
    <row r="208" ht="15.75" customHeight="1">
      <c r="A208" s="9">
        <v>45134.7043587616</v>
      </c>
      <c r="B208" s="10">
        <v>16.0</v>
      </c>
      <c r="C208" s="10" t="s">
        <v>84</v>
      </c>
      <c r="D208" s="10" t="s">
        <v>723</v>
      </c>
      <c r="E208" s="12" t="s">
        <v>62</v>
      </c>
      <c r="F208" s="11">
        <v>6612.0</v>
      </c>
      <c r="G208" s="11">
        <v>3753.0</v>
      </c>
      <c r="H208" s="11">
        <v>3744.0</v>
      </c>
      <c r="I208" s="11">
        <v>340.0</v>
      </c>
      <c r="J208" s="11">
        <v>314.0</v>
      </c>
      <c r="K208" s="11">
        <v>13.0</v>
      </c>
      <c r="L208" s="11">
        <v>2.0</v>
      </c>
      <c r="M208" s="13">
        <f t="shared" ref="M208:O208" si="210">IFERROR(G208/F208,"")</f>
        <v>0.5676043557</v>
      </c>
      <c r="N208" s="13">
        <f t="shared" si="210"/>
        <v>0.9976019185</v>
      </c>
      <c r="O208" s="14">
        <f t="shared" si="210"/>
        <v>0.09081196581</v>
      </c>
      <c r="P208" s="13">
        <f t="shared" si="3"/>
        <v>0.08386752137</v>
      </c>
      <c r="Q208" s="13">
        <f t="shared" si="4"/>
        <v>0.003472222222</v>
      </c>
      <c r="R208" s="13">
        <f t="shared" si="5"/>
        <v>0.0005341880342</v>
      </c>
      <c r="S208" s="14">
        <f t="shared" si="6"/>
        <v>1.343710055</v>
      </c>
      <c r="T208" s="14">
        <f t="shared" si="7"/>
        <v>0.9979289349</v>
      </c>
      <c r="U208" s="14">
        <f t="shared" si="8"/>
        <v>3.273879722</v>
      </c>
    </row>
    <row r="209" ht="15.75" customHeight="1">
      <c r="A209" s="9">
        <v>45135.6322834838</v>
      </c>
      <c r="B209" s="10">
        <v>15.0</v>
      </c>
      <c r="C209" s="10" t="s">
        <v>60</v>
      </c>
      <c r="D209" s="10" t="s">
        <v>727</v>
      </c>
      <c r="E209" s="12" t="s">
        <v>62</v>
      </c>
      <c r="F209" s="11">
        <v>67841.0</v>
      </c>
      <c r="G209" s="11">
        <v>13873.0</v>
      </c>
      <c r="H209" s="11">
        <v>13868.0</v>
      </c>
      <c r="I209" s="11">
        <v>858.0</v>
      </c>
      <c r="J209" s="11">
        <v>344.0</v>
      </c>
      <c r="K209" s="11">
        <v>31.0</v>
      </c>
      <c r="L209" s="11">
        <v>11.0</v>
      </c>
      <c r="M209" s="13">
        <f t="shared" ref="M209:O209" si="211">IFERROR(G209/F209,"")</f>
        <v>0.2044928583</v>
      </c>
      <c r="N209" s="13">
        <f t="shared" si="211"/>
        <v>0.9996395877</v>
      </c>
      <c r="O209" s="14">
        <f t="shared" si="211"/>
        <v>0.06186905105</v>
      </c>
      <c r="P209" s="13">
        <f t="shared" si="3"/>
        <v>0.02480530718</v>
      </c>
      <c r="Q209" s="13">
        <f t="shared" si="4"/>
        <v>0.002235361984</v>
      </c>
      <c r="R209" s="13">
        <f t="shared" si="5"/>
        <v>0.0007931929622</v>
      </c>
      <c r="S209" s="14">
        <f t="shared" si="6"/>
        <v>0.4831772914</v>
      </c>
      <c r="T209" s="14">
        <f t="shared" si="7"/>
        <v>0.9999701345</v>
      </c>
      <c r="U209" s="14">
        <f t="shared" si="8"/>
        <v>2.1056138</v>
      </c>
    </row>
    <row r="210" ht="15.75" customHeight="1">
      <c r="A210" s="9">
        <v>45136.6248812384</v>
      </c>
      <c r="B210" s="10">
        <v>14.0</v>
      </c>
      <c r="C210" s="10" t="s">
        <v>69</v>
      </c>
      <c r="D210" s="10" t="s">
        <v>729</v>
      </c>
      <c r="E210" s="12" t="s">
        <v>62</v>
      </c>
      <c r="F210" s="11">
        <v>72820.0</v>
      </c>
      <c r="G210" s="11">
        <v>20373.0</v>
      </c>
      <c r="H210" s="11">
        <v>20372.0</v>
      </c>
      <c r="I210" s="11">
        <v>1212.0</v>
      </c>
      <c r="J210" s="11">
        <v>413.0</v>
      </c>
      <c r="K210" s="11">
        <v>15.0</v>
      </c>
      <c r="L210" s="11">
        <v>39.0</v>
      </c>
      <c r="M210" s="13">
        <f t="shared" ref="M210:O210" si="212">IFERROR(G210/F210,"")</f>
        <v>0.2797720406</v>
      </c>
      <c r="N210" s="13">
        <f t="shared" si="212"/>
        <v>0.9999509154</v>
      </c>
      <c r="O210" s="14">
        <f t="shared" si="212"/>
        <v>0.05949342234</v>
      </c>
      <c r="P210" s="13">
        <f t="shared" si="3"/>
        <v>0.02027292362</v>
      </c>
      <c r="Q210" s="13">
        <f t="shared" si="4"/>
        <v>0.000736304732</v>
      </c>
      <c r="R210" s="13">
        <f t="shared" si="5"/>
        <v>0.001914392303</v>
      </c>
      <c r="S210" s="14">
        <f t="shared" si="6"/>
        <v>0.6558653246</v>
      </c>
      <c r="T210" s="14">
        <f t="shared" si="7"/>
        <v>1.000286605</v>
      </c>
      <c r="U210" s="14">
        <f t="shared" si="8"/>
        <v>0.6935670443</v>
      </c>
    </row>
    <row r="211" ht="15.75" customHeight="1">
      <c r="A211" s="9">
        <v>45137.624822963</v>
      </c>
      <c r="B211" s="10">
        <v>14.0</v>
      </c>
      <c r="C211" s="10" t="s">
        <v>77</v>
      </c>
      <c r="D211" s="10" t="s">
        <v>733</v>
      </c>
      <c r="E211" s="12" t="s">
        <v>62</v>
      </c>
      <c r="F211" s="11">
        <v>5251.0</v>
      </c>
      <c r="G211" s="11">
        <v>2415.0</v>
      </c>
      <c r="H211" s="11">
        <v>2407.0</v>
      </c>
      <c r="I211" s="11">
        <v>305.0</v>
      </c>
      <c r="J211" s="11">
        <v>170.0</v>
      </c>
      <c r="K211" s="11">
        <v>8.0</v>
      </c>
      <c r="L211" s="11">
        <v>2.0</v>
      </c>
      <c r="M211" s="13">
        <f t="shared" ref="M211:O211" si="213">IFERROR(G211/F211,"")</f>
        <v>0.4599123976</v>
      </c>
      <c r="N211" s="13">
        <f t="shared" si="213"/>
        <v>0.9966873706</v>
      </c>
      <c r="O211" s="14">
        <f t="shared" si="213"/>
        <v>0.1267137516</v>
      </c>
      <c r="P211" s="13">
        <f t="shared" si="3"/>
        <v>0.07062733693</v>
      </c>
      <c r="Q211" s="13">
        <f t="shared" si="4"/>
        <v>0.003323639385</v>
      </c>
      <c r="R211" s="13">
        <f t="shared" si="5"/>
        <v>0.0008309098463</v>
      </c>
      <c r="S211" s="14">
        <f t="shared" si="6"/>
        <v>1.075043015</v>
      </c>
      <c r="T211" s="14">
        <f t="shared" si="7"/>
        <v>0.9970194527</v>
      </c>
      <c r="U211" s="14">
        <f t="shared" si="8"/>
        <v>3.129534906</v>
      </c>
    </row>
    <row r="212" ht="15.75" customHeight="1">
      <c r="A212" s="9">
        <v>45138.6255386921</v>
      </c>
      <c r="B212" s="10">
        <v>15.0</v>
      </c>
      <c r="C212" s="10" t="s">
        <v>71</v>
      </c>
      <c r="D212" s="10" t="s">
        <v>736</v>
      </c>
      <c r="E212" s="12" t="s">
        <v>62</v>
      </c>
      <c r="F212" s="11">
        <v>7654.0</v>
      </c>
      <c r="G212" s="11">
        <v>4902.0</v>
      </c>
      <c r="H212" s="11">
        <v>4893.0</v>
      </c>
      <c r="I212" s="11">
        <v>1048.0</v>
      </c>
      <c r="J212" s="11">
        <v>396.0</v>
      </c>
      <c r="K212" s="11">
        <v>7.0</v>
      </c>
      <c r="L212" s="11">
        <v>4.0</v>
      </c>
      <c r="M212" s="13">
        <f t="shared" ref="M212:O212" si="214">IFERROR(G212/F212,"")</f>
        <v>0.6404494382</v>
      </c>
      <c r="N212" s="13">
        <f t="shared" si="214"/>
        <v>0.9981640147</v>
      </c>
      <c r="O212" s="14">
        <f t="shared" si="214"/>
        <v>0.2141835275</v>
      </c>
      <c r="P212" s="13">
        <f t="shared" si="3"/>
        <v>0.08093194359</v>
      </c>
      <c r="Q212" s="13">
        <f t="shared" si="4"/>
        <v>0.001430615165</v>
      </c>
      <c r="R212" s="13">
        <f t="shared" si="5"/>
        <v>0.0008174943797</v>
      </c>
      <c r="S212" s="14">
        <f t="shared" si="6"/>
        <v>1.492724229</v>
      </c>
      <c r="T212" s="14">
        <f t="shared" si="7"/>
        <v>0.9984940736</v>
      </c>
      <c r="U212" s="14">
        <f t="shared" si="8"/>
        <v>1.346554191</v>
      </c>
    </row>
    <row r="213" ht="15.75" customHeight="1">
      <c r="A213" s="9">
        <v>45139.5628132292</v>
      </c>
      <c r="B213" s="10">
        <v>13.0</v>
      </c>
      <c r="C213" s="10" t="s">
        <v>59</v>
      </c>
      <c r="D213" s="10" t="s">
        <v>739</v>
      </c>
      <c r="E213" s="12" t="s">
        <v>62</v>
      </c>
      <c r="F213" s="11">
        <v>7948.0</v>
      </c>
      <c r="G213" s="11">
        <v>4316.0</v>
      </c>
      <c r="H213" s="11">
        <v>4311.0</v>
      </c>
      <c r="I213" s="11">
        <v>803.0</v>
      </c>
      <c r="J213" s="11">
        <v>213.0</v>
      </c>
      <c r="K213" s="11">
        <v>10.0</v>
      </c>
      <c r="L213" s="11">
        <v>1.0</v>
      </c>
      <c r="M213" s="13">
        <f t="shared" ref="M213:O213" si="215">IFERROR(G213/F213,"")</f>
        <v>0.543029693</v>
      </c>
      <c r="N213" s="13">
        <f t="shared" si="215"/>
        <v>0.9988415199</v>
      </c>
      <c r="O213" s="14">
        <f t="shared" si="215"/>
        <v>0.1862676873</v>
      </c>
      <c r="P213" s="13">
        <f t="shared" si="3"/>
        <v>0.04940848991</v>
      </c>
      <c r="Q213" s="13">
        <f t="shared" si="4"/>
        <v>0.002319647414</v>
      </c>
      <c r="R213" s="13">
        <f t="shared" si="5"/>
        <v>0.0002319647414</v>
      </c>
      <c r="S213" s="14">
        <f t="shared" si="6"/>
        <v>1.26566366</v>
      </c>
      <c r="T213" s="14">
        <f t="shared" si="7"/>
        <v>0.9991718028</v>
      </c>
      <c r="U213" s="14">
        <f t="shared" si="8"/>
        <v>2.183348131</v>
      </c>
    </row>
    <row r="214" ht="15.75" customHeight="1">
      <c r="A214" s="9">
        <v>45140.6254651736</v>
      </c>
      <c r="B214" s="10">
        <v>15.0</v>
      </c>
      <c r="C214" s="10" t="s">
        <v>80</v>
      </c>
      <c r="D214" s="10" t="s">
        <v>742</v>
      </c>
      <c r="E214" s="12" t="s">
        <v>62</v>
      </c>
      <c r="F214" s="11">
        <v>31614.0</v>
      </c>
      <c r="G214" s="11">
        <v>13233.0</v>
      </c>
      <c r="H214" s="11">
        <v>13230.0</v>
      </c>
      <c r="I214" s="11">
        <v>2803.0</v>
      </c>
      <c r="J214" s="11">
        <v>404.0</v>
      </c>
      <c r="K214" s="11">
        <v>29.0</v>
      </c>
      <c r="L214" s="11">
        <v>16.0</v>
      </c>
      <c r="M214" s="13">
        <f t="shared" ref="M214:O214" si="216">IFERROR(G214/F214,"")</f>
        <v>0.4185803758</v>
      </c>
      <c r="N214" s="13">
        <f t="shared" si="216"/>
        <v>0.999773294</v>
      </c>
      <c r="O214" s="14">
        <f t="shared" si="216"/>
        <v>0.211866969</v>
      </c>
      <c r="P214" s="13">
        <f t="shared" si="3"/>
        <v>0.03053665911</v>
      </c>
      <c r="Q214" s="13">
        <f t="shared" si="4"/>
        <v>0.002191987906</v>
      </c>
      <c r="R214" s="13">
        <f t="shared" si="5"/>
        <v>0.001209372638</v>
      </c>
      <c r="S214" s="14">
        <f t="shared" si="6"/>
        <v>0.9756040549</v>
      </c>
      <c r="T214" s="14">
        <f t="shared" si="7"/>
        <v>1.000103885</v>
      </c>
      <c r="U214" s="14">
        <f t="shared" si="8"/>
        <v>2.06318972</v>
      </c>
    </row>
    <row r="215" ht="15.75" customHeight="1">
      <c r="A215" s="9">
        <v>45141.6759067593</v>
      </c>
      <c r="B215" s="10">
        <v>16.0</v>
      </c>
      <c r="C215" s="10" t="s">
        <v>84</v>
      </c>
      <c r="D215" s="10" t="s">
        <v>745</v>
      </c>
      <c r="E215" s="12" t="s">
        <v>62</v>
      </c>
      <c r="F215" s="11">
        <v>25821.0</v>
      </c>
      <c r="G215" s="11">
        <v>8173.0</v>
      </c>
      <c r="H215" s="11">
        <v>8168.0</v>
      </c>
      <c r="I215" s="11">
        <v>1401.0</v>
      </c>
      <c r="J215" s="11">
        <v>168.0</v>
      </c>
      <c r="K215" s="11">
        <v>6.0</v>
      </c>
      <c r="L215" s="11">
        <v>1.0</v>
      </c>
      <c r="M215" s="13">
        <f t="shared" ref="M215:O215" si="217">IFERROR(G215/F215,"")</f>
        <v>0.3165253089</v>
      </c>
      <c r="N215" s="13">
        <f t="shared" si="217"/>
        <v>0.9993882295</v>
      </c>
      <c r="O215" s="14">
        <f t="shared" si="217"/>
        <v>0.1715230167</v>
      </c>
      <c r="P215" s="13">
        <f t="shared" si="3"/>
        <v>0.02056807052</v>
      </c>
      <c r="Q215" s="13">
        <f t="shared" si="4"/>
        <v>0.0007345739471</v>
      </c>
      <c r="R215" s="13">
        <f t="shared" si="5"/>
        <v>0.0001224289912</v>
      </c>
      <c r="S215" s="14">
        <f t="shared" si="6"/>
        <v>0.7369611534</v>
      </c>
      <c r="T215" s="14">
        <f t="shared" si="7"/>
        <v>0.9997237298</v>
      </c>
      <c r="U215" s="14">
        <f t="shared" si="8"/>
        <v>0.6914113952</v>
      </c>
    </row>
    <row r="216" ht="15.75" customHeight="1">
      <c r="A216" s="9">
        <v>45142.5839714236</v>
      </c>
      <c r="B216" s="10">
        <v>14.0</v>
      </c>
      <c r="C216" s="10" t="s">
        <v>60</v>
      </c>
      <c r="D216" s="10" t="s">
        <v>748</v>
      </c>
      <c r="E216" s="12" t="s">
        <v>62</v>
      </c>
      <c r="F216" s="11">
        <v>16559.0</v>
      </c>
      <c r="G216" s="11">
        <v>9586.0</v>
      </c>
      <c r="H216" s="11">
        <v>9580.0</v>
      </c>
      <c r="I216" s="11">
        <v>2382.0</v>
      </c>
      <c r="J216" s="11">
        <v>289.0</v>
      </c>
      <c r="K216" s="11">
        <v>4.0</v>
      </c>
      <c r="L216" s="11">
        <v>4.0</v>
      </c>
      <c r="M216" s="13">
        <f t="shared" ref="M216:O216" si="218">IFERROR(G216/F216,"")</f>
        <v>0.578899692</v>
      </c>
      <c r="N216" s="13">
        <f t="shared" si="218"/>
        <v>0.9993740872</v>
      </c>
      <c r="O216" s="14">
        <f t="shared" si="218"/>
        <v>0.2486430063</v>
      </c>
      <c r="P216" s="13">
        <f t="shared" si="3"/>
        <v>0.03016701461</v>
      </c>
      <c r="Q216" s="13">
        <f t="shared" si="4"/>
        <v>0.0004175365344</v>
      </c>
      <c r="R216" s="13">
        <f t="shared" si="5"/>
        <v>0.0004175365344</v>
      </c>
      <c r="S216" s="14">
        <f t="shared" si="6"/>
        <v>1.347843515</v>
      </c>
      <c r="T216" s="14">
        <f t="shared" si="7"/>
        <v>0.9997095827</v>
      </c>
      <c r="U216" s="14">
        <f t="shared" si="8"/>
        <v>0.3930026636</v>
      </c>
    </row>
    <row r="217" ht="15.75" customHeight="1">
      <c r="A217" s="9">
        <v>45143.5618655903</v>
      </c>
      <c r="B217" s="10">
        <v>13.0</v>
      </c>
      <c r="C217" s="10" t="s">
        <v>69</v>
      </c>
      <c r="D217" s="10" t="s">
        <v>751</v>
      </c>
      <c r="E217" s="12" t="s">
        <v>62</v>
      </c>
      <c r="F217" s="11">
        <v>13232.0</v>
      </c>
      <c r="G217" s="11">
        <v>5509.0</v>
      </c>
      <c r="H217" s="11">
        <v>5504.0</v>
      </c>
      <c r="I217" s="11">
        <v>766.0</v>
      </c>
      <c r="J217" s="11">
        <v>246.0</v>
      </c>
      <c r="K217" s="11">
        <v>7.0</v>
      </c>
      <c r="L217" s="11">
        <v>5.0</v>
      </c>
      <c r="M217" s="13">
        <f t="shared" ref="M217:O217" si="219">IFERROR(G217/F217,"")</f>
        <v>0.4163391778</v>
      </c>
      <c r="N217" s="13">
        <f t="shared" si="219"/>
        <v>0.9990923943</v>
      </c>
      <c r="O217" s="14">
        <f t="shared" si="219"/>
        <v>0.1391715116</v>
      </c>
      <c r="P217" s="13">
        <f t="shared" si="3"/>
        <v>0.04469476744</v>
      </c>
      <c r="Q217" s="13">
        <f t="shared" si="4"/>
        <v>0.001271802326</v>
      </c>
      <c r="R217" s="13">
        <f t="shared" si="5"/>
        <v>0.0009084302326</v>
      </c>
      <c r="S217" s="14">
        <f t="shared" si="6"/>
        <v>0.9698680742</v>
      </c>
      <c r="T217" s="14">
        <f t="shared" si="7"/>
        <v>0.9994288318</v>
      </c>
      <c r="U217" s="14">
        <f t="shared" si="8"/>
        <v>1.197527562</v>
      </c>
    </row>
    <row r="218" ht="15.75" customHeight="1">
      <c r="A218" s="9">
        <v>45144.6801195255</v>
      </c>
      <c r="B218" s="10">
        <v>16.0</v>
      </c>
      <c r="C218" s="10" t="s">
        <v>77</v>
      </c>
      <c r="D218" s="10" t="s">
        <v>754</v>
      </c>
      <c r="E218" s="12" t="s">
        <v>62</v>
      </c>
      <c r="F218" s="11">
        <v>8004.0</v>
      </c>
      <c r="G218" s="11">
        <v>3790.0</v>
      </c>
      <c r="H218" s="11">
        <v>3783.0</v>
      </c>
      <c r="I218" s="11">
        <v>1173.0</v>
      </c>
      <c r="J218" s="11">
        <v>298.0</v>
      </c>
      <c r="K218" s="11">
        <v>17.0</v>
      </c>
      <c r="L218" s="11">
        <v>3.0</v>
      </c>
      <c r="M218" s="13">
        <f t="shared" ref="M218:O218" si="220">IFERROR(G218/F218,"")</f>
        <v>0.4735132434</v>
      </c>
      <c r="N218" s="13">
        <f t="shared" si="220"/>
        <v>0.9981530343</v>
      </c>
      <c r="O218" s="14">
        <f t="shared" si="220"/>
        <v>0.3100713719</v>
      </c>
      <c r="P218" s="13">
        <f t="shared" si="3"/>
        <v>0.07877346022</v>
      </c>
      <c r="Q218" s="13">
        <f t="shared" si="4"/>
        <v>0.004493787999</v>
      </c>
      <c r="R218" s="13">
        <f t="shared" si="5"/>
        <v>0.0007930214116</v>
      </c>
      <c r="S218" s="14">
        <f t="shared" si="6"/>
        <v>1.101725695</v>
      </c>
      <c r="T218" s="14">
        <f t="shared" si="7"/>
        <v>0.9984945579</v>
      </c>
      <c r="U218" s="14">
        <f t="shared" si="8"/>
        <v>4.228859644</v>
      </c>
    </row>
    <row r="219" ht="15.75" customHeight="1">
      <c r="A219" s="9">
        <v>45145.6087396991</v>
      </c>
      <c r="B219" s="10">
        <v>14.0</v>
      </c>
      <c r="C219" s="10" t="s">
        <v>71</v>
      </c>
      <c r="D219" s="10" t="s">
        <v>757</v>
      </c>
      <c r="E219" s="12" t="s">
        <v>62</v>
      </c>
      <c r="F219" s="11">
        <v>29256.0</v>
      </c>
      <c r="G219" s="11">
        <v>13507.0</v>
      </c>
      <c r="H219" s="11">
        <v>13502.0</v>
      </c>
      <c r="I219" s="11">
        <v>2078.0</v>
      </c>
      <c r="J219" s="11">
        <v>279.0</v>
      </c>
      <c r="K219" s="11">
        <v>7.0</v>
      </c>
      <c r="L219" s="11">
        <v>12.0</v>
      </c>
      <c r="M219" s="13">
        <f t="shared" ref="M219:O219" si="221">IFERROR(G219/F219,"")</f>
        <v>0.4616830736</v>
      </c>
      <c r="N219" s="13">
        <f t="shared" si="221"/>
        <v>0.9996298216</v>
      </c>
      <c r="O219" s="14">
        <f t="shared" si="221"/>
        <v>0.1539031255</v>
      </c>
      <c r="P219" s="13">
        <f t="shared" si="3"/>
        <v>0.02066360539</v>
      </c>
      <c r="Q219" s="13">
        <f t="shared" si="4"/>
        <v>0.0005184417123</v>
      </c>
      <c r="R219" s="13">
        <f t="shared" si="5"/>
        <v>0.0008887572212</v>
      </c>
      <c r="S219" s="14">
        <f t="shared" si="6"/>
        <v>1.074200378</v>
      </c>
      <c r="T219" s="14">
        <f t="shared" si="7"/>
        <v>0.9999718505</v>
      </c>
      <c r="U219" s="14">
        <f t="shared" si="8"/>
        <v>0.4878773176</v>
      </c>
    </row>
    <row r="220" ht="15.75" customHeight="1">
      <c r="A220" s="9">
        <v>45146.716245</v>
      </c>
      <c r="B220" s="10">
        <v>17.0</v>
      </c>
      <c r="C220" s="10" t="s">
        <v>59</v>
      </c>
      <c r="D220" s="10" t="s">
        <v>760</v>
      </c>
      <c r="E220" s="12" t="s">
        <v>62</v>
      </c>
      <c r="F220" s="11">
        <v>8179.0</v>
      </c>
      <c r="G220" s="11">
        <v>5166.0</v>
      </c>
      <c r="H220" s="11">
        <v>5161.0</v>
      </c>
      <c r="I220" s="11">
        <v>1229.0</v>
      </c>
      <c r="J220" s="11">
        <v>346.0</v>
      </c>
      <c r="K220" s="11">
        <v>12.0</v>
      </c>
      <c r="L220" s="11">
        <v>4.0</v>
      </c>
      <c r="M220" s="13">
        <f t="shared" ref="M220:O220" si="222">IFERROR(G220/F220,"")</f>
        <v>0.6316175572</v>
      </c>
      <c r="N220" s="13">
        <f t="shared" si="222"/>
        <v>0.9990321332</v>
      </c>
      <c r="O220" s="14">
        <f t="shared" si="222"/>
        <v>0.2381321449</v>
      </c>
      <c r="P220" s="13">
        <f t="shared" si="3"/>
        <v>0.06704127107</v>
      </c>
      <c r="Q220" s="13">
        <f t="shared" si="4"/>
        <v>0.002325130789</v>
      </c>
      <c r="R220" s="13">
        <f t="shared" si="5"/>
        <v>0.0007750435962</v>
      </c>
      <c r="S220" s="14">
        <f t="shared" si="6"/>
        <v>1.469587813</v>
      </c>
      <c r="T220" s="14">
        <f t="shared" si="7"/>
        <v>0.9993739576</v>
      </c>
      <c r="U220" s="14">
        <f t="shared" si="8"/>
        <v>2.188054212</v>
      </c>
    </row>
    <row r="221" ht="15.75" customHeight="1">
      <c r="A221" s="9">
        <v>45147.7315842477</v>
      </c>
      <c r="B221" s="10">
        <v>17.0</v>
      </c>
      <c r="C221" s="10" t="s">
        <v>80</v>
      </c>
      <c r="D221" s="10" t="s">
        <v>763</v>
      </c>
      <c r="E221" s="12" t="s">
        <v>62</v>
      </c>
      <c r="F221" s="11">
        <v>8473.0</v>
      </c>
      <c r="G221" s="11">
        <v>4215.0</v>
      </c>
      <c r="H221" s="11">
        <v>4212.0</v>
      </c>
      <c r="I221" s="11">
        <v>1119.0</v>
      </c>
      <c r="J221" s="11">
        <v>281.0</v>
      </c>
      <c r="K221" s="11">
        <v>6.0</v>
      </c>
      <c r="L221" s="11">
        <v>8.0</v>
      </c>
      <c r="M221" s="13">
        <f t="shared" ref="M221:O221" si="223">IFERROR(G221/F221,"")</f>
        <v>0.497462528</v>
      </c>
      <c r="N221" s="13">
        <f t="shared" si="223"/>
        <v>0.9992882562</v>
      </c>
      <c r="O221" s="14">
        <f t="shared" si="223"/>
        <v>0.2656695157</v>
      </c>
      <c r="P221" s="13">
        <f t="shared" si="3"/>
        <v>0.06671415005</v>
      </c>
      <c r="Q221" s="13">
        <f t="shared" si="4"/>
        <v>0.001424501425</v>
      </c>
      <c r="R221" s="13">
        <f t="shared" si="5"/>
        <v>0.001899335233</v>
      </c>
      <c r="S221" s="14">
        <f t="shared" si="6"/>
        <v>1.157448618</v>
      </c>
      <c r="T221" s="14">
        <f t="shared" si="7"/>
        <v>0.9996247598</v>
      </c>
      <c r="U221" s="14">
        <f t="shared" si="8"/>
        <v>1.340520867</v>
      </c>
    </row>
    <row r="222" ht="15.75" customHeight="1">
      <c r="A222" s="9">
        <v>45148.7093492477</v>
      </c>
      <c r="B222" s="10">
        <v>17.0</v>
      </c>
      <c r="C222" s="10" t="s">
        <v>84</v>
      </c>
      <c r="D222" s="10" t="s">
        <v>766</v>
      </c>
      <c r="E222" s="12" t="s">
        <v>62</v>
      </c>
      <c r="F222" s="11">
        <v>9194.0</v>
      </c>
      <c r="G222" s="11">
        <v>5257.0</v>
      </c>
      <c r="H222" s="11">
        <v>5257.0</v>
      </c>
      <c r="I222" s="11">
        <v>1274.0</v>
      </c>
      <c r="J222" s="11">
        <v>332.0</v>
      </c>
      <c r="K222" s="11">
        <v>10.0</v>
      </c>
      <c r="L222" s="11">
        <v>5.0</v>
      </c>
      <c r="M222" s="13">
        <f t="shared" ref="M222:O222" si="224">IFERROR(G222/F222,"")</f>
        <v>0.5717859474</v>
      </c>
      <c r="N222" s="13">
        <f t="shared" si="224"/>
        <v>1</v>
      </c>
      <c r="O222" s="14">
        <f t="shared" si="224"/>
        <v>0.2423435419</v>
      </c>
      <c r="P222" s="13">
        <f t="shared" si="3"/>
        <v>0.06315389005</v>
      </c>
      <c r="Q222" s="13">
        <f t="shared" si="4"/>
        <v>0.001902225604</v>
      </c>
      <c r="R222" s="13">
        <f t="shared" si="5"/>
        <v>0.000951112802</v>
      </c>
      <c r="S222" s="14">
        <f t="shared" si="6"/>
        <v>1.3303773</v>
      </c>
      <c r="T222" s="14">
        <f t="shared" si="7"/>
        <v>1.000336743</v>
      </c>
      <c r="U222" s="14">
        <f t="shared" si="8"/>
        <v>1.791133374</v>
      </c>
    </row>
    <row r="223" ht="15.75" customHeight="1">
      <c r="A223" s="9">
        <v>45149.7319682639</v>
      </c>
      <c r="B223" s="10">
        <v>17.0</v>
      </c>
      <c r="C223" s="10" t="s">
        <v>60</v>
      </c>
      <c r="D223" s="10" t="s">
        <v>769</v>
      </c>
      <c r="E223" s="12" t="s">
        <v>62</v>
      </c>
      <c r="F223" s="11">
        <v>311394.0</v>
      </c>
      <c r="G223" s="11">
        <v>77381.0</v>
      </c>
      <c r="H223" s="11">
        <v>77376.0</v>
      </c>
      <c r="I223" s="11">
        <v>5477.0</v>
      </c>
      <c r="J223" s="11">
        <v>384.0</v>
      </c>
      <c r="K223" s="11">
        <v>33.0</v>
      </c>
      <c r="L223" s="11">
        <v>26.0</v>
      </c>
      <c r="M223" s="13">
        <f t="shared" ref="M223:O223" si="225">IFERROR(G223/F223,"")</f>
        <v>0.2484986866</v>
      </c>
      <c r="N223" s="13">
        <f t="shared" si="225"/>
        <v>0.9999353847</v>
      </c>
      <c r="O223" s="14">
        <f t="shared" si="225"/>
        <v>0.0707842225</v>
      </c>
      <c r="P223" s="13">
        <f t="shared" si="3"/>
        <v>0.004962779156</v>
      </c>
      <c r="Q223" s="13">
        <f t="shared" si="4"/>
        <v>0.0004264888337</v>
      </c>
      <c r="R223" s="13">
        <f t="shared" si="5"/>
        <v>0.0003360215054</v>
      </c>
      <c r="S223" s="14">
        <f t="shared" si="6"/>
        <v>0.5777910887</v>
      </c>
      <c r="T223" s="14">
        <f t="shared" si="7"/>
        <v>1.000273144</v>
      </c>
      <c r="U223" s="14">
        <f t="shared" si="8"/>
        <v>0.4017339384</v>
      </c>
    </row>
    <row r="224" ht="15.75" customHeight="1">
      <c r="A224" s="9">
        <v>45150.7720659259</v>
      </c>
      <c r="B224" s="10">
        <v>18.0</v>
      </c>
      <c r="C224" s="10" t="s">
        <v>69</v>
      </c>
      <c r="D224" s="10" t="s">
        <v>771</v>
      </c>
      <c r="E224" s="12" t="s">
        <v>62</v>
      </c>
      <c r="F224" s="11">
        <v>8556.0</v>
      </c>
      <c r="G224" s="11">
        <v>4835.0</v>
      </c>
      <c r="H224" s="11">
        <v>4830.0</v>
      </c>
      <c r="I224" s="11">
        <v>1092.0</v>
      </c>
      <c r="J224" s="11">
        <v>341.0</v>
      </c>
      <c r="K224" s="11">
        <v>13.0</v>
      </c>
      <c r="L224" s="11">
        <v>4.0</v>
      </c>
      <c r="M224" s="13">
        <f t="shared" ref="M224:O224" si="226">IFERROR(G224/F224,"")</f>
        <v>0.5651005143</v>
      </c>
      <c r="N224" s="13">
        <f t="shared" si="226"/>
        <v>0.9989658738</v>
      </c>
      <c r="O224" s="14">
        <f t="shared" si="226"/>
        <v>0.2260869565</v>
      </c>
      <c r="P224" s="13">
        <f t="shared" si="3"/>
        <v>0.07060041408</v>
      </c>
      <c r="Q224" s="13">
        <f t="shared" si="4"/>
        <v>0.002691511387</v>
      </c>
      <c r="R224" s="13">
        <f t="shared" si="5"/>
        <v>0.0008281573499</v>
      </c>
      <c r="S224" s="14">
        <f t="shared" si="6"/>
        <v>1.313930652</v>
      </c>
      <c r="T224" s="14">
        <f t="shared" si="7"/>
        <v>0.9993033053</v>
      </c>
      <c r="U224" s="14">
        <f t="shared" si="8"/>
        <v>2.535286704</v>
      </c>
    </row>
    <row r="225" ht="15.75" customHeight="1">
      <c r="A225" s="9">
        <v>45151.6766381597</v>
      </c>
      <c r="B225" s="10">
        <v>16.0</v>
      </c>
      <c r="C225" s="10" t="s">
        <v>77</v>
      </c>
      <c r="D225" s="10" t="s">
        <v>774</v>
      </c>
      <c r="E225" s="12" t="s">
        <v>62</v>
      </c>
      <c r="F225" s="11">
        <v>117555.0</v>
      </c>
      <c r="G225" s="11">
        <v>24475.0</v>
      </c>
      <c r="H225" s="11">
        <v>24476.0</v>
      </c>
      <c r="I225" s="11">
        <v>2794.0</v>
      </c>
      <c r="J225" s="11">
        <v>371.0</v>
      </c>
      <c r="K225" s="11">
        <v>24.0</v>
      </c>
      <c r="L225" s="11">
        <v>21.0</v>
      </c>
      <c r="M225" s="13">
        <f t="shared" ref="M225:O225" si="227">IFERROR(G225/F225,"")</f>
        <v>0.2082004168</v>
      </c>
      <c r="N225" s="13">
        <f t="shared" si="227"/>
        <v>1.000040858</v>
      </c>
      <c r="O225" s="14">
        <f t="shared" si="227"/>
        <v>0.1141526393</v>
      </c>
      <c r="P225" s="13">
        <f t="shared" si="3"/>
        <v>0.01515770551</v>
      </c>
      <c r="Q225" s="13">
        <f t="shared" si="4"/>
        <v>0.0009805523778</v>
      </c>
      <c r="R225" s="13">
        <f t="shared" si="5"/>
        <v>0.0008579833306</v>
      </c>
      <c r="S225" s="14">
        <f t="shared" si="6"/>
        <v>0.483619976</v>
      </c>
      <c r="T225" s="14">
        <f t="shared" si="7"/>
        <v>1.000377615</v>
      </c>
      <c r="U225" s="14">
        <f t="shared" si="8"/>
        <v>0.9245406372</v>
      </c>
    </row>
    <row r="226" ht="15.75" customHeight="1">
      <c r="A226" s="9">
        <v>45152.733922662</v>
      </c>
      <c r="B226" s="10">
        <v>17.0</v>
      </c>
      <c r="C226" s="10" t="s">
        <v>71</v>
      </c>
      <c r="D226" s="10" t="s">
        <v>777</v>
      </c>
      <c r="E226" s="12" t="s">
        <v>62</v>
      </c>
      <c r="F226" s="11">
        <v>14095.0</v>
      </c>
      <c r="G226" s="11">
        <v>6288.0</v>
      </c>
      <c r="H226" s="11">
        <v>6281.0</v>
      </c>
      <c r="I226" s="11">
        <v>1421.0</v>
      </c>
      <c r="J226" s="11">
        <v>299.0</v>
      </c>
      <c r="K226" s="11">
        <v>2.0</v>
      </c>
      <c r="L226" s="11">
        <v>8.0</v>
      </c>
      <c r="M226" s="13">
        <f t="shared" ref="M226:O226" si="228">IFERROR(G226/F226,"")</f>
        <v>0.4461156438</v>
      </c>
      <c r="N226" s="13">
        <f t="shared" si="228"/>
        <v>0.9988867684</v>
      </c>
      <c r="O226" s="14">
        <f t="shared" si="228"/>
        <v>0.2262378602</v>
      </c>
      <c r="P226" s="13">
        <f t="shared" si="3"/>
        <v>0.04760388473</v>
      </c>
      <c r="Q226" s="13">
        <f t="shared" si="4"/>
        <v>0.0003184206337</v>
      </c>
      <c r="R226" s="13">
        <f t="shared" si="5"/>
        <v>0.001273682535</v>
      </c>
      <c r="S226" s="14">
        <f t="shared" si="6"/>
        <v>1.036263232</v>
      </c>
      <c r="T226" s="14">
        <f t="shared" si="7"/>
        <v>0.9992285431</v>
      </c>
      <c r="U226" s="14">
        <f t="shared" si="8"/>
        <v>0.3012843303</v>
      </c>
    </row>
    <row r="227" ht="15.75" customHeight="1">
      <c r="A227" s="9">
        <v>45153.7117753125</v>
      </c>
      <c r="B227" s="10">
        <v>17.0</v>
      </c>
      <c r="C227" s="10" t="s">
        <v>59</v>
      </c>
      <c r="D227" s="10" t="s">
        <v>780</v>
      </c>
      <c r="E227" s="12" t="s">
        <v>62</v>
      </c>
      <c r="F227" s="11">
        <v>60901.0</v>
      </c>
      <c r="G227" s="11">
        <v>14320.0</v>
      </c>
      <c r="H227" s="11">
        <v>14315.0</v>
      </c>
      <c r="I227" s="11">
        <v>1433.0</v>
      </c>
      <c r="J227" s="11">
        <v>275.0</v>
      </c>
      <c r="K227" s="11">
        <v>7.0</v>
      </c>
      <c r="L227" s="11">
        <v>7.0</v>
      </c>
      <c r="M227" s="13">
        <f t="shared" ref="M227:O227" si="229">IFERROR(G227/F227,"")</f>
        <v>0.2351357121</v>
      </c>
      <c r="N227" s="13">
        <f t="shared" si="229"/>
        <v>0.999650838</v>
      </c>
      <c r="O227" s="14">
        <f t="shared" si="229"/>
        <v>0.1001047852</v>
      </c>
      <c r="P227" s="13">
        <f t="shared" si="3"/>
        <v>0.01921061823</v>
      </c>
      <c r="Q227" s="13">
        <f t="shared" si="4"/>
        <v>0.000488997555</v>
      </c>
      <c r="R227" s="13">
        <f t="shared" si="5"/>
        <v>0.000488997555</v>
      </c>
      <c r="S227" s="14">
        <f t="shared" si="6"/>
        <v>0.545654246</v>
      </c>
      <c r="T227" s="14">
        <f t="shared" si="7"/>
        <v>0.9999972474</v>
      </c>
      <c r="U227" s="14">
        <f t="shared" si="8"/>
        <v>0.463852786</v>
      </c>
    </row>
    <row r="228" ht="15.75" customHeight="1">
      <c r="A228" s="9">
        <v>45154.7595433796</v>
      </c>
      <c r="B228" s="10">
        <v>18.0</v>
      </c>
      <c r="C228" s="10" t="s">
        <v>80</v>
      </c>
      <c r="D228" s="10" t="s">
        <v>784</v>
      </c>
      <c r="E228" s="12" t="s">
        <v>62</v>
      </c>
      <c r="F228" s="11">
        <v>16476.0</v>
      </c>
      <c r="G228" s="11">
        <v>10981.0</v>
      </c>
      <c r="H228" s="11">
        <v>10973.0</v>
      </c>
      <c r="I228" s="11">
        <v>2160.0</v>
      </c>
      <c r="J228" s="11">
        <v>364.0</v>
      </c>
      <c r="K228" s="11">
        <v>11.0</v>
      </c>
      <c r="L228" s="11">
        <v>12.0</v>
      </c>
      <c r="M228" s="13">
        <f t="shared" ref="M228:O228" si="230">IFERROR(G228/F228,"")</f>
        <v>0.6664845836</v>
      </c>
      <c r="N228" s="13">
        <f t="shared" si="230"/>
        <v>0.9992714689</v>
      </c>
      <c r="O228" s="14">
        <f t="shared" si="230"/>
        <v>0.1968468058</v>
      </c>
      <c r="P228" s="13">
        <f t="shared" si="3"/>
        <v>0.03317233209</v>
      </c>
      <c r="Q228" s="13">
        <f t="shared" si="4"/>
        <v>0.001002460585</v>
      </c>
      <c r="R228" s="13">
        <f t="shared" si="5"/>
        <v>0.001093593366</v>
      </c>
      <c r="S228" s="14">
        <f t="shared" si="6"/>
        <v>1.549661523</v>
      </c>
      <c r="T228" s="14">
        <f t="shared" si="7"/>
        <v>0.9996177468</v>
      </c>
      <c r="U228" s="14">
        <f t="shared" si="8"/>
        <v>0.9461223002</v>
      </c>
    </row>
    <row r="229" ht="15.75" customHeight="1">
      <c r="A229" s="9">
        <v>45155.6839896991</v>
      </c>
      <c r="B229" s="10">
        <v>16.0</v>
      </c>
      <c r="C229" s="10" t="s">
        <v>84</v>
      </c>
      <c r="D229" s="10" t="s">
        <v>787</v>
      </c>
      <c r="E229" s="12" t="s">
        <v>62</v>
      </c>
      <c r="F229" s="11">
        <v>97850.0</v>
      </c>
      <c r="G229" s="11">
        <v>21419.0</v>
      </c>
      <c r="H229" s="11">
        <v>21418.0</v>
      </c>
      <c r="I229" s="11">
        <v>2180.0</v>
      </c>
      <c r="J229" s="11">
        <v>300.0</v>
      </c>
      <c r="K229" s="11">
        <v>18.0</v>
      </c>
      <c r="L229" s="11">
        <v>12.0</v>
      </c>
      <c r="M229" s="13">
        <f t="shared" ref="M229:O229" si="231">IFERROR(G229/F229,"")</f>
        <v>0.2188962698</v>
      </c>
      <c r="N229" s="13">
        <f t="shared" si="231"/>
        <v>0.9999533125</v>
      </c>
      <c r="O229" s="14">
        <f t="shared" si="231"/>
        <v>0.1017835465</v>
      </c>
      <c r="P229" s="13">
        <f t="shared" si="3"/>
        <v>0.01400691008</v>
      </c>
      <c r="Q229" s="13">
        <f t="shared" si="4"/>
        <v>0.0008404146045</v>
      </c>
      <c r="R229" s="13">
        <f t="shared" si="5"/>
        <v>0.000560276403</v>
      </c>
      <c r="S229" s="14">
        <f t="shared" si="6"/>
        <v>0.5093070749</v>
      </c>
      <c r="T229" s="14">
        <f t="shared" si="7"/>
        <v>1.000301203</v>
      </c>
      <c r="U229" s="14">
        <f t="shared" si="8"/>
        <v>0.795186381</v>
      </c>
    </row>
    <row r="230" ht="15.75" customHeight="1">
      <c r="A230" s="9">
        <v>45156.7590696296</v>
      </c>
      <c r="B230" s="10">
        <v>18.0</v>
      </c>
      <c r="C230" s="10" t="s">
        <v>60</v>
      </c>
      <c r="D230" s="10" t="s">
        <v>791</v>
      </c>
      <c r="E230" s="12" t="s">
        <v>62</v>
      </c>
      <c r="F230" s="11">
        <v>19287.0</v>
      </c>
      <c r="G230" s="11">
        <v>12398.0</v>
      </c>
      <c r="H230" s="11">
        <v>12394.0</v>
      </c>
      <c r="I230" s="11">
        <v>3205.0</v>
      </c>
      <c r="J230" s="11">
        <v>424.0</v>
      </c>
      <c r="K230" s="11">
        <v>8.0</v>
      </c>
      <c r="L230" s="11">
        <v>9.0</v>
      </c>
      <c r="M230" s="13">
        <f t="shared" ref="M230:O230" si="232">IFERROR(G230/F230,"")</f>
        <v>0.6428164048</v>
      </c>
      <c r="N230" s="13">
        <f t="shared" si="232"/>
        <v>0.9996773673</v>
      </c>
      <c r="O230" s="14">
        <f t="shared" si="232"/>
        <v>0.2585928675</v>
      </c>
      <c r="P230" s="13">
        <f t="shared" si="3"/>
        <v>0.03421010166</v>
      </c>
      <c r="Q230" s="13">
        <f t="shared" si="4"/>
        <v>0.0006454736163</v>
      </c>
      <c r="R230" s="13">
        <f t="shared" si="5"/>
        <v>0.0007261578183</v>
      </c>
      <c r="S230" s="14">
        <f t="shared" si="6"/>
        <v>1.494629994</v>
      </c>
      <c r="T230" s="14">
        <f t="shared" si="7"/>
        <v>1.000026539</v>
      </c>
      <c r="U230" s="14">
        <f t="shared" si="8"/>
        <v>0.609197999</v>
      </c>
    </row>
    <row r="231" ht="15.75" customHeight="1">
      <c r="A231" s="9">
        <v>45157.7617780787</v>
      </c>
      <c r="B231" s="10">
        <v>18.0</v>
      </c>
      <c r="C231" s="10" t="s">
        <v>69</v>
      </c>
      <c r="D231" s="10" t="s">
        <v>794</v>
      </c>
      <c r="E231" s="12" t="s">
        <v>62</v>
      </c>
      <c r="F231" s="11">
        <v>344940.0</v>
      </c>
      <c r="G231" s="11">
        <v>198052.0</v>
      </c>
      <c r="H231" s="11">
        <v>198044.0</v>
      </c>
      <c r="I231" s="11">
        <v>27950.0</v>
      </c>
      <c r="J231" s="11">
        <v>515.0</v>
      </c>
      <c r="K231" s="11">
        <v>58.0</v>
      </c>
      <c r="L231" s="11">
        <v>49.0</v>
      </c>
      <c r="M231" s="13">
        <f t="shared" ref="M231:O231" si="233">IFERROR(G231/F231,"")</f>
        <v>0.5741636227</v>
      </c>
      <c r="N231" s="13">
        <f t="shared" si="233"/>
        <v>0.9999596066</v>
      </c>
      <c r="O231" s="14">
        <f t="shared" si="233"/>
        <v>0.1411302539</v>
      </c>
      <c r="P231" s="13">
        <f t="shared" si="3"/>
        <v>0.002600432227</v>
      </c>
      <c r="Q231" s="13">
        <f t="shared" si="4"/>
        <v>0.000292864212</v>
      </c>
      <c r="R231" s="13">
        <f t="shared" si="5"/>
        <v>0.0002474197653</v>
      </c>
      <c r="S231" s="14">
        <f t="shared" si="6"/>
        <v>1.335003534</v>
      </c>
      <c r="T231" s="14">
        <f t="shared" si="7"/>
        <v>1.000308876</v>
      </c>
      <c r="U231" s="14">
        <f t="shared" si="8"/>
        <v>0.2778048259</v>
      </c>
    </row>
    <row r="232" ht="15.75" customHeight="1">
      <c r="A232" s="9">
        <v>45158.7150079398</v>
      </c>
      <c r="B232" s="10">
        <v>17.0</v>
      </c>
      <c r="C232" s="10" t="s">
        <v>77</v>
      </c>
      <c r="D232" s="10" t="s">
        <v>797</v>
      </c>
      <c r="E232" s="12" t="s">
        <v>62</v>
      </c>
      <c r="F232" s="11">
        <v>5425.0</v>
      </c>
      <c r="G232" s="11">
        <v>2561.0</v>
      </c>
      <c r="H232" s="11">
        <v>2555.0</v>
      </c>
      <c r="I232" s="11">
        <v>465.0</v>
      </c>
      <c r="J232" s="11">
        <v>208.0</v>
      </c>
      <c r="K232" s="11">
        <v>3.0</v>
      </c>
      <c r="L232" s="11">
        <v>1.0</v>
      </c>
      <c r="M232" s="13">
        <f t="shared" ref="M232:O232" si="234">IFERROR(G232/F232,"")</f>
        <v>0.4720737327</v>
      </c>
      <c r="N232" s="13">
        <f t="shared" si="234"/>
        <v>0.9976571652</v>
      </c>
      <c r="O232" s="14">
        <f t="shared" si="234"/>
        <v>0.1819960861</v>
      </c>
      <c r="P232" s="13">
        <f t="shared" si="3"/>
        <v>0.08140900196</v>
      </c>
      <c r="Q232" s="13">
        <f t="shared" si="4"/>
        <v>0.001174168297</v>
      </c>
      <c r="R232" s="13">
        <f t="shared" si="5"/>
        <v>0.0003913894325</v>
      </c>
      <c r="S232" s="14">
        <f t="shared" si="6"/>
        <v>1.09763154</v>
      </c>
      <c r="T232" s="14">
        <f t="shared" si="7"/>
        <v>0.9980122349</v>
      </c>
      <c r="U232" s="14">
        <f t="shared" si="8"/>
        <v>1.113791328</v>
      </c>
    </row>
    <row r="233" ht="15.75" customHeight="1">
      <c r="A233" s="9">
        <v>45159.7171504051</v>
      </c>
      <c r="B233" s="10">
        <v>17.0</v>
      </c>
      <c r="C233" s="10" t="s">
        <v>71</v>
      </c>
      <c r="D233" s="10" t="s">
        <v>800</v>
      </c>
      <c r="E233" s="12" t="s">
        <v>62</v>
      </c>
      <c r="F233" s="11">
        <v>8626.0</v>
      </c>
      <c r="G233" s="11">
        <v>4364.0</v>
      </c>
      <c r="H233" s="11">
        <v>4357.0</v>
      </c>
      <c r="I233" s="11">
        <v>900.0</v>
      </c>
      <c r="J233" s="11">
        <v>316.0</v>
      </c>
      <c r="K233" s="11">
        <v>10.0</v>
      </c>
      <c r="L233" s="11">
        <v>3.0</v>
      </c>
      <c r="M233" s="13">
        <f t="shared" ref="M233:O233" si="235">IFERROR(G233/F233,"")</f>
        <v>0.505912358</v>
      </c>
      <c r="N233" s="13">
        <f t="shared" si="235"/>
        <v>0.998395967</v>
      </c>
      <c r="O233" s="14">
        <f t="shared" si="235"/>
        <v>0.2065641496</v>
      </c>
      <c r="P233" s="13">
        <f t="shared" si="3"/>
        <v>0.0725269681</v>
      </c>
      <c r="Q233" s="13">
        <f t="shared" si="4"/>
        <v>0.002295157218</v>
      </c>
      <c r="R233" s="13">
        <f t="shared" si="5"/>
        <v>0.0006885471655</v>
      </c>
      <c r="S233" s="14">
        <f t="shared" si="6"/>
        <v>1.177108881</v>
      </c>
      <c r="T233" s="14">
        <f t="shared" si="7"/>
        <v>0.9987524932</v>
      </c>
      <c r="U233" s="14">
        <f t="shared" si="8"/>
        <v>2.177238478</v>
      </c>
    </row>
    <row r="234" ht="15.75" customHeight="1">
      <c r="A234" s="9">
        <v>45160.633899838</v>
      </c>
      <c r="B234" s="10">
        <v>15.0</v>
      </c>
      <c r="C234" s="10" t="s">
        <v>59</v>
      </c>
      <c r="D234" s="10" t="s">
        <v>803</v>
      </c>
      <c r="E234" s="12" t="s">
        <v>62</v>
      </c>
      <c r="F234" s="11">
        <v>3667.0</v>
      </c>
      <c r="G234" s="11">
        <v>2120.0</v>
      </c>
      <c r="H234" s="11">
        <v>2113.0</v>
      </c>
      <c r="I234" s="11">
        <v>382.0</v>
      </c>
      <c r="J234" s="11">
        <v>229.0</v>
      </c>
      <c r="K234" s="11">
        <v>3.0</v>
      </c>
      <c r="L234" s="11">
        <v>1.0</v>
      </c>
      <c r="M234" s="13">
        <f t="shared" ref="M234:O234" si="236">IFERROR(G234/F234,"")</f>
        <v>0.578129261</v>
      </c>
      <c r="N234" s="13">
        <f t="shared" si="236"/>
        <v>0.9966981132</v>
      </c>
      <c r="O234" s="14">
        <f t="shared" si="236"/>
        <v>0.1807856129</v>
      </c>
      <c r="P234" s="13">
        <f t="shared" si="3"/>
        <v>0.1083767156</v>
      </c>
      <c r="Q234" s="13">
        <f t="shared" si="4"/>
        <v>0.0014197823</v>
      </c>
      <c r="R234" s="13">
        <f t="shared" si="5"/>
        <v>0.0004732607667</v>
      </c>
      <c r="S234" s="14">
        <f t="shared" si="6"/>
        <v>1.34513632</v>
      </c>
      <c r="T234" s="14">
        <f t="shared" si="7"/>
        <v>0.9970540331</v>
      </c>
      <c r="U234" s="14">
        <f t="shared" si="8"/>
        <v>1.356099271</v>
      </c>
    </row>
    <row r="235" ht="15.75" customHeight="1">
      <c r="A235" s="9">
        <v>45161.7849537732</v>
      </c>
      <c r="B235" s="10">
        <v>18.0</v>
      </c>
      <c r="C235" s="10" t="s">
        <v>80</v>
      </c>
      <c r="D235" s="10" t="s">
        <v>806</v>
      </c>
      <c r="E235" s="12" t="s">
        <v>62</v>
      </c>
      <c r="F235" s="11">
        <v>6409.0</v>
      </c>
      <c r="G235" s="11">
        <v>2622.0</v>
      </c>
      <c r="H235" s="11">
        <v>2614.0</v>
      </c>
      <c r="I235" s="11">
        <v>672.0</v>
      </c>
      <c r="J235" s="11">
        <v>194.0</v>
      </c>
      <c r="K235" s="11">
        <v>5.0</v>
      </c>
      <c r="L235" s="11">
        <v>2.0</v>
      </c>
      <c r="M235" s="13">
        <f t="shared" ref="M235:O235" si="237">IFERROR(G235/F235,"")</f>
        <v>0.409112186</v>
      </c>
      <c r="N235" s="13">
        <f t="shared" si="237"/>
        <v>0.996948894</v>
      </c>
      <c r="O235" s="14">
        <f t="shared" si="237"/>
        <v>0.2570772762</v>
      </c>
      <c r="P235" s="13">
        <f t="shared" si="3"/>
        <v>0.07421576129</v>
      </c>
      <c r="Q235" s="13">
        <f t="shared" si="4"/>
        <v>0.001912777353</v>
      </c>
      <c r="R235" s="13">
        <f t="shared" si="5"/>
        <v>0.0007651109411</v>
      </c>
      <c r="S235" s="14">
        <f t="shared" si="6"/>
        <v>0.9512379265</v>
      </c>
      <c r="T235" s="14">
        <f t="shared" si="7"/>
        <v>0.9973060953</v>
      </c>
      <c r="U235" s="14">
        <f t="shared" si="8"/>
        <v>1.814588115</v>
      </c>
    </row>
    <row r="236" ht="15.75" customHeight="1">
      <c r="A236" s="9">
        <v>45162.6750509722</v>
      </c>
      <c r="B236" s="10">
        <v>16.0</v>
      </c>
      <c r="C236" s="10" t="s">
        <v>84</v>
      </c>
      <c r="D236" s="10" t="s">
        <v>809</v>
      </c>
      <c r="E236" s="12" t="s">
        <v>62</v>
      </c>
      <c r="F236" s="11">
        <v>6238.0</v>
      </c>
      <c r="G236" s="11">
        <v>3622.0</v>
      </c>
      <c r="H236" s="11">
        <v>3617.0</v>
      </c>
      <c r="I236" s="11">
        <v>822.0</v>
      </c>
      <c r="J236" s="11">
        <v>235.0</v>
      </c>
      <c r="K236" s="11">
        <v>5.0</v>
      </c>
      <c r="L236" s="11">
        <v>0.0</v>
      </c>
      <c r="M236" s="13">
        <f t="shared" ref="M236:O236" si="238">IFERROR(G236/F236,"")</f>
        <v>0.5806348189</v>
      </c>
      <c r="N236" s="13">
        <f t="shared" si="238"/>
        <v>0.9986195472</v>
      </c>
      <c r="O236" s="14">
        <f t="shared" si="238"/>
        <v>0.2272601604</v>
      </c>
      <c r="P236" s="13">
        <f t="shared" si="3"/>
        <v>0.06497097042</v>
      </c>
      <c r="Q236" s="13">
        <f t="shared" si="4"/>
        <v>0.001382361073</v>
      </c>
      <c r="R236" s="13">
        <f t="shared" si="5"/>
        <v>0</v>
      </c>
      <c r="S236" s="14">
        <f t="shared" si="6"/>
        <v>1.350966014</v>
      </c>
      <c r="T236" s="14">
        <f t="shared" si="7"/>
        <v>0.9989761533</v>
      </c>
      <c r="U236" s="14">
        <f t="shared" si="8"/>
        <v>1.320356538</v>
      </c>
    </row>
    <row r="237" ht="15.75" customHeight="1">
      <c r="A237" s="9">
        <v>45163.7728359954</v>
      </c>
      <c r="B237" s="10">
        <v>18.0</v>
      </c>
      <c r="C237" s="10" t="s">
        <v>60</v>
      </c>
      <c r="D237" s="10"/>
      <c r="E237" s="12" t="s">
        <v>62</v>
      </c>
      <c r="F237" s="11">
        <v>55675.0</v>
      </c>
      <c r="G237" s="11">
        <v>22838.0</v>
      </c>
      <c r="H237" s="11">
        <v>22834.0</v>
      </c>
      <c r="I237" s="11">
        <v>3326.0</v>
      </c>
      <c r="J237" s="11">
        <v>341.0</v>
      </c>
      <c r="K237" s="11">
        <v>18.0</v>
      </c>
      <c r="L237" s="11">
        <v>25.0</v>
      </c>
      <c r="M237" s="13">
        <f t="shared" ref="M237:O237" si="239">IFERROR(G237/F237,"")</f>
        <v>0.4102020656</v>
      </c>
      <c r="N237" s="13">
        <f t="shared" si="239"/>
        <v>0.9998248533</v>
      </c>
      <c r="O237" s="14">
        <f t="shared" si="239"/>
        <v>0.1456599807</v>
      </c>
      <c r="P237" s="13">
        <f t="shared" si="3"/>
        <v>0.01493387054</v>
      </c>
      <c r="Q237" s="13">
        <f t="shared" si="4"/>
        <v>0.0007882981519</v>
      </c>
      <c r="R237" s="13">
        <f t="shared" si="5"/>
        <v>0.001094858544</v>
      </c>
      <c r="S237" s="14">
        <f t="shared" si="6"/>
        <v>0.9544192522</v>
      </c>
      <c r="T237" s="14">
        <f t="shared" si="7"/>
        <v>1.00018189</v>
      </c>
      <c r="U237" s="14">
        <f t="shared" si="8"/>
        <v>0.747797604</v>
      </c>
    </row>
    <row r="238" ht="15.75" customHeight="1">
      <c r="A238" s="9">
        <v>45164.7484979282</v>
      </c>
      <c r="B238" s="10">
        <v>17.0</v>
      </c>
      <c r="C238" s="10" t="s">
        <v>69</v>
      </c>
      <c r="D238" s="10" t="s">
        <v>814</v>
      </c>
      <c r="E238" s="12" t="s">
        <v>62</v>
      </c>
      <c r="F238" s="11">
        <v>8367.0</v>
      </c>
      <c r="G238" s="11">
        <v>4749.0</v>
      </c>
      <c r="H238" s="11">
        <v>4743.0</v>
      </c>
      <c r="I238" s="11">
        <v>1288.0</v>
      </c>
      <c r="J238" s="11">
        <v>294.0</v>
      </c>
      <c r="K238" s="11">
        <v>4.0</v>
      </c>
      <c r="L238" s="11">
        <v>9.0</v>
      </c>
      <c r="M238" s="13">
        <f t="shared" ref="M238:O238" si="240">IFERROR(G238/F238,"")</f>
        <v>0.5675869487</v>
      </c>
      <c r="N238" s="13">
        <f t="shared" si="240"/>
        <v>0.9987365761</v>
      </c>
      <c r="O238" s="14">
        <f t="shared" si="240"/>
        <v>0.2715580856</v>
      </c>
      <c r="P238" s="13">
        <f t="shared" si="3"/>
        <v>0.06198608476</v>
      </c>
      <c r="Q238" s="13">
        <f t="shared" si="4"/>
        <v>0.0008433480919</v>
      </c>
      <c r="R238" s="13">
        <f t="shared" si="5"/>
        <v>0.001897533207</v>
      </c>
      <c r="S238" s="14">
        <f t="shared" si="6"/>
        <v>1.321504223</v>
      </c>
      <c r="T238" s="14">
        <f t="shared" si="7"/>
        <v>0.99909203</v>
      </c>
      <c r="U238" s="14">
        <f t="shared" si="8"/>
        <v>0.8000562232</v>
      </c>
    </row>
    <row r="239" ht="15.75" customHeight="1">
      <c r="A239" s="9">
        <v>45165.7943890394</v>
      </c>
      <c r="B239" s="10">
        <v>19.0</v>
      </c>
      <c r="C239" s="10" t="s">
        <v>77</v>
      </c>
      <c r="D239" s="10"/>
      <c r="E239" s="12" t="s">
        <v>62</v>
      </c>
      <c r="F239" s="11">
        <v>46418.0</v>
      </c>
      <c r="G239" s="11">
        <v>11030.0</v>
      </c>
      <c r="H239" s="11">
        <v>11027.0</v>
      </c>
      <c r="I239" s="11">
        <v>1235.0</v>
      </c>
      <c r="J239" s="11">
        <v>274.0</v>
      </c>
      <c r="K239" s="11">
        <v>11.0</v>
      </c>
      <c r="L239" s="11">
        <v>9.0</v>
      </c>
      <c r="M239" s="13">
        <f t="shared" ref="M239:O239" si="241">IFERROR(G239/F239,"")</f>
        <v>0.2376233358</v>
      </c>
      <c r="N239" s="13">
        <f t="shared" si="241"/>
        <v>0.9997280145</v>
      </c>
      <c r="O239" s="14">
        <f t="shared" si="241"/>
        <v>0.1119978235</v>
      </c>
      <c r="P239" s="13">
        <f t="shared" si="3"/>
        <v>0.02484810012</v>
      </c>
      <c r="Q239" s="13">
        <f t="shared" si="4"/>
        <v>0.0009975514646</v>
      </c>
      <c r="R239" s="13">
        <f t="shared" si="5"/>
        <v>0.000816178471</v>
      </c>
      <c r="S239" s="14">
        <f t="shared" si="6"/>
        <v>0.5570567591</v>
      </c>
      <c r="T239" s="14">
        <f t="shared" si="7"/>
        <v>1.000077203</v>
      </c>
      <c r="U239" s="14">
        <f t="shared" si="8"/>
        <v>0.9463438227</v>
      </c>
    </row>
    <row r="240" ht="15.75" customHeight="1">
      <c r="A240" s="9">
        <v>45166.7813710417</v>
      </c>
      <c r="B240" s="10">
        <v>18.0</v>
      </c>
      <c r="C240" s="10" t="s">
        <v>71</v>
      </c>
      <c r="D240" s="10" t="s">
        <v>819</v>
      </c>
      <c r="E240" s="12" t="s">
        <v>62</v>
      </c>
      <c r="F240" s="11">
        <v>34379.0</v>
      </c>
      <c r="G240" s="11">
        <v>10572.0</v>
      </c>
      <c r="H240" s="11">
        <v>10573.0</v>
      </c>
      <c r="I240" s="11">
        <v>2261.0</v>
      </c>
      <c r="J240" s="11">
        <v>472.0</v>
      </c>
      <c r="K240" s="11">
        <v>19.0</v>
      </c>
      <c r="L240" s="11">
        <v>17.0</v>
      </c>
      <c r="M240" s="13">
        <f t="shared" ref="M240:O240" si="242">IFERROR(G240/F240,"")</f>
        <v>0.3075133075</v>
      </c>
      <c r="N240" s="13">
        <f t="shared" si="242"/>
        <v>1.000094589</v>
      </c>
      <c r="O240" s="14">
        <f t="shared" si="242"/>
        <v>0.2138465904</v>
      </c>
      <c r="P240" s="13">
        <f t="shared" si="3"/>
        <v>0.04464201267</v>
      </c>
      <c r="Q240" s="13">
        <f t="shared" si="4"/>
        <v>0.001797030171</v>
      </c>
      <c r="R240" s="13">
        <f t="shared" si="5"/>
        <v>0.001607869101</v>
      </c>
      <c r="S240" s="14">
        <f t="shared" si="6"/>
        <v>0.7208987531</v>
      </c>
      <c r="T240" s="14">
        <f t="shared" si="7"/>
        <v>1.000443906</v>
      </c>
      <c r="U240" s="14">
        <f t="shared" si="8"/>
        <v>1.728229587</v>
      </c>
    </row>
    <row r="241" ht="15.75" customHeight="1">
      <c r="A241" s="9">
        <v>45167.7055791435</v>
      </c>
      <c r="B241" s="10">
        <v>16.0</v>
      </c>
      <c r="C241" s="10" t="s">
        <v>59</v>
      </c>
      <c r="D241" s="10" t="s">
        <v>822</v>
      </c>
      <c r="E241" s="12" t="s">
        <v>62</v>
      </c>
      <c r="F241" s="11">
        <v>7490.0</v>
      </c>
      <c r="G241" s="11">
        <v>4284.0</v>
      </c>
      <c r="H241" s="11">
        <v>4282.0</v>
      </c>
      <c r="I241" s="11">
        <v>676.0</v>
      </c>
      <c r="J241" s="11">
        <v>224.0</v>
      </c>
      <c r="K241" s="11">
        <v>1.0</v>
      </c>
      <c r="L241" s="11">
        <v>1.0</v>
      </c>
      <c r="M241" s="13">
        <f t="shared" ref="M241:O241" si="243">IFERROR(G241/F241,"")</f>
        <v>0.5719626168</v>
      </c>
      <c r="N241" s="13">
        <f t="shared" si="243"/>
        <v>0.9995331466</v>
      </c>
      <c r="O241" s="14">
        <f t="shared" si="243"/>
        <v>0.1578701541</v>
      </c>
      <c r="P241" s="13">
        <f t="shared" si="3"/>
        <v>0.05231200374</v>
      </c>
      <c r="Q241" s="13">
        <f t="shared" si="4"/>
        <v>0.000233535731</v>
      </c>
      <c r="R241" s="13">
        <f t="shared" si="5"/>
        <v>0.000233535731</v>
      </c>
      <c r="S241" s="14">
        <f t="shared" si="6"/>
        <v>1.336251962</v>
      </c>
      <c r="T241" s="14">
        <f t="shared" si="7"/>
        <v>0.9998808913</v>
      </c>
      <c r="U241" s="14">
        <f t="shared" si="8"/>
        <v>0.226043176</v>
      </c>
    </row>
    <row r="242" ht="15.75" customHeight="1">
      <c r="A242" s="9">
        <v>45168.6508861227</v>
      </c>
      <c r="B242" s="10">
        <v>15.0</v>
      </c>
      <c r="C242" s="10" t="s">
        <v>80</v>
      </c>
      <c r="D242" s="10" t="s">
        <v>825</v>
      </c>
      <c r="E242" s="12" t="s">
        <v>62</v>
      </c>
      <c r="F242" s="11">
        <v>22428.0</v>
      </c>
      <c r="G242" s="11">
        <v>9367.0</v>
      </c>
      <c r="H242" s="11">
        <v>9360.0</v>
      </c>
      <c r="I242" s="11">
        <v>2387.0</v>
      </c>
      <c r="J242" s="11">
        <v>270.0</v>
      </c>
      <c r="K242" s="11">
        <v>10.0</v>
      </c>
      <c r="L242" s="11">
        <v>9.0</v>
      </c>
      <c r="M242" s="13">
        <f t="shared" ref="M242:O242" si="244">IFERROR(G242/F242,"")</f>
        <v>0.4176475834</v>
      </c>
      <c r="N242" s="13">
        <f t="shared" si="244"/>
        <v>0.9992526956</v>
      </c>
      <c r="O242" s="14">
        <f t="shared" si="244"/>
        <v>0.2550213675</v>
      </c>
      <c r="P242" s="13">
        <f t="shared" si="3"/>
        <v>0.02884615385</v>
      </c>
      <c r="Q242" s="13">
        <f t="shared" si="4"/>
        <v>0.001068376068</v>
      </c>
      <c r="R242" s="13">
        <f t="shared" si="5"/>
        <v>0.0009615384615</v>
      </c>
      <c r="S242" s="14">
        <f t="shared" si="6"/>
        <v>0.9757323051</v>
      </c>
      <c r="T242" s="14">
        <f t="shared" si="7"/>
        <v>0.9996050259</v>
      </c>
      <c r="U242" s="14">
        <f t="shared" si="8"/>
        <v>1.03409923</v>
      </c>
    </row>
    <row r="243" ht="15.75" customHeight="1">
      <c r="A243" s="9">
        <v>45169.6973875347</v>
      </c>
      <c r="B243" s="10">
        <v>16.0</v>
      </c>
      <c r="C243" s="10" t="s">
        <v>84</v>
      </c>
      <c r="D243" s="10" t="s">
        <v>828</v>
      </c>
      <c r="E243" s="12" t="s">
        <v>62</v>
      </c>
      <c r="F243" s="11">
        <v>98756.0</v>
      </c>
      <c r="G243" s="11">
        <v>32787.0</v>
      </c>
      <c r="H243" s="11">
        <v>32771.0</v>
      </c>
      <c r="I243" s="11">
        <v>5534.0</v>
      </c>
      <c r="J243" s="11">
        <v>379.0</v>
      </c>
      <c r="K243" s="11">
        <v>8.0</v>
      </c>
      <c r="L243" s="11">
        <v>6.0</v>
      </c>
      <c r="M243" s="13">
        <f t="shared" ref="M243:O243" si="245">IFERROR(G243/F243,"")</f>
        <v>0.332000081</v>
      </c>
      <c r="N243" s="13">
        <f t="shared" si="245"/>
        <v>0.9995120017</v>
      </c>
      <c r="O243" s="14">
        <f t="shared" si="245"/>
        <v>0.1688688169</v>
      </c>
      <c r="P243" s="13">
        <f t="shared" si="3"/>
        <v>0.01156510329</v>
      </c>
      <c r="Q243" s="13">
        <f t="shared" si="4"/>
        <v>0.0002441182753</v>
      </c>
      <c r="R243" s="13">
        <f t="shared" si="5"/>
        <v>0.0001830887065</v>
      </c>
      <c r="S243" s="14">
        <f t="shared" si="6"/>
        <v>0.7729908345</v>
      </c>
      <c r="T243" s="14">
        <f t="shared" si="7"/>
        <v>0.9998611152</v>
      </c>
      <c r="U243" s="14">
        <f t="shared" si="8"/>
        <v>0.2378200238</v>
      </c>
    </row>
    <row r="244" ht="15.75" customHeight="1">
      <c r="A244" s="9">
        <v>45170.7793586574</v>
      </c>
      <c r="B244" s="10">
        <v>18.0</v>
      </c>
      <c r="C244" s="10" t="s">
        <v>60</v>
      </c>
      <c r="D244" s="10" t="s">
        <v>831</v>
      </c>
      <c r="E244" s="12" t="s">
        <v>62</v>
      </c>
      <c r="F244" s="11">
        <v>31450.0</v>
      </c>
      <c r="G244" s="11">
        <v>9749.0</v>
      </c>
      <c r="H244" s="11">
        <v>9742.0</v>
      </c>
      <c r="I244" s="11">
        <v>1485.0</v>
      </c>
      <c r="J244" s="11">
        <v>273.0</v>
      </c>
      <c r="K244" s="11">
        <v>10.0</v>
      </c>
      <c r="L244" s="11">
        <v>5.0</v>
      </c>
      <c r="M244" s="13">
        <f t="shared" ref="M244:O244" si="246">IFERROR(G244/F244,"")</f>
        <v>0.3099841017</v>
      </c>
      <c r="N244" s="13">
        <f t="shared" si="246"/>
        <v>0.9992819776</v>
      </c>
      <c r="O244" s="14">
        <f t="shared" si="246"/>
        <v>0.1524327653</v>
      </c>
      <c r="P244" s="13">
        <f t="shared" si="3"/>
        <v>0.02802299323</v>
      </c>
      <c r="Q244" s="13">
        <f t="shared" si="4"/>
        <v>0.001026483268</v>
      </c>
      <c r="R244" s="13">
        <f t="shared" si="5"/>
        <v>0.0005132416342</v>
      </c>
      <c r="S244" s="14">
        <f t="shared" si="6"/>
        <v>0.7266909983</v>
      </c>
      <c r="T244" s="14">
        <f t="shared" si="7"/>
        <v>0.9996282592</v>
      </c>
      <c r="U244" s="14">
        <f t="shared" si="8"/>
        <v>1.003387395</v>
      </c>
    </row>
    <row r="245" ht="15.75" customHeight="1">
      <c r="A245" s="9">
        <v>45171.7188857755</v>
      </c>
      <c r="B245" s="10">
        <v>17.0</v>
      </c>
      <c r="C245" s="10" t="s">
        <v>69</v>
      </c>
      <c r="D245" s="10" t="s">
        <v>834</v>
      </c>
      <c r="E245" s="12" t="s">
        <v>62</v>
      </c>
      <c r="F245" s="11">
        <v>35275.0</v>
      </c>
      <c r="G245" s="11">
        <v>16257.0</v>
      </c>
      <c r="H245" s="11">
        <v>16250.0</v>
      </c>
      <c r="I245" s="11">
        <v>3244.0</v>
      </c>
      <c r="J245" s="11">
        <v>316.0</v>
      </c>
      <c r="K245" s="11">
        <v>14.0</v>
      </c>
      <c r="L245" s="11">
        <v>9.0</v>
      </c>
      <c r="M245" s="13">
        <f t="shared" ref="M245:O245" si="247">IFERROR(G245/F245,"")</f>
        <v>0.460864635</v>
      </c>
      <c r="N245" s="13">
        <f t="shared" si="247"/>
        <v>0.9995694163</v>
      </c>
      <c r="O245" s="14">
        <f t="shared" si="247"/>
        <v>0.1996307692</v>
      </c>
      <c r="P245" s="13">
        <f t="shared" si="3"/>
        <v>0.01944615385</v>
      </c>
      <c r="Q245" s="13">
        <f t="shared" si="4"/>
        <v>0.0008615384615</v>
      </c>
      <c r="R245" s="13">
        <f t="shared" si="5"/>
        <v>0.0005538461538</v>
      </c>
      <c r="S245" s="14">
        <f t="shared" si="6"/>
        <v>1.080920827</v>
      </c>
      <c r="T245" s="14">
        <f t="shared" si="7"/>
        <v>0.9999103874</v>
      </c>
      <c r="U245" s="14">
        <f t="shared" si="8"/>
        <v>0.8431121949</v>
      </c>
    </row>
    <row r="246" ht="15.75" customHeight="1">
      <c r="A246" s="9">
        <v>45172.7081175116</v>
      </c>
      <c r="B246" s="10">
        <v>16.0</v>
      </c>
      <c r="C246" s="10" t="s">
        <v>77</v>
      </c>
      <c r="D246" s="10" t="s">
        <v>837</v>
      </c>
      <c r="E246" s="12" t="s">
        <v>62</v>
      </c>
      <c r="F246" s="11">
        <v>12843.0</v>
      </c>
      <c r="G246" s="11">
        <v>8326.0</v>
      </c>
      <c r="H246" s="11">
        <v>8320.0</v>
      </c>
      <c r="I246" s="11">
        <v>1967.0</v>
      </c>
      <c r="J246" s="11">
        <v>291.0</v>
      </c>
      <c r="K246" s="11">
        <v>5.0</v>
      </c>
      <c r="L246" s="11">
        <v>13.0</v>
      </c>
      <c r="M246" s="13">
        <f t="shared" ref="M246:O246" si="248">IFERROR(G246/F246,"")</f>
        <v>0.6482908978</v>
      </c>
      <c r="N246" s="13">
        <f t="shared" si="248"/>
        <v>0.9992793658</v>
      </c>
      <c r="O246" s="14">
        <f t="shared" si="248"/>
        <v>0.2364182692</v>
      </c>
      <c r="P246" s="13">
        <f t="shared" si="3"/>
        <v>0.03497596154</v>
      </c>
      <c r="Q246" s="13">
        <f t="shared" si="4"/>
        <v>0.0006009615385</v>
      </c>
      <c r="R246" s="13">
        <f t="shared" si="5"/>
        <v>0.0015625</v>
      </c>
      <c r="S246" s="14">
        <f t="shared" si="6"/>
        <v>1.520514009</v>
      </c>
      <c r="T246" s="14">
        <f t="shared" si="7"/>
        <v>0.9996123115</v>
      </c>
      <c r="U246" s="14">
        <f t="shared" si="8"/>
        <v>0.5881083949</v>
      </c>
    </row>
    <row r="247" ht="15.75" customHeight="1">
      <c r="A247" s="9">
        <v>45173.7306321875</v>
      </c>
      <c r="B247" s="10">
        <v>17.0</v>
      </c>
      <c r="C247" s="10" t="s">
        <v>71</v>
      </c>
      <c r="D247" s="10" t="s">
        <v>840</v>
      </c>
      <c r="E247" s="12" t="s">
        <v>62</v>
      </c>
      <c r="F247" s="11">
        <v>362849.0</v>
      </c>
      <c r="G247" s="11">
        <v>88206.0</v>
      </c>
      <c r="H247" s="11">
        <v>88203.0</v>
      </c>
      <c r="I247" s="11">
        <v>8035.0</v>
      </c>
      <c r="J247" s="11">
        <v>362.0</v>
      </c>
      <c r="K247" s="11">
        <v>12.0</v>
      </c>
      <c r="L247" s="11">
        <v>35.0</v>
      </c>
      <c r="M247" s="13">
        <f t="shared" ref="M247:O247" si="249">IFERROR(G247/F247,"")</f>
        <v>0.2430928568</v>
      </c>
      <c r="N247" s="13">
        <f t="shared" si="249"/>
        <v>0.9999659887</v>
      </c>
      <c r="O247" s="14">
        <f t="shared" si="249"/>
        <v>0.09109667472</v>
      </c>
      <c r="P247" s="13">
        <f t="shared" si="3"/>
        <v>0.004104168792</v>
      </c>
      <c r="Q247" s="13">
        <f t="shared" si="4"/>
        <v>0.0001360497942</v>
      </c>
      <c r="R247" s="13">
        <f t="shared" si="5"/>
        <v>0.0003968118998</v>
      </c>
      <c r="S247" s="14">
        <f t="shared" si="6"/>
        <v>0.5743816635</v>
      </c>
      <c r="T247" s="14">
        <f t="shared" si="7"/>
        <v>1.000296643</v>
      </c>
      <c r="U247" s="14">
        <f t="shared" si="8"/>
        <v>0.1332916939</v>
      </c>
    </row>
    <row r="248" ht="15.75" customHeight="1">
      <c r="A248" s="9">
        <v>45174.7234845949</v>
      </c>
      <c r="B248" s="10">
        <v>17.0</v>
      </c>
      <c r="C248" s="10" t="s">
        <v>59</v>
      </c>
      <c r="D248" s="10" t="s">
        <v>843</v>
      </c>
      <c r="E248" s="12" t="s">
        <v>62</v>
      </c>
      <c r="F248" s="11">
        <v>10970.0</v>
      </c>
      <c r="G248" s="11">
        <v>6083.0</v>
      </c>
      <c r="H248" s="11">
        <v>6075.0</v>
      </c>
      <c r="I248" s="11">
        <v>1040.0</v>
      </c>
      <c r="J248" s="11">
        <v>315.0</v>
      </c>
      <c r="K248" s="11">
        <v>6.0</v>
      </c>
      <c r="L248" s="11">
        <v>10.0</v>
      </c>
      <c r="M248" s="13">
        <f t="shared" ref="M248:O248" si="250">IFERROR(G248/F248,"")</f>
        <v>0.5545123063</v>
      </c>
      <c r="N248" s="13">
        <f t="shared" si="250"/>
        <v>0.9986848594</v>
      </c>
      <c r="O248" s="14">
        <f t="shared" si="250"/>
        <v>0.1711934156</v>
      </c>
      <c r="P248" s="13">
        <f t="shared" si="3"/>
        <v>0.05185185185</v>
      </c>
      <c r="Q248" s="13">
        <f t="shared" si="4"/>
        <v>0.000987654321</v>
      </c>
      <c r="R248" s="13">
        <f t="shared" si="5"/>
        <v>0.001646090535</v>
      </c>
      <c r="S248" s="14">
        <f t="shared" si="6"/>
        <v>1.310205923</v>
      </c>
      <c r="T248" s="14">
        <f t="shared" si="7"/>
        <v>0.9990150905</v>
      </c>
      <c r="U248" s="14">
        <f t="shared" si="8"/>
        <v>0.9676318743</v>
      </c>
    </row>
    <row r="249" ht="15.75" customHeight="1">
      <c r="A249" s="9">
        <v>45175.7944357523</v>
      </c>
      <c r="B249" s="10">
        <v>19.0</v>
      </c>
      <c r="C249" s="10" t="s">
        <v>80</v>
      </c>
      <c r="D249" s="10" t="s">
        <v>846</v>
      </c>
      <c r="E249" s="12" t="s">
        <v>62</v>
      </c>
      <c r="F249" s="11">
        <v>101592.0</v>
      </c>
      <c r="G249" s="11">
        <v>28033.0</v>
      </c>
      <c r="H249" s="11">
        <v>28021.0</v>
      </c>
      <c r="I249" s="11">
        <v>3122.0</v>
      </c>
      <c r="J249" s="11">
        <v>197.0</v>
      </c>
      <c r="K249" s="11">
        <v>13.0</v>
      </c>
      <c r="L249" s="11">
        <v>10.0</v>
      </c>
      <c r="M249" s="13">
        <f t="shared" ref="M249:O249" si="251">IFERROR(G249/F249,"")</f>
        <v>0.2759370817</v>
      </c>
      <c r="N249" s="13">
        <f t="shared" si="251"/>
        <v>0.9995719331</v>
      </c>
      <c r="O249" s="14">
        <f t="shared" si="251"/>
        <v>0.1114164377</v>
      </c>
      <c r="P249" s="13">
        <f t="shared" si="3"/>
        <v>0.007030441455</v>
      </c>
      <c r="Q249" s="13">
        <f t="shared" si="4"/>
        <v>0.000463937761</v>
      </c>
      <c r="R249" s="13">
        <f t="shared" si="5"/>
        <v>0.0003568752007</v>
      </c>
      <c r="S249" s="14">
        <f t="shared" si="6"/>
        <v>0.6471881676</v>
      </c>
      <c r="T249" s="14">
        <f t="shared" si="7"/>
        <v>0.9998984946</v>
      </c>
      <c r="U249" s="14">
        <f t="shared" si="8"/>
        <v>0.4586284941</v>
      </c>
    </row>
    <row r="250" ht="15.75" customHeight="1">
      <c r="A250" s="9">
        <v>45176.7227423495</v>
      </c>
      <c r="B250" s="10">
        <v>17.0</v>
      </c>
      <c r="C250" s="10" t="s">
        <v>84</v>
      </c>
      <c r="D250" s="10" t="s">
        <v>850</v>
      </c>
      <c r="E250" s="12" t="s">
        <v>62</v>
      </c>
      <c r="F250" s="11">
        <v>11052.0</v>
      </c>
      <c r="G250" s="11">
        <v>6059.0</v>
      </c>
      <c r="H250" s="11">
        <v>6055.0</v>
      </c>
      <c r="I250" s="11">
        <v>1400.0</v>
      </c>
      <c r="J250" s="11">
        <v>275.0</v>
      </c>
      <c r="K250" s="11">
        <v>3.0</v>
      </c>
      <c r="L250" s="11">
        <v>9.0</v>
      </c>
      <c r="M250" s="13">
        <f t="shared" ref="M250:O250" si="252">IFERROR(G250/F250,"")</f>
        <v>0.5482265653</v>
      </c>
      <c r="N250" s="13">
        <f t="shared" si="252"/>
        <v>0.9993398251</v>
      </c>
      <c r="O250" s="14">
        <f t="shared" si="252"/>
        <v>0.2312138728</v>
      </c>
      <c r="P250" s="13">
        <f t="shared" si="3"/>
        <v>0.04541701073</v>
      </c>
      <c r="Q250" s="13">
        <f t="shared" si="4"/>
        <v>0.0004954582989</v>
      </c>
      <c r="R250" s="13">
        <f t="shared" si="5"/>
        <v>0.001486374897</v>
      </c>
      <c r="S250" s="14">
        <f t="shared" si="6"/>
        <v>1.276427731</v>
      </c>
      <c r="T250" s="14">
        <f t="shared" si="7"/>
        <v>0.9996702727</v>
      </c>
      <c r="U250" s="14">
        <f t="shared" si="8"/>
        <v>0.494242174</v>
      </c>
    </row>
    <row r="251" ht="15.75" customHeight="1">
      <c r="A251" s="9">
        <v>45177.7212430671</v>
      </c>
      <c r="B251" s="10">
        <v>17.0</v>
      </c>
      <c r="C251" s="10" t="s">
        <v>60</v>
      </c>
      <c r="D251" s="10" t="s">
        <v>853</v>
      </c>
      <c r="E251" s="12" t="s">
        <v>62</v>
      </c>
      <c r="F251" s="11">
        <v>37047.0</v>
      </c>
      <c r="G251" s="11">
        <v>11004.0</v>
      </c>
      <c r="H251" s="11">
        <v>10991.0</v>
      </c>
      <c r="I251" s="11">
        <v>1758.0</v>
      </c>
      <c r="J251" s="11">
        <v>150.0</v>
      </c>
      <c r="K251" s="11">
        <v>5.0</v>
      </c>
      <c r="L251" s="11">
        <v>3.0</v>
      </c>
      <c r="M251" s="13">
        <f t="shared" ref="M251:O251" si="253">IFERROR(G251/F251,"")</f>
        <v>0.2970280994</v>
      </c>
      <c r="N251" s="13">
        <f t="shared" si="253"/>
        <v>0.9988186114</v>
      </c>
      <c r="O251" s="14">
        <f t="shared" si="253"/>
        <v>0.1599490492</v>
      </c>
      <c r="P251" s="13">
        <f t="shared" si="3"/>
        <v>0.0136475298</v>
      </c>
      <c r="Q251" s="13">
        <f t="shared" si="4"/>
        <v>0.0004549176599</v>
      </c>
      <c r="R251" s="13">
        <f t="shared" si="5"/>
        <v>0.0002729505959</v>
      </c>
      <c r="S251" s="14">
        <f t="shared" si="6"/>
        <v>0.7018202678</v>
      </c>
      <c r="T251" s="14">
        <f t="shared" si="7"/>
        <v>0.9991409669</v>
      </c>
      <c r="U251" s="14">
        <f t="shared" si="8"/>
        <v>0.456034276</v>
      </c>
    </row>
    <row r="252" ht="15.75" customHeight="1">
      <c r="A252" s="9">
        <v>45178.7288823495</v>
      </c>
      <c r="B252" s="10">
        <v>17.0</v>
      </c>
      <c r="C252" s="10" t="s">
        <v>69</v>
      </c>
      <c r="D252" s="10" t="s">
        <v>856</v>
      </c>
      <c r="E252" s="12" t="s">
        <v>62</v>
      </c>
      <c r="F252" s="11">
        <v>13586.0</v>
      </c>
      <c r="G252" s="11">
        <v>6462.0</v>
      </c>
      <c r="H252" s="11">
        <v>6455.0</v>
      </c>
      <c r="I252" s="11">
        <v>1103.0</v>
      </c>
      <c r="J252" s="11">
        <v>282.0</v>
      </c>
      <c r="K252" s="11">
        <v>2.0</v>
      </c>
      <c r="L252" s="11">
        <v>12.0</v>
      </c>
      <c r="M252" s="13">
        <f t="shared" ref="M252:O252" si="254">IFERROR(G252/F252,"")</f>
        <v>0.4756366848</v>
      </c>
      <c r="N252" s="13">
        <f t="shared" si="254"/>
        <v>0.998916744</v>
      </c>
      <c r="O252" s="14">
        <f t="shared" si="254"/>
        <v>0.1708752905</v>
      </c>
      <c r="P252" s="13">
        <f t="shared" si="3"/>
        <v>0.04368706429</v>
      </c>
      <c r="Q252" s="13">
        <f t="shared" si="4"/>
        <v>0.0003098373354</v>
      </c>
      <c r="R252" s="13">
        <f t="shared" si="5"/>
        <v>0.001859024012</v>
      </c>
      <c r="S252" s="14">
        <f t="shared" si="6"/>
        <v>1.123838001</v>
      </c>
      <c r="T252" s="14">
        <f t="shared" si="7"/>
        <v>0.9992391312</v>
      </c>
      <c r="U252" s="14">
        <f t="shared" si="8"/>
        <v>0.3137103021</v>
      </c>
    </row>
    <row r="253" ht="15.75" customHeight="1">
      <c r="A253" s="9">
        <v>45179.7960193519</v>
      </c>
      <c r="B253" s="10">
        <v>19.0</v>
      </c>
      <c r="C253" s="10" t="s">
        <v>77</v>
      </c>
      <c r="D253" s="10"/>
      <c r="E253" s="12" t="s">
        <v>62</v>
      </c>
      <c r="F253" s="11">
        <v>3421.0</v>
      </c>
      <c r="G253" s="11">
        <v>1256.0</v>
      </c>
      <c r="H253" s="11">
        <v>1247.0</v>
      </c>
      <c r="I253" s="11">
        <v>289.0</v>
      </c>
      <c r="J253" s="11">
        <v>80.0</v>
      </c>
      <c r="K253" s="11">
        <v>2.0</v>
      </c>
      <c r="L253" s="11">
        <v>2.0</v>
      </c>
      <c r="M253" s="13">
        <f t="shared" ref="M253:O253" si="255">IFERROR(G253/F253,"")</f>
        <v>0.3671441099</v>
      </c>
      <c r="N253" s="13">
        <f t="shared" si="255"/>
        <v>0.9928343949</v>
      </c>
      <c r="O253" s="14">
        <f t="shared" si="255"/>
        <v>0.2317562149</v>
      </c>
      <c r="P253" s="13">
        <f t="shared" si="3"/>
        <v>0.06415396953</v>
      </c>
      <c r="Q253" s="13">
        <f t="shared" si="4"/>
        <v>0.001603849238</v>
      </c>
      <c r="R253" s="13">
        <f t="shared" si="5"/>
        <v>0.001603849238</v>
      </c>
      <c r="S253" s="14">
        <f t="shared" si="6"/>
        <v>0.8682032049</v>
      </c>
      <c r="T253" s="14">
        <f t="shared" si="7"/>
        <v>0.9931587553</v>
      </c>
      <c r="U253" s="14">
        <f t="shared" si="8"/>
        <v>1.615801495</v>
      </c>
    </row>
    <row r="254" ht="15.75" customHeight="1">
      <c r="A254" s="9">
        <v>45180.7412236921</v>
      </c>
      <c r="B254" s="10">
        <v>17.0</v>
      </c>
      <c r="C254" s="10" t="s">
        <v>71</v>
      </c>
      <c r="D254" s="10" t="s">
        <v>861</v>
      </c>
      <c r="E254" s="12" t="s">
        <v>62</v>
      </c>
      <c r="F254" s="11">
        <v>7608.0</v>
      </c>
      <c r="G254" s="11">
        <v>3962.0</v>
      </c>
      <c r="H254" s="11">
        <v>3961.0</v>
      </c>
      <c r="I254" s="11">
        <v>1192.0</v>
      </c>
      <c r="J254" s="11">
        <v>286.0</v>
      </c>
      <c r="K254" s="11">
        <v>16.0</v>
      </c>
      <c r="L254" s="11">
        <v>6.0</v>
      </c>
      <c r="M254" s="13">
        <f t="shared" ref="M254:O254" si="256">IFERROR(G254/F254,"")</f>
        <v>0.520767613</v>
      </c>
      <c r="N254" s="13">
        <f t="shared" si="256"/>
        <v>0.9997476022</v>
      </c>
      <c r="O254" s="14">
        <f t="shared" si="256"/>
        <v>0.3009341075</v>
      </c>
      <c r="P254" s="13">
        <f t="shared" si="3"/>
        <v>0.07220398889</v>
      </c>
      <c r="Q254" s="13">
        <f t="shared" si="4"/>
        <v>0.004039383994</v>
      </c>
      <c r="R254" s="13">
        <f t="shared" si="5"/>
        <v>0.001514768998</v>
      </c>
      <c r="S254" s="14">
        <f t="shared" si="6"/>
        <v>1.238284755</v>
      </c>
      <c r="T254" s="14">
        <f t="shared" si="7"/>
        <v>1.00006832</v>
      </c>
      <c r="U254" s="14">
        <f t="shared" si="8"/>
        <v>4.104633925</v>
      </c>
    </row>
    <row r="255" ht="15.75" customHeight="1">
      <c r="A255" s="9">
        <v>45181.6782209144</v>
      </c>
      <c r="B255" s="10">
        <v>16.0</v>
      </c>
      <c r="C255" s="10" t="s">
        <v>59</v>
      </c>
      <c r="D255" s="10" t="s">
        <v>864</v>
      </c>
      <c r="E255" s="12" t="s">
        <v>62</v>
      </c>
      <c r="F255" s="11">
        <v>7883.0</v>
      </c>
      <c r="G255" s="11">
        <v>3801.0</v>
      </c>
      <c r="H255" s="11">
        <v>3799.0</v>
      </c>
      <c r="I255" s="11">
        <v>807.0</v>
      </c>
      <c r="J255" s="11">
        <v>203.0</v>
      </c>
      <c r="K255" s="11">
        <v>3.0</v>
      </c>
      <c r="L255" s="11">
        <v>3.0</v>
      </c>
      <c r="M255" s="13">
        <f t="shared" ref="M255:O255" si="257">IFERROR(G255/F255,"")</f>
        <v>0.4821768362</v>
      </c>
      <c r="N255" s="13">
        <f t="shared" si="257"/>
        <v>0.9994738227</v>
      </c>
      <c r="O255" s="14">
        <f t="shared" si="257"/>
        <v>0.2124243222</v>
      </c>
      <c r="P255" s="13">
        <f t="shared" si="3"/>
        <v>0.0534351145</v>
      </c>
      <c r="Q255" s="13">
        <f t="shared" si="4"/>
        <v>0.0007896814951</v>
      </c>
      <c r="R255" s="13">
        <f t="shared" si="5"/>
        <v>0.0007896814951</v>
      </c>
      <c r="S255" s="14">
        <f t="shared" si="6"/>
        <v>1.151933689</v>
      </c>
      <c r="T255" s="14">
        <f t="shared" si="7"/>
        <v>0.9997925155</v>
      </c>
      <c r="U255" s="14">
        <f t="shared" si="8"/>
        <v>0.8053435115</v>
      </c>
    </row>
    <row r="256" ht="15.75" customHeight="1">
      <c r="A256" s="9">
        <v>45182.7302842708</v>
      </c>
      <c r="B256" s="10">
        <v>17.0</v>
      </c>
      <c r="C256" s="10" t="s">
        <v>80</v>
      </c>
      <c r="D256" s="10" t="s">
        <v>868</v>
      </c>
      <c r="E256" s="12" t="s">
        <v>62</v>
      </c>
      <c r="F256" s="11">
        <v>7211.0</v>
      </c>
      <c r="G256" s="11">
        <v>3578.0</v>
      </c>
      <c r="H256" s="11">
        <v>3572.0</v>
      </c>
      <c r="I256" s="11">
        <v>574.0</v>
      </c>
      <c r="J256" s="11">
        <v>204.0</v>
      </c>
      <c r="K256" s="11">
        <v>2.0</v>
      </c>
      <c r="L256" s="11">
        <v>0.0</v>
      </c>
      <c r="M256" s="13">
        <f t="shared" ref="M256:O256" si="258">IFERROR(G256/F256,"")</f>
        <v>0.4961863819</v>
      </c>
      <c r="N256" s="13">
        <f t="shared" si="258"/>
        <v>0.9983230855</v>
      </c>
      <c r="O256" s="14">
        <f t="shared" si="258"/>
        <v>0.1606942889</v>
      </c>
      <c r="P256" s="13">
        <f t="shared" si="3"/>
        <v>0.05711086226</v>
      </c>
      <c r="Q256" s="13">
        <f t="shared" si="4"/>
        <v>0.0005599104143</v>
      </c>
      <c r="R256" s="13">
        <f t="shared" si="5"/>
        <v>0</v>
      </c>
      <c r="S256" s="14">
        <f t="shared" si="6"/>
        <v>1.185402877</v>
      </c>
      <c r="T256" s="14">
        <f t="shared" si="7"/>
        <v>0.9986286634</v>
      </c>
      <c r="U256" s="14">
        <f t="shared" si="8"/>
        <v>0.5774776036</v>
      </c>
    </row>
    <row r="257" ht="15.75" customHeight="1">
      <c r="A257" s="9">
        <v>45183.7719458102</v>
      </c>
      <c r="B257" s="10">
        <v>18.0</v>
      </c>
      <c r="C257" s="10" t="s">
        <v>84</v>
      </c>
      <c r="D257" s="10" t="s">
        <v>871</v>
      </c>
      <c r="E257" s="12" t="s">
        <v>62</v>
      </c>
      <c r="F257" s="11">
        <v>7826.0</v>
      </c>
      <c r="G257" s="11">
        <v>3408.0</v>
      </c>
      <c r="H257" s="11">
        <v>3417.0</v>
      </c>
      <c r="I257" s="11">
        <v>579.0</v>
      </c>
      <c r="J257" s="11">
        <v>240.0</v>
      </c>
      <c r="K257" s="11">
        <v>4.0</v>
      </c>
      <c r="L257" s="11">
        <v>7.0</v>
      </c>
      <c r="M257" s="13">
        <f t="shared" ref="M257:O257" si="259">IFERROR(G257/F257,"")</f>
        <v>0.4354715052</v>
      </c>
      <c r="N257" s="13">
        <f t="shared" si="259"/>
        <v>1.002640845</v>
      </c>
      <c r="O257" s="14">
        <f t="shared" si="259"/>
        <v>0.1694468832</v>
      </c>
      <c r="P257" s="13">
        <f t="shared" si="3"/>
        <v>0.07023705004</v>
      </c>
      <c r="Q257" s="13">
        <f t="shared" si="4"/>
        <v>0.001170617501</v>
      </c>
      <c r="R257" s="13">
        <f t="shared" si="5"/>
        <v>0.002048580626</v>
      </c>
      <c r="S257" s="14">
        <f t="shared" si="6"/>
        <v>1.041513861</v>
      </c>
      <c r="T257" s="14">
        <f t="shared" si="7"/>
        <v>1.002956089</v>
      </c>
      <c r="U257" s="14">
        <f t="shared" si="8"/>
        <v>1.233519135</v>
      </c>
    </row>
    <row r="258" ht="15.75" customHeight="1">
      <c r="A258" s="9">
        <v>45184.7948365972</v>
      </c>
      <c r="B258" s="10">
        <v>19.0</v>
      </c>
      <c r="C258" s="10" t="s">
        <v>60</v>
      </c>
      <c r="D258" s="10" t="s">
        <v>874</v>
      </c>
      <c r="E258" s="12" t="s">
        <v>62</v>
      </c>
      <c r="F258" s="11">
        <v>5708.0</v>
      </c>
      <c r="G258" s="11">
        <v>2856.0</v>
      </c>
      <c r="H258" s="11">
        <v>2846.0</v>
      </c>
      <c r="I258" s="11">
        <v>586.0</v>
      </c>
      <c r="J258" s="11">
        <v>214.0</v>
      </c>
      <c r="K258" s="11">
        <v>3.0</v>
      </c>
      <c r="L258" s="11">
        <v>3.0</v>
      </c>
      <c r="M258" s="13">
        <f t="shared" ref="M258:O258" si="260">IFERROR(G258/F258,"")</f>
        <v>0.5003503854</v>
      </c>
      <c r="N258" s="13">
        <f t="shared" si="260"/>
        <v>0.9964985994</v>
      </c>
      <c r="O258" s="14">
        <f t="shared" si="260"/>
        <v>0.2059030218</v>
      </c>
      <c r="P258" s="13">
        <f t="shared" si="3"/>
        <v>0.07519325369</v>
      </c>
      <c r="Q258" s="13">
        <f t="shared" si="4"/>
        <v>0.001054111033</v>
      </c>
      <c r="R258" s="13">
        <f t="shared" si="5"/>
        <v>0.001054111033</v>
      </c>
      <c r="S258" s="14">
        <f t="shared" si="6"/>
        <v>1.19965553</v>
      </c>
      <c r="T258" s="14">
        <f t="shared" si="7"/>
        <v>0.9967982807</v>
      </c>
      <c r="U258" s="14">
        <f t="shared" si="8"/>
        <v>1.110752342</v>
      </c>
    </row>
    <row r="259" ht="15.75" customHeight="1">
      <c r="A259" s="9">
        <v>45185.8092274421</v>
      </c>
      <c r="B259" s="10">
        <v>19.0</v>
      </c>
      <c r="C259" s="10" t="s">
        <v>69</v>
      </c>
      <c r="D259" s="10" t="s">
        <v>877</v>
      </c>
      <c r="E259" s="12" t="s">
        <v>62</v>
      </c>
      <c r="F259" s="11">
        <v>216237.0</v>
      </c>
      <c r="G259" s="11">
        <v>41855.0</v>
      </c>
      <c r="H259" s="11">
        <v>41855.0</v>
      </c>
      <c r="I259" s="11">
        <v>4005.0</v>
      </c>
      <c r="J259" s="11">
        <v>372.0</v>
      </c>
      <c r="K259" s="11">
        <v>16.0</v>
      </c>
      <c r="L259" s="11">
        <v>27.0</v>
      </c>
      <c r="M259" s="13">
        <f t="shared" ref="M259:O259" si="261">IFERROR(G259/F259,"")</f>
        <v>0.193560769</v>
      </c>
      <c r="N259" s="13">
        <f t="shared" si="261"/>
        <v>1</v>
      </c>
      <c r="O259" s="14">
        <f t="shared" si="261"/>
        <v>0.09568749253</v>
      </c>
      <c r="P259" s="13">
        <f t="shared" si="3"/>
        <v>0.008887827022</v>
      </c>
      <c r="Q259" s="13">
        <f t="shared" si="4"/>
        <v>0.00038227213</v>
      </c>
      <c r="R259" s="13">
        <f t="shared" si="5"/>
        <v>0.0006450842193</v>
      </c>
      <c r="S259" s="14">
        <f t="shared" si="6"/>
        <v>0.4647214986</v>
      </c>
      <c r="T259" s="14">
        <f t="shared" si="7"/>
        <v>1.000306091</v>
      </c>
      <c r="U259" s="14">
        <f t="shared" si="8"/>
        <v>0.41173894</v>
      </c>
    </row>
    <row r="260" ht="15.75" customHeight="1">
      <c r="A260" s="9">
        <v>45186.7768975231</v>
      </c>
      <c r="B260" s="10">
        <v>18.0</v>
      </c>
      <c r="C260" s="10" t="s">
        <v>77</v>
      </c>
      <c r="D260" s="10" t="s">
        <v>880</v>
      </c>
      <c r="E260" s="12" t="s">
        <v>62</v>
      </c>
      <c r="F260" s="11">
        <v>23263.0</v>
      </c>
      <c r="G260" s="11">
        <v>10783.0</v>
      </c>
      <c r="H260" s="11">
        <v>10777.0</v>
      </c>
      <c r="I260" s="11">
        <v>2599.0</v>
      </c>
      <c r="J260" s="11">
        <v>283.0</v>
      </c>
      <c r="K260" s="11">
        <v>11.0</v>
      </c>
      <c r="L260" s="11">
        <v>19.0</v>
      </c>
      <c r="M260" s="13">
        <f t="shared" ref="M260:O260" si="262">IFERROR(G260/F260,"")</f>
        <v>0.4635257705</v>
      </c>
      <c r="N260" s="13">
        <f t="shared" si="262"/>
        <v>0.9994435686</v>
      </c>
      <c r="O260" s="14">
        <f t="shared" si="262"/>
        <v>0.2411617333</v>
      </c>
      <c r="P260" s="13">
        <f t="shared" si="3"/>
        <v>0.02625962698</v>
      </c>
      <c r="Q260" s="13">
        <f t="shared" si="4"/>
        <v>0.001020692215</v>
      </c>
      <c r="R260" s="13">
        <f t="shared" si="5"/>
        <v>0.001763013826</v>
      </c>
      <c r="S260" s="14">
        <f t="shared" si="6"/>
        <v>1.113336902</v>
      </c>
      <c r="T260" s="14">
        <f t="shared" si="7"/>
        <v>0.9997494895</v>
      </c>
      <c r="U260" s="14">
        <f t="shared" si="8"/>
        <v>1.052716433</v>
      </c>
    </row>
    <row r="261" ht="15.75" customHeight="1">
      <c r="A261" s="9">
        <v>45187.7903591782</v>
      </c>
      <c r="B261" s="10">
        <v>18.0</v>
      </c>
      <c r="C261" s="10" t="s">
        <v>71</v>
      </c>
      <c r="D261" s="10" t="s">
        <v>883</v>
      </c>
      <c r="E261" s="12" t="s">
        <v>62</v>
      </c>
      <c r="F261" s="11">
        <v>25721.0</v>
      </c>
      <c r="G261" s="11">
        <v>15126.0</v>
      </c>
      <c r="H261" s="11">
        <v>15121.0</v>
      </c>
      <c r="I261" s="11">
        <v>1917.0</v>
      </c>
      <c r="J261" s="11">
        <v>348.0</v>
      </c>
      <c r="K261" s="11">
        <v>21.0</v>
      </c>
      <c r="L261" s="11">
        <v>4.0</v>
      </c>
      <c r="M261" s="13">
        <f t="shared" ref="M261:O261" si="263">IFERROR(G261/F261,"")</f>
        <v>0.5880797792</v>
      </c>
      <c r="N261" s="13">
        <f t="shared" si="263"/>
        <v>0.9996694433</v>
      </c>
      <c r="O261" s="14">
        <f t="shared" si="263"/>
        <v>0.1267773295</v>
      </c>
      <c r="P261" s="13">
        <f t="shared" si="3"/>
        <v>0.0230143509</v>
      </c>
      <c r="Q261" s="13">
        <f t="shared" si="4"/>
        <v>0.001388797037</v>
      </c>
      <c r="R261" s="13">
        <f t="shared" si="5"/>
        <v>0.000264532769</v>
      </c>
      <c r="S261" s="14">
        <f t="shared" si="6"/>
        <v>1.415747617</v>
      </c>
      <c r="T261" s="14">
        <f t="shared" si="7"/>
        <v>0.9999754334</v>
      </c>
      <c r="U261" s="14">
        <f t="shared" si="8"/>
        <v>1.432370544</v>
      </c>
    </row>
    <row r="262" ht="15.75" customHeight="1">
      <c r="A262" s="9">
        <v>45188.7803537153</v>
      </c>
      <c r="B262" s="10">
        <v>18.0</v>
      </c>
      <c r="C262" s="10" t="s">
        <v>59</v>
      </c>
      <c r="D262" s="10" t="s">
        <v>886</v>
      </c>
      <c r="E262" s="12" t="s">
        <v>62</v>
      </c>
      <c r="F262" s="11">
        <v>5184.0</v>
      </c>
      <c r="G262" s="11">
        <v>2194.0</v>
      </c>
      <c r="H262" s="11">
        <v>2184.0</v>
      </c>
      <c r="I262" s="11">
        <v>427.0</v>
      </c>
      <c r="J262" s="11">
        <v>195.0</v>
      </c>
      <c r="K262" s="11">
        <v>7.0</v>
      </c>
      <c r="L262" s="11">
        <v>3.0</v>
      </c>
      <c r="M262" s="13">
        <f t="shared" ref="M262:O262" si="264">IFERROR(G262/F262,"")</f>
        <v>0.4232253086</v>
      </c>
      <c r="N262" s="13">
        <f t="shared" si="264"/>
        <v>0.9954421149</v>
      </c>
      <c r="O262" s="14">
        <f t="shared" si="264"/>
        <v>0.1955128205</v>
      </c>
      <c r="P262" s="13">
        <f t="shared" si="3"/>
        <v>0.08928571429</v>
      </c>
      <c r="Q262" s="13">
        <f t="shared" si="4"/>
        <v>0.003205128205</v>
      </c>
      <c r="R262" s="13">
        <f t="shared" si="5"/>
        <v>0.001373626374</v>
      </c>
      <c r="S262" s="14">
        <f t="shared" si="6"/>
        <v>1.031748361</v>
      </c>
      <c r="T262" s="14">
        <f t="shared" si="7"/>
        <v>0.9957361459</v>
      </c>
      <c r="U262" s="14">
        <f t="shared" si="8"/>
        <v>3.452190171</v>
      </c>
    </row>
    <row r="263" ht="15.75" customHeight="1">
      <c r="A263" s="9">
        <v>45189.6665881944</v>
      </c>
      <c r="B263" s="10">
        <v>15.0</v>
      </c>
      <c r="C263" s="10" t="s">
        <v>80</v>
      </c>
      <c r="D263" s="10" t="s">
        <v>890</v>
      </c>
      <c r="E263" s="12" t="s">
        <v>62</v>
      </c>
      <c r="F263" s="11">
        <v>6717.0</v>
      </c>
      <c r="G263" s="11">
        <v>2704.0</v>
      </c>
      <c r="H263" s="11">
        <v>2701.0</v>
      </c>
      <c r="I263" s="11">
        <v>578.0</v>
      </c>
      <c r="J263" s="11">
        <v>163.0</v>
      </c>
      <c r="K263" s="11">
        <v>2.0</v>
      </c>
      <c r="L263" s="11">
        <v>0.0</v>
      </c>
      <c r="M263" s="13">
        <f t="shared" ref="M263:O263" si="265">IFERROR(G263/F263,"")</f>
        <v>0.402560667</v>
      </c>
      <c r="N263" s="13">
        <f t="shared" si="265"/>
        <v>0.9988905325</v>
      </c>
      <c r="O263" s="14">
        <f t="shared" si="265"/>
        <v>0.2139948167</v>
      </c>
      <c r="P263" s="13">
        <f t="shared" si="3"/>
        <v>0.06034801925</v>
      </c>
      <c r="Q263" s="13">
        <f t="shared" si="4"/>
        <v>0.0007404664939</v>
      </c>
      <c r="R263" s="13">
        <f t="shared" si="5"/>
        <v>0</v>
      </c>
      <c r="S263" s="14">
        <f t="shared" si="6"/>
        <v>0.9813716233</v>
      </c>
      <c r="T263" s="14">
        <f t="shared" si="7"/>
        <v>0.9991855822</v>
      </c>
      <c r="U263" s="14">
        <f t="shared" si="8"/>
        <v>0.7975441195</v>
      </c>
    </row>
    <row r="264" ht="15.75" customHeight="1">
      <c r="A264" s="9">
        <v>45190.6665869329</v>
      </c>
      <c r="B264" s="10">
        <v>15.0</v>
      </c>
      <c r="C264" s="10" t="s">
        <v>84</v>
      </c>
      <c r="D264" s="10" t="s">
        <v>894</v>
      </c>
      <c r="E264" s="12" t="s">
        <v>62</v>
      </c>
      <c r="F264" s="11">
        <v>8821.0</v>
      </c>
      <c r="G264" s="11">
        <v>2787.0</v>
      </c>
      <c r="H264" s="11">
        <v>2807.0</v>
      </c>
      <c r="I264" s="11">
        <v>1003.0</v>
      </c>
      <c r="J264" s="11">
        <v>196.0</v>
      </c>
      <c r="K264" s="11">
        <v>6.0</v>
      </c>
      <c r="L264" s="11">
        <v>7.0</v>
      </c>
      <c r="M264" s="13">
        <f t="shared" ref="M264:O264" si="266">IFERROR(G264/F264,"")</f>
        <v>0.3159505725</v>
      </c>
      <c r="N264" s="13">
        <f t="shared" si="266"/>
        <v>1.007176175</v>
      </c>
      <c r="O264" s="14">
        <f t="shared" si="266"/>
        <v>0.3573209833</v>
      </c>
      <c r="P264" s="13">
        <f t="shared" si="3"/>
        <v>0.06982543641</v>
      </c>
      <c r="Q264" s="13">
        <f t="shared" si="4"/>
        <v>0.002137513359</v>
      </c>
      <c r="R264" s="13">
        <f t="shared" si="5"/>
        <v>0.002493765586</v>
      </c>
      <c r="S264" s="14">
        <f t="shared" si="6"/>
        <v>0.7702315493</v>
      </c>
      <c r="T264" s="14">
        <f t="shared" si="7"/>
        <v>1.007484463</v>
      </c>
      <c r="U264" s="14">
        <f t="shared" si="8"/>
        <v>2.31118632</v>
      </c>
    </row>
    <row r="265" ht="15.75" customHeight="1">
      <c r="A265" s="9">
        <v>45191.6667152083</v>
      </c>
      <c r="B265" s="10">
        <v>16.0</v>
      </c>
      <c r="C265" s="10" t="s">
        <v>60</v>
      </c>
      <c r="D265" s="10" t="s">
        <v>898</v>
      </c>
      <c r="E265" s="12" t="s">
        <v>62</v>
      </c>
      <c r="F265" s="11">
        <v>39549.0</v>
      </c>
      <c r="G265" s="11">
        <v>11387.0</v>
      </c>
      <c r="H265" s="11">
        <v>11389.0</v>
      </c>
      <c r="I265" s="11">
        <v>1715.0</v>
      </c>
      <c r="J265" s="11">
        <v>248.0</v>
      </c>
      <c r="K265" s="11">
        <v>6.0</v>
      </c>
      <c r="L265" s="11">
        <v>4.0</v>
      </c>
      <c r="M265" s="13">
        <f t="shared" ref="M265:O265" si="267">IFERROR(G265/F265,"")</f>
        <v>0.2879213128</v>
      </c>
      <c r="N265" s="13">
        <f t="shared" si="267"/>
        <v>1.000175639</v>
      </c>
      <c r="O265" s="14">
        <f t="shared" si="267"/>
        <v>0.1505838967</v>
      </c>
      <c r="P265" s="13">
        <f t="shared" si="3"/>
        <v>0.02177539731</v>
      </c>
      <c r="Q265" s="13">
        <f t="shared" si="4"/>
        <v>0.0005268241285</v>
      </c>
      <c r="R265" s="13">
        <f t="shared" si="5"/>
        <v>0.0003512160857</v>
      </c>
      <c r="S265" s="14">
        <f t="shared" si="6"/>
        <v>0.6974950528</v>
      </c>
      <c r="T265" s="14">
        <f t="shared" si="7"/>
        <v>1.000475839</v>
      </c>
      <c r="U265" s="14">
        <f t="shared" si="8"/>
        <v>0.570133015</v>
      </c>
    </row>
    <row r="266" ht="15.75" customHeight="1">
      <c r="A266" s="9">
        <v>45192.6816666204</v>
      </c>
      <c r="B266" s="10">
        <v>16.0</v>
      </c>
      <c r="C266" s="10" t="s">
        <v>69</v>
      </c>
      <c r="D266" s="10" t="s">
        <v>902</v>
      </c>
      <c r="E266" s="12" t="s">
        <v>62</v>
      </c>
      <c r="F266" s="11">
        <v>12511.0</v>
      </c>
      <c r="G266" s="11">
        <v>6489.0</v>
      </c>
      <c r="H266" s="11">
        <v>6499.0</v>
      </c>
      <c r="I266" s="11">
        <v>1412.0</v>
      </c>
      <c r="J266" s="11">
        <v>334.0</v>
      </c>
      <c r="K266" s="11">
        <v>6.0</v>
      </c>
      <c r="L266" s="11">
        <v>20.0</v>
      </c>
      <c r="M266" s="13">
        <f t="shared" ref="M266:O266" si="268">IFERROR(G266/F266,"")</f>
        <v>0.5186635761</v>
      </c>
      <c r="N266" s="13">
        <f t="shared" si="268"/>
        <v>1.00154107</v>
      </c>
      <c r="O266" s="14">
        <f t="shared" si="268"/>
        <v>0.2172641945</v>
      </c>
      <c r="P266" s="13">
        <f t="shared" si="3"/>
        <v>0.05139252193</v>
      </c>
      <c r="Q266" s="13">
        <f t="shared" si="4"/>
        <v>0.0009232189568</v>
      </c>
      <c r="R266" s="13">
        <f t="shared" si="5"/>
        <v>0.003077396523</v>
      </c>
      <c r="S266" s="14">
        <f t="shared" si="6"/>
        <v>1.266091918</v>
      </c>
      <c r="T266" s="14">
        <f t="shared" si="7"/>
        <v>1.00184168</v>
      </c>
      <c r="U266" s="14">
        <f t="shared" si="8"/>
        <v>0.999114465</v>
      </c>
    </row>
    <row r="267" ht="15.75" customHeight="1">
      <c r="A267" s="9">
        <v>45193.874754375</v>
      </c>
      <c r="B267" s="10">
        <v>20.0</v>
      </c>
      <c r="C267" s="10" t="s">
        <v>77</v>
      </c>
      <c r="D267" s="10" t="s">
        <v>906</v>
      </c>
      <c r="E267" s="12" t="s">
        <v>62</v>
      </c>
      <c r="F267" s="11">
        <v>37503.0</v>
      </c>
      <c r="G267" s="11">
        <v>10834.0</v>
      </c>
      <c r="H267" s="11">
        <v>10830.0</v>
      </c>
      <c r="I267" s="11">
        <v>1237.0</v>
      </c>
      <c r="J267" s="11">
        <v>324.0</v>
      </c>
      <c r="K267" s="11">
        <v>13.0</v>
      </c>
      <c r="L267" s="11">
        <v>6.0</v>
      </c>
      <c r="M267" s="13">
        <f t="shared" ref="M267:O267" si="269">IFERROR(G267/F267,"")</f>
        <v>0.288883556</v>
      </c>
      <c r="N267" s="13">
        <f t="shared" si="269"/>
        <v>0.999630792</v>
      </c>
      <c r="O267" s="14">
        <f t="shared" si="269"/>
        <v>0.1142197599</v>
      </c>
      <c r="P267" s="13">
        <f t="shared" si="3"/>
        <v>0.02991689751</v>
      </c>
      <c r="Q267" s="13">
        <f t="shared" si="4"/>
        <v>0.001200369344</v>
      </c>
      <c r="R267" s="13">
        <f t="shared" si="5"/>
        <v>0.0005540166205</v>
      </c>
      <c r="S267" s="14">
        <f t="shared" si="6"/>
        <v>0.6998261058</v>
      </c>
      <c r="T267" s="14">
        <f t="shared" si="7"/>
        <v>0.9999450898</v>
      </c>
      <c r="U267" s="14">
        <f t="shared" si="8"/>
        <v>1.299048689</v>
      </c>
    </row>
    <row r="268" ht="15.75" customHeight="1">
      <c r="A268" s="9">
        <v>45194.8412349653</v>
      </c>
      <c r="B268" s="10">
        <v>20.0</v>
      </c>
      <c r="C268" s="10" t="s">
        <v>71</v>
      </c>
      <c r="D268" s="10" t="s">
        <v>909</v>
      </c>
      <c r="E268" s="12" t="s">
        <v>62</v>
      </c>
      <c r="F268" s="11">
        <v>4698.0</v>
      </c>
      <c r="G268" s="11">
        <v>1572.0</v>
      </c>
      <c r="H268" s="11">
        <v>1568.0</v>
      </c>
      <c r="I268" s="11">
        <v>345.0</v>
      </c>
      <c r="J268" s="11">
        <v>148.0</v>
      </c>
      <c r="K268" s="11">
        <v>7.0</v>
      </c>
      <c r="L268" s="11">
        <v>1.0</v>
      </c>
      <c r="M268" s="13">
        <f t="shared" ref="M268:O268" si="270">IFERROR(G268/F268,"")</f>
        <v>0.3346104725</v>
      </c>
      <c r="N268" s="13">
        <f t="shared" si="270"/>
        <v>0.9974554707</v>
      </c>
      <c r="O268" s="14">
        <f t="shared" si="270"/>
        <v>0.2200255102</v>
      </c>
      <c r="P268" s="13">
        <f t="shared" si="3"/>
        <v>0.0943877551</v>
      </c>
      <c r="Q268" s="13">
        <f t="shared" si="4"/>
        <v>0.004464285714</v>
      </c>
      <c r="R268" s="13">
        <f t="shared" si="5"/>
        <v>0.000637755102</v>
      </c>
      <c r="S268" s="14">
        <f t="shared" si="6"/>
        <v>0.8106004621</v>
      </c>
      <c r="T268" s="14">
        <f t="shared" si="7"/>
        <v>0.9977690846</v>
      </c>
      <c r="U268" s="14">
        <f t="shared" si="8"/>
        <v>4.848551342</v>
      </c>
    </row>
    <row r="269" ht="15.75" customHeight="1">
      <c r="A269" s="9">
        <v>45195.7407114352</v>
      </c>
      <c r="B269" s="10">
        <v>17.0</v>
      </c>
      <c r="C269" s="10" t="s">
        <v>59</v>
      </c>
      <c r="D269" s="10" t="s">
        <v>912</v>
      </c>
      <c r="E269" s="12" t="s">
        <v>62</v>
      </c>
      <c r="F269" s="11">
        <v>5227.0</v>
      </c>
      <c r="G269" s="11">
        <v>2245.0</v>
      </c>
      <c r="H269" s="11">
        <v>2239.0</v>
      </c>
      <c r="I269" s="11">
        <v>469.0</v>
      </c>
      <c r="J269" s="11">
        <v>202.0</v>
      </c>
      <c r="K269" s="11">
        <v>2.0</v>
      </c>
      <c r="L269" s="11">
        <v>1.0</v>
      </c>
      <c r="M269" s="13">
        <f t="shared" ref="M269:O269" si="271">IFERROR(G269/F269,"")</f>
        <v>0.4295006696</v>
      </c>
      <c r="N269" s="13">
        <f t="shared" si="271"/>
        <v>0.9973273942</v>
      </c>
      <c r="O269" s="14">
        <f t="shared" si="271"/>
        <v>0.2094685127</v>
      </c>
      <c r="P269" s="13">
        <f t="shared" si="3"/>
        <v>0.0902188477</v>
      </c>
      <c r="Q269" s="13">
        <f t="shared" si="4"/>
        <v>0.0008932559178</v>
      </c>
      <c r="R269" s="13">
        <f t="shared" si="5"/>
        <v>0.0004466279589</v>
      </c>
      <c r="S269" s="14">
        <f t="shared" si="6"/>
        <v>1.040473834</v>
      </c>
      <c r="T269" s="14">
        <f t="shared" si="7"/>
        <v>0.9976409678</v>
      </c>
      <c r="U269" s="14">
        <f t="shared" si="8"/>
        <v>0.9701433682</v>
      </c>
    </row>
    <row r="270" ht="15.75" customHeight="1">
      <c r="A270" s="9">
        <v>45196.762958206</v>
      </c>
      <c r="B270" s="10">
        <v>18.0</v>
      </c>
      <c r="C270" s="10" t="s">
        <v>80</v>
      </c>
      <c r="D270" s="10" t="s">
        <v>917</v>
      </c>
      <c r="E270" s="12" t="s">
        <v>62</v>
      </c>
      <c r="F270" s="11">
        <v>63854.0</v>
      </c>
      <c r="G270" s="11">
        <v>25851.0</v>
      </c>
      <c r="H270" s="11">
        <v>25850.0</v>
      </c>
      <c r="I270" s="11">
        <v>4168.0</v>
      </c>
      <c r="J270" s="11">
        <v>524.0</v>
      </c>
      <c r="K270" s="11">
        <v>24.0</v>
      </c>
      <c r="L270" s="11">
        <v>23.0</v>
      </c>
      <c r="M270" s="13">
        <f t="shared" ref="M270:O270" si="272">IFERROR(G270/F270,"")</f>
        <v>0.4048454286</v>
      </c>
      <c r="N270" s="13">
        <f t="shared" si="272"/>
        <v>0.9999613168</v>
      </c>
      <c r="O270" s="14">
        <f t="shared" si="272"/>
        <v>0.161237911</v>
      </c>
      <c r="P270" s="13">
        <f t="shared" si="3"/>
        <v>0.02027079304</v>
      </c>
      <c r="Q270" s="13">
        <f t="shared" si="4"/>
        <v>0.0009284332689</v>
      </c>
      <c r="R270" s="13">
        <f t="shared" si="5"/>
        <v>0.0008897485493</v>
      </c>
      <c r="S270" s="14">
        <f t="shared" si="6"/>
        <v>0.980746027</v>
      </c>
      <c r="T270" s="14">
        <f t="shared" si="7"/>
        <v>1.000275719</v>
      </c>
      <c r="U270" s="14">
        <f t="shared" si="8"/>
        <v>1.008348627</v>
      </c>
    </row>
    <row r="271" ht="15.75" customHeight="1">
      <c r="A271" s="9">
        <v>45197.8027865394</v>
      </c>
      <c r="B271" s="10">
        <v>19.0</v>
      </c>
      <c r="C271" s="10" t="s">
        <v>84</v>
      </c>
      <c r="D271" s="10" t="s">
        <v>920</v>
      </c>
      <c r="E271" s="12" t="s">
        <v>62</v>
      </c>
      <c r="F271" s="11">
        <v>9457.0</v>
      </c>
      <c r="G271" s="11">
        <v>5181.0</v>
      </c>
      <c r="H271" s="11">
        <v>5183.0</v>
      </c>
      <c r="I271" s="11">
        <v>875.0</v>
      </c>
      <c r="J271" s="11">
        <v>296.0</v>
      </c>
      <c r="K271" s="11">
        <v>6.0</v>
      </c>
      <c r="L271" s="11">
        <v>8.0</v>
      </c>
      <c r="M271" s="13">
        <f t="shared" ref="M271:O271" si="273">IFERROR(G271/F271,"")</f>
        <v>0.5478481548</v>
      </c>
      <c r="N271" s="13">
        <f t="shared" si="273"/>
        <v>1.000386026</v>
      </c>
      <c r="O271" s="14">
        <f t="shared" si="273"/>
        <v>0.1688211461</v>
      </c>
      <c r="P271" s="13">
        <f t="shared" si="3"/>
        <v>0.05710978198</v>
      </c>
      <c r="Q271" s="13">
        <f t="shared" si="4"/>
        <v>0.001157630716</v>
      </c>
      <c r="R271" s="13">
        <f t="shared" si="5"/>
        <v>0.001543507621</v>
      </c>
      <c r="S271" s="14">
        <f t="shared" si="6"/>
        <v>1.327172949</v>
      </c>
      <c r="T271" s="14">
        <f t="shared" si="7"/>
        <v>1.000700561</v>
      </c>
      <c r="U271" s="14">
        <f t="shared" si="8"/>
        <v>1.257274359</v>
      </c>
    </row>
    <row r="272" ht="15.75" customHeight="1">
      <c r="A272" s="9">
        <v>45198.7998913542</v>
      </c>
      <c r="B272" s="10">
        <v>19.0</v>
      </c>
      <c r="C272" s="10" t="s">
        <v>60</v>
      </c>
      <c r="D272" s="10" t="s">
        <v>923</v>
      </c>
      <c r="E272" s="12" t="s">
        <v>62</v>
      </c>
      <c r="F272" s="11">
        <v>5217.0</v>
      </c>
      <c r="G272" s="11">
        <v>2573.0</v>
      </c>
      <c r="H272" s="11">
        <v>2577.0</v>
      </c>
      <c r="I272" s="11">
        <v>492.0</v>
      </c>
      <c r="J272" s="11">
        <v>163.0</v>
      </c>
      <c r="K272" s="11">
        <v>4.0</v>
      </c>
      <c r="L272" s="11">
        <v>2.0</v>
      </c>
      <c r="M272" s="13">
        <f t="shared" ref="M272:O272" si="274">IFERROR(G272/F272,"")</f>
        <v>0.493195323</v>
      </c>
      <c r="N272" s="13">
        <f t="shared" si="274"/>
        <v>1.001554606</v>
      </c>
      <c r="O272" s="14">
        <f t="shared" si="274"/>
        <v>0.190919674</v>
      </c>
      <c r="P272" s="13">
        <f t="shared" si="3"/>
        <v>0.06325184323</v>
      </c>
      <c r="Q272" s="13">
        <f t="shared" si="4"/>
        <v>0.001552192472</v>
      </c>
      <c r="R272" s="13">
        <f t="shared" si="5"/>
        <v>0.0007760962359</v>
      </c>
      <c r="S272" s="14">
        <f t="shared" si="6"/>
        <v>1.187322074</v>
      </c>
      <c r="T272" s="14">
        <f t="shared" si="7"/>
        <v>1.001861173</v>
      </c>
      <c r="U272" s="14">
        <f t="shared" si="8"/>
        <v>1.690337602</v>
      </c>
    </row>
    <row r="273" ht="15.75" customHeight="1">
      <c r="A273" s="9">
        <v>45199.7642441551</v>
      </c>
      <c r="B273" s="10">
        <v>18.0</v>
      </c>
      <c r="C273" s="10" t="s">
        <v>69</v>
      </c>
      <c r="D273" s="10" t="s">
        <v>927</v>
      </c>
      <c r="E273" s="12" t="s">
        <v>62</v>
      </c>
      <c r="F273" s="11">
        <v>183722.0</v>
      </c>
      <c r="G273" s="11">
        <v>41136.0</v>
      </c>
      <c r="H273" s="11">
        <v>41136.0</v>
      </c>
      <c r="I273" s="11">
        <v>5139.0</v>
      </c>
      <c r="J273" s="11">
        <v>382.0</v>
      </c>
      <c r="K273" s="11">
        <v>20.0</v>
      </c>
      <c r="L273" s="11">
        <v>21.0</v>
      </c>
      <c r="M273" s="13">
        <f t="shared" ref="M273:O273" si="275">IFERROR(G273/F273,"")</f>
        <v>0.2239035064</v>
      </c>
      <c r="N273" s="13">
        <f t="shared" si="275"/>
        <v>1</v>
      </c>
      <c r="O273" s="14">
        <f t="shared" si="275"/>
        <v>0.1249270712</v>
      </c>
      <c r="P273" s="13">
        <f t="shared" si="3"/>
        <v>0.009286269934</v>
      </c>
      <c r="Q273" s="13">
        <f t="shared" si="4"/>
        <v>0.0004861921431</v>
      </c>
      <c r="R273" s="13">
        <f t="shared" si="5"/>
        <v>0.0005105017503</v>
      </c>
      <c r="S273" s="14">
        <f t="shared" si="6"/>
        <v>0.5424106555</v>
      </c>
      <c r="T273" s="14">
        <f t="shared" si="7"/>
        <v>1.000314414</v>
      </c>
      <c r="U273" s="14">
        <f t="shared" si="8"/>
        <v>0.5305722126</v>
      </c>
    </row>
    <row r="274" ht="15.75" customHeight="1">
      <c r="A274" s="9">
        <v>45200.8238287732</v>
      </c>
      <c r="B274" s="10">
        <v>19.0</v>
      </c>
      <c r="C274" s="10" t="s">
        <v>77</v>
      </c>
      <c r="D274" s="10" t="s">
        <v>931</v>
      </c>
      <c r="E274" s="12" t="s">
        <v>62</v>
      </c>
      <c r="F274" s="11">
        <v>51298.0</v>
      </c>
      <c r="G274" s="11">
        <v>15173.0</v>
      </c>
      <c r="H274" s="11">
        <v>15177.0</v>
      </c>
      <c r="I274" s="11">
        <v>1822.0</v>
      </c>
      <c r="J274" s="11">
        <v>295.0</v>
      </c>
      <c r="K274" s="11">
        <v>11.0</v>
      </c>
      <c r="L274" s="11">
        <v>6.0</v>
      </c>
      <c r="M274" s="13">
        <f t="shared" ref="M274:O274" si="276">IFERROR(G274/F274,"")</f>
        <v>0.2957815119</v>
      </c>
      <c r="N274" s="13">
        <f t="shared" si="276"/>
        <v>1.000263626</v>
      </c>
      <c r="O274" s="14">
        <f t="shared" si="276"/>
        <v>0.1200500758</v>
      </c>
      <c r="P274" s="13">
        <f t="shared" si="3"/>
        <v>0.01943730645</v>
      </c>
      <c r="Q274" s="13">
        <f t="shared" si="4"/>
        <v>0.0007247809185</v>
      </c>
      <c r="R274" s="13">
        <f t="shared" si="5"/>
        <v>0.0003953350465</v>
      </c>
      <c r="S274" s="14">
        <f t="shared" si="6"/>
        <v>0.7220221335</v>
      </c>
      <c r="T274" s="14">
        <f t="shared" si="7"/>
        <v>1.000563853</v>
      </c>
      <c r="U274" s="14">
        <f t="shared" si="8"/>
        <v>0.7909395925</v>
      </c>
    </row>
    <row r="275" ht="15.75" customHeight="1">
      <c r="A275" s="9">
        <v>45201.8399393866</v>
      </c>
      <c r="B275" s="10">
        <v>20.0</v>
      </c>
      <c r="C275" s="10" t="s">
        <v>71</v>
      </c>
      <c r="D275" s="10" t="s">
        <v>671</v>
      </c>
      <c r="E275" s="12" t="s">
        <v>62</v>
      </c>
      <c r="F275" s="11">
        <v>296163.0</v>
      </c>
      <c r="G275" s="11">
        <v>64839.0</v>
      </c>
      <c r="H275" s="11">
        <v>64839.0</v>
      </c>
      <c r="I275" s="11">
        <v>5975.0</v>
      </c>
      <c r="J275" s="11">
        <v>525.0</v>
      </c>
      <c r="K275" s="11">
        <v>23.0</v>
      </c>
      <c r="L275" s="11">
        <v>48.0</v>
      </c>
      <c r="M275" s="13">
        <f t="shared" ref="M275:O275" si="277">IFERROR(G275/F275,"")</f>
        <v>0.2189301162</v>
      </c>
      <c r="N275" s="13">
        <f t="shared" si="277"/>
        <v>1</v>
      </c>
      <c r="O275" s="14">
        <f t="shared" si="277"/>
        <v>0.09215132868</v>
      </c>
      <c r="P275" s="13">
        <f t="shared" si="3"/>
        <v>0.00809697867</v>
      </c>
      <c r="Q275" s="13">
        <f t="shared" si="4"/>
        <v>0.0003547247798</v>
      </c>
      <c r="R275" s="13">
        <f t="shared" si="5"/>
        <v>0.0007402951927</v>
      </c>
      <c r="S275" s="14">
        <f t="shared" si="6"/>
        <v>0.5337128566</v>
      </c>
      <c r="T275" s="14">
        <f t="shared" si="7"/>
        <v>1.000306091</v>
      </c>
      <c r="U275" s="14">
        <f t="shared" si="8"/>
        <v>0.3862952852</v>
      </c>
    </row>
    <row r="276" ht="15.75" customHeight="1">
      <c r="A276" s="9">
        <v>45202.8149176389</v>
      </c>
      <c r="B276" s="10">
        <v>19.0</v>
      </c>
      <c r="C276" s="10" t="s">
        <v>59</v>
      </c>
      <c r="D276" s="10" t="s">
        <v>937</v>
      </c>
      <c r="E276" s="12" t="s">
        <v>62</v>
      </c>
      <c r="F276" s="11">
        <v>28490.0</v>
      </c>
      <c r="G276" s="11">
        <v>12378.0</v>
      </c>
      <c r="H276" s="11">
        <v>12381.0</v>
      </c>
      <c r="I276" s="11">
        <v>2518.0</v>
      </c>
      <c r="J276" s="11">
        <v>322.0</v>
      </c>
      <c r="K276" s="11">
        <v>10.0</v>
      </c>
      <c r="L276" s="11">
        <v>8.0</v>
      </c>
      <c r="M276" s="13">
        <f t="shared" ref="M276:O276" si="278">IFERROR(G276/F276,"")</f>
        <v>0.4344682345</v>
      </c>
      <c r="N276" s="13">
        <f t="shared" si="278"/>
        <v>1.000242365</v>
      </c>
      <c r="O276" s="14">
        <f t="shared" si="278"/>
        <v>0.2033761409</v>
      </c>
      <c r="P276" s="13">
        <f t="shared" si="3"/>
        <v>0.02600759228</v>
      </c>
      <c r="Q276" s="13">
        <f t="shared" si="4"/>
        <v>0.0008076892012</v>
      </c>
      <c r="R276" s="13">
        <f t="shared" si="5"/>
        <v>0.000646151361</v>
      </c>
      <c r="S276" s="14">
        <f t="shared" si="6"/>
        <v>1.059156623</v>
      </c>
      <c r="T276" s="14">
        <f t="shared" si="7"/>
        <v>1.000548531</v>
      </c>
      <c r="U276" s="14">
        <f t="shared" si="8"/>
        <v>0.8832658336</v>
      </c>
    </row>
    <row r="277" ht="15.75" customHeight="1">
      <c r="A277" s="9">
        <v>45203.7987908796</v>
      </c>
      <c r="B277" s="10">
        <v>19.0</v>
      </c>
      <c r="C277" s="10" t="s">
        <v>80</v>
      </c>
      <c r="D277" s="10" t="s">
        <v>940</v>
      </c>
      <c r="E277" s="12" t="s">
        <v>62</v>
      </c>
      <c r="F277" s="11">
        <v>10606.0</v>
      </c>
      <c r="G277" s="11">
        <v>6590.0</v>
      </c>
      <c r="H277" s="11">
        <v>6590.0</v>
      </c>
      <c r="I277" s="11">
        <v>951.0</v>
      </c>
      <c r="J277" s="11">
        <v>294.0</v>
      </c>
      <c r="K277" s="11">
        <v>5.0</v>
      </c>
      <c r="L277" s="11">
        <v>6.0</v>
      </c>
      <c r="M277" s="13">
        <f t="shared" ref="M277:O277" si="279">IFERROR(G277/F277,"")</f>
        <v>0.6213464077</v>
      </c>
      <c r="N277" s="13">
        <f t="shared" si="279"/>
        <v>1</v>
      </c>
      <c r="O277" s="14">
        <f t="shared" si="279"/>
        <v>0.1443095599</v>
      </c>
      <c r="P277" s="13">
        <f t="shared" si="3"/>
        <v>0.04461305008</v>
      </c>
      <c r="Q277" s="13">
        <f t="shared" si="4"/>
        <v>0.0007587253414</v>
      </c>
      <c r="R277" s="13">
        <f t="shared" si="5"/>
        <v>0.0009104704097</v>
      </c>
      <c r="S277" s="14">
        <f t="shared" si="6"/>
        <v>1.516747467</v>
      </c>
      <c r="T277" s="14">
        <f t="shared" si="7"/>
        <v>1.000300148</v>
      </c>
      <c r="U277" s="14">
        <f t="shared" si="8"/>
        <v>0.8279824938</v>
      </c>
    </row>
    <row r="278" ht="15.75" customHeight="1">
      <c r="A278" s="9">
        <v>45204.8005842477</v>
      </c>
      <c r="B278" s="10">
        <v>19.0</v>
      </c>
      <c r="C278" s="10" t="s">
        <v>84</v>
      </c>
      <c r="D278" s="10" t="s">
        <v>943</v>
      </c>
      <c r="E278" s="12" t="s">
        <v>62</v>
      </c>
      <c r="F278" s="11">
        <v>24372.0</v>
      </c>
      <c r="G278" s="11">
        <v>7650.0</v>
      </c>
      <c r="H278" s="11">
        <v>7655.0</v>
      </c>
      <c r="I278" s="11">
        <v>1085.0</v>
      </c>
      <c r="J278" s="11">
        <v>327.0</v>
      </c>
      <c r="K278" s="11">
        <v>7.0</v>
      </c>
      <c r="L278" s="11">
        <v>8.0</v>
      </c>
      <c r="M278" s="13">
        <f t="shared" ref="M278:O278" si="280">IFERROR(G278/F278,"")</f>
        <v>0.3138847858</v>
      </c>
      <c r="N278" s="13">
        <f t="shared" si="280"/>
        <v>1.000653595</v>
      </c>
      <c r="O278" s="14">
        <f t="shared" si="280"/>
        <v>0.1417374265</v>
      </c>
      <c r="P278" s="13">
        <f t="shared" si="3"/>
        <v>0.04271717831</v>
      </c>
      <c r="Q278" s="13">
        <f t="shared" si="4"/>
        <v>0.0009144350098</v>
      </c>
      <c r="R278" s="13">
        <f t="shared" si="5"/>
        <v>0.001045068583</v>
      </c>
      <c r="S278" s="14">
        <f t="shared" si="6"/>
        <v>0.7662134162</v>
      </c>
      <c r="T278" s="14">
        <f t="shared" si="7"/>
        <v>1.000953939</v>
      </c>
      <c r="U278" s="14">
        <f t="shared" si="8"/>
        <v>0.997905485</v>
      </c>
    </row>
    <row r="279" ht="15.75" customHeight="1">
      <c r="A279" s="9">
        <v>45205.8014754977</v>
      </c>
      <c r="B279" s="10">
        <v>19.0</v>
      </c>
      <c r="C279" s="10" t="s">
        <v>60</v>
      </c>
      <c r="D279" s="10" t="s">
        <v>947</v>
      </c>
      <c r="E279" s="12" t="s">
        <v>62</v>
      </c>
      <c r="F279" s="11">
        <v>7525.0</v>
      </c>
      <c r="G279" s="11">
        <v>3762.0</v>
      </c>
      <c r="H279" s="11">
        <v>3757.0</v>
      </c>
      <c r="I279" s="11">
        <v>647.0</v>
      </c>
      <c r="J279" s="11">
        <v>196.0</v>
      </c>
      <c r="K279" s="11">
        <v>8.0</v>
      </c>
      <c r="L279" s="11">
        <v>1.0</v>
      </c>
      <c r="M279" s="13">
        <f t="shared" ref="M279:O279" si="281">IFERROR(G279/F279,"")</f>
        <v>0.4999335548</v>
      </c>
      <c r="N279" s="13">
        <f t="shared" si="281"/>
        <v>0.9986709197</v>
      </c>
      <c r="O279" s="14">
        <f t="shared" si="281"/>
        <v>0.1722118712</v>
      </c>
      <c r="P279" s="13">
        <f t="shared" si="3"/>
        <v>0.052169284</v>
      </c>
      <c r="Q279" s="13">
        <f t="shared" si="4"/>
        <v>0.002129358531</v>
      </c>
      <c r="R279" s="13">
        <f t="shared" si="5"/>
        <v>0.0002661698163</v>
      </c>
      <c r="S279" s="14">
        <f t="shared" si="6"/>
        <v>1.220370704</v>
      </c>
      <c r="T279" s="14">
        <f t="shared" si="7"/>
        <v>0.9989706685</v>
      </c>
      <c r="U279" s="14">
        <f t="shared" si="8"/>
        <v>2.323728351</v>
      </c>
    </row>
    <row r="280" ht="15.75" customHeight="1">
      <c r="A280" s="9">
        <v>45206.7609935417</v>
      </c>
      <c r="B280" s="10">
        <v>18.0</v>
      </c>
      <c r="C280" s="10" t="s">
        <v>69</v>
      </c>
      <c r="D280" s="10" t="s">
        <v>951</v>
      </c>
      <c r="E280" s="12" t="s">
        <v>62</v>
      </c>
      <c r="F280" s="11">
        <v>120275.0</v>
      </c>
      <c r="G280" s="11">
        <v>55218.0</v>
      </c>
      <c r="H280" s="11">
        <v>55210.0</v>
      </c>
      <c r="I280" s="11">
        <v>10578.0</v>
      </c>
      <c r="J280" s="11">
        <v>519.0</v>
      </c>
      <c r="K280" s="11">
        <v>9.0</v>
      </c>
      <c r="L280" s="11">
        <v>33.0</v>
      </c>
      <c r="M280" s="13">
        <f t="shared" ref="M280:O280" si="282">IFERROR(G280/F280,"")</f>
        <v>0.4590979006</v>
      </c>
      <c r="N280" s="13">
        <f t="shared" si="282"/>
        <v>0.9998551197</v>
      </c>
      <c r="O280" s="14">
        <f t="shared" si="282"/>
        <v>0.1915957254</v>
      </c>
      <c r="P280" s="13">
        <f t="shared" si="3"/>
        <v>0.009400470929</v>
      </c>
      <c r="Q280" s="13">
        <f t="shared" si="4"/>
        <v>0.0001630139467</v>
      </c>
      <c r="R280" s="13">
        <f t="shared" si="5"/>
        <v>0.0005977178047</v>
      </c>
      <c r="S280" s="14">
        <f t="shared" si="6"/>
        <v>1.119199388</v>
      </c>
      <c r="T280" s="14">
        <f t="shared" si="7"/>
        <v>1.000161167</v>
      </c>
      <c r="U280" s="14">
        <f t="shared" si="8"/>
        <v>0.177522188</v>
      </c>
    </row>
    <row r="281" ht="15.75" customHeight="1">
      <c r="A281" s="9">
        <v>45207.7860535532</v>
      </c>
      <c r="B281" s="10">
        <v>18.0</v>
      </c>
      <c r="C281" s="10" t="s">
        <v>77</v>
      </c>
      <c r="D281" s="10" t="s">
        <v>954</v>
      </c>
      <c r="E281" s="12" t="s">
        <v>62</v>
      </c>
      <c r="F281" s="11">
        <v>78800.0</v>
      </c>
      <c r="G281" s="11">
        <v>26646.0</v>
      </c>
      <c r="H281" s="11">
        <v>26636.0</v>
      </c>
      <c r="I281" s="11">
        <v>3782.0</v>
      </c>
      <c r="J281" s="11">
        <v>261.0</v>
      </c>
      <c r="K281" s="11">
        <v>3.0</v>
      </c>
      <c r="L281" s="11">
        <v>9.0</v>
      </c>
      <c r="M281" s="13">
        <f t="shared" ref="M281:O281" si="283">IFERROR(G281/F281,"")</f>
        <v>0.3381472081</v>
      </c>
      <c r="N281" s="13">
        <f t="shared" si="283"/>
        <v>0.9996247091</v>
      </c>
      <c r="O281" s="14">
        <f t="shared" si="283"/>
        <v>0.1419882865</v>
      </c>
      <c r="P281" s="13">
        <f t="shared" si="3"/>
        <v>0.009798768584</v>
      </c>
      <c r="Q281" s="13">
        <f t="shared" si="4"/>
        <v>0.000112629524</v>
      </c>
      <c r="R281" s="13">
        <f t="shared" si="5"/>
        <v>0.0003378885719</v>
      </c>
      <c r="S281" s="14">
        <f t="shared" si="6"/>
        <v>0.8191682737</v>
      </c>
      <c r="T281" s="14">
        <f t="shared" si="7"/>
        <v>0.9999390051</v>
      </c>
      <c r="U281" s="14">
        <f t="shared" si="8"/>
        <v>0.1229104513</v>
      </c>
    </row>
    <row r="282" ht="15.75" customHeight="1">
      <c r="A282" s="9">
        <v>45208.8433587847</v>
      </c>
      <c r="B282" s="10">
        <v>20.0</v>
      </c>
      <c r="C282" s="10" t="s">
        <v>71</v>
      </c>
      <c r="D282" s="10" t="s">
        <v>957</v>
      </c>
      <c r="E282" s="12" t="s">
        <v>62</v>
      </c>
      <c r="F282" s="11">
        <v>31219.0</v>
      </c>
      <c r="G282" s="11">
        <v>13003.0</v>
      </c>
      <c r="H282" s="11">
        <v>12993.0</v>
      </c>
      <c r="I282" s="11">
        <v>2597.0</v>
      </c>
      <c r="J282" s="11">
        <v>229.0</v>
      </c>
      <c r="K282" s="11">
        <v>19.0</v>
      </c>
      <c r="L282" s="11">
        <v>9.0</v>
      </c>
      <c r="M282" s="13">
        <f t="shared" ref="M282:O282" si="284">IFERROR(G282/F282,"")</f>
        <v>0.4165091771</v>
      </c>
      <c r="N282" s="13">
        <f t="shared" si="284"/>
        <v>0.9992309467</v>
      </c>
      <c r="O282" s="14">
        <f t="shared" si="284"/>
        <v>0.1998768568</v>
      </c>
      <c r="P282" s="13">
        <f t="shared" si="3"/>
        <v>0.01762487493</v>
      </c>
      <c r="Q282" s="13">
        <f t="shared" si="4"/>
        <v>0.001462325868</v>
      </c>
      <c r="R282" s="13">
        <f t="shared" si="5"/>
        <v>0.0006926806742</v>
      </c>
      <c r="S282" s="14">
        <f t="shared" si="6"/>
        <v>1.009001687</v>
      </c>
      <c r="T282" s="14">
        <f t="shared" si="7"/>
        <v>0.9995573968</v>
      </c>
      <c r="U282" s="14">
        <f t="shared" si="8"/>
        <v>1.588196299</v>
      </c>
    </row>
    <row r="283" ht="15.75" customHeight="1">
      <c r="A283" s="9">
        <v>45209.8517934954</v>
      </c>
      <c r="B283" s="10">
        <v>20.0</v>
      </c>
      <c r="C283" s="10" t="s">
        <v>59</v>
      </c>
      <c r="D283" s="10" t="s">
        <v>960</v>
      </c>
      <c r="E283" s="12" t="s">
        <v>62</v>
      </c>
      <c r="F283" s="11">
        <v>6097.0</v>
      </c>
      <c r="G283" s="11">
        <v>2686.0</v>
      </c>
      <c r="H283" s="11">
        <v>2687.0</v>
      </c>
      <c r="I283" s="11">
        <v>486.0</v>
      </c>
      <c r="J283" s="11">
        <v>214.0</v>
      </c>
      <c r="K283" s="11">
        <v>12.0</v>
      </c>
      <c r="L283" s="11">
        <v>1.0</v>
      </c>
      <c r="M283" s="13">
        <f t="shared" ref="M283:O283" si="285">IFERROR(G283/F283,"")</f>
        <v>0.4405445301</v>
      </c>
      <c r="N283" s="13">
        <f t="shared" si="285"/>
        <v>1.000372301</v>
      </c>
      <c r="O283" s="14">
        <f t="shared" si="285"/>
        <v>0.1808708597</v>
      </c>
      <c r="P283" s="13">
        <f t="shared" si="3"/>
        <v>0.07964272423</v>
      </c>
      <c r="Q283" s="13">
        <f t="shared" si="4"/>
        <v>0.004465947153</v>
      </c>
      <c r="R283" s="13">
        <f t="shared" si="5"/>
        <v>0.0003721622627</v>
      </c>
      <c r="S283" s="14">
        <f t="shared" si="6"/>
        <v>1.073969556</v>
      </c>
      <c r="T283" s="14">
        <f t="shared" si="7"/>
        <v>1.00070309</v>
      </c>
      <c r="U283" s="14">
        <f t="shared" si="8"/>
        <v>4.86341645</v>
      </c>
    </row>
    <row r="284" ht="15.75" customHeight="1">
      <c r="A284" s="9">
        <v>45210.7864018171</v>
      </c>
      <c r="B284" s="10">
        <v>18.0</v>
      </c>
      <c r="C284" s="10" t="s">
        <v>80</v>
      </c>
      <c r="D284" s="10" t="s">
        <v>965</v>
      </c>
      <c r="E284" s="12" t="s">
        <v>62</v>
      </c>
      <c r="F284" s="11">
        <v>7815.0</v>
      </c>
      <c r="G284" s="11">
        <v>4335.0</v>
      </c>
      <c r="H284" s="11">
        <v>4325.0</v>
      </c>
      <c r="I284" s="11">
        <v>1064.0</v>
      </c>
      <c r="J284" s="11">
        <v>217.0</v>
      </c>
      <c r="K284" s="11">
        <v>4.0</v>
      </c>
      <c r="L284" s="11">
        <v>2.0</v>
      </c>
      <c r="M284" s="13">
        <f t="shared" ref="M284:O284" si="286">IFERROR(G284/F284,"")</f>
        <v>0.5547024952</v>
      </c>
      <c r="N284" s="13">
        <f t="shared" si="286"/>
        <v>0.9976931949</v>
      </c>
      <c r="O284" s="14">
        <f t="shared" si="286"/>
        <v>0.2460115607</v>
      </c>
      <c r="P284" s="13">
        <f t="shared" si="3"/>
        <v>0.0501734104</v>
      </c>
      <c r="Q284" s="13">
        <f t="shared" si="4"/>
        <v>0.0009248554913</v>
      </c>
      <c r="R284" s="13">
        <f t="shared" si="5"/>
        <v>0.0004624277457</v>
      </c>
      <c r="S284" s="14">
        <f t="shared" si="6"/>
        <v>1.355868914</v>
      </c>
      <c r="T284" s="14">
        <f t="shared" si="7"/>
        <v>0.9980151872</v>
      </c>
      <c r="U284" s="14">
        <f t="shared" si="8"/>
        <v>1.011395541</v>
      </c>
    </row>
    <row r="285" ht="15.75" customHeight="1">
      <c r="A285" s="9">
        <v>45211.7767893866</v>
      </c>
      <c r="B285" s="10">
        <v>18.0</v>
      </c>
      <c r="C285" s="10" t="s">
        <v>84</v>
      </c>
      <c r="D285" s="10" t="s">
        <v>968</v>
      </c>
      <c r="E285" s="12" t="s">
        <v>62</v>
      </c>
      <c r="F285" s="11">
        <v>47016.0</v>
      </c>
      <c r="G285" s="11">
        <v>10722.0</v>
      </c>
      <c r="H285" s="11">
        <v>10713.0</v>
      </c>
      <c r="I285" s="11">
        <v>1814.0</v>
      </c>
      <c r="J285" s="11">
        <v>223.0</v>
      </c>
      <c r="K285" s="11">
        <v>1.0</v>
      </c>
      <c r="L285" s="11">
        <v>7.0</v>
      </c>
      <c r="M285" s="13">
        <f t="shared" ref="M285:O285" si="287">IFERROR(G285/F285,"")</f>
        <v>0.2280500255</v>
      </c>
      <c r="N285" s="13">
        <f t="shared" si="287"/>
        <v>0.9991606044</v>
      </c>
      <c r="O285" s="14">
        <f t="shared" si="287"/>
        <v>0.1693269859</v>
      </c>
      <c r="P285" s="13">
        <f t="shared" si="3"/>
        <v>0.02081583123</v>
      </c>
      <c r="Q285" s="13">
        <f t="shared" si="4"/>
        <v>0.00009334453468</v>
      </c>
      <c r="R285" s="13">
        <f t="shared" si="5"/>
        <v>0.0006534117427</v>
      </c>
      <c r="S285" s="14">
        <f t="shared" si="6"/>
        <v>0.5566851183</v>
      </c>
      <c r="T285" s="14">
        <f t="shared" si="7"/>
        <v>0.9994870315</v>
      </c>
      <c r="U285" s="14">
        <f t="shared" si="8"/>
        <v>0.1018651103</v>
      </c>
    </row>
    <row r="286" ht="15.75" customHeight="1">
      <c r="A286" s="9">
        <v>45212.8411445139</v>
      </c>
      <c r="B286" s="10">
        <v>20.0</v>
      </c>
      <c r="C286" s="10" t="s">
        <v>60</v>
      </c>
      <c r="D286" s="10" t="s">
        <v>973</v>
      </c>
      <c r="E286" s="12" t="s">
        <v>62</v>
      </c>
      <c r="F286" s="11">
        <v>10361.0</v>
      </c>
      <c r="G286" s="11">
        <v>6536.0</v>
      </c>
      <c r="H286" s="11">
        <v>6534.0</v>
      </c>
      <c r="I286" s="11">
        <v>1456.0</v>
      </c>
      <c r="J286" s="11">
        <v>288.0</v>
      </c>
      <c r="K286" s="11">
        <v>6.0</v>
      </c>
      <c r="L286" s="11">
        <v>3.0</v>
      </c>
      <c r="M286" s="13">
        <f t="shared" ref="M286:O286" si="288">IFERROR(G286/F286,"")</f>
        <v>0.6308271402</v>
      </c>
      <c r="N286" s="13">
        <f t="shared" si="288"/>
        <v>0.9996940024</v>
      </c>
      <c r="O286" s="14">
        <f t="shared" si="288"/>
        <v>0.2228344047</v>
      </c>
      <c r="P286" s="13">
        <f t="shared" si="3"/>
        <v>0.04407713499</v>
      </c>
      <c r="Q286" s="13">
        <f t="shared" si="4"/>
        <v>0.0009182736455</v>
      </c>
      <c r="R286" s="13">
        <f t="shared" si="5"/>
        <v>0.0004591368228</v>
      </c>
      <c r="S286" s="14">
        <f t="shared" si="6"/>
        <v>1.5477376</v>
      </c>
      <c r="T286" s="14">
        <f t="shared" si="7"/>
        <v>1.000033873</v>
      </c>
      <c r="U286" s="14">
        <f t="shared" si="8"/>
        <v>1.002094515</v>
      </c>
    </row>
    <row r="287" ht="15.75" customHeight="1">
      <c r="A287" s="9">
        <v>45214.4515409954</v>
      </c>
      <c r="B287" s="10">
        <v>10.0</v>
      </c>
      <c r="C287" s="10" t="s">
        <v>77</v>
      </c>
      <c r="D287" s="10" t="s">
        <v>977</v>
      </c>
      <c r="E287" s="12" t="s">
        <v>62</v>
      </c>
      <c r="F287" s="11">
        <v>11722.0</v>
      </c>
      <c r="G287" s="11">
        <v>5113.0</v>
      </c>
      <c r="H287" s="11">
        <v>5099.0</v>
      </c>
      <c r="I287" s="11">
        <v>1734.0</v>
      </c>
      <c r="J287" s="11">
        <v>216.0</v>
      </c>
      <c r="K287" s="11">
        <v>0.0</v>
      </c>
      <c r="L287" s="11">
        <v>7.0</v>
      </c>
      <c r="M287" s="13">
        <f t="shared" ref="M287:O287" si="289">IFERROR(G287/F287,"")</f>
        <v>0.4361883638</v>
      </c>
      <c r="N287" s="13">
        <f t="shared" si="289"/>
        <v>0.9972618815</v>
      </c>
      <c r="O287" s="14">
        <f t="shared" si="289"/>
        <v>0.3400666797</v>
      </c>
      <c r="P287" s="13">
        <f t="shared" si="3"/>
        <v>0.0423612473</v>
      </c>
      <c r="Q287" s="13">
        <f t="shared" si="4"/>
        <v>0</v>
      </c>
      <c r="R287" s="13">
        <f t="shared" si="5"/>
        <v>0.0013728182</v>
      </c>
      <c r="S287" s="14">
        <f t="shared" si="6"/>
        <v>1.074228213</v>
      </c>
      <c r="T287" s="14">
        <f t="shared" si="7"/>
        <v>0.997591642</v>
      </c>
      <c r="U287" s="14">
        <f t="shared" si="8"/>
        <v>0</v>
      </c>
    </row>
    <row r="288" ht="15.75" customHeight="1">
      <c r="A288" s="9">
        <v>45214.7980545486</v>
      </c>
      <c r="B288" s="10">
        <v>19.0</v>
      </c>
      <c r="C288" s="10" t="s">
        <v>77</v>
      </c>
      <c r="D288" s="10" t="s">
        <v>981</v>
      </c>
      <c r="E288" s="12" t="s">
        <v>62</v>
      </c>
      <c r="F288" s="11">
        <v>901077.0</v>
      </c>
      <c r="G288" s="11">
        <v>473336.0</v>
      </c>
      <c r="H288" s="11">
        <v>473336.0</v>
      </c>
      <c r="I288" s="11">
        <v>65015.0</v>
      </c>
      <c r="J288" s="11">
        <v>2724.0</v>
      </c>
      <c r="K288" s="11">
        <v>202.0</v>
      </c>
      <c r="L288" s="11">
        <v>242.0</v>
      </c>
      <c r="M288" s="13">
        <f t="shared" ref="M288:O288" si="290">IFERROR(G288/F288,"")</f>
        <v>0.5253002796</v>
      </c>
      <c r="N288" s="13">
        <f t="shared" si="290"/>
        <v>1</v>
      </c>
      <c r="O288" s="14">
        <f t="shared" si="290"/>
        <v>0.13735486</v>
      </c>
      <c r="P288" s="13">
        <f t="shared" si="3"/>
        <v>0.005754897156</v>
      </c>
      <c r="Q288" s="13">
        <f t="shared" si="4"/>
        <v>0.0004267581591</v>
      </c>
      <c r="R288" s="13">
        <f t="shared" si="5"/>
        <v>0.0005112647253</v>
      </c>
      <c r="S288" s="14">
        <f t="shared" si="6"/>
        <v>1.29368967</v>
      </c>
      <c r="T288" s="14">
        <f t="shared" si="7"/>
        <v>1.000330666</v>
      </c>
      <c r="U288" s="14">
        <f t="shared" si="8"/>
        <v>0.4647396353</v>
      </c>
    </row>
    <row r="289" ht="15.75" customHeight="1">
      <c r="A289" s="9">
        <v>45215.9967787963</v>
      </c>
      <c r="B289" s="10">
        <v>23.0</v>
      </c>
      <c r="C289" s="10" t="s">
        <v>71</v>
      </c>
      <c r="D289" s="10" t="s">
        <v>983</v>
      </c>
      <c r="E289" s="12" t="s">
        <v>62</v>
      </c>
      <c r="F289" s="11">
        <v>65.0</v>
      </c>
      <c r="G289" s="11">
        <v>27.0</v>
      </c>
      <c r="H289" s="11">
        <v>27.0</v>
      </c>
      <c r="I289" s="11">
        <v>16.0</v>
      </c>
      <c r="J289" s="11">
        <v>0.0</v>
      </c>
      <c r="K289" s="11">
        <v>1.0</v>
      </c>
      <c r="L289" s="11">
        <v>0.0</v>
      </c>
      <c r="M289" s="13">
        <f t="shared" ref="M289:O289" si="291">IFERROR(G289/F289,"")</f>
        <v>0.4153846154</v>
      </c>
      <c r="N289" s="13">
        <f t="shared" si="291"/>
        <v>1</v>
      </c>
      <c r="O289" s="14">
        <f t="shared" si="291"/>
        <v>0.5925925926</v>
      </c>
      <c r="P289" s="13">
        <f t="shared" si="3"/>
        <v>0</v>
      </c>
      <c r="Q289" s="13">
        <f t="shared" si="4"/>
        <v>0.03703703704</v>
      </c>
      <c r="R289" s="13">
        <f t="shared" si="5"/>
        <v>0</v>
      </c>
      <c r="S289" s="14">
        <f t="shared" si="6"/>
        <v>1.019148268</v>
      </c>
      <c r="T289" s="14">
        <f t="shared" si="7"/>
        <v>1.000326701</v>
      </c>
      <c r="U289" s="14">
        <f t="shared" si="8"/>
        <v>40.22501854</v>
      </c>
    </row>
    <row r="290" ht="15.75" customHeight="1">
      <c r="A290" s="9">
        <v>45216.4959170486</v>
      </c>
      <c r="B290" s="10">
        <v>11.0</v>
      </c>
      <c r="C290" s="10" t="s">
        <v>59</v>
      </c>
      <c r="D290" s="10" t="s">
        <v>983</v>
      </c>
      <c r="E290" s="12" t="s">
        <v>62</v>
      </c>
      <c r="F290" s="11">
        <v>6.0</v>
      </c>
      <c r="G290" s="11">
        <v>4.0</v>
      </c>
      <c r="H290" s="11">
        <v>4.0</v>
      </c>
      <c r="I290" s="11">
        <v>3.0</v>
      </c>
      <c r="J290" s="11">
        <v>0.0</v>
      </c>
      <c r="K290" s="11">
        <v>0.0</v>
      </c>
      <c r="L290" s="11">
        <v>0.0</v>
      </c>
      <c r="M290" s="13">
        <f t="shared" ref="M290:O290" si="292">IFERROR(G290/F290,"")</f>
        <v>0.6666666667</v>
      </c>
      <c r="N290" s="13">
        <f t="shared" si="292"/>
        <v>1</v>
      </c>
      <c r="O290" s="14">
        <f t="shared" si="292"/>
        <v>0.75</v>
      </c>
      <c r="P290" s="13">
        <f t="shared" si="3"/>
        <v>0</v>
      </c>
      <c r="Q290" s="13">
        <f t="shared" si="4"/>
        <v>0</v>
      </c>
      <c r="R290" s="13">
        <f t="shared" si="5"/>
        <v>0</v>
      </c>
      <c r="S290" s="14">
        <f t="shared" si="6"/>
        <v>1.63567006</v>
      </c>
      <c r="T290" s="14">
        <f t="shared" si="7"/>
        <v>1.000326701</v>
      </c>
      <c r="U290" s="14">
        <f t="shared" si="8"/>
        <v>0</v>
      </c>
    </row>
    <row r="291" ht="15.75" customHeight="1">
      <c r="A291" s="9">
        <v>45216.5162997569</v>
      </c>
      <c r="B291" s="10">
        <v>12.0</v>
      </c>
      <c r="C291" s="10" t="s">
        <v>59</v>
      </c>
      <c r="D291" s="10" t="s">
        <v>983</v>
      </c>
      <c r="E291" s="12" t="s">
        <v>62</v>
      </c>
      <c r="F291" s="11">
        <v>4630.0</v>
      </c>
      <c r="G291" s="11">
        <v>1748.0</v>
      </c>
      <c r="H291" s="11">
        <v>1742.0</v>
      </c>
      <c r="I291" s="11">
        <v>0.0</v>
      </c>
      <c r="J291" s="11">
        <v>71.0</v>
      </c>
      <c r="K291" s="11">
        <v>1.0</v>
      </c>
      <c r="L291" s="11">
        <v>1.0</v>
      </c>
      <c r="M291" s="13">
        <f t="shared" ref="M291:O291" si="293">IFERROR(G291/F291,"")</f>
        <v>0.377537797</v>
      </c>
      <c r="N291" s="13">
        <f t="shared" si="293"/>
        <v>0.9965675057</v>
      </c>
      <c r="O291" s="14">
        <f t="shared" si="293"/>
        <v>0</v>
      </c>
      <c r="P291" s="13">
        <f t="shared" si="3"/>
        <v>0.04075774971</v>
      </c>
      <c r="Q291" s="13">
        <f t="shared" si="4"/>
        <v>0.0005740528129</v>
      </c>
      <c r="R291" s="13">
        <f t="shared" si="5"/>
        <v>0.0005740528129</v>
      </c>
      <c r="S291" s="14">
        <f t="shared" si="6"/>
        <v>0.9262909066</v>
      </c>
      <c r="T291" s="14">
        <f t="shared" si="7"/>
        <v>0.9968930857</v>
      </c>
      <c r="U291" s="14">
        <f t="shared" si="8"/>
        <v>0.6234646961</v>
      </c>
    </row>
    <row r="292" ht="15.75" customHeight="1">
      <c r="A292" s="9">
        <v>45217.4351811574</v>
      </c>
      <c r="B292" s="10">
        <v>10.0</v>
      </c>
      <c r="C292" s="10" t="s">
        <v>80</v>
      </c>
      <c r="D292" s="10" t="s">
        <v>991</v>
      </c>
      <c r="E292" s="12" t="s">
        <v>62</v>
      </c>
      <c r="F292" s="11">
        <v>9303.0</v>
      </c>
      <c r="G292" s="11">
        <v>3735.0</v>
      </c>
      <c r="H292" s="11">
        <v>3736.0</v>
      </c>
      <c r="I292" s="11">
        <v>585.0</v>
      </c>
      <c r="J292" s="11">
        <v>215.0</v>
      </c>
      <c r="K292" s="11">
        <v>12.0</v>
      </c>
      <c r="L292" s="11">
        <v>5.0</v>
      </c>
      <c r="M292" s="13">
        <f t="shared" ref="M292:O292" si="294">IFERROR(G292/F292,"")</f>
        <v>0.4014833925</v>
      </c>
      <c r="N292" s="13">
        <f t="shared" si="294"/>
        <v>1.000267738</v>
      </c>
      <c r="O292" s="14">
        <f t="shared" si="294"/>
        <v>0.1565845824</v>
      </c>
      <c r="P292" s="13">
        <f t="shared" si="3"/>
        <v>0.05754817987</v>
      </c>
      <c r="Q292" s="13">
        <f t="shared" si="4"/>
        <v>0.003211991435</v>
      </c>
      <c r="R292" s="13">
        <f t="shared" si="5"/>
        <v>0.001338329764</v>
      </c>
      <c r="S292" s="14">
        <f t="shared" si="6"/>
        <v>0.9902246357</v>
      </c>
      <c r="T292" s="14">
        <f t="shared" si="7"/>
        <v>1.000582236</v>
      </c>
      <c r="U292" s="14">
        <f t="shared" si="8"/>
        <v>3.476041171</v>
      </c>
    </row>
    <row r="293" ht="15.75" customHeight="1">
      <c r="A293" s="9">
        <v>45218.6758551736</v>
      </c>
      <c r="B293" s="10">
        <v>16.0</v>
      </c>
      <c r="C293" s="10" t="s">
        <v>84</v>
      </c>
      <c r="D293" s="10" t="s">
        <v>994</v>
      </c>
      <c r="E293" s="12" t="s">
        <v>62</v>
      </c>
      <c r="F293" s="11">
        <v>5950.0</v>
      </c>
      <c r="G293" s="11">
        <v>2564.0</v>
      </c>
      <c r="H293" s="11">
        <v>2556.0</v>
      </c>
      <c r="I293" s="11">
        <v>492.0</v>
      </c>
      <c r="J293" s="11">
        <v>107.0</v>
      </c>
      <c r="K293" s="11">
        <v>2.0</v>
      </c>
      <c r="L293" s="11">
        <v>2.0</v>
      </c>
      <c r="M293" s="13">
        <f t="shared" ref="M293:O293" si="295">IFERROR(G293/F293,"")</f>
        <v>0.4309243697</v>
      </c>
      <c r="N293" s="13">
        <f t="shared" si="295"/>
        <v>0.9968798752</v>
      </c>
      <c r="O293" s="14">
        <f t="shared" si="295"/>
        <v>0.1924882629</v>
      </c>
      <c r="P293" s="13">
        <f t="shared" si="3"/>
        <v>0.04186228482</v>
      </c>
      <c r="Q293" s="13">
        <f t="shared" si="4"/>
        <v>0.0007824726135</v>
      </c>
      <c r="R293" s="13">
        <f t="shared" si="5"/>
        <v>0.0007824726135</v>
      </c>
      <c r="S293" s="14">
        <f t="shared" si="6"/>
        <v>1.064417032</v>
      </c>
      <c r="T293" s="14">
        <f t="shared" si="7"/>
        <v>0.9971850114</v>
      </c>
      <c r="U293" s="14">
        <f t="shared" si="8"/>
        <v>0.8521126761</v>
      </c>
    </row>
    <row r="294" ht="15.75" customHeight="1">
      <c r="A294" s="9">
        <v>45219.8533437616</v>
      </c>
      <c r="B294" s="10">
        <v>20.0</v>
      </c>
      <c r="C294" s="10" t="s">
        <v>60</v>
      </c>
      <c r="D294" s="10" t="s">
        <v>997</v>
      </c>
      <c r="E294" s="12" t="s">
        <v>62</v>
      </c>
      <c r="F294" s="11">
        <v>21279.0</v>
      </c>
      <c r="G294" s="11">
        <v>7426.0</v>
      </c>
      <c r="H294" s="11">
        <v>7419.0</v>
      </c>
      <c r="I294" s="11">
        <v>2238.0</v>
      </c>
      <c r="J294" s="11">
        <v>243.0</v>
      </c>
      <c r="K294" s="11">
        <v>6.0</v>
      </c>
      <c r="L294" s="11">
        <v>5.0</v>
      </c>
      <c r="M294" s="13">
        <f t="shared" ref="M294:O294" si="296">IFERROR(G294/F294,"")</f>
        <v>0.348982565</v>
      </c>
      <c r="N294" s="13">
        <f t="shared" si="296"/>
        <v>0.999057366</v>
      </c>
      <c r="O294" s="14">
        <f t="shared" si="296"/>
        <v>0.3016579054</v>
      </c>
      <c r="P294" s="13">
        <f t="shared" si="3"/>
        <v>0.0327537404</v>
      </c>
      <c r="Q294" s="13">
        <f t="shared" si="4"/>
        <v>0.0008087343308</v>
      </c>
      <c r="R294" s="13">
        <f t="shared" si="5"/>
        <v>0.0006739452756</v>
      </c>
      <c r="S294" s="14">
        <f t="shared" si="6"/>
        <v>0.86201434</v>
      </c>
      <c r="T294" s="14">
        <f t="shared" si="7"/>
        <v>0.9993631687</v>
      </c>
      <c r="U294" s="14">
        <f t="shared" si="8"/>
        <v>0.8844087574</v>
      </c>
    </row>
    <row r="295" ht="15.75" customHeight="1">
      <c r="A295" s="9">
        <v>45220.4821940509</v>
      </c>
      <c r="B295" s="10">
        <v>11.0</v>
      </c>
      <c r="C295" s="10" t="s">
        <v>69</v>
      </c>
      <c r="D295" s="10" t="s">
        <v>1000</v>
      </c>
      <c r="E295" s="12" t="s">
        <v>62</v>
      </c>
      <c r="F295" s="11">
        <v>121276.0</v>
      </c>
      <c r="G295" s="11">
        <v>72055.0</v>
      </c>
      <c r="H295" s="11">
        <v>72049.0</v>
      </c>
      <c r="I295" s="11">
        <v>14067.0</v>
      </c>
      <c r="J295" s="11">
        <v>1585.0</v>
      </c>
      <c r="K295" s="11">
        <v>78.0</v>
      </c>
      <c r="L295" s="11">
        <v>283.0</v>
      </c>
      <c r="M295" s="13">
        <f t="shared" ref="M295:O295" si="297">IFERROR(G295/F295,"")</f>
        <v>0.5941406379</v>
      </c>
      <c r="N295" s="13">
        <f t="shared" si="297"/>
        <v>0.9999167303</v>
      </c>
      <c r="O295" s="14">
        <f t="shared" si="297"/>
        <v>0.1952421269</v>
      </c>
      <c r="P295" s="13">
        <f t="shared" si="3"/>
        <v>0.0219989174</v>
      </c>
      <c r="Q295" s="13">
        <f t="shared" si="4"/>
        <v>0.001082596566</v>
      </c>
      <c r="R295" s="13">
        <f t="shared" si="5"/>
        <v>0.003927882413</v>
      </c>
      <c r="S295" s="14">
        <f t="shared" si="6"/>
        <v>1.467574032</v>
      </c>
      <c r="T295" s="14">
        <f t="shared" si="7"/>
        <v>1.000222796</v>
      </c>
      <c r="U295" s="14">
        <f t="shared" si="8"/>
        <v>1.183896673</v>
      </c>
    </row>
    <row r="296" ht="15.75" customHeight="1">
      <c r="A296" s="9">
        <v>45221.8766347107</v>
      </c>
      <c r="B296" s="10">
        <v>21.0</v>
      </c>
      <c r="C296" s="10" t="s">
        <v>77</v>
      </c>
      <c r="D296" s="10" t="s">
        <v>1003</v>
      </c>
      <c r="E296" s="12" t="s">
        <v>62</v>
      </c>
      <c r="F296" s="11">
        <v>10608.0</v>
      </c>
      <c r="G296" s="11">
        <v>4056.0</v>
      </c>
      <c r="H296" s="11">
        <v>4054.0</v>
      </c>
      <c r="I296" s="11">
        <v>1113.0</v>
      </c>
      <c r="J296" s="11">
        <v>130.0</v>
      </c>
      <c r="K296" s="11">
        <v>5.0</v>
      </c>
      <c r="L296" s="11">
        <v>4.0</v>
      </c>
      <c r="M296" s="13">
        <f t="shared" ref="M296:O296" si="298">IFERROR(G296/F296,"")</f>
        <v>0.3823529412</v>
      </c>
      <c r="N296" s="13">
        <f t="shared" si="298"/>
        <v>0.9995069034</v>
      </c>
      <c r="O296" s="14">
        <f t="shared" si="298"/>
        <v>0.2745436606</v>
      </c>
      <c r="P296" s="13">
        <f t="shared" si="3"/>
        <v>0.03206709423</v>
      </c>
      <c r="Q296" s="13">
        <f t="shared" si="4"/>
        <v>0.001233349778</v>
      </c>
      <c r="R296" s="13">
        <f t="shared" si="5"/>
        <v>0.0009866798224</v>
      </c>
      <c r="S296" s="14">
        <f t="shared" si="6"/>
        <v>0.9510746002</v>
      </c>
      <c r="T296" s="14">
        <f t="shared" si="7"/>
        <v>0.9998211623</v>
      </c>
      <c r="U296" s="14">
        <f t="shared" si="8"/>
        <v>1.364558243</v>
      </c>
    </row>
    <row r="297" ht="15.75" customHeight="1">
      <c r="A297" s="9">
        <v>45222.4873261574</v>
      </c>
      <c r="B297" s="10">
        <v>11.0</v>
      </c>
      <c r="C297" s="10" t="s">
        <v>71</v>
      </c>
      <c r="D297" s="10" t="s">
        <v>1006</v>
      </c>
      <c r="E297" s="12" t="s">
        <v>62</v>
      </c>
      <c r="F297" s="11">
        <v>7456.0</v>
      </c>
      <c r="G297" s="11">
        <v>3250.0</v>
      </c>
      <c r="H297" s="11">
        <v>3245.0</v>
      </c>
      <c r="I297" s="11">
        <v>452.0</v>
      </c>
      <c r="J297" s="11">
        <v>216.0</v>
      </c>
      <c r="K297" s="11">
        <v>8.0</v>
      </c>
      <c r="L297" s="11">
        <v>4.0</v>
      </c>
      <c r="M297" s="13">
        <f t="shared" ref="M297:O297" si="299">IFERROR(G297/F297,"")</f>
        <v>0.4358905579</v>
      </c>
      <c r="N297" s="13">
        <f t="shared" si="299"/>
        <v>0.9984615385</v>
      </c>
      <c r="O297" s="14">
        <f t="shared" si="299"/>
        <v>0.1392912173</v>
      </c>
      <c r="P297" s="13">
        <f t="shared" si="3"/>
        <v>0.06656394453</v>
      </c>
      <c r="Q297" s="13">
        <f t="shared" si="4"/>
        <v>0.002465331279</v>
      </c>
      <c r="R297" s="13">
        <f t="shared" si="5"/>
        <v>0.001232665639</v>
      </c>
      <c r="S297" s="14">
        <f t="shared" si="6"/>
        <v>1.084245454</v>
      </c>
      <c r="T297" s="14">
        <f t="shared" si="7"/>
        <v>0.9987754687</v>
      </c>
      <c r="U297" s="14">
        <f t="shared" si="8"/>
        <v>2.727602646</v>
      </c>
    </row>
    <row r="298" ht="15.75" customHeight="1">
      <c r="A298" s="9">
        <v>45224.4646251157</v>
      </c>
      <c r="B298" s="10">
        <v>11.0</v>
      </c>
      <c r="C298" s="10" t="s">
        <v>80</v>
      </c>
      <c r="D298" s="10" t="s">
        <v>1010</v>
      </c>
      <c r="E298" s="12" t="s">
        <v>62</v>
      </c>
      <c r="F298" s="11">
        <v>10956.0</v>
      </c>
      <c r="G298" s="11">
        <v>4712.0</v>
      </c>
      <c r="H298" s="11">
        <v>4745.0</v>
      </c>
      <c r="I298" s="11">
        <v>840.0</v>
      </c>
      <c r="J298" s="11">
        <v>99.0</v>
      </c>
      <c r="K298" s="11">
        <v>4.0</v>
      </c>
      <c r="L298" s="11">
        <v>1.0</v>
      </c>
      <c r="M298" s="13">
        <f t="shared" ref="M298:O298" si="300">IFERROR(G298/F298,"")</f>
        <v>0.4300839723</v>
      </c>
      <c r="N298" s="13">
        <f t="shared" si="300"/>
        <v>1.007003396</v>
      </c>
      <c r="O298" s="14">
        <f t="shared" si="300"/>
        <v>0.177028451</v>
      </c>
      <c r="P298" s="13">
        <f t="shared" si="3"/>
        <v>0.02086406744</v>
      </c>
      <c r="Q298" s="13">
        <f t="shared" si="4"/>
        <v>0.0008429926238</v>
      </c>
      <c r="R298" s="13">
        <f t="shared" si="5"/>
        <v>0.000210748156</v>
      </c>
      <c r="S298" s="14">
        <f t="shared" si="6"/>
        <v>1.071237267</v>
      </c>
      <c r="T298" s="14">
        <f t="shared" si="7"/>
        <v>1.00731163</v>
      </c>
      <c r="U298" s="14">
        <f t="shared" si="8"/>
        <v>0.9437302424</v>
      </c>
    </row>
    <row r="299" ht="15.75" customHeight="1">
      <c r="A299" s="9">
        <v>45224.560369213</v>
      </c>
      <c r="B299" s="10">
        <v>13.0</v>
      </c>
      <c r="C299" s="10" t="s">
        <v>80</v>
      </c>
      <c r="D299" s="10" t="s">
        <v>1013</v>
      </c>
      <c r="E299" s="12" t="s">
        <v>62</v>
      </c>
      <c r="F299" s="11">
        <v>8280.0</v>
      </c>
      <c r="G299" s="11">
        <v>4111.0</v>
      </c>
      <c r="H299" s="11">
        <v>4109.0</v>
      </c>
      <c r="I299" s="11">
        <v>783.0</v>
      </c>
      <c r="J299" s="11">
        <v>145.0</v>
      </c>
      <c r="K299" s="11">
        <v>11.0</v>
      </c>
      <c r="L299" s="11">
        <v>3.0</v>
      </c>
      <c r="M299" s="13">
        <f t="shared" ref="M299:O299" si="301">IFERROR(G299/F299,"")</f>
        <v>0.4964975845</v>
      </c>
      <c r="N299" s="13">
        <f t="shared" si="301"/>
        <v>0.9995135004</v>
      </c>
      <c r="O299" s="14">
        <f t="shared" si="301"/>
        <v>0.1905573132</v>
      </c>
      <c r="P299" s="13">
        <f t="shared" si="3"/>
        <v>0.03528839134</v>
      </c>
      <c r="Q299" s="13">
        <f t="shared" si="4"/>
        <v>0.002677050377</v>
      </c>
      <c r="R299" s="13">
        <f t="shared" si="5"/>
        <v>0.0007301046483</v>
      </c>
      <c r="S299" s="14">
        <f t="shared" si="6"/>
        <v>1.258219977</v>
      </c>
      <c r="T299" s="14">
        <f t="shared" si="7"/>
        <v>0.999813502</v>
      </c>
      <c r="U299" s="14">
        <f t="shared" si="8"/>
        <v>3.051127139</v>
      </c>
    </row>
    <row r="300" ht="15.75" customHeight="1">
      <c r="A300" s="9">
        <v>45225.8035945949</v>
      </c>
      <c r="B300" s="10">
        <v>19.0</v>
      </c>
      <c r="C300" s="10" t="s">
        <v>84</v>
      </c>
      <c r="D300" s="10" t="s">
        <v>1015</v>
      </c>
      <c r="E300" s="12" t="s">
        <v>62</v>
      </c>
      <c r="F300" s="11">
        <v>10137.0</v>
      </c>
      <c r="G300" s="11">
        <v>4822.0</v>
      </c>
      <c r="H300" s="11">
        <v>4820.0</v>
      </c>
      <c r="I300" s="11">
        <v>834.0</v>
      </c>
      <c r="J300" s="11">
        <v>179.0</v>
      </c>
      <c r="K300" s="11">
        <v>7.0</v>
      </c>
      <c r="L300" s="11">
        <v>9.0</v>
      </c>
      <c r="M300" s="13">
        <f t="shared" ref="M300:O300" si="302">IFERROR(G300/F300,"")</f>
        <v>0.475683141</v>
      </c>
      <c r="N300" s="13">
        <f t="shared" si="302"/>
        <v>0.9995852343</v>
      </c>
      <c r="O300" s="14">
        <f t="shared" si="302"/>
        <v>0.1730290456</v>
      </c>
      <c r="P300" s="13">
        <f t="shared" si="3"/>
        <v>0.03713692946</v>
      </c>
      <c r="Q300" s="13">
        <f t="shared" si="4"/>
        <v>0.001452282158</v>
      </c>
      <c r="R300" s="13">
        <f t="shared" si="5"/>
        <v>0.001867219917</v>
      </c>
      <c r="S300" s="14">
        <f t="shared" si="6"/>
        <v>1.20547219</v>
      </c>
      <c r="T300" s="14">
        <f t="shared" si="7"/>
        <v>0.9998852575</v>
      </c>
      <c r="U300" s="14">
        <f t="shared" si="8"/>
        <v>1.655216332</v>
      </c>
    </row>
    <row r="301" ht="15.75" customHeight="1">
      <c r="A301" s="9">
        <v>45226.6581532639</v>
      </c>
      <c r="B301" s="10">
        <v>15.0</v>
      </c>
      <c r="C301" s="10" t="s">
        <v>60</v>
      </c>
      <c r="D301" s="10" t="s">
        <v>1019</v>
      </c>
      <c r="E301" s="12" t="s">
        <v>62</v>
      </c>
      <c r="F301" s="11">
        <v>79583.0</v>
      </c>
      <c r="G301" s="11">
        <v>49757.0</v>
      </c>
      <c r="H301" s="11">
        <v>49761.0</v>
      </c>
      <c r="I301" s="11">
        <v>11970.0</v>
      </c>
      <c r="J301" s="11">
        <v>818.0</v>
      </c>
      <c r="K301" s="11">
        <v>72.0</v>
      </c>
      <c r="L301" s="11">
        <v>61.0</v>
      </c>
      <c r="M301" s="13">
        <f t="shared" ref="M301:O301" si="303">IFERROR(G301/F301,"")</f>
        <v>0.6252214669</v>
      </c>
      <c r="N301" s="13">
        <f t="shared" si="303"/>
        <v>1.000080391</v>
      </c>
      <c r="O301" s="14">
        <f t="shared" si="303"/>
        <v>0.2405498282</v>
      </c>
      <c r="P301" s="13">
        <f t="shared" si="3"/>
        <v>0.0164385764</v>
      </c>
      <c r="Q301" s="13">
        <f t="shared" si="4"/>
        <v>0.00144691626</v>
      </c>
      <c r="R301" s="13">
        <f t="shared" si="5"/>
        <v>0.001225859609</v>
      </c>
      <c r="S301" s="14">
        <f t="shared" si="6"/>
        <v>1.58443095</v>
      </c>
      <c r="T301" s="14">
        <f t="shared" si="7"/>
        <v>1.000363545</v>
      </c>
      <c r="U301" s="14">
        <f t="shared" si="8"/>
        <v>1.697375414</v>
      </c>
    </row>
    <row r="302" ht="15.75" customHeight="1">
      <c r="A302" s="9">
        <v>45228.4859146875</v>
      </c>
      <c r="B302" s="10">
        <v>11.0</v>
      </c>
      <c r="C302" s="10" t="s">
        <v>77</v>
      </c>
      <c r="D302" s="10" t="s">
        <v>1022</v>
      </c>
      <c r="E302" s="12" t="s">
        <v>62</v>
      </c>
      <c r="F302" s="11">
        <v>20899.0</v>
      </c>
      <c r="G302" s="11">
        <v>8486.0</v>
      </c>
      <c r="H302" s="11">
        <v>8488.0</v>
      </c>
      <c r="I302" s="11">
        <v>1424.0</v>
      </c>
      <c r="J302" s="11">
        <v>382.0</v>
      </c>
      <c r="K302" s="11">
        <v>11.0</v>
      </c>
      <c r="L302" s="11">
        <v>12.0</v>
      </c>
      <c r="M302" s="13">
        <f t="shared" ref="M302:O302" si="304">IFERROR(G302/F302,"")</f>
        <v>0.4060481363</v>
      </c>
      <c r="N302" s="13">
        <f t="shared" si="304"/>
        <v>1.000235682</v>
      </c>
      <c r="O302" s="14">
        <f t="shared" si="304"/>
        <v>0.1677662582</v>
      </c>
      <c r="P302" s="13">
        <f t="shared" si="3"/>
        <v>0.04500471254</v>
      </c>
      <c r="Q302" s="13">
        <f t="shared" si="4"/>
        <v>0.00129594722</v>
      </c>
      <c r="R302" s="13">
        <f t="shared" si="5"/>
        <v>0.001413760603</v>
      </c>
      <c r="S302" s="14">
        <f t="shared" si="6"/>
        <v>1.011369695</v>
      </c>
      <c r="T302" s="14">
        <f t="shared" si="7"/>
        <v>1.000529956</v>
      </c>
      <c r="U302" s="14">
        <f t="shared" si="8"/>
        <v>1.504224451</v>
      </c>
    </row>
    <row r="303" ht="15.75" customHeight="1">
      <c r="A303" s="9">
        <v>45230.5950178241</v>
      </c>
      <c r="B303" s="10">
        <v>14.0</v>
      </c>
      <c r="C303" s="10" t="s">
        <v>59</v>
      </c>
      <c r="D303" s="10" t="s">
        <v>1025</v>
      </c>
      <c r="E303" s="12" t="s">
        <v>62</v>
      </c>
      <c r="F303" s="11">
        <v>1228065.0</v>
      </c>
      <c r="G303" s="11">
        <v>141142.0</v>
      </c>
      <c r="H303" s="11">
        <v>141138.0</v>
      </c>
      <c r="I303" s="11">
        <v>6292.0</v>
      </c>
      <c r="J303" s="11">
        <v>667.0</v>
      </c>
      <c r="K303" s="11">
        <v>64.0</v>
      </c>
      <c r="L303" s="11">
        <v>35.0</v>
      </c>
      <c r="M303" s="13">
        <f t="shared" ref="M303:O303" si="305">IFERROR(G303/F303,"")</f>
        <v>0.1149303986</v>
      </c>
      <c r="N303" s="13">
        <f t="shared" si="305"/>
        <v>0.9999716597</v>
      </c>
      <c r="O303" s="14">
        <f t="shared" si="305"/>
        <v>0.04458048151</v>
      </c>
      <c r="P303" s="13">
        <f t="shared" si="3"/>
        <v>0.004725871133</v>
      </c>
      <c r="Q303" s="13">
        <f t="shared" si="4"/>
        <v>0.0004534569003</v>
      </c>
      <c r="R303" s="13">
        <f t="shared" si="5"/>
        <v>0.0002479842424</v>
      </c>
      <c r="S303" s="14">
        <f t="shared" si="6"/>
        <v>0.299904768</v>
      </c>
      <c r="T303" s="14">
        <f t="shared" si="7"/>
        <v>1.000243712</v>
      </c>
      <c r="U303" s="14">
        <f t="shared" si="8"/>
        <v>0.5376865196</v>
      </c>
    </row>
    <row r="304" ht="15.75" customHeight="1">
      <c r="A304" s="9">
        <v>45232.5983555903</v>
      </c>
      <c r="B304" s="10">
        <v>14.0</v>
      </c>
      <c r="C304" s="10" t="s">
        <v>84</v>
      </c>
      <c r="D304" s="10" t="s">
        <v>1028</v>
      </c>
      <c r="E304" s="12" t="s">
        <v>62</v>
      </c>
      <c r="F304" s="11">
        <v>859375.0</v>
      </c>
      <c r="G304" s="11">
        <v>91614.0</v>
      </c>
      <c r="H304" s="11">
        <v>91620.0</v>
      </c>
      <c r="I304" s="11">
        <v>7279.0</v>
      </c>
      <c r="J304" s="11">
        <v>738.0</v>
      </c>
      <c r="K304" s="11">
        <v>22.0</v>
      </c>
      <c r="L304" s="11">
        <v>63.0</v>
      </c>
      <c r="M304" s="13">
        <f t="shared" ref="M304:O304" si="306">IFERROR(G304/F304,"")</f>
        <v>0.1066053818</v>
      </c>
      <c r="N304" s="13">
        <f t="shared" si="306"/>
        <v>1.000065492</v>
      </c>
      <c r="O304" s="14">
        <f t="shared" si="306"/>
        <v>0.07944771884</v>
      </c>
      <c r="P304" s="13">
        <f t="shared" si="3"/>
        <v>0.008055009823</v>
      </c>
      <c r="Q304" s="13">
        <f t="shared" si="4"/>
        <v>0.0002401222441</v>
      </c>
      <c r="R304" s="13">
        <f t="shared" si="5"/>
        <v>0.0006876227898</v>
      </c>
      <c r="S304" s="14">
        <f t="shared" si="6"/>
        <v>0.2784972176</v>
      </c>
      <c r="T304" s="14">
        <f t="shared" si="7"/>
        <v>1.00032777</v>
      </c>
      <c r="U304" s="14">
        <f t="shared" si="8"/>
        <v>0.2847849688</v>
      </c>
    </row>
    <row r="305" ht="15.75" customHeight="1">
      <c r="A305" s="9">
        <v>45234.5566643171</v>
      </c>
      <c r="B305" s="10">
        <v>13.0</v>
      </c>
      <c r="C305" s="10" t="s">
        <v>69</v>
      </c>
      <c r="D305" s="10" t="s">
        <v>1031</v>
      </c>
      <c r="E305" s="12" t="s">
        <v>62</v>
      </c>
      <c r="F305" s="11">
        <v>10152.0</v>
      </c>
      <c r="G305" s="11">
        <v>5515.0</v>
      </c>
      <c r="H305" s="11">
        <v>5509.0</v>
      </c>
      <c r="I305" s="11">
        <v>860.0</v>
      </c>
      <c r="J305" s="11">
        <v>256.0</v>
      </c>
      <c r="K305" s="11">
        <v>7.0</v>
      </c>
      <c r="L305" s="11">
        <v>7.0</v>
      </c>
      <c r="M305" s="13">
        <f t="shared" ref="M305:O305" si="307">IFERROR(G305/F305,"")</f>
        <v>0.5432427108</v>
      </c>
      <c r="N305" s="13">
        <f t="shared" si="307"/>
        <v>0.998912058</v>
      </c>
      <c r="O305" s="14">
        <f t="shared" si="307"/>
        <v>0.1561081866</v>
      </c>
      <c r="P305" s="13">
        <f t="shared" si="3"/>
        <v>0.04646941369</v>
      </c>
      <c r="Q305" s="13">
        <f t="shared" si="4"/>
        <v>0.00127064803</v>
      </c>
      <c r="R305" s="13">
        <f t="shared" si="5"/>
        <v>0.00127064803</v>
      </c>
      <c r="S305" s="14">
        <f t="shared" si="6"/>
        <v>1.429791636</v>
      </c>
      <c r="T305" s="14">
        <f t="shared" si="7"/>
        <v>0.9991450323</v>
      </c>
      <c r="U305" s="14">
        <f t="shared" si="8"/>
        <v>1.506988497</v>
      </c>
    </row>
    <row r="306" ht="15.75" customHeight="1">
      <c r="A306" s="9">
        <v>45236.5574640509</v>
      </c>
      <c r="B306" s="10">
        <v>13.0</v>
      </c>
      <c r="C306" s="10" t="s">
        <v>71</v>
      </c>
      <c r="D306" s="10" t="s">
        <v>1034</v>
      </c>
      <c r="E306" s="12" t="s">
        <v>62</v>
      </c>
      <c r="F306" s="11">
        <v>9211.0</v>
      </c>
      <c r="G306" s="11">
        <v>3400.0</v>
      </c>
      <c r="H306" s="11">
        <v>3399.0</v>
      </c>
      <c r="I306" s="11">
        <v>494.0</v>
      </c>
      <c r="J306" s="11">
        <v>137.0</v>
      </c>
      <c r="K306" s="11">
        <v>4.0</v>
      </c>
      <c r="L306" s="11">
        <v>7.0</v>
      </c>
      <c r="M306" s="13">
        <f t="shared" ref="M306:O306" si="308">IFERROR(G306/F306,"")</f>
        <v>0.3691238736</v>
      </c>
      <c r="N306" s="13">
        <f t="shared" si="308"/>
        <v>0.9997058824</v>
      </c>
      <c r="O306" s="14">
        <f t="shared" si="308"/>
        <v>0.1453368638</v>
      </c>
      <c r="P306" s="13">
        <f t="shared" si="3"/>
        <v>0.04030597234</v>
      </c>
      <c r="Q306" s="13">
        <f t="shared" si="4"/>
        <v>0.001176816711</v>
      </c>
      <c r="R306" s="13">
        <f t="shared" si="5"/>
        <v>0.002059429244</v>
      </c>
      <c r="S306" s="14">
        <f t="shared" si="6"/>
        <v>1</v>
      </c>
      <c r="T306" s="14">
        <f t="shared" si="7"/>
        <v>0.999915974</v>
      </c>
      <c r="U306" s="14">
        <f t="shared" si="8"/>
        <v>1.396881436</v>
      </c>
    </row>
    <row r="307" ht="15.75" customHeight="1">
      <c r="A307" s="9">
        <v>45237.5667449884</v>
      </c>
      <c r="B307" s="10">
        <v>13.0</v>
      </c>
      <c r="C307" s="10" t="s">
        <v>59</v>
      </c>
      <c r="D307" s="10" t="s">
        <v>1037</v>
      </c>
      <c r="E307" s="12" t="s">
        <v>62</v>
      </c>
      <c r="F307" s="11">
        <v>9720.0</v>
      </c>
      <c r="G307" s="11">
        <v>4107.0</v>
      </c>
      <c r="H307" s="11">
        <v>4108.0</v>
      </c>
      <c r="I307" s="11">
        <v>1010.0</v>
      </c>
      <c r="J307" s="11">
        <v>247.0</v>
      </c>
      <c r="K307" s="11">
        <v>28.0</v>
      </c>
      <c r="L307" s="11">
        <v>8.0</v>
      </c>
      <c r="M307" s="13">
        <f t="shared" ref="M307:O307" si="309">IFERROR(G307/F307,"")</f>
        <v>0.4225308642</v>
      </c>
      <c r="N307" s="13">
        <f t="shared" si="309"/>
        <v>1.000243487</v>
      </c>
      <c r="O307" s="14">
        <f t="shared" si="309"/>
        <v>0.2458617332</v>
      </c>
      <c r="P307" s="13">
        <f t="shared" si="3"/>
        <v>0.06012658228</v>
      </c>
      <c r="Q307" s="13">
        <f t="shared" si="4"/>
        <v>0.006815968841</v>
      </c>
      <c r="R307" s="13">
        <f t="shared" si="5"/>
        <v>0.001947419669</v>
      </c>
      <c r="S307" s="14">
        <f t="shared" si="6"/>
        <v>1.150858349</v>
      </c>
      <c r="T307" s="14">
        <f t="shared" si="7"/>
        <v>1.000418707</v>
      </c>
      <c r="U307" s="14">
        <f t="shared" si="8"/>
        <v>8.090555015</v>
      </c>
    </row>
    <row r="308" ht="15.75" customHeight="1">
      <c r="A308" s="9">
        <v>45238.616317581</v>
      </c>
      <c r="B308" s="10">
        <v>14.0</v>
      </c>
      <c r="C308" s="10" t="s">
        <v>80</v>
      </c>
      <c r="D308" s="10" t="s">
        <v>1041</v>
      </c>
      <c r="E308" s="12" t="s">
        <v>62</v>
      </c>
      <c r="F308" s="11">
        <v>685437.0</v>
      </c>
      <c r="G308" s="11">
        <v>81491.0</v>
      </c>
      <c r="H308" s="11">
        <v>81489.0</v>
      </c>
      <c r="I308" s="11">
        <v>7266.0</v>
      </c>
      <c r="J308" s="11">
        <v>963.0</v>
      </c>
      <c r="K308" s="11">
        <v>23.0</v>
      </c>
      <c r="L308" s="11">
        <v>79.0</v>
      </c>
      <c r="M308" s="13">
        <f t="shared" ref="M308:O308" si="310">IFERROR(G308/F308,"")</f>
        <v>0.1188891175</v>
      </c>
      <c r="N308" s="13">
        <f t="shared" si="310"/>
        <v>0.9999754574</v>
      </c>
      <c r="O308" s="14">
        <f t="shared" si="310"/>
        <v>0.08916540883</v>
      </c>
      <c r="P308" s="13">
        <f t="shared" si="3"/>
        <v>0.01181754593</v>
      </c>
      <c r="Q308" s="13">
        <f t="shared" si="4"/>
        <v>0.0002822466836</v>
      </c>
      <c r="R308" s="13">
        <f t="shared" si="5"/>
        <v>0.0009694560002</v>
      </c>
      <c r="S308" s="14">
        <f t="shared" si="6"/>
        <v>0.3256372927</v>
      </c>
      <c r="T308" s="14">
        <f t="shared" si="7"/>
        <v>1.000120355</v>
      </c>
      <c r="U308" s="14">
        <f t="shared" si="8"/>
        <v>0.3358421927</v>
      </c>
    </row>
    <row r="309" ht="15.75" customHeight="1">
      <c r="A309" s="9">
        <v>45240.7251776736</v>
      </c>
      <c r="B309" s="10">
        <v>17.0</v>
      </c>
      <c r="C309" s="10" t="s">
        <v>60</v>
      </c>
      <c r="D309" s="10" t="s">
        <v>1044</v>
      </c>
      <c r="E309" s="12" t="s">
        <v>62</v>
      </c>
      <c r="F309" s="11">
        <v>295762.0</v>
      </c>
      <c r="G309" s="11">
        <v>28994.0</v>
      </c>
      <c r="H309" s="11">
        <v>29020.0</v>
      </c>
      <c r="I309" s="11">
        <v>1868.0</v>
      </c>
      <c r="J309" s="11">
        <v>246.0</v>
      </c>
      <c r="K309" s="11">
        <v>2.0</v>
      </c>
      <c r="L309" s="11">
        <v>16.0</v>
      </c>
      <c r="M309" s="13">
        <f t="shared" ref="M309:O309" si="311">IFERROR(G309/F309,"")</f>
        <v>0.09803152535</v>
      </c>
      <c r="N309" s="13">
        <f t="shared" si="311"/>
        <v>1.000896737</v>
      </c>
      <c r="O309" s="14">
        <f t="shared" si="311"/>
        <v>0.06436940041</v>
      </c>
      <c r="P309" s="13">
        <f t="shared" si="3"/>
        <v>0.008476912474</v>
      </c>
      <c r="Q309" s="13">
        <f t="shared" si="4"/>
        <v>0.00006891798759</v>
      </c>
      <c r="R309" s="13">
        <f t="shared" si="5"/>
        <v>0.0005513439008</v>
      </c>
      <c r="S309" s="14">
        <f t="shared" si="6"/>
        <v>0.2704233447</v>
      </c>
      <c r="T309" s="14">
        <f t="shared" si="7"/>
        <v>1.001010928</v>
      </c>
      <c r="U309" s="14">
        <f t="shared" si="8"/>
        <v>0.0852721904</v>
      </c>
    </row>
    <row r="310" ht="15.75" customHeight="1">
      <c r="A310" s="9">
        <v>45242.630901794</v>
      </c>
      <c r="B310" s="10">
        <v>15.0</v>
      </c>
      <c r="C310" s="10" t="s">
        <v>77</v>
      </c>
      <c r="D310" s="10" t="s">
        <v>1047</v>
      </c>
      <c r="E310" s="12" t="s">
        <v>62</v>
      </c>
      <c r="F310" s="11">
        <v>4764.0</v>
      </c>
      <c r="G310" s="11">
        <v>1553.0</v>
      </c>
      <c r="H310" s="11">
        <v>1547.0</v>
      </c>
      <c r="I310" s="11">
        <v>116.0</v>
      </c>
      <c r="J310" s="11">
        <v>58.0</v>
      </c>
      <c r="K310" s="11">
        <v>0.0</v>
      </c>
      <c r="L310" s="11">
        <v>3.0</v>
      </c>
      <c r="M310" s="13">
        <f t="shared" ref="M310:O310" si="312">IFERROR(G310/F310,"")</f>
        <v>0.3259865659</v>
      </c>
      <c r="N310" s="13">
        <f t="shared" si="312"/>
        <v>0.99613651</v>
      </c>
      <c r="O310" s="14">
        <f t="shared" si="312"/>
        <v>0.07498383969</v>
      </c>
      <c r="P310" s="13">
        <f t="shared" si="3"/>
        <v>0.03749191984</v>
      </c>
      <c r="Q310" s="13">
        <f t="shared" si="4"/>
        <v>0</v>
      </c>
      <c r="R310" s="13">
        <f t="shared" si="5"/>
        <v>0.001939237233</v>
      </c>
      <c r="S310" s="14">
        <f t="shared" si="6"/>
        <v>0.9000931962</v>
      </c>
      <c r="T310" s="14">
        <f t="shared" si="7"/>
        <v>0.9962194649</v>
      </c>
      <c r="U310" s="14">
        <f t="shared" si="8"/>
        <v>0</v>
      </c>
    </row>
    <row r="311" ht="15.75" customHeight="1">
      <c r="A311" s="9">
        <v>45244.6233017477</v>
      </c>
      <c r="B311" s="10">
        <v>14.0</v>
      </c>
      <c r="C311" s="10" t="s">
        <v>59</v>
      </c>
      <c r="D311" s="10" t="s">
        <v>1050</v>
      </c>
      <c r="E311" s="12" t="s">
        <v>62</v>
      </c>
      <c r="F311" s="11">
        <v>176774.0</v>
      </c>
      <c r="G311" s="11">
        <v>33316.0</v>
      </c>
      <c r="H311" s="11">
        <v>33309.0</v>
      </c>
      <c r="I311" s="11">
        <v>5236.0</v>
      </c>
      <c r="J311" s="11">
        <v>473.0</v>
      </c>
      <c r="K311" s="11">
        <v>36.0</v>
      </c>
      <c r="L311" s="11">
        <v>41.0</v>
      </c>
      <c r="M311" s="13">
        <f t="shared" ref="M311:O311" si="313">IFERROR(G311/F311,"")</f>
        <v>0.1884666297</v>
      </c>
      <c r="N311" s="13">
        <f t="shared" si="313"/>
        <v>0.9997898907</v>
      </c>
      <c r="O311" s="14">
        <f t="shared" si="313"/>
        <v>0.1571947522</v>
      </c>
      <c r="P311" s="13">
        <f t="shared" si="3"/>
        <v>0.01420036627</v>
      </c>
      <c r="Q311" s="13">
        <f t="shared" si="4"/>
        <v>0.001080788976</v>
      </c>
      <c r="R311" s="13">
        <f t="shared" si="5"/>
        <v>0.001230898556</v>
      </c>
      <c r="S311" s="14">
        <f t="shared" si="6"/>
        <v>0.5219219731</v>
      </c>
      <c r="T311" s="14">
        <f t="shared" si="7"/>
        <v>0.999857412</v>
      </c>
      <c r="U311" s="14">
        <f t="shared" si="8"/>
        <v>1.35320997</v>
      </c>
    </row>
    <row r="312" ht="15.75" customHeight="1">
      <c r="A312" s="9">
        <v>45246.7813437963</v>
      </c>
      <c r="B312" s="10">
        <v>18.0</v>
      </c>
      <c r="C312" s="10" t="s">
        <v>84</v>
      </c>
      <c r="D312" s="10" t="s">
        <v>1053</v>
      </c>
      <c r="E312" s="12" t="s">
        <v>62</v>
      </c>
      <c r="F312" s="11">
        <v>461213.0</v>
      </c>
      <c r="G312" s="11">
        <v>50886.0</v>
      </c>
      <c r="H312" s="11">
        <v>50888.0</v>
      </c>
      <c r="I312" s="11">
        <v>1098.0</v>
      </c>
      <c r="J312" s="11">
        <v>378.0</v>
      </c>
      <c r="K312" s="11">
        <v>23.0</v>
      </c>
      <c r="L312" s="11">
        <v>17.0</v>
      </c>
      <c r="M312" s="13">
        <f t="shared" ref="M312:O312" si="314">IFERROR(G312/F312,"")</f>
        <v>0.1103308016</v>
      </c>
      <c r="N312" s="13">
        <f t="shared" si="314"/>
        <v>1.000039304</v>
      </c>
      <c r="O312" s="14">
        <f t="shared" si="314"/>
        <v>0.0215767961</v>
      </c>
      <c r="P312" s="13">
        <f t="shared" si="3"/>
        <v>0.007428077346</v>
      </c>
      <c r="Q312" s="13">
        <f t="shared" si="4"/>
        <v>0.0004519729602</v>
      </c>
      <c r="R312" s="13">
        <f t="shared" si="5"/>
        <v>0.0003340669706</v>
      </c>
      <c r="S312" s="14">
        <f t="shared" si="6"/>
        <v>0.3055398707</v>
      </c>
      <c r="T312" s="14">
        <f t="shared" si="7"/>
        <v>1.0000854</v>
      </c>
      <c r="U312" s="14">
        <f t="shared" si="8"/>
        <v>0.5658961458</v>
      </c>
    </row>
    <row r="313" ht="15.75" customHeight="1">
      <c r="A313" s="9">
        <v>45248.7596622107</v>
      </c>
      <c r="B313" s="10">
        <v>18.0</v>
      </c>
      <c r="C313" s="10" t="s">
        <v>69</v>
      </c>
      <c r="D313" s="10" t="s">
        <v>1056</v>
      </c>
      <c r="E313" s="12" t="s">
        <v>62</v>
      </c>
      <c r="F313" s="11">
        <v>5773.0</v>
      </c>
      <c r="G313" s="11">
        <v>1956.0</v>
      </c>
      <c r="H313" s="11">
        <v>1955.0</v>
      </c>
      <c r="I313" s="11">
        <v>378.0</v>
      </c>
      <c r="J313" s="11">
        <v>107.0</v>
      </c>
      <c r="K313" s="11">
        <v>2.0</v>
      </c>
      <c r="L313" s="11">
        <v>6.0</v>
      </c>
      <c r="M313" s="13">
        <f t="shared" ref="M313:O313" si="315">IFERROR(G313/F313,"")</f>
        <v>0.3388186385</v>
      </c>
      <c r="N313" s="13">
        <f t="shared" si="315"/>
        <v>0.9994887526</v>
      </c>
      <c r="O313" s="14">
        <f t="shared" si="315"/>
        <v>0.1933503836</v>
      </c>
      <c r="P313" s="13">
        <f t="shared" si="3"/>
        <v>0.0547314578</v>
      </c>
      <c r="Q313" s="13">
        <f t="shared" si="4"/>
        <v>0.001023017903</v>
      </c>
      <c r="R313" s="13">
        <f t="shared" si="5"/>
        <v>0.003069053708</v>
      </c>
      <c r="S313" s="14">
        <f t="shared" si="6"/>
        <v>0.9708755465</v>
      </c>
      <c r="T313" s="14">
        <f t="shared" si="7"/>
        <v>0.9995274175</v>
      </c>
      <c r="U313" s="14">
        <f t="shared" si="8"/>
        <v>1.264961637</v>
      </c>
    </row>
    <row r="314" ht="15.75" customHeight="1">
      <c r="A314" s="9">
        <v>45250.6298107407</v>
      </c>
      <c r="B314" s="10">
        <v>15.0</v>
      </c>
      <c r="C314" s="10" t="s">
        <v>71</v>
      </c>
      <c r="D314" s="10" t="s">
        <v>1059</v>
      </c>
      <c r="E314" s="12" t="s">
        <v>62</v>
      </c>
      <c r="F314" s="11">
        <v>9315740.0</v>
      </c>
      <c r="G314" s="11">
        <v>1081343.0</v>
      </c>
      <c r="H314" s="11">
        <v>1081352.0</v>
      </c>
      <c r="I314" s="11">
        <v>10917.0</v>
      </c>
      <c r="J314" s="11">
        <v>1716.0</v>
      </c>
      <c r="K314" s="11">
        <v>92.0</v>
      </c>
      <c r="L314" s="11">
        <v>167.0</v>
      </c>
      <c r="M314" s="13">
        <f t="shared" ref="M314:O314" si="316">IFERROR(G314/F314,"")</f>
        <v>0.1160769837</v>
      </c>
      <c r="N314" s="13">
        <f t="shared" si="316"/>
        <v>1.000008323</v>
      </c>
      <c r="O314" s="14">
        <f t="shared" si="316"/>
        <v>0.01009569502</v>
      </c>
      <c r="P314" s="13">
        <f t="shared" si="3"/>
        <v>0.001586902322</v>
      </c>
      <c r="Q314" s="13">
        <f t="shared" si="4"/>
        <v>0.00008507867928</v>
      </c>
      <c r="R314" s="13">
        <f t="shared" si="5"/>
        <v>0.0001544362983</v>
      </c>
      <c r="S314" s="14">
        <f t="shared" si="6"/>
        <v>0.3425932652</v>
      </c>
      <c r="T314" s="14">
        <f t="shared" si="7"/>
        <v>1.000042336</v>
      </c>
      <c r="U314" s="14">
        <f t="shared" si="8"/>
        <v>0.1053359128</v>
      </c>
    </row>
    <row r="315" ht="15.75" customHeight="1">
      <c r="A315" s="9">
        <v>45252.7890502431</v>
      </c>
      <c r="B315" s="10">
        <v>18.0</v>
      </c>
      <c r="C315" s="10" t="s">
        <v>80</v>
      </c>
      <c r="D315" s="10" t="s">
        <v>1063</v>
      </c>
      <c r="E315" s="12" t="s">
        <v>62</v>
      </c>
      <c r="F315" s="11">
        <v>4919.0</v>
      </c>
      <c r="G315" s="11">
        <v>1771.0</v>
      </c>
      <c r="H315" s="11">
        <v>1763.0</v>
      </c>
      <c r="I315" s="11">
        <v>160.0</v>
      </c>
      <c r="J315" s="11">
        <v>72.0</v>
      </c>
      <c r="K315" s="11">
        <v>2.0</v>
      </c>
      <c r="L315" s="11">
        <v>4.0</v>
      </c>
      <c r="M315" s="13">
        <f t="shared" ref="M315:O315" si="317">IFERROR(G315/F315,"")</f>
        <v>0.3600325269</v>
      </c>
      <c r="N315" s="13">
        <f t="shared" si="317"/>
        <v>0.9954827781</v>
      </c>
      <c r="O315" s="14">
        <f t="shared" si="317"/>
        <v>0.09075439592</v>
      </c>
      <c r="P315" s="13">
        <f t="shared" si="3"/>
        <v>0.04083947816</v>
      </c>
      <c r="Q315" s="13">
        <f t="shared" si="4"/>
        <v>0.001134429949</v>
      </c>
      <c r="R315" s="13">
        <f t="shared" si="5"/>
        <v>0.002268859898</v>
      </c>
      <c r="S315" s="14">
        <f t="shared" si="6"/>
        <v>1.064721276</v>
      </c>
      <c r="T315" s="14">
        <f t="shared" si="7"/>
        <v>0.9955072104</v>
      </c>
      <c r="U315" s="14">
        <f t="shared" si="8"/>
        <v>1.439087414</v>
      </c>
    </row>
    <row r="316" ht="15.75" customHeight="1">
      <c r="A316" s="9">
        <v>45254.8400766551</v>
      </c>
      <c r="B316" s="10">
        <v>20.0</v>
      </c>
      <c r="C316" s="10" t="s">
        <v>60</v>
      </c>
      <c r="D316" s="10" t="s">
        <v>1067</v>
      </c>
      <c r="E316" s="12" t="s">
        <v>62</v>
      </c>
      <c r="F316" s="11">
        <v>5478.0</v>
      </c>
      <c r="G316" s="11">
        <v>2000.0</v>
      </c>
      <c r="H316" s="11">
        <v>2000.0</v>
      </c>
      <c r="I316" s="11">
        <v>167.0</v>
      </c>
      <c r="J316" s="11">
        <v>62.0</v>
      </c>
      <c r="K316" s="11">
        <v>8.0</v>
      </c>
      <c r="L316" s="11">
        <v>8.0</v>
      </c>
      <c r="M316" s="13">
        <f t="shared" ref="M316:O316" si="318">IFERROR(G316/F316,"")</f>
        <v>0.3650967506</v>
      </c>
      <c r="N316" s="13">
        <f t="shared" si="318"/>
        <v>1</v>
      </c>
      <c r="O316" s="14">
        <f t="shared" si="318"/>
        <v>0.0835</v>
      </c>
      <c r="P316" s="13">
        <f t="shared" si="3"/>
        <v>0.031</v>
      </c>
      <c r="Q316" s="13">
        <f t="shared" si="4"/>
        <v>0.004</v>
      </c>
      <c r="R316" s="13">
        <f t="shared" si="5"/>
        <v>0.004</v>
      </c>
      <c r="S316" s="14">
        <f t="shared" si="6"/>
        <v>1.087749224</v>
      </c>
      <c r="T316" s="14">
        <f t="shared" si="7"/>
        <v>1.000005256</v>
      </c>
      <c r="U316" s="14">
        <f t="shared" si="8"/>
        <v>5.162496223</v>
      </c>
    </row>
    <row r="317" ht="15.75" customHeight="1">
      <c r="A317" s="9">
        <v>45256.6551824306</v>
      </c>
      <c r="B317" s="10">
        <v>15.0</v>
      </c>
      <c r="C317" s="10" t="s">
        <v>77</v>
      </c>
      <c r="D317" s="10" t="s">
        <v>1071</v>
      </c>
      <c r="E317" s="12" t="s">
        <v>62</v>
      </c>
      <c r="F317" s="11">
        <v>2381821.0</v>
      </c>
      <c r="G317" s="11">
        <v>486590.0</v>
      </c>
      <c r="H317" s="11">
        <v>486588.0</v>
      </c>
      <c r="I317" s="11">
        <v>40768.0</v>
      </c>
      <c r="J317" s="11">
        <v>2093.0</v>
      </c>
      <c r="K317" s="11">
        <v>103.0</v>
      </c>
      <c r="L317" s="11">
        <v>317.0</v>
      </c>
      <c r="M317" s="13">
        <f t="shared" ref="M317:O317" si="319">IFERROR(G317/F317,"")</f>
        <v>0.2042932697</v>
      </c>
      <c r="N317" s="13">
        <f t="shared" si="319"/>
        <v>0.9999958898</v>
      </c>
      <c r="O317" s="14">
        <f t="shared" si="319"/>
        <v>0.08378340608</v>
      </c>
      <c r="P317" s="13">
        <f t="shared" si="3"/>
        <v>0.004301380223</v>
      </c>
      <c r="Q317" s="13">
        <f t="shared" si="4"/>
        <v>0.0002116780521</v>
      </c>
      <c r="R317" s="13">
        <f t="shared" si="5"/>
        <v>0.00065147517</v>
      </c>
      <c r="S317" s="14">
        <f t="shared" si="6"/>
        <v>0.6109837772</v>
      </c>
      <c r="T317" s="14">
        <f t="shared" si="7"/>
        <v>0.9999996854</v>
      </c>
      <c r="U317" s="14">
        <f t="shared" si="8"/>
        <v>0.2774485182</v>
      </c>
    </row>
    <row r="318" ht="15.75" customHeight="1">
      <c r="A318" s="9">
        <v>45258.6020979051</v>
      </c>
      <c r="B318" s="10">
        <v>14.0</v>
      </c>
      <c r="C318" s="10" t="s">
        <v>59</v>
      </c>
      <c r="D318" s="10" t="s">
        <v>1074</v>
      </c>
      <c r="E318" s="12" t="s">
        <v>62</v>
      </c>
      <c r="F318" s="11">
        <v>23019.0</v>
      </c>
      <c r="G318" s="11">
        <v>6218.0</v>
      </c>
      <c r="H318" s="11">
        <v>6215.0</v>
      </c>
      <c r="I318" s="11">
        <v>807.0</v>
      </c>
      <c r="J318" s="11">
        <v>161.0</v>
      </c>
      <c r="K318" s="11">
        <v>10.0</v>
      </c>
      <c r="L318" s="11">
        <v>9.0</v>
      </c>
      <c r="M318" s="13">
        <f t="shared" ref="M318:O318" si="320">IFERROR(G318/F318,"")</f>
        <v>0.2701246796</v>
      </c>
      <c r="N318" s="13">
        <f t="shared" si="320"/>
        <v>0.9995175298</v>
      </c>
      <c r="O318" s="14">
        <f t="shared" si="320"/>
        <v>0.129847144</v>
      </c>
      <c r="P318" s="13">
        <f t="shared" si="3"/>
        <v>0.02590506838</v>
      </c>
      <c r="Q318" s="13">
        <f t="shared" si="4"/>
        <v>0.001609010459</v>
      </c>
      <c r="R318" s="13">
        <f t="shared" si="5"/>
        <v>0.001448109413</v>
      </c>
      <c r="S318" s="14">
        <f t="shared" si="6"/>
        <v>0.8072810082</v>
      </c>
      <c r="T318" s="14">
        <f t="shared" si="7"/>
        <v>0.9995210092</v>
      </c>
      <c r="U318" s="14">
        <f t="shared" si="8"/>
        <v>2.130329847</v>
      </c>
    </row>
    <row r="319" ht="15.75" customHeight="1">
      <c r="A319" s="9">
        <v>45260.6870716435</v>
      </c>
      <c r="B319" s="10">
        <v>16.0</v>
      </c>
      <c r="C319" s="10" t="s">
        <v>84</v>
      </c>
      <c r="D319" s="10" t="s">
        <v>1079</v>
      </c>
      <c r="E319" s="12" t="s">
        <v>62</v>
      </c>
      <c r="F319" s="11">
        <v>97225.0</v>
      </c>
      <c r="G319" s="11">
        <v>14283.0</v>
      </c>
      <c r="H319" s="11">
        <v>14283.0</v>
      </c>
      <c r="I319" s="11">
        <v>944.0</v>
      </c>
      <c r="J319" s="11">
        <v>184.0</v>
      </c>
      <c r="K319" s="11">
        <v>8.0</v>
      </c>
      <c r="L319" s="11">
        <v>18.0</v>
      </c>
      <c r="M319" s="13">
        <f t="shared" ref="M319:O319" si="321">IFERROR(G319/F319,"")</f>
        <v>0.1469066598</v>
      </c>
      <c r="N319" s="13">
        <f t="shared" si="321"/>
        <v>1</v>
      </c>
      <c r="O319" s="14">
        <f t="shared" si="321"/>
        <v>0.06609255759</v>
      </c>
      <c r="P319" s="13">
        <f t="shared" si="3"/>
        <v>0.01288244767</v>
      </c>
      <c r="Q319" s="13">
        <f t="shared" si="4"/>
        <v>0.0005601064202</v>
      </c>
      <c r="R319" s="13">
        <f t="shared" si="5"/>
        <v>0.001260239445</v>
      </c>
      <c r="S319" s="14">
        <f t="shared" si="6"/>
        <v>0.4393565487</v>
      </c>
      <c r="T319" s="14">
        <f t="shared" si="7"/>
        <v>1</v>
      </c>
      <c r="U319" s="14">
        <f t="shared" si="8"/>
        <v>0.7398967651</v>
      </c>
    </row>
    <row r="320" ht="15.75" customHeight="1">
      <c r="A320" s="9">
        <v>45262.6331911458</v>
      </c>
      <c r="B320" s="10">
        <v>15.0</v>
      </c>
      <c r="C320" s="10" t="s">
        <v>69</v>
      </c>
      <c r="D320" s="10" t="s">
        <v>1083</v>
      </c>
      <c r="E320" s="12" t="s">
        <v>62</v>
      </c>
      <c r="F320" s="11">
        <v>2593223.0</v>
      </c>
      <c r="G320" s="11">
        <v>241120.0</v>
      </c>
      <c r="H320" s="11">
        <v>241120.0</v>
      </c>
      <c r="I320" s="11">
        <v>8193.0</v>
      </c>
      <c r="J320" s="11">
        <v>799.0</v>
      </c>
      <c r="K320" s="11">
        <v>42.0</v>
      </c>
      <c r="L320" s="11">
        <v>66.0</v>
      </c>
      <c r="M320" s="13">
        <f t="shared" ref="M320:O320" si="322">IFERROR(G320/F320,"")</f>
        <v>0.09298081962</v>
      </c>
      <c r="N320" s="13">
        <f t="shared" si="322"/>
        <v>1</v>
      </c>
      <c r="O320" s="14">
        <f t="shared" si="322"/>
        <v>0.03397893165</v>
      </c>
      <c r="P320" s="13">
        <f t="shared" si="3"/>
        <v>0.003313702721</v>
      </c>
      <c r="Q320" s="13">
        <f t="shared" si="4"/>
        <v>0.0001741871267</v>
      </c>
      <c r="R320" s="13">
        <f t="shared" si="5"/>
        <v>0.0002737226277</v>
      </c>
      <c r="S320" s="14">
        <f t="shared" si="6"/>
        <v>0.2770219517</v>
      </c>
      <c r="T320" s="14">
        <f t="shared" si="7"/>
        <v>1</v>
      </c>
      <c r="U320" s="14">
        <f t="shared" si="8"/>
        <v>0.2301000077</v>
      </c>
    </row>
    <row r="321" ht="15.75" customHeight="1">
      <c r="A321" s="9">
        <v>45264.5223499074</v>
      </c>
      <c r="B321" s="10">
        <v>12.0</v>
      </c>
      <c r="C321" s="10" t="s">
        <v>71</v>
      </c>
      <c r="D321" s="10" t="s">
        <v>1087</v>
      </c>
      <c r="E321" s="12" t="s">
        <v>62</v>
      </c>
      <c r="F321" s="11">
        <v>10322.0</v>
      </c>
      <c r="G321" s="11">
        <v>4833.0</v>
      </c>
      <c r="H321" s="11">
        <v>4833.0</v>
      </c>
      <c r="I321" s="11">
        <v>551.0</v>
      </c>
      <c r="J321" s="11">
        <v>114.0</v>
      </c>
      <c r="K321" s="11">
        <v>9.0</v>
      </c>
      <c r="L321" s="11">
        <v>5.0</v>
      </c>
      <c r="M321" s="13">
        <f t="shared" ref="M321:O321" si="323">IFERROR(G321/F321,"")</f>
        <v>0.4682232126</v>
      </c>
      <c r="N321" s="13">
        <f t="shared" si="323"/>
        <v>1</v>
      </c>
      <c r="O321" s="14">
        <f t="shared" si="323"/>
        <v>0.1140078626</v>
      </c>
      <c r="P321" s="13">
        <f t="shared" si="3"/>
        <v>0.02358783364</v>
      </c>
      <c r="Q321" s="13">
        <f t="shared" si="4"/>
        <v>0.001862197393</v>
      </c>
      <c r="R321" s="13">
        <f t="shared" si="5"/>
        <v>0.001034554107</v>
      </c>
      <c r="S321" s="14">
        <f t="shared" si="6"/>
        <v>1.401341352</v>
      </c>
      <c r="T321" s="14">
        <f t="shared" si="7"/>
        <v>1</v>
      </c>
      <c r="U321" s="14">
        <f t="shared" si="8"/>
        <v>2.465549348</v>
      </c>
    </row>
    <row r="322" ht="15.75" customHeight="1">
      <c r="A322" s="9">
        <v>45266.8207943866</v>
      </c>
      <c r="B322" s="10">
        <v>19.0</v>
      </c>
      <c r="C322" s="10" t="s">
        <v>80</v>
      </c>
      <c r="D322" s="10" t="s">
        <v>1092</v>
      </c>
      <c r="E322" s="12" t="s">
        <v>62</v>
      </c>
      <c r="F322" s="11">
        <v>12055.0</v>
      </c>
      <c r="G322" s="11">
        <v>4674.0</v>
      </c>
      <c r="H322" s="11">
        <v>4673.0</v>
      </c>
      <c r="I322" s="11">
        <v>576.0</v>
      </c>
      <c r="J322" s="11">
        <v>87.0</v>
      </c>
      <c r="K322" s="11">
        <v>3.0</v>
      </c>
      <c r="L322" s="11">
        <v>5.0</v>
      </c>
      <c r="M322" s="13">
        <f t="shared" ref="M322:O322" si="324">IFERROR(G322/F322,"")</f>
        <v>0.3877229365</v>
      </c>
      <c r="N322" s="13">
        <f t="shared" si="324"/>
        <v>0.9997860505</v>
      </c>
      <c r="O322" s="14">
        <f t="shared" si="324"/>
        <v>0.1232612883</v>
      </c>
      <c r="P322" s="13">
        <f t="shared" si="3"/>
        <v>0.01861759041</v>
      </c>
      <c r="Q322" s="13">
        <f t="shared" si="4"/>
        <v>0.0006419858763</v>
      </c>
      <c r="R322" s="13">
        <f t="shared" si="5"/>
        <v>0.001069976461</v>
      </c>
      <c r="S322" s="14">
        <f t="shared" si="6"/>
        <v>1.159570379</v>
      </c>
      <c r="T322" s="14">
        <f t="shared" si="7"/>
        <v>0.9997860505</v>
      </c>
      <c r="U322" s="14">
        <f t="shared" si="8"/>
        <v>0.8584113292</v>
      </c>
    </row>
    <row r="323" ht="15.75" customHeight="1">
      <c r="A323" s="9">
        <v>45268.5077701157</v>
      </c>
      <c r="B323" s="10">
        <v>12.0</v>
      </c>
      <c r="C323" s="10" t="s">
        <v>60</v>
      </c>
      <c r="D323" s="10" t="s">
        <v>1097</v>
      </c>
      <c r="E323" s="12" t="s">
        <v>62</v>
      </c>
      <c r="F323" s="11">
        <v>6107.0</v>
      </c>
      <c r="G323" s="11">
        <v>2614.0</v>
      </c>
      <c r="H323" s="11">
        <v>2607.0</v>
      </c>
      <c r="I323" s="11">
        <v>307.0</v>
      </c>
      <c r="J323" s="11">
        <v>48.0</v>
      </c>
      <c r="K323" s="11">
        <v>2.0</v>
      </c>
      <c r="L323" s="11">
        <v>1.0</v>
      </c>
      <c r="M323" s="13">
        <f t="shared" ref="M323:O323" si="325">IFERROR(G323/F323,"")</f>
        <v>0.4280334043</v>
      </c>
      <c r="N323" s="13">
        <f t="shared" si="325"/>
        <v>0.9973221117</v>
      </c>
      <c r="O323" s="14">
        <f t="shared" si="325"/>
        <v>0.1177598773</v>
      </c>
      <c r="P323" s="13">
        <f t="shared" si="3"/>
        <v>0.01841196778</v>
      </c>
      <c r="Q323" s="13">
        <f t="shared" si="4"/>
        <v>0.0007671653241</v>
      </c>
      <c r="R323" s="13">
        <f t="shared" si="5"/>
        <v>0.0003835826621</v>
      </c>
      <c r="S323" s="14">
        <f t="shared" si="6"/>
        <v>1.28105761</v>
      </c>
      <c r="T323" s="14">
        <f t="shared" si="7"/>
        <v>0.9973221117</v>
      </c>
      <c r="U323" s="14">
        <f t="shared" si="8"/>
        <v>1.015726889</v>
      </c>
    </row>
    <row r="324" ht="15.75" customHeight="1">
      <c r="A324" s="9">
        <v>45270.7298932755</v>
      </c>
      <c r="B324" s="10">
        <v>17.0</v>
      </c>
      <c r="C324" s="10" t="s">
        <v>77</v>
      </c>
      <c r="D324" s="10" t="s">
        <v>1101</v>
      </c>
      <c r="E324" s="12" t="s">
        <v>62</v>
      </c>
      <c r="F324" s="11">
        <v>5872923.0</v>
      </c>
      <c r="G324" s="11">
        <v>574534.0</v>
      </c>
      <c r="H324" s="11">
        <v>574532.0</v>
      </c>
      <c r="I324" s="11">
        <v>11420.0</v>
      </c>
      <c r="J324" s="11">
        <v>1183.0</v>
      </c>
      <c r="K324" s="11">
        <v>33.0</v>
      </c>
      <c r="L324" s="11">
        <v>92.0</v>
      </c>
      <c r="M324" s="13">
        <f t="shared" ref="M324:O324" si="326">IFERROR(G324/F324,"")</f>
        <v>0.09782760646</v>
      </c>
      <c r="N324" s="13">
        <f t="shared" si="326"/>
        <v>0.9999965189</v>
      </c>
      <c r="O324" s="14">
        <f t="shared" si="326"/>
        <v>0.01987704775</v>
      </c>
      <c r="P324" s="13">
        <f t="shared" si="3"/>
        <v>0.002059067206</v>
      </c>
      <c r="Q324" s="13">
        <f t="shared" si="4"/>
        <v>0.00005743805393</v>
      </c>
      <c r="R324" s="13">
        <f t="shared" si="5"/>
        <v>0.0001601303322</v>
      </c>
      <c r="S324" s="14">
        <f t="shared" si="6"/>
        <v>0.2959710717</v>
      </c>
      <c r="T324" s="14">
        <f t="shared" si="7"/>
        <v>0.9999965189</v>
      </c>
      <c r="U324" s="14">
        <f t="shared" si="8"/>
        <v>0.0760479834</v>
      </c>
    </row>
    <row r="325" ht="15.75" customHeight="1">
      <c r="A325" s="9">
        <v>45272.6385518982</v>
      </c>
      <c r="B325" s="10">
        <v>15.0</v>
      </c>
      <c r="C325" s="10" t="s">
        <v>59</v>
      </c>
      <c r="D325" s="10" t="s">
        <v>1104</v>
      </c>
      <c r="E325" s="12" t="s">
        <v>62</v>
      </c>
      <c r="F325" s="11">
        <v>892221.0</v>
      </c>
      <c r="G325" s="11">
        <v>152306.0</v>
      </c>
      <c r="H325" s="11">
        <v>152314.0</v>
      </c>
      <c r="I325" s="11">
        <v>10696.0</v>
      </c>
      <c r="J325" s="11">
        <v>615.0</v>
      </c>
      <c r="K325" s="11">
        <v>67.0</v>
      </c>
      <c r="L325" s="11">
        <v>37.0</v>
      </c>
      <c r="M325" s="13">
        <f t="shared" ref="M325:O325" si="327">IFERROR(G325/F325,"")</f>
        <v>0.1707043434</v>
      </c>
      <c r="N325" s="13">
        <f t="shared" si="327"/>
        <v>1.000052526</v>
      </c>
      <c r="O325" s="14">
        <f t="shared" si="327"/>
        <v>0.07022335439</v>
      </c>
      <c r="P325" s="13">
        <f t="shared" si="3"/>
        <v>0.00403771157</v>
      </c>
      <c r="Q325" s="13">
        <f t="shared" si="4"/>
        <v>0.0004398807726</v>
      </c>
      <c r="R325" s="13">
        <f t="shared" si="5"/>
        <v>0.0002429192326</v>
      </c>
      <c r="S325" s="14">
        <f t="shared" si="6"/>
        <v>0.5268621792</v>
      </c>
      <c r="T325" s="14">
        <f t="shared" si="7"/>
        <v>1.000052526</v>
      </c>
      <c r="U325" s="14">
        <f t="shared" si="8"/>
        <v>0.5881728129</v>
      </c>
    </row>
    <row r="326" ht="15.75" customHeight="1">
      <c r="A326" s="9">
        <v>45274.5546055556</v>
      </c>
      <c r="B326" s="10">
        <v>13.0</v>
      </c>
      <c r="C326" s="10" t="s">
        <v>84</v>
      </c>
      <c r="D326" s="10" t="s">
        <v>1107</v>
      </c>
      <c r="E326" s="12" t="s">
        <v>62</v>
      </c>
      <c r="F326" s="11">
        <v>436440.0</v>
      </c>
      <c r="G326" s="11">
        <v>58969.0</v>
      </c>
      <c r="H326" s="11">
        <v>58972.0</v>
      </c>
      <c r="I326" s="11">
        <v>2303.0</v>
      </c>
      <c r="J326" s="11">
        <v>305.0</v>
      </c>
      <c r="K326" s="11">
        <v>16.0</v>
      </c>
      <c r="L326" s="11">
        <v>19.0</v>
      </c>
      <c r="M326" s="13">
        <f t="shared" ref="M326:O326" si="328">IFERROR(G326/F326,"")</f>
        <v>0.1351136468</v>
      </c>
      <c r="N326" s="13">
        <f t="shared" si="328"/>
        <v>1.000050874</v>
      </c>
      <c r="O326" s="14">
        <f t="shared" si="328"/>
        <v>0.03905243166</v>
      </c>
      <c r="P326" s="13">
        <f t="shared" si="3"/>
        <v>0.005171946008</v>
      </c>
      <c r="Q326" s="13">
        <f t="shared" si="4"/>
        <v>0.0002713152004</v>
      </c>
      <c r="R326" s="13">
        <f t="shared" si="5"/>
        <v>0.0003221868005</v>
      </c>
      <c r="S326" s="14">
        <f t="shared" si="6"/>
        <v>0.4235751345</v>
      </c>
      <c r="T326" s="14">
        <f t="shared" si="7"/>
        <v>1.000050874</v>
      </c>
      <c r="U326" s="14">
        <f t="shared" si="8"/>
        <v>0.3627806318</v>
      </c>
    </row>
    <row r="327" ht="15.75" customHeight="1">
      <c r="A327" s="9">
        <v>45276.4784329167</v>
      </c>
      <c r="B327" s="10">
        <v>11.0</v>
      </c>
      <c r="C327" s="10" t="s">
        <v>69</v>
      </c>
      <c r="D327" s="10" t="s">
        <v>1110</v>
      </c>
      <c r="E327" s="12" t="s">
        <v>62</v>
      </c>
      <c r="F327" s="11">
        <v>4959.0</v>
      </c>
      <c r="G327" s="11">
        <v>1796.0</v>
      </c>
      <c r="H327" s="11">
        <v>1802.0</v>
      </c>
      <c r="I327" s="11">
        <v>168.0</v>
      </c>
      <c r="J327" s="11">
        <v>72.0</v>
      </c>
      <c r="K327" s="11">
        <v>4.0</v>
      </c>
      <c r="L327" s="11">
        <v>1.0</v>
      </c>
      <c r="M327" s="13">
        <f t="shared" ref="M327:O327" si="329">IFERROR(G327/F327,"")</f>
        <v>0.3621697923</v>
      </c>
      <c r="N327" s="13">
        <f t="shared" si="329"/>
        <v>1.003340757</v>
      </c>
      <c r="O327" s="14">
        <f t="shared" si="329"/>
        <v>0.09322974473</v>
      </c>
      <c r="P327" s="13">
        <f t="shared" si="3"/>
        <v>0.03995560488</v>
      </c>
      <c r="Q327" s="13">
        <f t="shared" si="4"/>
        <v>0.002219755827</v>
      </c>
      <c r="R327" s="13">
        <f t="shared" si="5"/>
        <v>0.0005549389567</v>
      </c>
      <c r="S327" s="14">
        <f t="shared" si="6"/>
        <v>1.15383035</v>
      </c>
      <c r="T327" s="14">
        <f t="shared" si="7"/>
        <v>1.003340757</v>
      </c>
      <c r="U327" s="14">
        <f t="shared" si="8"/>
        <v>3.062657653</v>
      </c>
    </row>
    <row r="328" ht="15.75" customHeight="1">
      <c r="A328" s="9">
        <v>45278.5935126968</v>
      </c>
      <c r="B328" s="10">
        <v>14.0</v>
      </c>
      <c r="C328" s="10" t="s">
        <v>71</v>
      </c>
      <c r="D328" s="10" t="s">
        <v>1113</v>
      </c>
      <c r="E328" s="12" t="s">
        <v>62</v>
      </c>
      <c r="F328" s="11">
        <v>20993.0</v>
      </c>
      <c r="G328" s="11">
        <v>8045.0</v>
      </c>
      <c r="H328" s="11">
        <v>8046.0</v>
      </c>
      <c r="I328" s="11">
        <v>1000.0</v>
      </c>
      <c r="J328" s="11">
        <v>131.0</v>
      </c>
      <c r="K328" s="11">
        <v>5.0</v>
      </c>
      <c r="L328" s="11">
        <v>9.0</v>
      </c>
      <c r="M328" s="13">
        <f t="shared" ref="M328:O328" si="330">IFERROR(G328/F328,"")</f>
        <v>0.3832229791</v>
      </c>
      <c r="N328" s="13">
        <f t="shared" si="330"/>
        <v>1.000124301</v>
      </c>
      <c r="O328" s="14">
        <f t="shared" si="330"/>
        <v>0.1242853592</v>
      </c>
      <c r="P328" s="13">
        <f t="shared" si="3"/>
        <v>0.01628138205</v>
      </c>
      <c r="Q328" s="13">
        <f t="shared" si="4"/>
        <v>0.0006214267959</v>
      </c>
      <c r="R328" s="13">
        <f t="shared" si="5"/>
        <v>0.001118568233</v>
      </c>
      <c r="S328" s="14">
        <f t="shared" si="6"/>
        <v>1.236691994</v>
      </c>
      <c r="T328" s="14">
        <f t="shared" si="7"/>
        <v>1.000124301</v>
      </c>
      <c r="U328" s="14">
        <f t="shared" si="8"/>
        <v>0.8811831966</v>
      </c>
    </row>
    <row r="329" ht="15.75" customHeight="1">
      <c r="A329" s="9">
        <v>45280.6157947107</v>
      </c>
      <c r="B329" s="10">
        <v>14.0</v>
      </c>
      <c r="C329" s="10" t="s">
        <v>80</v>
      </c>
      <c r="D329" s="10" t="s">
        <v>1116</v>
      </c>
      <c r="E329" s="12" t="s">
        <v>62</v>
      </c>
      <c r="F329" s="11">
        <v>4213.0</v>
      </c>
      <c r="G329" s="11">
        <v>1426.0</v>
      </c>
      <c r="H329" s="11">
        <v>1418.0</v>
      </c>
      <c r="I329" s="11">
        <v>90.0</v>
      </c>
      <c r="J329" s="11">
        <v>48.0</v>
      </c>
      <c r="K329" s="11">
        <v>1.0</v>
      </c>
      <c r="L329" s="11">
        <v>3.0</v>
      </c>
      <c r="M329" s="13">
        <f t="shared" ref="M329:O329" si="331">IFERROR(G329/F329,"")</f>
        <v>0.3384761453</v>
      </c>
      <c r="N329" s="13">
        <f t="shared" si="331"/>
        <v>0.9943899018</v>
      </c>
      <c r="O329" s="14">
        <f t="shared" si="331"/>
        <v>0.0634696756</v>
      </c>
      <c r="P329" s="13">
        <f t="shared" si="3"/>
        <v>0.03385049365</v>
      </c>
      <c r="Q329" s="13">
        <f t="shared" si="4"/>
        <v>0.0007052186178</v>
      </c>
      <c r="R329" s="13">
        <f t="shared" si="5"/>
        <v>0.002115655853</v>
      </c>
      <c r="S329" s="14">
        <f t="shared" si="6"/>
        <v>1.099442982</v>
      </c>
      <c r="T329" s="14">
        <f t="shared" si="7"/>
        <v>0.9943860788</v>
      </c>
      <c r="U329" s="14">
        <f t="shared" si="8"/>
        <v>1.012018812</v>
      </c>
    </row>
    <row r="330" ht="15.75" customHeight="1">
      <c r="A330" s="9">
        <v>45282.5343896759</v>
      </c>
      <c r="B330" s="10">
        <v>12.0</v>
      </c>
      <c r="C330" s="10" t="s">
        <v>60</v>
      </c>
      <c r="D330" s="10" t="s">
        <v>1119</v>
      </c>
      <c r="E330" s="12" t="s">
        <v>62</v>
      </c>
      <c r="F330" s="11">
        <v>4606.0</v>
      </c>
      <c r="G330" s="11">
        <v>1335.0</v>
      </c>
      <c r="H330" s="11">
        <v>1324.0</v>
      </c>
      <c r="I330" s="11">
        <v>85.0</v>
      </c>
      <c r="J330" s="11">
        <v>58.0</v>
      </c>
      <c r="K330" s="11">
        <v>1.0</v>
      </c>
      <c r="L330" s="11">
        <v>2.0</v>
      </c>
      <c r="M330" s="13">
        <f t="shared" ref="M330:O330" si="332">IFERROR(G330/F330,"")</f>
        <v>0.28983934</v>
      </c>
      <c r="N330" s="13">
        <f t="shared" si="332"/>
        <v>0.9917602996</v>
      </c>
      <c r="O330" s="14">
        <f t="shared" si="332"/>
        <v>0.06419939577</v>
      </c>
      <c r="P330" s="13">
        <f t="shared" si="3"/>
        <v>0.04380664653</v>
      </c>
      <c r="Q330" s="13">
        <f t="shared" si="4"/>
        <v>0.0007552870091</v>
      </c>
      <c r="R330" s="13">
        <f t="shared" si="5"/>
        <v>0.001510574018</v>
      </c>
      <c r="S330" s="14">
        <f t="shared" si="6"/>
        <v>0.9799102658</v>
      </c>
      <c r="T330" s="14">
        <f t="shared" si="7"/>
        <v>0.9917539667</v>
      </c>
      <c r="U330" s="14">
        <f t="shared" si="8"/>
        <v>1.176485398</v>
      </c>
    </row>
    <row r="331" ht="15.75" customHeight="1">
      <c r="A331" s="9">
        <v>45284.5489953935</v>
      </c>
      <c r="B331" s="10">
        <v>13.0</v>
      </c>
      <c r="C331" s="10" t="s">
        <v>77</v>
      </c>
      <c r="D331" s="10" t="s">
        <v>1122</v>
      </c>
      <c r="E331" s="12" t="s">
        <v>62</v>
      </c>
      <c r="F331" s="11">
        <v>8006.0</v>
      </c>
      <c r="G331" s="11">
        <v>2905.0</v>
      </c>
      <c r="H331" s="11">
        <v>2905.0</v>
      </c>
      <c r="I331" s="11">
        <v>255.0</v>
      </c>
      <c r="J331" s="11">
        <v>77.0</v>
      </c>
      <c r="K331" s="11">
        <v>2.0</v>
      </c>
      <c r="L331" s="11">
        <v>4.0</v>
      </c>
      <c r="M331" s="13">
        <f t="shared" ref="M331:O331" si="333">IFERROR(G331/F331,"")</f>
        <v>0.3628528604</v>
      </c>
      <c r="N331" s="13">
        <f t="shared" si="333"/>
        <v>1</v>
      </c>
      <c r="O331" s="14">
        <f t="shared" si="333"/>
        <v>0.08777969019</v>
      </c>
      <c r="P331" s="13">
        <f t="shared" si="3"/>
        <v>0.0265060241</v>
      </c>
      <c r="Q331" s="13">
        <f t="shared" si="4"/>
        <v>0.0006884681583</v>
      </c>
      <c r="R331" s="13">
        <f t="shared" si="5"/>
        <v>0.001376936317</v>
      </c>
      <c r="S331" s="14">
        <f t="shared" si="6"/>
        <v>1.226759773</v>
      </c>
      <c r="T331" s="14">
        <f t="shared" si="7"/>
        <v>0.9999986962</v>
      </c>
      <c r="U331" s="14">
        <f t="shared" si="8"/>
        <v>1.072403901</v>
      </c>
    </row>
    <row r="332" ht="15.75" customHeight="1">
      <c r="A332" s="9">
        <v>45286.5461264236</v>
      </c>
      <c r="B332" s="10">
        <v>13.0</v>
      </c>
      <c r="C332" s="10" t="s">
        <v>59</v>
      </c>
      <c r="D332" s="10" t="s">
        <v>1126</v>
      </c>
      <c r="E332" s="12" t="s">
        <v>62</v>
      </c>
      <c r="F332" s="11">
        <v>17380.0</v>
      </c>
      <c r="G332" s="11">
        <v>4641.0</v>
      </c>
      <c r="H332" s="11">
        <v>4645.0</v>
      </c>
      <c r="I332" s="11">
        <v>581.0</v>
      </c>
      <c r="J332" s="11">
        <v>303.0</v>
      </c>
      <c r="K332" s="11">
        <v>8.0</v>
      </c>
      <c r="L332" s="11">
        <v>6.0</v>
      </c>
      <c r="M332" s="13">
        <f t="shared" ref="M332:O332" si="334">IFERROR(G332/F332,"")</f>
        <v>0.2670310702</v>
      </c>
      <c r="N332" s="13">
        <f t="shared" si="334"/>
        <v>1.000861883</v>
      </c>
      <c r="O332" s="14">
        <f t="shared" si="334"/>
        <v>0.125080732</v>
      </c>
      <c r="P332" s="13">
        <f t="shared" si="3"/>
        <v>0.06523143165</v>
      </c>
      <c r="Q332" s="13">
        <f t="shared" si="4"/>
        <v>0.001722282024</v>
      </c>
      <c r="R332" s="13">
        <f t="shared" si="5"/>
        <v>0.001291711518</v>
      </c>
      <c r="S332" s="14">
        <f t="shared" si="6"/>
        <v>0.9108734845</v>
      </c>
      <c r="T332" s="14">
        <f t="shared" si="7"/>
        <v>1.000854523</v>
      </c>
      <c r="U332" s="14">
        <f t="shared" si="8"/>
        <v>2.819220559</v>
      </c>
    </row>
    <row r="333" ht="15.75" customHeight="1">
      <c r="A333" s="9">
        <v>45288.8069952199</v>
      </c>
      <c r="B333" s="10">
        <v>19.0</v>
      </c>
      <c r="C333" s="10" t="s">
        <v>84</v>
      </c>
      <c r="D333" s="10" t="s">
        <v>1129</v>
      </c>
      <c r="E333" s="12" t="s">
        <v>62</v>
      </c>
      <c r="F333" s="11">
        <v>3817910.0</v>
      </c>
      <c r="G333" s="11">
        <v>1081656.0</v>
      </c>
      <c r="H333" s="11">
        <v>1081723.0</v>
      </c>
      <c r="I333" s="11">
        <v>112322.0</v>
      </c>
      <c r="J333" s="11">
        <v>4725.0</v>
      </c>
      <c r="K333" s="11">
        <v>201.0</v>
      </c>
      <c r="L333" s="11">
        <v>562.0</v>
      </c>
      <c r="M333" s="13">
        <f t="shared" ref="M333:O333" si="335">IFERROR(G333/F333,"")</f>
        <v>0.2833110262</v>
      </c>
      <c r="N333" s="13">
        <f t="shared" si="335"/>
        <v>1.000061942</v>
      </c>
      <c r="O333" s="14">
        <f t="shared" si="335"/>
        <v>0.1038361947</v>
      </c>
      <c r="P333" s="13">
        <f t="shared" si="3"/>
        <v>0.004368031372</v>
      </c>
      <c r="Q333" s="13">
        <f t="shared" si="4"/>
        <v>0.0001858146679</v>
      </c>
      <c r="R333" s="13">
        <f t="shared" si="5"/>
        <v>0.0005195415092</v>
      </c>
      <c r="S333" s="14">
        <f t="shared" si="6"/>
        <v>0.9809770398</v>
      </c>
      <c r="T333" s="14">
        <f t="shared" si="7"/>
        <v>1.000051585</v>
      </c>
      <c r="U333" s="14">
        <f t="shared" si="8"/>
        <v>0.3236891515</v>
      </c>
    </row>
    <row r="334" ht="15.75" customHeight="1">
      <c r="A334" s="9">
        <v>45290.5374111806</v>
      </c>
      <c r="B334" s="10">
        <v>12.0</v>
      </c>
      <c r="C334" s="10" t="s">
        <v>69</v>
      </c>
      <c r="D334" s="10" t="s">
        <v>1133</v>
      </c>
      <c r="E334" s="12" t="s">
        <v>62</v>
      </c>
      <c r="F334" s="11">
        <v>839624.0</v>
      </c>
      <c r="G334" s="11">
        <v>182402.0</v>
      </c>
      <c r="H334" s="11">
        <v>182416.0</v>
      </c>
      <c r="I334" s="11">
        <v>20401.0</v>
      </c>
      <c r="J334" s="11">
        <v>1866.0</v>
      </c>
      <c r="K334" s="11">
        <v>226.0</v>
      </c>
      <c r="L334" s="11">
        <v>308.0</v>
      </c>
      <c r="M334" s="13">
        <f t="shared" ref="M334:O334" si="336">IFERROR(G334/F334,"")</f>
        <v>0.21724248</v>
      </c>
      <c r="N334" s="13">
        <f t="shared" si="336"/>
        <v>1.000076754</v>
      </c>
      <c r="O334" s="14">
        <f t="shared" si="336"/>
        <v>0.1118377774</v>
      </c>
      <c r="P334" s="13">
        <f t="shared" si="3"/>
        <v>0.01022936585</v>
      </c>
      <c r="Q334" s="13">
        <f t="shared" si="4"/>
        <v>0.00123892641</v>
      </c>
      <c r="R334" s="13">
        <f t="shared" si="5"/>
        <v>0.001688448382</v>
      </c>
      <c r="S334" s="14">
        <f t="shared" si="6"/>
        <v>0.7667985355</v>
      </c>
      <c r="T334" s="14">
        <f t="shared" si="7"/>
        <v>1.000066397</v>
      </c>
      <c r="U334" s="14">
        <f t="shared" si="8"/>
        <v>2.20343062</v>
      </c>
    </row>
    <row r="335" ht="15.75" customHeight="1">
      <c r="A335" s="9">
        <v>45292.6441058449</v>
      </c>
      <c r="B335" s="10">
        <v>15.0</v>
      </c>
      <c r="C335" s="10" t="s">
        <v>71</v>
      </c>
      <c r="D335" s="10" t="s">
        <v>1137</v>
      </c>
      <c r="E335" s="12" t="s">
        <v>62</v>
      </c>
      <c r="F335" s="11">
        <v>289075.0</v>
      </c>
      <c r="G335" s="11">
        <v>73274.0</v>
      </c>
      <c r="H335" s="11">
        <v>73286.0</v>
      </c>
      <c r="I335" s="11">
        <v>8187.0</v>
      </c>
      <c r="J335" s="11">
        <v>1210.0</v>
      </c>
      <c r="K335" s="11">
        <v>44.0</v>
      </c>
      <c r="L335" s="11">
        <v>149.0</v>
      </c>
      <c r="M335" s="13">
        <f t="shared" ref="M335:O335" si="337">IFERROR(G335/F335,"")</f>
        <v>0.2534774712</v>
      </c>
      <c r="N335" s="13">
        <f t="shared" si="337"/>
        <v>1.000163769</v>
      </c>
      <c r="O335" s="14">
        <f t="shared" si="337"/>
        <v>0.1117130148</v>
      </c>
      <c r="P335" s="13">
        <f t="shared" si="3"/>
        <v>0.01651065688</v>
      </c>
      <c r="Q335" s="13">
        <f t="shared" si="4"/>
        <v>0.0006003875229</v>
      </c>
      <c r="R335" s="13">
        <f t="shared" si="5"/>
        <v>0.002033130475</v>
      </c>
      <c r="S335" s="14">
        <f t="shared" si="6"/>
        <v>0.8965390416</v>
      </c>
      <c r="T335" s="14">
        <f t="shared" si="7"/>
        <v>1.000152478</v>
      </c>
      <c r="U335" s="14">
        <f t="shared" si="8"/>
        <v>1.06984906</v>
      </c>
    </row>
    <row r="336" ht="15.75" customHeight="1">
      <c r="A336" s="9">
        <v>45294.7019623958</v>
      </c>
      <c r="B336" s="10">
        <v>16.0</v>
      </c>
      <c r="C336" s="10" t="s">
        <v>80</v>
      </c>
      <c r="D336" s="10" t="s">
        <v>1140</v>
      </c>
      <c r="E336" s="12" t="s">
        <v>62</v>
      </c>
      <c r="F336" s="11">
        <v>5866477.0</v>
      </c>
      <c r="G336" s="11">
        <v>767003.0</v>
      </c>
      <c r="H336" s="11">
        <v>767004.0</v>
      </c>
      <c r="I336" s="11">
        <v>24671.0</v>
      </c>
      <c r="J336" s="11">
        <v>2460.0</v>
      </c>
      <c r="K336" s="11">
        <v>77.0</v>
      </c>
      <c r="L336" s="11">
        <v>290.0</v>
      </c>
      <c r="M336" s="13">
        <f t="shared" ref="M336:O336" si="338">IFERROR(G336/F336,"")</f>
        <v>0.1307433746</v>
      </c>
      <c r="N336" s="13">
        <f t="shared" si="338"/>
        <v>1.000001304</v>
      </c>
      <c r="O336" s="14">
        <f t="shared" si="338"/>
        <v>0.03216541244</v>
      </c>
      <c r="P336" s="13">
        <f t="shared" si="3"/>
        <v>0.003207284447</v>
      </c>
      <c r="Q336" s="13">
        <f t="shared" si="4"/>
        <v>0.0001003906107</v>
      </c>
      <c r="R336" s="13">
        <f t="shared" si="5"/>
        <v>0.000378094508</v>
      </c>
      <c r="S336" s="14">
        <f t="shared" si="6"/>
        <v>0.4633879009</v>
      </c>
      <c r="T336" s="14">
        <f t="shared" si="7"/>
        <v>0.9999890811</v>
      </c>
      <c r="U336" s="14">
        <f t="shared" si="8"/>
        <v>0.1785447012</v>
      </c>
    </row>
    <row r="337" ht="15.75" customHeight="1">
      <c r="A337" s="9">
        <v>45296.6741784838</v>
      </c>
      <c r="B337" s="10">
        <v>16.0</v>
      </c>
      <c r="C337" s="10" t="s">
        <v>60</v>
      </c>
      <c r="D337" s="10" t="s">
        <v>1144</v>
      </c>
      <c r="E337" s="12" t="s">
        <v>62</v>
      </c>
      <c r="F337" s="11">
        <v>6013.0</v>
      </c>
      <c r="G337" s="11">
        <v>1747.0</v>
      </c>
      <c r="H337" s="11">
        <v>1751.0</v>
      </c>
      <c r="I337" s="11">
        <v>133.0</v>
      </c>
      <c r="J337" s="11">
        <v>97.0</v>
      </c>
      <c r="K337" s="11">
        <v>2.0</v>
      </c>
      <c r="L337" s="11">
        <v>3.0</v>
      </c>
      <c r="M337" s="13">
        <f t="shared" ref="M337:O337" si="339">IFERROR(G337/F337,"")</f>
        <v>0.2905371695</v>
      </c>
      <c r="N337" s="13">
        <f t="shared" si="339"/>
        <v>1.002289639</v>
      </c>
      <c r="O337" s="14">
        <f t="shared" si="339"/>
        <v>0.07595659623</v>
      </c>
      <c r="P337" s="13">
        <f t="shared" si="3"/>
        <v>0.05539691605</v>
      </c>
      <c r="Q337" s="13">
        <f t="shared" si="4"/>
        <v>0.001142204455</v>
      </c>
      <c r="R337" s="13">
        <f t="shared" si="5"/>
        <v>0.001713306682</v>
      </c>
      <c r="S337" s="14">
        <f t="shared" si="6"/>
        <v>1.066458379</v>
      </c>
      <c r="T337" s="14">
        <f t="shared" si="7"/>
        <v>1.002275827</v>
      </c>
      <c r="U337" s="14">
        <f t="shared" si="8"/>
        <v>2.253839363</v>
      </c>
    </row>
    <row r="338" ht="15.75" customHeight="1">
      <c r="A338" s="9">
        <v>45298.6981670486</v>
      </c>
      <c r="B338" s="10">
        <v>16.0</v>
      </c>
      <c r="C338" s="10" t="s">
        <v>77</v>
      </c>
      <c r="D338" s="10" t="s">
        <v>1148</v>
      </c>
      <c r="E338" s="12" t="s">
        <v>62</v>
      </c>
      <c r="F338" s="11">
        <v>10526.0</v>
      </c>
      <c r="G338" s="11">
        <v>3517.0</v>
      </c>
      <c r="H338" s="11">
        <v>3453.0</v>
      </c>
      <c r="I338" s="11">
        <v>306.0</v>
      </c>
      <c r="J338" s="11">
        <v>104.0</v>
      </c>
      <c r="K338" s="11">
        <v>5.0</v>
      </c>
      <c r="L338" s="11">
        <v>8.0</v>
      </c>
      <c r="M338" s="13">
        <f t="shared" ref="M338:O338" si="340">IFERROR(G338/F338,"")</f>
        <v>0.3341250238</v>
      </c>
      <c r="N338" s="13">
        <f t="shared" si="340"/>
        <v>0.9818026727</v>
      </c>
      <c r="O338" s="14">
        <f t="shared" si="340"/>
        <v>0.08861859253</v>
      </c>
      <c r="P338" s="13">
        <f t="shared" si="3"/>
        <v>0.03011873733</v>
      </c>
      <c r="Q338" s="13">
        <f t="shared" si="4"/>
        <v>0.001448016218</v>
      </c>
      <c r="R338" s="13">
        <f t="shared" si="5"/>
        <v>0.002316825948</v>
      </c>
      <c r="S338" s="14">
        <f t="shared" si="6"/>
        <v>1.251258977</v>
      </c>
      <c r="T338" s="14">
        <f t="shared" si="7"/>
        <v>0.9817875532</v>
      </c>
      <c r="U338" s="14">
        <f t="shared" si="8"/>
        <v>3.193283015</v>
      </c>
    </row>
    <row r="339" ht="15.75" customHeight="1">
      <c r="A339" s="9">
        <v>45300.5757057755</v>
      </c>
      <c r="B339" s="10">
        <v>13.0</v>
      </c>
      <c r="C339" s="10" t="s">
        <v>59</v>
      </c>
      <c r="D339" s="10" t="s">
        <v>1151</v>
      </c>
      <c r="E339" s="12" t="s">
        <v>62</v>
      </c>
      <c r="F339" s="11">
        <v>751440.0</v>
      </c>
      <c r="G339" s="11">
        <v>81267.0</v>
      </c>
      <c r="H339" s="11">
        <v>81282.0</v>
      </c>
      <c r="I339" s="11">
        <v>1068.0</v>
      </c>
      <c r="J339" s="11">
        <v>385.0</v>
      </c>
      <c r="K339" s="11">
        <v>9.0</v>
      </c>
      <c r="L339" s="11">
        <v>20.0</v>
      </c>
      <c r="M339" s="13">
        <f t="shared" ref="M339:O339" si="341">IFERROR(G339/F339,"")</f>
        <v>0.1081483552</v>
      </c>
      <c r="N339" s="13">
        <f t="shared" si="341"/>
        <v>1.000184577</v>
      </c>
      <c r="O339" s="14">
        <f t="shared" si="341"/>
        <v>0.01313944047</v>
      </c>
      <c r="P339" s="13">
        <f t="shared" si="3"/>
        <v>0.004736596048</v>
      </c>
      <c r="Q339" s="13">
        <f t="shared" si="4"/>
        <v>0.0001107256219</v>
      </c>
      <c r="R339" s="13">
        <f t="shared" si="5"/>
        <v>0.0002460569376</v>
      </c>
      <c r="S339" s="14">
        <f t="shared" si="6"/>
        <v>0.4107689394</v>
      </c>
      <c r="T339" s="14">
        <f t="shared" si="7"/>
        <v>1.000164436</v>
      </c>
      <c r="U339" s="14">
        <f t="shared" si="8"/>
        <v>0.2184878234</v>
      </c>
    </row>
    <row r="340" ht="15.75" customHeight="1">
      <c r="A340" s="9">
        <v>45302.5409479398</v>
      </c>
      <c r="B340" s="10">
        <v>12.0</v>
      </c>
      <c r="C340" s="10" t="s">
        <v>84</v>
      </c>
      <c r="D340" s="10" t="s">
        <v>1154</v>
      </c>
      <c r="E340" s="12" t="s">
        <v>62</v>
      </c>
      <c r="F340" s="11">
        <v>11524.0</v>
      </c>
      <c r="G340" s="11">
        <v>3567.0</v>
      </c>
      <c r="H340" s="11">
        <v>3561.0</v>
      </c>
      <c r="I340" s="11">
        <v>334.0</v>
      </c>
      <c r="J340" s="11">
        <v>105.0</v>
      </c>
      <c r="K340" s="11">
        <v>3.0</v>
      </c>
      <c r="L340" s="11">
        <v>5.0</v>
      </c>
      <c r="M340" s="13">
        <f t="shared" ref="M340:O340" si="342">IFERROR(G340/F340,"")</f>
        <v>0.3095279417</v>
      </c>
      <c r="N340" s="13">
        <f t="shared" si="342"/>
        <v>0.9983179142</v>
      </c>
      <c r="O340" s="14">
        <f t="shared" si="342"/>
        <v>0.09379387812</v>
      </c>
      <c r="P340" s="13">
        <f t="shared" si="3"/>
        <v>0.02948609941</v>
      </c>
      <c r="Q340" s="13">
        <f t="shared" si="4"/>
        <v>0.0008424599832</v>
      </c>
      <c r="R340" s="13">
        <f t="shared" si="5"/>
        <v>0.001404099972</v>
      </c>
      <c r="S340" s="14">
        <f t="shared" si="6"/>
        <v>1.211503446</v>
      </c>
      <c r="T340" s="14">
        <f t="shared" si="7"/>
        <v>0.9982963632</v>
      </c>
      <c r="U340" s="14">
        <f t="shared" si="8"/>
        <v>1.863961027</v>
      </c>
    </row>
    <row r="341" ht="15.75" customHeight="1">
      <c r="A341" s="9">
        <v>45304.5273061227</v>
      </c>
      <c r="B341" s="10">
        <v>12.0</v>
      </c>
      <c r="C341" s="10" t="s">
        <v>69</v>
      </c>
      <c r="D341" s="10" t="s">
        <v>1159</v>
      </c>
      <c r="E341" s="12" t="s">
        <v>62</v>
      </c>
      <c r="F341" s="11">
        <v>6780.0</v>
      </c>
      <c r="G341" s="11">
        <v>2241.0</v>
      </c>
      <c r="H341" s="11">
        <v>2254.0</v>
      </c>
      <c r="I341" s="11">
        <v>187.0</v>
      </c>
      <c r="J341" s="11">
        <v>64.0</v>
      </c>
      <c r="K341" s="11">
        <v>12.0</v>
      </c>
      <c r="L341" s="11">
        <v>4.0</v>
      </c>
      <c r="M341" s="13">
        <f t="shared" ref="M341:O341" si="343">IFERROR(G341/F341,"")</f>
        <v>0.3305309735</v>
      </c>
      <c r="N341" s="13">
        <f t="shared" si="343"/>
        <v>1.005800982</v>
      </c>
      <c r="O341" s="14">
        <f t="shared" si="343"/>
        <v>0.08296362023</v>
      </c>
      <c r="P341" s="13">
        <f t="shared" si="3"/>
        <v>0.02839396628</v>
      </c>
      <c r="Q341" s="13">
        <f t="shared" si="4"/>
        <v>0.005323868678</v>
      </c>
      <c r="R341" s="13">
        <f t="shared" si="5"/>
        <v>0.001774622893</v>
      </c>
      <c r="S341" s="14">
        <f t="shared" si="6"/>
        <v>1.298827511</v>
      </c>
      <c r="T341" s="14">
        <f t="shared" si="7"/>
        <v>1.005776092</v>
      </c>
      <c r="U341" s="14">
        <f t="shared" si="8"/>
        <v>11.93888298</v>
      </c>
    </row>
    <row r="342" ht="15.75" customHeight="1">
      <c r="A342" s="9">
        <v>45306.5521720949</v>
      </c>
      <c r="B342" s="10">
        <v>13.0</v>
      </c>
      <c r="C342" s="10" t="s">
        <v>71</v>
      </c>
      <c r="D342" s="10" t="s">
        <v>1163</v>
      </c>
      <c r="E342" s="12" t="s">
        <v>62</v>
      </c>
      <c r="F342" s="11">
        <v>6478.0</v>
      </c>
      <c r="G342" s="11">
        <v>2181.0</v>
      </c>
      <c r="H342" s="11">
        <v>2185.0</v>
      </c>
      <c r="I342" s="11">
        <v>197.0</v>
      </c>
      <c r="J342" s="11">
        <v>76.0</v>
      </c>
      <c r="K342" s="11">
        <v>4.0</v>
      </c>
      <c r="L342" s="11">
        <v>6.0</v>
      </c>
      <c r="M342" s="13">
        <f t="shared" ref="M342:O342" si="344">IFERROR(G342/F342,"")</f>
        <v>0.336677987</v>
      </c>
      <c r="N342" s="13">
        <f t="shared" si="344"/>
        <v>1.001834021</v>
      </c>
      <c r="O342" s="14">
        <f t="shared" si="344"/>
        <v>0.09016018307</v>
      </c>
      <c r="P342" s="13">
        <f t="shared" si="3"/>
        <v>0.0347826087</v>
      </c>
      <c r="Q342" s="13">
        <f t="shared" si="4"/>
        <v>0.001830663616</v>
      </c>
      <c r="R342" s="13">
        <f t="shared" si="5"/>
        <v>0.002745995423</v>
      </c>
      <c r="S342" s="14">
        <f t="shared" si="6"/>
        <v>1.36025407</v>
      </c>
      <c r="T342" s="14">
        <f t="shared" si="7"/>
        <v>1.001804551</v>
      </c>
      <c r="U342" s="14">
        <f t="shared" si="8"/>
        <v>4.050383046</v>
      </c>
    </row>
    <row r="343" ht="15.75" customHeight="1">
      <c r="A343" s="9">
        <v>45308.5529924769</v>
      </c>
      <c r="B343" s="10">
        <v>13.0</v>
      </c>
      <c r="C343" s="10" t="s">
        <v>80</v>
      </c>
      <c r="D343" s="10" t="s">
        <v>1166</v>
      </c>
      <c r="E343" s="12" t="s">
        <v>62</v>
      </c>
      <c r="F343" s="11">
        <v>110235.0</v>
      </c>
      <c r="G343" s="11">
        <v>19308.0</v>
      </c>
      <c r="H343" s="11">
        <v>19307.0</v>
      </c>
      <c r="I343" s="11">
        <v>1156.0</v>
      </c>
      <c r="J343" s="11">
        <v>149.0</v>
      </c>
      <c r="K343" s="11">
        <v>7.0</v>
      </c>
      <c r="L343" s="11">
        <v>7.0</v>
      </c>
      <c r="M343" s="13">
        <f t="shared" ref="M343:O343" si="345">IFERROR(G343/F343,"")</f>
        <v>0.1751530821</v>
      </c>
      <c r="N343" s="13">
        <f t="shared" si="345"/>
        <v>0.999948208</v>
      </c>
      <c r="O343" s="14">
        <f t="shared" si="345"/>
        <v>0.05987465686</v>
      </c>
      <c r="P343" s="13">
        <f t="shared" si="3"/>
        <v>0.007717408194</v>
      </c>
      <c r="Q343" s="13">
        <f t="shared" si="4"/>
        <v>0.0003625628011</v>
      </c>
      <c r="R343" s="13">
        <f t="shared" si="5"/>
        <v>0.0003625628011</v>
      </c>
      <c r="S343" s="14">
        <f t="shared" si="6"/>
        <v>0.7076574707</v>
      </c>
      <c r="T343" s="14">
        <f t="shared" si="7"/>
        <v>0.9999187938</v>
      </c>
      <c r="U343" s="14">
        <f t="shared" si="8"/>
        <v>0.8242297087</v>
      </c>
    </row>
    <row r="344" ht="15.75" customHeight="1">
      <c r="A344" s="9">
        <v>45310.592393912</v>
      </c>
      <c r="B344" s="10">
        <v>14.0</v>
      </c>
      <c r="C344" s="10" t="s">
        <v>60</v>
      </c>
      <c r="D344" s="10" t="s">
        <v>1169</v>
      </c>
      <c r="E344" s="12" t="s">
        <v>62</v>
      </c>
      <c r="F344" s="11">
        <v>13476.0</v>
      </c>
      <c r="G344" s="11">
        <v>3559.0</v>
      </c>
      <c r="H344" s="11">
        <v>3557.0</v>
      </c>
      <c r="I344" s="11">
        <v>348.0</v>
      </c>
      <c r="J344" s="11">
        <v>195.0</v>
      </c>
      <c r="K344" s="11">
        <v>2.0</v>
      </c>
      <c r="L344" s="11">
        <v>8.0</v>
      </c>
      <c r="M344" s="13">
        <f t="shared" ref="M344:O344" si="346">IFERROR(G344/F344,"")</f>
        <v>0.2640991392</v>
      </c>
      <c r="N344" s="13">
        <f t="shared" si="346"/>
        <v>0.9994380444</v>
      </c>
      <c r="O344" s="14">
        <f t="shared" si="346"/>
        <v>0.09783525443</v>
      </c>
      <c r="P344" s="13">
        <f t="shared" si="3"/>
        <v>0.05482147877</v>
      </c>
      <c r="Q344" s="13">
        <f t="shared" si="4"/>
        <v>0.0005622715772</v>
      </c>
      <c r="R344" s="13">
        <f t="shared" si="5"/>
        <v>0.002249086309</v>
      </c>
      <c r="S344" s="14">
        <f t="shared" si="6"/>
        <v>1.165377243</v>
      </c>
      <c r="T344" s="14">
        <f t="shared" si="7"/>
        <v>0.9994070274</v>
      </c>
      <c r="U344" s="14">
        <f t="shared" si="8"/>
        <v>1.49355755</v>
      </c>
    </row>
    <row r="345" ht="15.75" customHeight="1">
      <c r="A345" s="9">
        <v>45312.5404718519</v>
      </c>
      <c r="B345" s="10">
        <v>12.0</v>
      </c>
      <c r="C345" s="10" t="s">
        <v>77</v>
      </c>
      <c r="D345" s="10" t="s">
        <v>1172</v>
      </c>
      <c r="E345" s="12" t="s">
        <v>62</v>
      </c>
      <c r="F345" s="11">
        <v>2125854.0</v>
      </c>
      <c r="G345" s="11">
        <v>468609.0</v>
      </c>
      <c r="H345" s="11">
        <v>468606.0</v>
      </c>
      <c r="I345" s="11">
        <v>36786.0</v>
      </c>
      <c r="J345" s="11">
        <v>1977.0</v>
      </c>
      <c r="K345" s="11">
        <v>148.0</v>
      </c>
      <c r="L345" s="11">
        <v>218.0</v>
      </c>
      <c r="M345" s="13">
        <f t="shared" ref="M345:O345" si="347">IFERROR(G345/F345,"")</f>
        <v>0.2204332941</v>
      </c>
      <c r="N345" s="13">
        <f t="shared" si="347"/>
        <v>0.9999935981</v>
      </c>
      <c r="O345" s="14">
        <f t="shared" si="347"/>
        <v>0.07850091548</v>
      </c>
      <c r="P345" s="13">
        <f t="shared" si="3"/>
        <v>0.004218896045</v>
      </c>
      <c r="Q345" s="13">
        <f t="shared" si="4"/>
        <v>0.0003158303564</v>
      </c>
      <c r="R345" s="13">
        <f t="shared" si="5"/>
        <v>0.000465209579</v>
      </c>
      <c r="S345" s="14">
        <f t="shared" si="6"/>
        <v>0.9915361452</v>
      </c>
      <c r="T345" s="14">
        <f t="shared" si="7"/>
        <v>0.9999624524</v>
      </c>
      <c r="U345" s="14">
        <f t="shared" si="8"/>
        <v>0.8711052416</v>
      </c>
    </row>
    <row r="346" ht="15.75" customHeight="1">
      <c r="A346" s="9">
        <v>45314.4990134607</v>
      </c>
      <c r="B346" s="10">
        <v>11.0</v>
      </c>
      <c r="C346" s="10" t="s">
        <v>59</v>
      </c>
      <c r="D346" s="10" t="s">
        <v>1175</v>
      </c>
      <c r="E346" s="12" t="s">
        <v>62</v>
      </c>
      <c r="F346" s="11">
        <v>54004.0</v>
      </c>
      <c r="G346" s="11">
        <v>14837.0</v>
      </c>
      <c r="H346" s="11">
        <v>14841.0</v>
      </c>
      <c r="I346" s="11">
        <v>1653.0</v>
      </c>
      <c r="J346" s="11">
        <v>280.0</v>
      </c>
      <c r="K346" s="11">
        <v>5.0</v>
      </c>
      <c r="L346" s="11">
        <v>27.0</v>
      </c>
      <c r="M346" s="13">
        <f t="shared" ref="M346:O346" si="348">IFERROR(G346/F346,"")</f>
        <v>0.2747389082</v>
      </c>
      <c r="N346" s="13">
        <f t="shared" si="348"/>
        <v>1.000269596</v>
      </c>
      <c r="O346" s="14">
        <f t="shared" si="348"/>
        <v>0.1113806347</v>
      </c>
      <c r="P346" s="13">
        <f t="shared" si="3"/>
        <v>0.01886665319</v>
      </c>
      <c r="Q346" s="13">
        <f t="shared" si="4"/>
        <v>0.0003369045213</v>
      </c>
      <c r="R346" s="13">
        <f t="shared" si="5"/>
        <v>0.001819284415</v>
      </c>
      <c r="S346" s="14">
        <f t="shared" si="6"/>
        <v>1.241061578</v>
      </c>
      <c r="T346" s="14">
        <f t="shared" si="7"/>
        <v>1.000238258</v>
      </c>
      <c r="U346" s="14">
        <f t="shared" si="8"/>
        <v>0.9293751641</v>
      </c>
    </row>
    <row r="347" ht="15.75" customHeight="1">
      <c r="A347" s="9">
        <v>45316.581389919</v>
      </c>
      <c r="B347" s="10">
        <v>13.0</v>
      </c>
      <c r="C347" s="10" t="s">
        <v>84</v>
      </c>
      <c r="D347" s="10" t="s">
        <v>1179</v>
      </c>
      <c r="E347" s="12" t="s">
        <v>62</v>
      </c>
      <c r="F347" s="11">
        <v>3956674.0</v>
      </c>
      <c r="G347" s="11">
        <v>455713.0</v>
      </c>
      <c r="H347" s="11">
        <v>455724.0</v>
      </c>
      <c r="I347" s="11">
        <v>6557.0</v>
      </c>
      <c r="J347" s="11">
        <v>627.0</v>
      </c>
      <c r="K347" s="11">
        <v>31.0</v>
      </c>
      <c r="L347" s="11">
        <v>35.0</v>
      </c>
      <c r="M347" s="13">
        <f t="shared" ref="M347:O347" si="349">IFERROR(G347/F347,"")</f>
        <v>0.1151757764</v>
      </c>
      <c r="N347" s="13">
        <f t="shared" si="349"/>
        <v>1.000024138</v>
      </c>
      <c r="O347" s="14">
        <f t="shared" si="349"/>
        <v>0.01438809455</v>
      </c>
      <c r="P347" s="13">
        <f t="shared" si="3"/>
        <v>0.001375832741</v>
      </c>
      <c r="Q347" s="13">
        <f t="shared" si="4"/>
        <v>0.00006802362834</v>
      </c>
      <c r="R347" s="13">
        <f t="shared" si="5"/>
        <v>0.0000768008707</v>
      </c>
      <c r="S347" s="14">
        <f t="shared" si="6"/>
        <v>0.5325665884</v>
      </c>
      <c r="T347" s="14">
        <f t="shared" si="7"/>
        <v>0.9999903611</v>
      </c>
      <c r="U347" s="14">
        <f t="shared" si="8"/>
        <v>0.1889216521</v>
      </c>
    </row>
    <row r="348" ht="15.75" customHeight="1">
      <c r="A348" s="9">
        <v>45318.5132891782</v>
      </c>
      <c r="B348" s="10">
        <v>12.0</v>
      </c>
      <c r="C348" s="10" t="s">
        <v>69</v>
      </c>
      <c r="D348" s="10" t="s">
        <v>1028</v>
      </c>
      <c r="E348" s="12" t="s">
        <v>62</v>
      </c>
      <c r="F348" s="11">
        <v>16658.0</v>
      </c>
      <c r="G348" s="11">
        <v>4700.0</v>
      </c>
      <c r="H348" s="11">
        <v>4690.0</v>
      </c>
      <c r="I348" s="11">
        <v>686.0</v>
      </c>
      <c r="J348" s="11">
        <v>227.0</v>
      </c>
      <c r="K348" s="11">
        <v>4.0</v>
      </c>
      <c r="L348" s="11">
        <v>11.0</v>
      </c>
      <c r="M348" s="13">
        <f t="shared" ref="M348:O348" si="350">IFERROR(G348/F348,"")</f>
        <v>0.2821467163</v>
      </c>
      <c r="N348" s="13">
        <f t="shared" si="350"/>
        <v>0.9978723404</v>
      </c>
      <c r="O348" s="14">
        <f t="shared" si="350"/>
        <v>0.1462686567</v>
      </c>
      <c r="P348" s="13">
        <f t="shared" si="3"/>
        <v>0.04840085288</v>
      </c>
      <c r="Q348" s="13">
        <f t="shared" si="4"/>
        <v>0.0008528784648</v>
      </c>
      <c r="R348" s="13">
        <f t="shared" si="5"/>
        <v>0.002345415778</v>
      </c>
      <c r="S348" s="14">
        <f t="shared" si="6"/>
        <v>1.381086693</v>
      </c>
      <c r="T348" s="14">
        <f t="shared" si="7"/>
        <v>0.9978408943</v>
      </c>
      <c r="U348" s="14">
        <f t="shared" si="8"/>
        <v>2.531513859</v>
      </c>
    </row>
    <row r="349" ht="15.75" customHeight="1">
      <c r="A349" s="9">
        <v>45320.5721025694</v>
      </c>
      <c r="B349" s="10">
        <v>13.0</v>
      </c>
      <c r="C349" s="10" t="s">
        <v>71</v>
      </c>
      <c r="D349" s="10" t="s">
        <v>1186</v>
      </c>
      <c r="E349" s="12" t="s">
        <v>62</v>
      </c>
      <c r="F349" s="11">
        <v>506789.0</v>
      </c>
      <c r="G349" s="11">
        <v>64935.0</v>
      </c>
      <c r="H349" s="11">
        <v>64936.0</v>
      </c>
      <c r="I349" s="11">
        <v>939.0</v>
      </c>
      <c r="J349" s="11">
        <v>173.0</v>
      </c>
      <c r="K349" s="11">
        <v>11.0</v>
      </c>
      <c r="L349" s="11">
        <v>9.0</v>
      </c>
      <c r="M349" s="13">
        <f t="shared" ref="M349:O349" si="351">IFERROR(G349/F349,"")</f>
        <v>0.1281302475</v>
      </c>
      <c r="N349" s="13">
        <f t="shared" si="351"/>
        <v>1.0000154</v>
      </c>
      <c r="O349" s="14">
        <f t="shared" si="351"/>
        <v>0.01446039177</v>
      </c>
      <c r="P349" s="13">
        <f t="shared" si="3"/>
        <v>0.002664161636</v>
      </c>
      <c r="Q349" s="13">
        <f t="shared" si="4"/>
        <v>0.0001693975607</v>
      </c>
      <c r="R349" s="13">
        <f t="shared" si="5"/>
        <v>0.0001385980042</v>
      </c>
      <c r="S349" s="14">
        <f t="shared" si="6"/>
        <v>0.6524609446</v>
      </c>
      <c r="T349" s="14">
        <f t="shared" si="7"/>
        <v>0.9999816235</v>
      </c>
      <c r="U349" s="14">
        <f t="shared" si="8"/>
        <v>0.505073196</v>
      </c>
    </row>
    <row r="350" ht="15.75" customHeight="1">
      <c r="A350" s="9">
        <v>45322.7766319907</v>
      </c>
      <c r="B350" s="10">
        <v>18.0</v>
      </c>
      <c r="C350" s="10" t="s">
        <v>80</v>
      </c>
      <c r="D350" s="10" t="s">
        <v>1189</v>
      </c>
      <c r="E350" s="12" t="s">
        <v>62</v>
      </c>
      <c r="F350" s="11">
        <v>2052670.0</v>
      </c>
      <c r="G350" s="11">
        <v>291036.0</v>
      </c>
      <c r="H350" s="11">
        <v>291045.0</v>
      </c>
      <c r="I350" s="11">
        <v>10750.0</v>
      </c>
      <c r="J350" s="11">
        <v>655.0</v>
      </c>
      <c r="K350" s="11">
        <v>66.0</v>
      </c>
      <c r="L350" s="11">
        <v>106.0</v>
      </c>
      <c r="M350" s="13">
        <f t="shared" ref="M350:O350" si="352">IFERROR(G350/F350,"")</f>
        <v>0.1417841153</v>
      </c>
      <c r="N350" s="13">
        <f t="shared" si="352"/>
        <v>1.000030924</v>
      </c>
      <c r="O350" s="14">
        <f t="shared" si="352"/>
        <v>0.03693586902</v>
      </c>
      <c r="P350" s="13">
        <f t="shared" si="3"/>
        <v>0.002250511089</v>
      </c>
      <c r="Q350" s="13">
        <f t="shared" si="4"/>
        <v>0.0002267690563</v>
      </c>
      <c r="R350" s="13">
        <f t="shared" si="5"/>
        <v>0.000364204848</v>
      </c>
      <c r="S350" s="14">
        <f t="shared" si="6"/>
        <v>0.7523035539</v>
      </c>
      <c r="T350" s="14">
        <f t="shared" si="7"/>
        <v>0.999994884</v>
      </c>
      <c r="U350" s="14">
        <f t="shared" si="8"/>
        <v>0.7180090568</v>
      </c>
    </row>
    <row r="351" ht="15.75" customHeight="1">
      <c r="A351" s="9">
        <v>45324.6521788194</v>
      </c>
      <c r="B351" s="10">
        <v>15.0</v>
      </c>
      <c r="C351" s="10" t="s">
        <v>60</v>
      </c>
      <c r="D351" s="10" t="s">
        <v>1193</v>
      </c>
      <c r="E351" s="12" t="s">
        <v>62</v>
      </c>
      <c r="F351" s="11">
        <v>2680747.0</v>
      </c>
      <c r="G351" s="11">
        <v>469812.0</v>
      </c>
      <c r="H351" s="11">
        <v>469815.0</v>
      </c>
      <c r="I351" s="11">
        <v>11779.0</v>
      </c>
      <c r="J351" s="11">
        <v>651.0</v>
      </c>
      <c r="K351" s="11">
        <v>61.0</v>
      </c>
      <c r="L351" s="11">
        <v>51.0</v>
      </c>
      <c r="M351" s="13">
        <f t="shared" ref="M351:O351" si="353">IFERROR(G351/F351,"")</f>
        <v>0.1752541363</v>
      </c>
      <c r="N351" s="13">
        <f t="shared" si="353"/>
        <v>1.000006386</v>
      </c>
      <c r="O351" s="14">
        <f t="shared" si="353"/>
        <v>0.02507157072</v>
      </c>
      <c r="P351" s="13">
        <f t="shared" si="3"/>
        <v>0.001385651799</v>
      </c>
      <c r="Q351" s="13">
        <f t="shared" si="4"/>
        <v>0.0001298383406</v>
      </c>
      <c r="R351" s="13">
        <f t="shared" si="5"/>
        <v>0.0001085533668</v>
      </c>
      <c r="S351" s="14">
        <f t="shared" si="6"/>
        <v>0.9298947858</v>
      </c>
      <c r="T351" s="14">
        <f t="shared" si="7"/>
        <v>0.9999740108</v>
      </c>
      <c r="U351" s="14">
        <f t="shared" si="8"/>
        <v>0.4111015233</v>
      </c>
    </row>
    <row r="352" ht="15.75" customHeight="1">
      <c r="A352" s="9">
        <v>45326.5962776389</v>
      </c>
      <c r="B352" s="10">
        <v>14.0</v>
      </c>
      <c r="C352" s="10" t="s">
        <v>77</v>
      </c>
      <c r="D352" s="10" t="s">
        <v>1197</v>
      </c>
      <c r="E352" s="12" t="s">
        <v>62</v>
      </c>
      <c r="F352" s="11">
        <v>3040439.0</v>
      </c>
      <c r="G352" s="11">
        <v>675935.0</v>
      </c>
      <c r="H352" s="11">
        <v>675942.0</v>
      </c>
      <c r="I352" s="11">
        <v>28821.0</v>
      </c>
      <c r="J352" s="11">
        <v>1109.0</v>
      </c>
      <c r="K352" s="11">
        <v>90.0</v>
      </c>
      <c r="L352" s="11">
        <v>128.0</v>
      </c>
      <c r="M352" s="13">
        <f t="shared" ref="M352:O352" si="354">IFERROR(G352/F352,"")</f>
        <v>0.2223149354</v>
      </c>
      <c r="N352" s="13">
        <f t="shared" si="354"/>
        <v>1.000010356</v>
      </c>
      <c r="O352" s="14">
        <f t="shared" si="354"/>
        <v>0.0426382737</v>
      </c>
      <c r="P352" s="13">
        <f t="shared" si="3"/>
        <v>0.001640673312</v>
      </c>
      <c r="Q352" s="13">
        <f t="shared" si="4"/>
        <v>0.0001331475186</v>
      </c>
      <c r="R352" s="13">
        <f t="shared" si="5"/>
        <v>0.0001893653597</v>
      </c>
      <c r="S352" s="14">
        <f t="shared" si="6"/>
        <v>1.208264143</v>
      </c>
      <c r="T352" s="14">
        <f t="shared" si="7"/>
        <v>0.9999743168</v>
      </c>
      <c r="U352" s="14">
        <f t="shared" si="8"/>
        <v>0.4215792303</v>
      </c>
    </row>
    <row r="353" ht="15.75" customHeight="1">
      <c r="A353" s="9">
        <v>45328.610688669</v>
      </c>
      <c r="B353" s="10">
        <v>14.0</v>
      </c>
      <c r="C353" s="10" t="s">
        <v>59</v>
      </c>
      <c r="D353" s="10" t="s">
        <v>1201</v>
      </c>
      <c r="E353" s="12" t="s">
        <v>62</v>
      </c>
      <c r="F353" s="11">
        <v>8130.0</v>
      </c>
      <c r="G353" s="11">
        <v>2618.0</v>
      </c>
      <c r="H353" s="11">
        <v>2628.0</v>
      </c>
      <c r="I353" s="11">
        <v>170.0</v>
      </c>
      <c r="J353" s="11">
        <v>86.0</v>
      </c>
      <c r="K353" s="11">
        <v>1.0</v>
      </c>
      <c r="L353" s="11">
        <v>6.0</v>
      </c>
      <c r="M353" s="13">
        <f t="shared" ref="M353:O353" si="355">IFERROR(G353/F353,"")</f>
        <v>0.3220172202</v>
      </c>
      <c r="N353" s="13">
        <f t="shared" si="355"/>
        <v>1.00381971</v>
      </c>
      <c r="O353" s="14">
        <f t="shared" si="355"/>
        <v>0.06468797565</v>
      </c>
      <c r="P353" s="13">
        <f t="shared" si="3"/>
        <v>0.03272450533</v>
      </c>
      <c r="Q353" s="13">
        <f t="shared" si="4"/>
        <v>0.0003805175038</v>
      </c>
      <c r="R353" s="13">
        <f t="shared" si="5"/>
        <v>0.002283105023</v>
      </c>
      <c r="S353" s="14">
        <f t="shared" si="6"/>
        <v>1.784063453</v>
      </c>
      <c r="T353" s="14">
        <f t="shared" si="7"/>
        <v>1.003783533</v>
      </c>
      <c r="U353" s="14">
        <f t="shared" si="8"/>
        <v>1.279490107</v>
      </c>
    </row>
    <row r="354" ht="15.75" customHeight="1">
      <c r="A354" s="9">
        <v>45330.5164282523</v>
      </c>
      <c r="B354" s="10">
        <v>12.0</v>
      </c>
      <c r="C354" s="10" t="s">
        <v>84</v>
      </c>
      <c r="D354" s="10" t="s">
        <v>1203</v>
      </c>
      <c r="E354" s="12" t="s">
        <v>62</v>
      </c>
      <c r="F354" s="11">
        <v>6795747.0</v>
      </c>
      <c r="G354" s="11">
        <v>912646.0</v>
      </c>
      <c r="H354" s="11">
        <v>912660.0</v>
      </c>
      <c r="I354" s="11">
        <v>14013.0</v>
      </c>
      <c r="J354" s="11">
        <v>1220.0</v>
      </c>
      <c r="K354" s="11">
        <v>63.0</v>
      </c>
      <c r="L354" s="11">
        <v>105.0</v>
      </c>
      <c r="M354" s="13">
        <f t="shared" ref="M354:O354" si="356">IFERROR(G354/F354,"")</f>
        <v>0.1342966417</v>
      </c>
      <c r="N354" s="13">
        <f t="shared" si="356"/>
        <v>1.00001534</v>
      </c>
      <c r="O354" s="14">
        <f t="shared" si="356"/>
        <v>0.01535402012</v>
      </c>
      <c r="P354" s="13">
        <f t="shared" si="3"/>
        <v>0.001336751912</v>
      </c>
      <c r="Q354" s="13">
        <f t="shared" si="4"/>
        <v>0.00006902899218</v>
      </c>
      <c r="R354" s="13">
        <f t="shared" si="5"/>
        <v>0.0001150483203</v>
      </c>
      <c r="S354" s="14">
        <f t="shared" si="6"/>
        <v>0.7477207774</v>
      </c>
      <c r="T354" s="14">
        <f t="shared" si="7"/>
        <v>0.999982965</v>
      </c>
      <c r="U354" s="14">
        <f t="shared" si="8"/>
        <v>0.2321099862</v>
      </c>
    </row>
    <row r="355" ht="15.75" customHeight="1">
      <c r="A355" s="9">
        <v>45332.5529094329</v>
      </c>
      <c r="B355" s="10">
        <v>13.0</v>
      </c>
      <c r="C355" s="10" t="s">
        <v>69</v>
      </c>
      <c r="D355" s="10" t="s">
        <v>1205</v>
      </c>
      <c r="E355" s="12" t="s">
        <v>62</v>
      </c>
      <c r="F355" s="11">
        <v>552262.0</v>
      </c>
      <c r="G355" s="11">
        <v>159496.0</v>
      </c>
      <c r="H355" s="11">
        <v>159509.0</v>
      </c>
      <c r="I355" s="11">
        <v>12098.0</v>
      </c>
      <c r="J355" s="11">
        <v>880.0</v>
      </c>
      <c r="K355" s="11">
        <v>27.0</v>
      </c>
      <c r="L355" s="11">
        <v>25.0</v>
      </c>
      <c r="M355" s="13">
        <f t="shared" ref="M355:O355" si="357">IFERROR(G355/F355,"")</f>
        <v>0.2888049513</v>
      </c>
      <c r="N355" s="13">
        <f t="shared" si="357"/>
        <v>1.000081507</v>
      </c>
      <c r="O355" s="14">
        <f t="shared" si="357"/>
        <v>0.07584525011</v>
      </c>
      <c r="P355" s="13">
        <f t="shared" si="3"/>
        <v>0.005516930079</v>
      </c>
      <c r="Q355" s="13">
        <f t="shared" si="4"/>
        <v>0.0001692694456</v>
      </c>
      <c r="R355" s="13">
        <f t="shared" si="5"/>
        <v>0.0001567309682</v>
      </c>
      <c r="S355" s="14">
        <f t="shared" si="6"/>
        <v>1.607973661</v>
      </c>
      <c r="T355" s="14">
        <f t="shared" si="7"/>
        <v>1.000045465</v>
      </c>
      <c r="U355" s="14">
        <f t="shared" si="8"/>
        <v>0.5691685109</v>
      </c>
    </row>
    <row r="356" ht="15.75" customHeight="1">
      <c r="A356" s="9">
        <v>45334.503745544</v>
      </c>
      <c r="B356" s="10">
        <v>12.0</v>
      </c>
      <c r="C356" s="10" t="s">
        <v>71</v>
      </c>
      <c r="D356" s="10" t="s">
        <v>1208</v>
      </c>
      <c r="E356" s="12" t="s">
        <v>62</v>
      </c>
      <c r="F356" s="11">
        <v>1852642.0</v>
      </c>
      <c r="G356" s="11">
        <v>256848.0</v>
      </c>
      <c r="H356" s="11">
        <v>256856.0</v>
      </c>
      <c r="I356" s="11">
        <v>6603.0</v>
      </c>
      <c r="J356" s="11">
        <v>418.0</v>
      </c>
      <c r="K356" s="11">
        <v>17.0</v>
      </c>
      <c r="L356" s="11">
        <v>27.0</v>
      </c>
      <c r="M356" s="13">
        <f t="shared" ref="M356:O356" si="358">IFERROR(G356/F356,"")</f>
        <v>0.1386387656</v>
      </c>
      <c r="N356" s="13">
        <f t="shared" si="358"/>
        <v>1.000031147</v>
      </c>
      <c r="O356" s="14">
        <f t="shared" si="358"/>
        <v>0.02570701093</v>
      </c>
      <c r="P356" s="13">
        <f t="shared" si="3"/>
        <v>0.001627370978</v>
      </c>
      <c r="Q356" s="13">
        <f t="shared" si="4"/>
        <v>0.00006618494409</v>
      </c>
      <c r="R356" s="13">
        <f t="shared" si="5"/>
        <v>0.0001051172641</v>
      </c>
      <c r="S356" s="14">
        <f t="shared" si="6"/>
        <v>0.7718963354</v>
      </c>
      <c r="T356" s="14">
        <f t="shared" si="7"/>
        <v>0.9999951068</v>
      </c>
      <c r="U356" s="14">
        <f t="shared" si="8"/>
        <v>0.2225468745</v>
      </c>
    </row>
    <row r="357" ht="15.75" customHeight="1">
      <c r="A357" s="9">
        <v>45336.595496169</v>
      </c>
      <c r="B357" s="10">
        <v>14.0</v>
      </c>
      <c r="C357" s="10" t="s">
        <v>80</v>
      </c>
      <c r="D357" s="10" t="s">
        <v>1210</v>
      </c>
      <c r="E357" s="12" t="s">
        <v>62</v>
      </c>
      <c r="F357" s="11">
        <v>153485.0</v>
      </c>
      <c r="G357" s="11">
        <v>39214.0</v>
      </c>
      <c r="H357" s="11">
        <v>39240.0</v>
      </c>
      <c r="I357" s="11">
        <v>3294.0</v>
      </c>
      <c r="J357" s="11">
        <v>702.0</v>
      </c>
      <c r="K357" s="11">
        <v>32.0</v>
      </c>
      <c r="L357" s="11">
        <v>37.0</v>
      </c>
      <c r="M357" s="13">
        <f t="shared" ref="M357:O357" si="359">IFERROR(G357/F357,"")</f>
        <v>0.2554907646</v>
      </c>
      <c r="N357" s="13">
        <f t="shared" si="359"/>
        <v>1.000663029</v>
      </c>
      <c r="O357" s="14">
        <f t="shared" si="359"/>
        <v>0.08394495413</v>
      </c>
      <c r="P357" s="13">
        <f t="shared" si="3"/>
        <v>0.01788990826</v>
      </c>
      <c r="Q357" s="13">
        <f t="shared" si="4"/>
        <v>0.0008154943935</v>
      </c>
      <c r="R357" s="13">
        <f t="shared" si="5"/>
        <v>0.0009429153925</v>
      </c>
      <c r="S357" s="14">
        <f t="shared" si="6"/>
        <v>1.422490918</v>
      </c>
      <c r="T357" s="14">
        <f t="shared" si="7"/>
        <v>1.0006237</v>
      </c>
      <c r="U357" s="14">
        <f t="shared" si="8"/>
        <v>2.582064633</v>
      </c>
    </row>
    <row r="358" ht="15.75" customHeight="1">
      <c r="A358" s="9">
        <v>45338.5458249537</v>
      </c>
      <c r="B358" s="10">
        <v>13.0</v>
      </c>
      <c r="C358" s="10" t="s">
        <v>60</v>
      </c>
      <c r="D358" s="10" t="s">
        <v>1212</v>
      </c>
      <c r="E358" s="12" t="s">
        <v>62</v>
      </c>
      <c r="F358" s="11">
        <v>447706.0</v>
      </c>
      <c r="G358" s="11">
        <v>138734.0</v>
      </c>
      <c r="H358" s="11">
        <v>138739.0</v>
      </c>
      <c r="I358" s="11">
        <v>11789.0</v>
      </c>
      <c r="J358" s="11">
        <v>962.0</v>
      </c>
      <c r="K358" s="11">
        <v>187.0</v>
      </c>
      <c r="L358" s="11">
        <v>62.0</v>
      </c>
      <c r="M358" s="13">
        <f t="shared" ref="M358:O358" si="360">IFERROR(G358/F358,"")</f>
        <v>0.3098774642</v>
      </c>
      <c r="N358" s="13">
        <f t="shared" si="360"/>
        <v>1.00003604</v>
      </c>
      <c r="O358" s="14">
        <f t="shared" si="360"/>
        <v>0.08497250232</v>
      </c>
      <c r="P358" s="13">
        <f t="shared" si="3"/>
        <v>0.006933883047</v>
      </c>
      <c r="Q358" s="13">
        <f t="shared" si="4"/>
        <v>0.001347854605</v>
      </c>
      <c r="R358" s="13">
        <f t="shared" si="5"/>
        <v>0.0004468822754</v>
      </c>
      <c r="S358" s="14">
        <f t="shared" si="6"/>
        <v>1.765327593</v>
      </c>
      <c r="T358" s="14">
        <f t="shared" si="7"/>
        <v>0.9999858594</v>
      </c>
      <c r="U358" s="14">
        <f t="shared" si="8"/>
        <v>4.532161108</v>
      </c>
    </row>
    <row r="359" ht="15.75" customHeight="1">
      <c r="A359" s="9">
        <v>45340.5516930556</v>
      </c>
      <c r="B359" s="10">
        <v>13.0</v>
      </c>
      <c r="C359" s="10" t="s">
        <v>77</v>
      </c>
      <c r="D359" s="10" t="s">
        <v>1214</v>
      </c>
      <c r="E359" s="12" t="s">
        <v>62</v>
      </c>
      <c r="F359" s="11">
        <v>3313160.0</v>
      </c>
      <c r="G359" s="11">
        <v>490885.0</v>
      </c>
      <c r="H359" s="11">
        <v>490891.0</v>
      </c>
      <c r="I359" s="11">
        <v>27767.0</v>
      </c>
      <c r="J359" s="11">
        <v>1175.0</v>
      </c>
      <c r="K359" s="11">
        <v>85.0</v>
      </c>
      <c r="L359" s="11">
        <v>183.0</v>
      </c>
      <c r="M359" s="13">
        <f t="shared" ref="M359:O359" si="361">IFERROR(G359/F359,"")</f>
        <v>0.1481621775</v>
      </c>
      <c r="N359" s="13">
        <f t="shared" si="361"/>
        <v>1.000012223</v>
      </c>
      <c r="O359" s="14">
        <f t="shared" si="361"/>
        <v>0.05656449191</v>
      </c>
      <c r="P359" s="13">
        <f t="shared" si="3"/>
        <v>0.002393606727</v>
      </c>
      <c r="Q359" s="13">
        <f t="shared" si="4"/>
        <v>0.0001731545292</v>
      </c>
      <c r="R359" s="13">
        <f t="shared" si="5"/>
        <v>0.0003727915158</v>
      </c>
      <c r="S359" s="14">
        <f t="shared" si="6"/>
        <v>0.8440587341</v>
      </c>
      <c r="T359" s="14">
        <f t="shared" si="7"/>
        <v>0.9999613506</v>
      </c>
      <c r="U359" s="14">
        <f t="shared" si="8"/>
        <v>0.5845466034</v>
      </c>
    </row>
    <row r="360" ht="15.75" customHeight="1">
      <c r="A360" s="9">
        <v>45342.5425492245</v>
      </c>
      <c r="B360" s="10">
        <v>13.0</v>
      </c>
      <c r="C360" s="10" t="s">
        <v>59</v>
      </c>
      <c r="D360" s="10" t="s">
        <v>1217</v>
      </c>
      <c r="E360" s="12" t="s">
        <v>62</v>
      </c>
      <c r="F360" s="11">
        <v>603540.0</v>
      </c>
      <c r="G360" s="11">
        <v>67090.0</v>
      </c>
      <c r="H360" s="11">
        <v>67100.0</v>
      </c>
      <c r="I360" s="11">
        <v>2346.0</v>
      </c>
      <c r="J360" s="11">
        <v>231.0</v>
      </c>
      <c r="K360" s="11">
        <v>24.0</v>
      </c>
      <c r="L360" s="11">
        <v>9.0</v>
      </c>
      <c r="M360" s="13">
        <f t="shared" ref="M360:O360" si="362">IFERROR(G360/F360,"")</f>
        <v>0.1111608178</v>
      </c>
      <c r="N360" s="13">
        <f t="shared" si="362"/>
        <v>1.000149054</v>
      </c>
      <c r="O360" s="14">
        <f t="shared" si="362"/>
        <v>0.03496274218</v>
      </c>
      <c r="P360" s="13">
        <f t="shared" si="3"/>
        <v>0.003442622951</v>
      </c>
      <c r="Q360" s="13">
        <f t="shared" si="4"/>
        <v>0.0003576751118</v>
      </c>
      <c r="R360" s="13">
        <f t="shared" si="5"/>
        <v>0.0001341281669</v>
      </c>
      <c r="S360" s="14">
        <f t="shared" si="6"/>
        <v>0.6342835622</v>
      </c>
      <c r="T360" s="14">
        <f t="shared" si="7"/>
        <v>1.000096523</v>
      </c>
      <c r="U360" s="14">
        <f t="shared" si="8"/>
        <v>1.318301043</v>
      </c>
    </row>
    <row r="361" ht="15.75" customHeight="1">
      <c r="A361" s="9">
        <v>45344.598479919</v>
      </c>
      <c r="B361" s="10">
        <v>14.0</v>
      </c>
      <c r="C361" s="10" t="s">
        <v>84</v>
      </c>
      <c r="D361" s="10" t="s">
        <v>1219</v>
      </c>
      <c r="E361" s="12" t="s">
        <v>62</v>
      </c>
      <c r="F361" s="11">
        <v>643049.0</v>
      </c>
      <c r="G361" s="11">
        <v>118318.0</v>
      </c>
      <c r="H361" s="11">
        <v>118321.0</v>
      </c>
      <c r="I361" s="11">
        <v>4205.0</v>
      </c>
      <c r="J361" s="11">
        <v>427.0</v>
      </c>
      <c r="K361" s="11">
        <v>31.0</v>
      </c>
      <c r="L361" s="11">
        <v>10.0</v>
      </c>
      <c r="M361" s="13">
        <f t="shared" ref="M361:O361" si="363">IFERROR(G361/F361,"")</f>
        <v>0.1839953098</v>
      </c>
      <c r="N361" s="13">
        <f t="shared" si="363"/>
        <v>1.000025355</v>
      </c>
      <c r="O361" s="14">
        <f t="shared" si="363"/>
        <v>0.03553891532</v>
      </c>
      <c r="P361" s="13">
        <f t="shared" si="3"/>
        <v>0.003608826835</v>
      </c>
      <c r="Q361" s="13">
        <f t="shared" si="4"/>
        <v>0.0002619991379</v>
      </c>
      <c r="R361" s="13">
        <f t="shared" si="5"/>
        <v>0.00008451585095</v>
      </c>
      <c r="S361" s="14">
        <f t="shared" si="6"/>
        <v>1.049877131</v>
      </c>
      <c r="T361" s="14">
        <f t="shared" si="7"/>
        <v>0.9999697191</v>
      </c>
      <c r="U361" s="14">
        <f t="shared" si="8"/>
        <v>0.9656633227</v>
      </c>
    </row>
    <row r="362" ht="15.75" customHeight="1">
      <c r="A362" s="9">
        <v>45346.5776764352</v>
      </c>
      <c r="B362" s="10">
        <v>13.0</v>
      </c>
      <c r="C362" s="10" t="s">
        <v>69</v>
      </c>
      <c r="D362" s="10" t="s">
        <v>1221</v>
      </c>
      <c r="E362" s="12" t="s">
        <v>62</v>
      </c>
      <c r="F362" s="11">
        <v>691809.0</v>
      </c>
      <c r="G362" s="11">
        <v>85083.0</v>
      </c>
      <c r="H362" s="11">
        <v>85088.0</v>
      </c>
      <c r="I362" s="11">
        <v>1507.0</v>
      </c>
      <c r="J362" s="11">
        <v>150.0</v>
      </c>
      <c r="K362" s="11">
        <v>6.0</v>
      </c>
      <c r="L362" s="11">
        <v>8.0</v>
      </c>
      <c r="M362" s="13">
        <f t="shared" ref="M362:O362" si="364">IFERROR(G362/F362,"")</f>
        <v>0.1229862578</v>
      </c>
      <c r="N362" s="13">
        <f t="shared" si="364"/>
        <v>1.000058766</v>
      </c>
      <c r="O362" s="14">
        <f t="shared" si="364"/>
        <v>0.01771107559</v>
      </c>
      <c r="P362" s="13">
        <f t="shared" si="3"/>
        <v>0.001762880782</v>
      </c>
      <c r="Q362" s="13">
        <f t="shared" si="4"/>
        <v>0.00007051523129</v>
      </c>
      <c r="R362" s="13">
        <f t="shared" si="5"/>
        <v>0.00009402030839</v>
      </c>
      <c r="S362" s="14">
        <f t="shared" si="6"/>
        <v>0.7021643943</v>
      </c>
      <c r="T362" s="14">
        <f t="shared" si="7"/>
        <v>1.000002164</v>
      </c>
      <c r="U362" s="14">
        <f t="shared" si="8"/>
        <v>0.2691429897</v>
      </c>
    </row>
    <row r="363" ht="15.75" customHeight="1">
      <c r="A363" s="9">
        <v>45348.5275647338</v>
      </c>
      <c r="B363" s="10">
        <v>12.0</v>
      </c>
      <c r="C363" s="10" t="s">
        <v>71</v>
      </c>
      <c r="D363" s="10" t="s">
        <v>1223</v>
      </c>
      <c r="E363" s="12" t="s">
        <v>62</v>
      </c>
      <c r="F363" s="11">
        <v>1036950.0</v>
      </c>
      <c r="G363" s="11">
        <v>107840.0</v>
      </c>
      <c r="H363" s="11">
        <v>107846.0</v>
      </c>
      <c r="I363" s="11">
        <v>794.0</v>
      </c>
      <c r="J363" s="11">
        <v>171.0</v>
      </c>
      <c r="K363" s="11">
        <v>4.0</v>
      </c>
      <c r="L363" s="11">
        <v>10.0</v>
      </c>
      <c r="M363" s="13">
        <f t="shared" ref="M363:O363" si="365">IFERROR(G363/F363,"")</f>
        <v>0.1039972998</v>
      </c>
      <c r="N363" s="13">
        <f t="shared" si="365"/>
        <v>1.000055638</v>
      </c>
      <c r="O363" s="14">
        <f t="shared" si="365"/>
        <v>0.007362350018</v>
      </c>
      <c r="P363" s="13">
        <f t="shared" si="3"/>
        <v>0.001585594273</v>
      </c>
      <c r="Q363" s="13">
        <f t="shared" si="4"/>
        <v>0.00003708992452</v>
      </c>
      <c r="R363" s="13">
        <f t="shared" si="5"/>
        <v>0.00009272481131</v>
      </c>
      <c r="S363" s="14">
        <f t="shared" si="6"/>
        <v>0.5937508981</v>
      </c>
      <c r="T363" s="14">
        <f t="shared" si="7"/>
        <v>0.999996872</v>
      </c>
      <c r="U363" s="14">
        <f t="shared" si="8"/>
        <v>0.1415650632</v>
      </c>
    </row>
    <row r="364" ht="15.75" customHeight="1">
      <c r="A364" s="9">
        <v>45350.5480175</v>
      </c>
      <c r="B364" s="10">
        <v>13.0</v>
      </c>
      <c r="C364" s="10" t="s">
        <v>80</v>
      </c>
      <c r="D364" s="10" t="s">
        <v>1225</v>
      </c>
      <c r="E364" s="12" t="s">
        <v>62</v>
      </c>
      <c r="F364" s="11">
        <v>11268.0</v>
      </c>
      <c r="G364" s="11">
        <v>4435.0</v>
      </c>
      <c r="H364" s="11">
        <v>4454.0</v>
      </c>
      <c r="I364" s="11">
        <v>467.0</v>
      </c>
      <c r="J364" s="11">
        <v>126.0</v>
      </c>
      <c r="K364" s="11">
        <v>11.0</v>
      </c>
      <c r="L364" s="11">
        <v>5.0</v>
      </c>
      <c r="M364" s="13">
        <f t="shared" ref="M364:O364" si="366">IFERROR(G364/F364,"")</f>
        <v>0.3935924743</v>
      </c>
      <c r="N364" s="13">
        <f t="shared" si="366"/>
        <v>1.004284104</v>
      </c>
      <c r="O364" s="14">
        <f t="shared" si="366"/>
        <v>0.1048495734</v>
      </c>
      <c r="P364" s="13">
        <f t="shared" si="3"/>
        <v>0.02828917827</v>
      </c>
      <c r="Q364" s="13">
        <f t="shared" si="4"/>
        <v>0.002469690166</v>
      </c>
      <c r="R364" s="13">
        <f t="shared" si="5"/>
        <v>0.001122586439</v>
      </c>
      <c r="S364" s="14">
        <f t="shared" si="6"/>
        <v>2.254291185</v>
      </c>
      <c r="T364" s="14">
        <f t="shared" si="7"/>
        <v>1.0042219</v>
      </c>
      <c r="U364" s="14">
        <f t="shared" si="8"/>
        <v>9.10266053</v>
      </c>
    </row>
    <row r="365" ht="15.75" customHeight="1">
      <c r="A365" s="9">
        <v>45352.6612669329</v>
      </c>
      <c r="B365" s="10">
        <v>15.0</v>
      </c>
      <c r="C365" s="10" t="s">
        <v>60</v>
      </c>
      <c r="D365" s="10" t="s">
        <v>1227</v>
      </c>
      <c r="E365" s="12" t="s">
        <v>62</v>
      </c>
      <c r="F365" s="11">
        <v>2170068.0</v>
      </c>
      <c r="G365" s="11">
        <v>271955.0</v>
      </c>
      <c r="H365" s="11">
        <v>271963.0</v>
      </c>
      <c r="I365" s="11">
        <v>4975.0</v>
      </c>
      <c r="J365" s="11">
        <v>332.0</v>
      </c>
      <c r="K365" s="11">
        <v>14.0</v>
      </c>
      <c r="L365" s="11">
        <v>22.0</v>
      </c>
      <c r="M365" s="13">
        <f t="shared" ref="M365:O365" si="367">IFERROR(G365/F365,"")</f>
        <v>0.1253209577</v>
      </c>
      <c r="N365" s="13">
        <f t="shared" si="367"/>
        <v>1.000029417</v>
      </c>
      <c r="O365" s="14">
        <f t="shared" si="367"/>
        <v>0.01829292955</v>
      </c>
      <c r="P365" s="13">
        <f t="shared" si="3"/>
        <v>0.001220754294</v>
      </c>
      <c r="Q365" s="13">
        <f t="shared" si="4"/>
        <v>0.0000514775907</v>
      </c>
      <c r="R365" s="13">
        <f t="shared" si="5"/>
        <v>0.00008089335682</v>
      </c>
      <c r="S365" s="14">
        <f t="shared" si="6"/>
        <v>0.7258642961</v>
      </c>
      <c r="T365" s="14">
        <f t="shared" si="7"/>
        <v>0.9999627873</v>
      </c>
      <c r="U365" s="14">
        <f t="shared" si="8"/>
        <v>0.1983897827</v>
      </c>
    </row>
    <row r="366" ht="15.75" customHeight="1">
      <c r="A366" s="9">
        <v>45354.5938159259</v>
      </c>
      <c r="B366" s="10">
        <v>14.0</v>
      </c>
      <c r="C366" s="10" t="s">
        <v>77</v>
      </c>
      <c r="D366" s="10" t="s">
        <v>1229</v>
      </c>
      <c r="E366" s="12" t="s">
        <v>62</v>
      </c>
      <c r="F366" s="11">
        <v>13163.0</v>
      </c>
      <c r="G366" s="11">
        <v>5514.0</v>
      </c>
      <c r="H366" s="11">
        <v>5518.0</v>
      </c>
      <c r="I366" s="11">
        <v>589.0</v>
      </c>
      <c r="J366" s="11">
        <v>129.0</v>
      </c>
      <c r="K366" s="11">
        <v>2.0</v>
      </c>
      <c r="L366" s="11">
        <v>9.0</v>
      </c>
      <c r="M366" s="13">
        <f t="shared" ref="M366:O366" si="368">IFERROR(G366/F366,"")</f>
        <v>0.4189014662</v>
      </c>
      <c r="N366" s="13">
        <f t="shared" si="368"/>
        <v>1.000725426</v>
      </c>
      <c r="O366" s="14">
        <f t="shared" si="368"/>
        <v>0.106741573</v>
      </c>
      <c r="P366" s="13">
        <f t="shared" si="3"/>
        <v>0.02337803552</v>
      </c>
      <c r="Q366" s="13">
        <f t="shared" si="4"/>
        <v>0.0003624501631</v>
      </c>
      <c r="R366" s="13">
        <f t="shared" si="5"/>
        <v>0.001631025734</v>
      </c>
      <c r="S366" s="14">
        <f t="shared" si="6"/>
        <v>2.426295039</v>
      </c>
      <c r="T366" s="14">
        <f t="shared" si="7"/>
        <v>1.00065875</v>
      </c>
      <c r="U366" s="14">
        <f t="shared" si="8"/>
        <v>1.396848767</v>
      </c>
    </row>
    <row r="367" ht="15.75" customHeight="1">
      <c r="A367" s="9">
        <v>45356.715565162</v>
      </c>
      <c r="B367" s="10">
        <v>17.0</v>
      </c>
      <c r="C367" s="10" t="s">
        <v>59</v>
      </c>
      <c r="D367" s="10" t="s">
        <v>1231</v>
      </c>
      <c r="E367" s="12" t="s">
        <v>62</v>
      </c>
      <c r="F367" s="11">
        <v>1248702.0</v>
      </c>
      <c r="G367" s="11">
        <v>179349.0</v>
      </c>
      <c r="H367" s="11">
        <v>179358.0</v>
      </c>
      <c r="I367" s="11">
        <v>1688.0</v>
      </c>
      <c r="J367" s="11">
        <v>333.0</v>
      </c>
      <c r="K367" s="11">
        <v>15.0</v>
      </c>
      <c r="L367" s="11">
        <v>14.0</v>
      </c>
      <c r="M367" s="13">
        <f t="shared" ref="M367:O367" si="369">IFERROR(G367/F367,"")</f>
        <v>0.1436283437</v>
      </c>
      <c r="N367" s="13">
        <f t="shared" si="369"/>
        <v>1.000050181</v>
      </c>
      <c r="O367" s="14">
        <f t="shared" si="369"/>
        <v>0.009411344908</v>
      </c>
      <c r="P367" s="13">
        <f t="shared" si="3"/>
        <v>0.001856621952</v>
      </c>
      <c r="Q367" s="13">
        <f t="shared" si="4"/>
        <v>0.00008363161944</v>
      </c>
      <c r="R367" s="13">
        <f t="shared" si="5"/>
        <v>0.00007805617815</v>
      </c>
      <c r="S367" s="14">
        <f t="shared" si="6"/>
        <v>0.8445493606</v>
      </c>
      <c r="T367" s="14">
        <f t="shared" si="7"/>
        <v>0.9999835508</v>
      </c>
      <c r="U367" s="14">
        <f t="shared" si="8"/>
        <v>0.3223083789</v>
      </c>
    </row>
    <row r="368" ht="15.75" customHeight="1">
      <c r="A368" s="9">
        <v>45358.5772878704</v>
      </c>
      <c r="B368" s="10">
        <v>13.0</v>
      </c>
      <c r="C368" s="10" t="s">
        <v>84</v>
      </c>
      <c r="D368" s="10" t="s">
        <v>1233</v>
      </c>
      <c r="E368" s="12" t="s">
        <v>62</v>
      </c>
      <c r="F368" s="11">
        <v>2355450.0</v>
      </c>
      <c r="G368" s="11">
        <v>267578.0</v>
      </c>
      <c r="H368" s="11">
        <v>267583.0</v>
      </c>
      <c r="I368" s="11">
        <v>3613.0</v>
      </c>
      <c r="J368" s="11">
        <v>399.0</v>
      </c>
      <c r="K368" s="11">
        <v>10.0</v>
      </c>
      <c r="L368" s="11">
        <v>29.0</v>
      </c>
      <c r="M368" s="13">
        <f t="shared" ref="M368:O368" si="370">IFERROR(G368/F368,"")</f>
        <v>0.1135995245</v>
      </c>
      <c r="N368" s="13">
        <f t="shared" si="370"/>
        <v>1.000018686</v>
      </c>
      <c r="O368" s="14">
        <f t="shared" si="370"/>
        <v>0.01350235254</v>
      </c>
      <c r="P368" s="13">
        <f t="shared" si="3"/>
        <v>0.001491126118</v>
      </c>
      <c r="Q368" s="13">
        <f t="shared" si="4"/>
        <v>0.0000373715819</v>
      </c>
      <c r="R368" s="13">
        <f t="shared" si="5"/>
        <v>0.0001083775875</v>
      </c>
      <c r="S368" s="14">
        <f t="shared" si="6"/>
        <v>0.6771133781</v>
      </c>
      <c r="T368" s="14">
        <f t="shared" si="7"/>
        <v>0.9999446527</v>
      </c>
      <c r="U368" s="14">
        <f t="shared" si="8"/>
        <v>0.1468257315</v>
      </c>
    </row>
    <row r="369" ht="15.75" customHeight="1">
      <c r="A369" s="9">
        <v>45360.596547037</v>
      </c>
      <c r="B369" s="10">
        <v>14.0</v>
      </c>
      <c r="C369" s="10" t="s">
        <v>69</v>
      </c>
      <c r="D369" s="10" t="s">
        <v>1236</v>
      </c>
      <c r="E369" s="12" t="s">
        <v>62</v>
      </c>
      <c r="F369" s="11">
        <v>3216701.0</v>
      </c>
      <c r="G369" s="11">
        <v>432681.0</v>
      </c>
      <c r="H369" s="11">
        <v>432693.0</v>
      </c>
      <c r="I369" s="11">
        <v>8629.0</v>
      </c>
      <c r="J369" s="11">
        <v>554.0</v>
      </c>
      <c r="K369" s="11">
        <v>38.0</v>
      </c>
      <c r="L369" s="11">
        <v>37.0</v>
      </c>
      <c r="M369" s="13">
        <f t="shared" ref="M369:O369" si="371">IFERROR(G369/F369,"")</f>
        <v>0.1345107923</v>
      </c>
      <c r="N369" s="13">
        <f t="shared" si="371"/>
        <v>1.000027734</v>
      </c>
      <c r="O369" s="14">
        <f t="shared" si="371"/>
        <v>0.01994254587</v>
      </c>
      <c r="P369" s="13">
        <f t="shared" si="3"/>
        <v>0.001280353507</v>
      </c>
      <c r="Q369" s="13">
        <f t="shared" si="4"/>
        <v>0.00008782208171</v>
      </c>
      <c r="R369" s="13">
        <f t="shared" si="5"/>
        <v>0.00008551097429</v>
      </c>
      <c r="S369" s="14">
        <f t="shared" si="6"/>
        <v>0.7986113036</v>
      </c>
      <c r="T369" s="14">
        <f t="shared" si="7"/>
        <v>0.9999493873</v>
      </c>
      <c r="U369" s="14">
        <f t="shared" si="8"/>
        <v>0.3450360069</v>
      </c>
    </row>
    <row r="370" ht="15.75" customHeight="1">
      <c r="A370" s="9">
        <v>45362.4711054977</v>
      </c>
      <c r="B370" s="10">
        <v>11.0</v>
      </c>
      <c r="C370" s="10" t="s">
        <v>71</v>
      </c>
      <c r="D370" s="10" t="s">
        <v>1238</v>
      </c>
      <c r="E370" s="12" t="s">
        <v>62</v>
      </c>
      <c r="F370" s="11">
        <v>5343.0</v>
      </c>
      <c r="G370" s="11">
        <v>1636.0</v>
      </c>
      <c r="H370" s="11">
        <v>1655.0</v>
      </c>
      <c r="I370" s="11">
        <v>296.0</v>
      </c>
      <c r="J370" s="11">
        <v>98.0</v>
      </c>
      <c r="K370" s="11">
        <v>4.0</v>
      </c>
      <c r="L370" s="11">
        <v>1.0</v>
      </c>
      <c r="M370" s="13">
        <f t="shared" ref="M370:O370" si="372">IFERROR(G370/F370,"")</f>
        <v>0.3061950215</v>
      </c>
      <c r="N370" s="13">
        <f t="shared" si="372"/>
        <v>1.011613692</v>
      </c>
      <c r="O370" s="14">
        <f t="shared" si="372"/>
        <v>0.1788519637</v>
      </c>
      <c r="P370" s="13">
        <f t="shared" si="3"/>
        <v>0.05921450151</v>
      </c>
      <c r="Q370" s="13">
        <f t="shared" si="4"/>
        <v>0.002416918429</v>
      </c>
      <c r="R370" s="13">
        <f t="shared" si="5"/>
        <v>0.0006042296073</v>
      </c>
      <c r="S370" s="14">
        <f t="shared" si="6"/>
        <v>1.828729392</v>
      </c>
      <c r="T370" s="14">
        <f t="shared" si="7"/>
        <v>1.011532822</v>
      </c>
      <c r="U370" s="14">
        <f t="shared" si="8"/>
        <v>9.586933535</v>
      </c>
    </row>
    <row r="371" ht="15.75" customHeight="1">
      <c r="A371" s="9">
        <v>45364.5835002083</v>
      </c>
      <c r="B371" s="10">
        <v>14.0</v>
      </c>
      <c r="C371" s="10" t="s">
        <v>80</v>
      </c>
      <c r="D371" s="10" t="s">
        <v>1240</v>
      </c>
      <c r="E371" s="12" t="s">
        <v>62</v>
      </c>
      <c r="F371" s="11">
        <v>478654.0</v>
      </c>
      <c r="G371" s="11">
        <v>59302.0</v>
      </c>
      <c r="H371" s="11">
        <v>59294.0</v>
      </c>
      <c r="I371" s="11">
        <v>1090.0</v>
      </c>
      <c r="J371" s="11">
        <v>149.0</v>
      </c>
      <c r="K371" s="11">
        <v>10.0</v>
      </c>
      <c r="L371" s="11">
        <v>7.0</v>
      </c>
      <c r="M371" s="13">
        <f t="shared" ref="M371:O371" si="373">IFERROR(G371/F371,"")</f>
        <v>0.1238932507</v>
      </c>
      <c r="N371" s="13">
        <f t="shared" si="373"/>
        <v>0.9998650973</v>
      </c>
      <c r="O371" s="14">
        <f t="shared" si="373"/>
        <v>0.01838297298</v>
      </c>
      <c r="P371" s="13">
        <f t="shared" si="3"/>
        <v>0.002512901811</v>
      </c>
      <c r="Q371" s="13">
        <f t="shared" si="4"/>
        <v>0.0001686511283</v>
      </c>
      <c r="R371" s="13">
        <f t="shared" si="5"/>
        <v>0.0001180557898</v>
      </c>
      <c r="S371" s="14">
        <f t="shared" si="6"/>
        <v>0.7458289199</v>
      </c>
      <c r="T371" s="14">
        <f t="shared" si="7"/>
        <v>0.9997836082</v>
      </c>
      <c r="U371" s="14">
        <f t="shared" si="8"/>
        <v>0.6563452176</v>
      </c>
    </row>
    <row r="372" ht="15.75" customHeight="1">
      <c r="A372" s="9">
        <v>45366.5835738657</v>
      </c>
      <c r="B372" s="10">
        <v>14.0</v>
      </c>
      <c r="C372" s="10" t="s">
        <v>60</v>
      </c>
      <c r="D372" s="10" t="s">
        <v>1242</v>
      </c>
      <c r="E372" s="12" t="s">
        <v>62</v>
      </c>
      <c r="F372" s="11">
        <v>1057228.0</v>
      </c>
      <c r="G372" s="11">
        <v>175114.0</v>
      </c>
      <c r="H372" s="11">
        <v>175128.0</v>
      </c>
      <c r="I372" s="11">
        <v>10872.0</v>
      </c>
      <c r="J372" s="11">
        <v>371.0</v>
      </c>
      <c r="K372" s="11">
        <v>45.0</v>
      </c>
      <c r="L372" s="11">
        <v>18.0</v>
      </c>
      <c r="M372" s="13">
        <f t="shared" ref="M372:O372" si="374">IFERROR(G372/F372,"")</f>
        <v>0.165635038</v>
      </c>
      <c r="N372" s="13">
        <f t="shared" si="374"/>
        <v>1.000079948</v>
      </c>
      <c r="O372" s="14">
        <f t="shared" si="374"/>
        <v>0.06208030698</v>
      </c>
      <c r="P372" s="13">
        <f t="shared" si="3"/>
        <v>0.002118450505</v>
      </c>
      <c r="Q372" s="13">
        <f t="shared" si="4"/>
        <v>0.000256954913</v>
      </c>
      <c r="R372" s="13">
        <f t="shared" si="5"/>
        <v>0.0001027819652</v>
      </c>
      <c r="S372" s="14">
        <f t="shared" si="6"/>
        <v>0.9892442434</v>
      </c>
      <c r="T372" s="14">
        <f t="shared" si="7"/>
        <v>0.9999941751</v>
      </c>
      <c r="U372" s="14">
        <f t="shared" si="8"/>
        <v>1</v>
      </c>
    </row>
    <row r="373" ht="15.75" customHeight="1">
      <c r="A373" s="9">
        <v>45368.5000775116</v>
      </c>
      <c r="B373" s="10">
        <v>12.0</v>
      </c>
      <c r="C373" s="10" t="s">
        <v>77</v>
      </c>
      <c r="D373" s="10" t="s">
        <v>1244</v>
      </c>
      <c r="E373" s="12" t="s">
        <v>62</v>
      </c>
      <c r="F373" s="11">
        <v>631170.0</v>
      </c>
      <c r="G373" s="11">
        <v>88474.0</v>
      </c>
      <c r="H373" s="11">
        <v>88462.0</v>
      </c>
      <c r="I373" s="11">
        <v>966.0</v>
      </c>
      <c r="J373" s="11">
        <v>231.0</v>
      </c>
      <c r="K373" s="11">
        <v>12.0</v>
      </c>
      <c r="L373" s="11">
        <v>6.0</v>
      </c>
      <c r="M373" s="13">
        <f t="shared" ref="M373:O373" si="375">IFERROR(G373/F373,"")</f>
        <v>0.1401745964</v>
      </c>
      <c r="N373" s="13">
        <f t="shared" si="375"/>
        <v>0.9998643669</v>
      </c>
      <c r="O373" s="14">
        <f t="shared" si="375"/>
        <v>0.01091994303</v>
      </c>
      <c r="P373" s="13">
        <f t="shared" si="3"/>
        <v>0.002611290724</v>
      </c>
      <c r="Q373" s="13">
        <f t="shared" si="4"/>
        <v>0.0001356514662</v>
      </c>
      <c r="R373" s="13">
        <f t="shared" si="5"/>
        <v>0.00006782573308</v>
      </c>
      <c r="S373" s="14">
        <f t="shared" si="6"/>
        <v>0.8371834497</v>
      </c>
      <c r="T373" s="14">
        <f t="shared" si="7"/>
        <v>0.9997786126</v>
      </c>
      <c r="U373" s="14">
        <f t="shared" si="8"/>
        <v>0.5279193326</v>
      </c>
    </row>
    <row r="374" ht="15.75" customHeight="1">
      <c r="A374" s="9">
        <v>45370.5001029514</v>
      </c>
      <c r="B374" s="10">
        <v>12.0</v>
      </c>
      <c r="C374" s="10" t="s">
        <v>59</v>
      </c>
      <c r="D374" s="10" t="s">
        <v>1246</v>
      </c>
      <c r="E374" s="12" t="s">
        <v>62</v>
      </c>
      <c r="F374" s="11">
        <v>81861.0</v>
      </c>
      <c r="G374" s="11">
        <v>10785.0</v>
      </c>
      <c r="H374" s="11">
        <v>10791.0</v>
      </c>
      <c r="I374" s="11">
        <v>941.0</v>
      </c>
      <c r="J374" s="11">
        <v>195.0</v>
      </c>
      <c r="K374" s="11">
        <v>9.0</v>
      </c>
      <c r="L374" s="11">
        <v>2.0</v>
      </c>
      <c r="M374" s="13">
        <f t="shared" ref="M374:O374" si="376">IFERROR(G374/F374,"")</f>
        <v>0.1317477187</v>
      </c>
      <c r="N374" s="13">
        <f t="shared" si="376"/>
        <v>1.000556328</v>
      </c>
      <c r="O374" s="14">
        <f t="shared" si="376"/>
        <v>0.08720229821</v>
      </c>
      <c r="P374" s="13">
        <f t="shared" si="3"/>
        <v>0.0180706144</v>
      </c>
      <c r="Q374" s="13">
        <f t="shared" si="4"/>
        <v>0.000834028357</v>
      </c>
      <c r="R374" s="13">
        <f t="shared" si="5"/>
        <v>0.0001853396349</v>
      </c>
      <c r="S374" s="14">
        <f t="shared" si="6"/>
        <v>0.794259338</v>
      </c>
      <c r="T374" s="14">
        <f t="shared" si="7"/>
        <v>1.000472649</v>
      </c>
      <c r="U374" s="14">
        <f t="shared" si="8"/>
        <v>3.276736424</v>
      </c>
    </row>
    <row r="375" ht="15.75" customHeight="1">
      <c r="A375" s="9">
        <v>45372.4998492824</v>
      </c>
      <c r="B375" s="10">
        <v>11.0</v>
      </c>
      <c r="C375" s="10" t="s">
        <v>84</v>
      </c>
      <c r="D375" s="10" t="s">
        <v>1248</v>
      </c>
      <c r="E375" s="12" t="s">
        <v>62</v>
      </c>
      <c r="F375" s="11">
        <v>1073253.0</v>
      </c>
      <c r="G375" s="11">
        <v>115432.0</v>
      </c>
      <c r="H375" s="11">
        <v>115444.0</v>
      </c>
      <c r="I375" s="11">
        <v>1810.0</v>
      </c>
      <c r="J375" s="11">
        <v>168.0</v>
      </c>
      <c r="K375" s="11">
        <v>9.0</v>
      </c>
      <c r="L375" s="11">
        <v>10.0</v>
      </c>
      <c r="M375" s="13">
        <f t="shared" ref="M375:O375" si="377">IFERROR(G375/F375,"")</f>
        <v>0.1075533914</v>
      </c>
      <c r="N375" s="13">
        <f t="shared" si="377"/>
        <v>1.000103957</v>
      </c>
      <c r="O375" s="14">
        <f t="shared" si="377"/>
        <v>0.01567859742</v>
      </c>
      <c r="P375" s="13">
        <f t="shared" si="3"/>
        <v>0.001455251031</v>
      </c>
      <c r="Q375" s="13">
        <f t="shared" si="4"/>
        <v>0.00007795987665</v>
      </c>
      <c r="R375" s="13">
        <f t="shared" si="5"/>
        <v>0.00008662208517</v>
      </c>
      <c r="S375" s="14">
        <f t="shared" si="6"/>
        <v>0.6604788802</v>
      </c>
      <c r="T375" s="14">
        <f t="shared" si="7"/>
        <v>1.000020316</v>
      </c>
      <c r="U375" s="14">
        <f t="shared" si="8"/>
        <v>0.3236488743</v>
      </c>
    </row>
    <row r="376" ht="15.75" customHeight="1">
      <c r="A376" s="9">
        <v>45374.5836858449</v>
      </c>
      <c r="B376" s="10">
        <v>14.0</v>
      </c>
      <c r="C376" s="10" t="s">
        <v>69</v>
      </c>
      <c r="D376" s="10" t="s">
        <v>1249</v>
      </c>
      <c r="E376" s="12" t="s">
        <v>62</v>
      </c>
      <c r="F376" s="11">
        <v>783940.0</v>
      </c>
      <c r="G376" s="11">
        <v>89725.0</v>
      </c>
      <c r="H376" s="11">
        <v>89750.0</v>
      </c>
      <c r="I376" s="11">
        <v>1794.0</v>
      </c>
      <c r="J376" s="11">
        <v>173.0</v>
      </c>
      <c r="K376" s="11">
        <v>7.0</v>
      </c>
      <c r="L376" s="11">
        <v>5.0</v>
      </c>
      <c r="M376" s="13">
        <f t="shared" ref="M376:O376" si="378">IFERROR(G376/F376,"")</f>
        <v>0.1144539123</v>
      </c>
      <c r="N376" s="13">
        <f t="shared" si="378"/>
        <v>1.000278629</v>
      </c>
      <c r="O376" s="14">
        <f t="shared" si="378"/>
        <v>0.01998885794</v>
      </c>
      <c r="P376" s="13">
        <f t="shared" si="3"/>
        <v>0.001927576602</v>
      </c>
      <c r="Q376" s="13">
        <f t="shared" si="4"/>
        <v>0.00007799442897</v>
      </c>
      <c r="R376" s="13">
        <f t="shared" si="5"/>
        <v>0.00005571030641</v>
      </c>
      <c r="S376" s="14">
        <f t="shared" si="6"/>
        <v>0.7481655608</v>
      </c>
      <c r="T376" s="14">
        <f t="shared" si="7"/>
        <v>1.000174654</v>
      </c>
      <c r="U376" s="14">
        <f t="shared" si="8"/>
        <v>0.3439377057</v>
      </c>
    </row>
    <row r="377" ht="15.75" customHeight="1">
      <c r="A377" s="9">
        <v>45376.583561088</v>
      </c>
      <c r="B377" s="10">
        <v>14.0</v>
      </c>
      <c r="C377" s="10" t="s">
        <v>71</v>
      </c>
      <c r="D377" s="10" t="s">
        <v>1251</v>
      </c>
      <c r="E377" s="12" t="s">
        <v>62</v>
      </c>
      <c r="F377" s="11">
        <v>1026674.0</v>
      </c>
      <c r="G377" s="11">
        <v>128245.0</v>
      </c>
      <c r="H377" s="11">
        <v>128256.0</v>
      </c>
      <c r="I377" s="11">
        <v>2169.0</v>
      </c>
      <c r="J377" s="11">
        <v>299.0</v>
      </c>
      <c r="K377" s="11">
        <v>17.0</v>
      </c>
      <c r="L377" s="11">
        <v>25.0</v>
      </c>
      <c r="M377" s="13">
        <f t="shared" ref="M377:O377" si="379">IFERROR(G377/F377,"")</f>
        <v>0.1249130688</v>
      </c>
      <c r="N377" s="13">
        <f t="shared" si="379"/>
        <v>1.000085773</v>
      </c>
      <c r="O377" s="14">
        <f t="shared" si="379"/>
        <v>0.01691148952</v>
      </c>
      <c r="P377" s="13">
        <f t="shared" si="3"/>
        <v>0.00233127495</v>
      </c>
      <c r="Q377" s="13">
        <f t="shared" si="4"/>
        <v>0.0001325474052</v>
      </c>
      <c r="R377" s="13">
        <f t="shared" si="5"/>
        <v>0.0001949226547</v>
      </c>
      <c r="S377" s="14">
        <f t="shared" si="6"/>
        <v>0.8310999071</v>
      </c>
      <c r="T377" s="14">
        <f t="shared" si="7"/>
        <v>0.9999626774</v>
      </c>
      <c r="U377" s="14">
        <f t="shared" si="8"/>
        <v>0.5845039325</v>
      </c>
    </row>
    <row r="378" ht="15.75" customHeight="1">
      <c r="A378" s="9">
        <v>45378.4959926505</v>
      </c>
      <c r="B378" s="10">
        <v>11.0</v>
      </c>
      <c r="C378" s="10" t="s">
        <v>80</v>
      </c>
      <c r="D378" s="10" t="s">
        <v>1253</v>
      </c>
      <c r="E378" s="12" t="s">
        <v>62</v>
      </c>
      <c r="F378" s="11">
        <v>6529.0</v>
      </c>
      <c r="G378" s="11">
        <v>1616.0</v>
      </c>
      <c r="H378" s="11">
        <v>1645.0</v>
      </c>
      <c r="I378" s="11">
        <v>180.0</v>
      </c>
      <c r="J378" s="11">
        <v>90.0</v>
      </c>
      <c r="K378" s="11">
        <v>4.0</v>
      </c>
      <c r="L378" s="11">
        <v>0.0</v>
      </c>
      <c r="M378" s="13">
        <f t="shared" ref="M378:O378" si="380">IFERROR(G378/F378,"")</f>
        <v>0.2475111043</v>
      </c>
      <c r="N378" s="13">
        <f t="shared" si="380"/>
        <v>1.017945545</v>
      </c>
      <c r="O378" s="14">
        <f t="shared" si="380"/>
        <v>0.1094224924</v>
      </c>
      <c r="P378" s="13">
        <f t="shared" si="3"/>
        <v>0.0547112462</v>
      </c>
      <c r="Q378" s="13">
        <f t="shared" si="4"/>
        <v>0.002431610942</v>
      </c>
      <c r="R378" s="13">
        <f t="shared" si="5"/>
        <v>0</v>
      </c>
      <c r="S378" s="14">
        <f t="shared" si="6"/>
        <v>1.670541757</v>
      </c>
      <c r="T378" s="14">
        <f t="shared" si="7"/>
        <v>1.017816011</v>
      </c>
      <c r="U378" s="14">
        <f t="shared" si="8"/>
        <v>10.65515852</v>
      </c>
    </row>
    <row r="379" ht="15.75" customHeight="1">
      <c r="A379" s="9">
        <v>45380.500491007</v>
      </c>
      <c r="B379" s="10">
        <v>12.0</v>
      </c>
      <c r="C379" s="10" t="s">
        <v>60</v>
      </c>
      <c r="D379" s="10" t="s">
        <v>1255</v>
      </c>
      <c r="E379" s="12" t="s">
        <v>62</v>
      </c>
      <c r="F379" s="11">
        <v>589567.0</v>
      </c>
      <c r="G379" s="11">
        <v>126927.0</v>
      </c>
      <c r="H379" s="11">
        <v>126931.0</v>
      </c>
      <c r="I379" s="11">
        <v>8243.0</v>
      </c>
      <c r="J379" s="11">
        <v>513.0</v>
      </c>
      <c r="K379" s="11">
        <v>32.0</v>
      </c>
      <c r="L379" s="11">
        <v>9.0</v>
      </c>
      <c r="M379" s="13">
        <f t="shared" ref="M379:O379" si="381">IFERROR(G379/F379,"")</f>
        <v>0.2152885083</v>
      </c>
      <c r="N379" s="13">
        <f t="shared" si="381"/>
        <v>1.000031514</v>
      </c>
      <c r="O379" s="14">
        <f t="shared" si="381"/>
        <v>0.0649407946</v>
      </c>
      <c r="P379" s="13">
        <f t="shared" si="3"/>
        <v>0.00404156589</v>
      </c>
      <c r="Q379" s="13">
        <f t="shared" si="4"/>
        <v>0.0002521054746</v>
      </c>
      <c r="R379" s="13">
        <f t="shared" si="5"/>
        <v>0.00007090466474</v>
      </c>
      <c r="S379" s="14">
        <f t="shared" si="6"/>
        <v>1.453059829</v>
      </c>
      <c r="T379" s="14">
        <f t="shared" si="7"/>
        <v>0.9999042601</v>
      </c>
      <c r="U379" s="14">
        <f t="shared" si="8"/>
        <v>1.104709536</v>
      </c>
    </row>
    <row r="380" ht="15.75" customHeight="1">
      <c r="A380" s="9">
        <v>45382.4884795023</v>
      </c>
      <c r="B380" s="10">
        <v>11.0</v>
      </c>
      <c r="C380" s="10" t="s">
        <v>77</v>
      </c>
      <c r="D380" s="10" t="s">
        <v>1257</v>
      </c>
      <c r="E380" s="12" t="s">
        <v>62</v>
      </c>
      <c r="F380" s="11">
        <v>782029.0</v>
      </c>
      <c r="G380" s="11">
        <v>92645.0</v>
      </c>
      <c r="H380" s="11">
        <v>92647.0</v>
      </c>
      <c r="I380" s="11">
        <v>2806.0</v>
      </c>
      <c r="J380" s="11">
        <v>166.0</v>
      </c>
      <c r="K380" s="11">
        <v>4.0</v>
      </c>
      <c r="L380" s="11">
        <v>6.0</v>
      </c>
      <c r="M380" s="13">
        <f t="shared" ref="M380:O380" si="382">IFERROR(G380/F380,"")</f>
        <v>0.1184674737</v>
      </c>
      <c r="N380" s="13">
        <f t="shared" si="382"/>
        <v>1.000021588</v>
      </c>
      <c r="O380" s="14">
        <f t="shared" si="382"/>
        <v>0.03028700336</v>
      </c>
      <c r="P380" s="13">
        <f t="shared" si="3"/>
        <v>0.001791747169</v>
      </c>
      <c r="Q380" s="13">
        <f t="shared" si="4"/>
        <v>0.00004317463059</v>
      </c>
      <c r="R380" s="13">
        <f t="shared" si="5"/>
        <v>0.00006476194588</v>
      </c>
      <c r="S380" s="14">
        <f t="shared" si="6"/>
        <v>0.816117861</v>
      </c>
      <c r="T380" s="14">
        <f t="shared" si="7"/>
        <v>0.9998813617</v>
      </c>
      <c r="U380" s="14">
        <f t="shared" si="8"/>
        <v>0.1891883792</v>
      </c>
    </row>
    <row r="381" ht="15.75" customHeight="1">
      <c r="A381" s="9">
        <v>45384.5224493982</v>
      </c>
      <c r="B381" s="10">
        <v>12.0</v>
      </c>
      <c r="C381" s="10" t="s">
        <v>59</v>
      </c>
      <c r="D381" s="10" t="s">
        <v>1259</v>
      </c>
      <c r="E381" s="12" t="s">
        <v>62</v>
      </c>
      <c r="F381" s="11">
        <v>14078.0</v>
      </c>
      <c r="G381" s="11">
        <v>3695.0</v>
      </c>
      <c r="H381" s="11">
        <v>3709.0</v>
      </c>
      <c r="I381" s="11">
        <v>391.0</v>
      </c>
      <c r="J381" s="11">
        <v>117.0</v>
      </c>
      <c r="K381" s="11">
        <v>3.0</v>
      </c>
      <c r="L381" s="11">
        <v>6.0</v>
      </c>
      <c r="M381" s="13">
        <f t="shared" ref="M381:O381" si="383">IFERROR(G381/F381,"")</f>
        <v>0.2624662594</v>
      </c>
      <c r="N381" s="13">
        <f t="shared" si="383"/>
        <v>1.003788904</v>
      </c>
      <c r="O381" s="14">
        <f t="shared" si="383"/>
        <v>0.1054192505</v>
      </c>
      <c r="P381" s="13">
        <f t="shared" si="3"/>
        <v>0.03154489081</v>
      </c>
      <c r="Q381" s="13">
        <f t="shared" si="4"/>
        <v>0.000808843354</v>
      </c>
      <c r="R381" s="13">
        <f t="shared" si="5"/>
        <v>0.001617686708</v>
      </c>
      <c r="S381" s="14">
        <f t="shared" si="6"/>
        <v>1.827398776</v>
      </c>
      <c r="T381" s="14">
        <f t="shared" si="7"/>
        <v>1.003631925</v>
      </c>
      <c r="U381" s="14">
        <f t="shared" si="8"/>
        <v>3.544298147</v>
      </c>
    </row>
    <row r="382" ht="15.75" customHeight="1">
      <c r="A382" s="9">
        <v>45386.4999979514</v>
      </c>
      <c r="B382" s="10">
        <v>11.0</v>
      </c>
      <c r="C382" s="10" t="s">
        <v>84</v>
      </c>
      <c r="D382" s="10" t="s">
        <v>1261</v>
      </c>
      <c r="E382" s="12" t="s">
        <v>62</v>
      </c>
      <c r="F382" s="11">
        <v>37348.0</v>
      </c>
      <c r="G382" s="11">
        <v>6708.0</v>
      </c>
      <c r="H382" s="11">
        <v>6725.0</v>
      </c>
      <c r="I382" s="11">
        <v>635.0</v>
      </c>
      <c r="J382" s="11">
        <v>117.0</v>
      </c>
      <c r="K382" s="11">
        <v>2.0</v>
      </c>
      <c r="L382" s="11">
        <v>6.0</v>
      </c>
      <c r="M382" s="13">
        <f t="shared" ref="M382:O382" si="384">IFERROR(G382/F382,"")</f>
        <v>0.1796080111</v>
      </c>
      <c r="N382" s="13">
        <f t="shared" si="384"/>
        <v>1.002534287</v>
      </c>
      <c r="O382" s="14">
        <f t="shared" si="384"/>
        <v>0.09442379182</v>
      </c>
      <c r="P382" s="13">
        <f t="shared" si="3"/>
        <v>0.01739776952</v>
      </c>
      <c r="Q382" s="13">
        <f t="shared" si="4"/>
        <v>0.0002973977695</v>
      </c>
      <c r="R382" s="13">
        <f t="shared" si="5"/>
        <v>0.0008921933086</v>
      </c>
      <c r="S382" s="14">
        <f t="shared" si="6"/>
        <v>1.266771039</v>
      </c>
      <c r="T382" s="14">
        <f t="shared" si="7"/>
        <v>1.002376163</v>
      </c>
      <c r="U382" s="14">
        <f t="shared" si="8"/>
        <v>1.364959394</v>
      </c>
    </row>
    <row r="383" ht="15.75" customHeight="1">
      <c r="A383" s="9">
        <v>45388.5000765741</v>
      </c>
      <c r="B383" s="10">
        <v>12.0</v>
      </c>
      <c r="C383" s="10" t="s">
        <v>69</v>
      </c>
      <c r="D383" s="10" t="s">
        <v>1263</v>
      </c>
      <c r="E383" s="12" t="s">
        <v>62</v>
      </c>
      <c r="F383" s="11">
        <v>194203.0</v>
      </c>
      <c r="G383" s="11">
        <v>32260.0</v>
      </c>
      <c r="H383" s="11">
        <v>32267.0</v>
      </c>
      <c r="I383" s="11">
        <v>2328.0</v>
      </c>
      <c r="J383" s="11">
        <v>243.0</v>
      </c>
      <c r="K383" s="11">
        <v>5.0</v>
      </c>
      <c r="L383" s="11">
        <v>16.0</v>
      </c>
      <c r="M383" s="13">
        <f t="shared" ref="M383:O383" si="385">IFERROR(G383/F383,"")</f>
        <v>0.1661148386</v>
      </c>
      <c r="N383" s="13">
        <f t="shared" si="385"/>
        <v>1.000216987</v>
      </c>
      <c r="O383" s="14">
        <f t="shared" si="385"/>
        <v>0.072148015</v>
      </c>
      <c r="P383" s="13">
        <f t="shared" si="3"/>
        <v>0.007530913937</v>
      </c>
      <c r="Q383" s="13">
        <f t="shared" si="4"/>
        <v>0.0001549570769</v>
      </c>
      <c r="R383" s="13">
        <f t="shared" si="5"/>
        <v>0.000495862646</v>
      </c>
      <c r="S383" s="14">
        <f t="shared" si="6"/>
        <v>1.171604014</v>
      </c>
      <c r="T383" s="14">
        <f t="shared" si="7"/>
        <v>1.000059229</v>
      </c>
      <c r="U383" s="14">
        <f t="shared" si="8"/>
        <v>0.6790116749</v>
      </c>
    </row>
    <row r="384" ht="15.75" customHeight="1">
      <c r="A384" s="9">
        <v>45390.4998354282</v>
      </c>
      <c r="B384" s="10">
        <v>11.0</v>
      </c>
      <c r="C384" s="10" t="s">
        <v>71</v>
      </c>
      <c r="D384" s="10" t="s">
        <v>1266</v>
      </c>
      <c r="E384" s="12" t="s">
        <v>62</v>
      </c>
      <c r="F384" s="11">
        <v>105671.0</v>
      </c>
      <c r="G384" s="11">
        <v>18549.0</v>
      </c>
      <c r="H384" s="11">
        <v>18554.0</v>
      </c>
      <c r="I384" s="11">
        <v>1133.0</v>
      </c>
      <c r="J384" s="11">
        <v>125.0</v>
      </c>
      <c r="K384" s="11">
        <v>11.0</v>
      </c>
      <c r="L384" s="11">
        <v>4.0</v>
      </c>
      <c r="M384" s="13">
        <f t="shared" ref="M384:O384" si="386">IFERROR(G384/F384,"")</f>
        <v>0.1755353881</v>
      </c>
      <c r="N384" s="13">
        <f t="shared" si="386"/>
        <v>1.000269556</v>
      </c>
      <c r="O384" s="14">
        <f t="shared" si="386"/>
        <v>0.06106499946</v>
      </c>
      <c r="P384" s="13">
        <f t="shared" si="3"/>
        <v>0.006737091732</v>
      </c>
      <c r="Q384" s="13">
        <f t="shared" si="4"/>
        <v>0.0005928640724</v>
      </c>
      <c r="R384" s="13">
        <f t="shared" si="5"/>
        <v>0.0002155869354</v>
      </c>
      <c r="S384" s="14">
        <f t="shared" si="6"/>
        <v>1.238046926</v>
      </c>
      <c r="T384" s="14">
        <f t="shared" si="7"/>
        <v>1.00011179</v>
      </c>
      <c r="U384" s="14">
        <f t="shared" si="8"/>
        <v>2.597891202</v>
      </c>
    </row>
    <row r="385" ht="15.75" customHeight="1">
      <c r="A385" s="9">
        <v>45392.5000240625</v>
      </c>
      <c r="B385" s="10">
        <v>12.0</v>
      </c>
      <c r="C385" s="10" t="s">
        <v>80</v>
      </c>
      <c r="D385" s="10" t="s">
        <v>1269</v>
      </c>
      <c r="E385" s="12" t="s">
        <v>62</v>
      </c>
      <c r="F385" s="11">
        <v>147822.0</v>
      </c>
      <c r="G385" s="11">
        <v>32940.0</v>
      </c>
      <c r="H385" s="11">
        <v>32946.0</v>
      </c>
      <c r="I385" s="11">
        <v>1750.0</v>
      </c>
      <c r="J385" s="11">
        <v>354.0</v>
      </c>
      <c r="K385" s="11">
        <v>11.0</v>
      </c>
      <c r="L385" s="11">
        <v>26.0</v>
      </c>
      <c r="M385" s="13">
        <f t="shared" ref="M385:O385" si="387">IFERROR(G385/F385,"")</f>
        <v>0.2228355725</v>
      </c>
      <c r="N385" s="13">
        <f t="shared" si="387"/>
        <v>1.000182149</v>
      </c>
      <c r="O385" s="14">
        <f t="shared" si="387"/>
        <v>0.05311722212</v>
      </c>
      <c r="P385" s="13">
        <f t="shared" si="3"/>
        <v>0.01074485522</v>
      </c>
      <c r="Q385" s="13">
        <f t="shared" si="4"/>
        <v>0.0003338796819</v>
      </c>
      <c r="R385" s="13">
        <f t="shared" si="5"/>
        <v>0.0007891701572</v>
      </c>
      <c r="S385" s="14">
        <f t="shared" si="6"/>
        <v>1.589700119</v>
      </c>
      <c r="T385" s="14">
        <f t="shared" si="7"/>
        <v>1.000024396</v>
      </c>
      <c r="U385" s="14">
        <f t="shared" si="8"/>
        <v>1.53239955</v>
      </c>
    </row>
    <row r="386" ht="15.75" customHeight="1">
      <c r="A386" s="9">
        <v>45394.5007359954</v>
      </c>
      <c r="B386" s="10">
        <v>12.0</v>
      </c>
      <c r="C386" s="10" t="s">
        <v>60</v>
      </c>
      <c r="D386" s="10" t="s">
        <v>1271</v>
      </c>
      <c r="E386" s="12" t="s">
        <v>62</v>
      </c>
      <c r="F386" s="11">
        <v>58145.0</v>
      </c>
      <c r="G386" s="11">
        <v>13397.0</v>
      </c>
      <c r="H386" s="11">
        <v>13426.0</v>
      </c>
      <c r="I386" s="11">
        <v>987.0</v>
      </c>
      <c r="J386" s="11">
        <v>195.0</v>
      </c>
      <c r="K386" s="11">
        <v>5.0</v>
      </c>
      <c r="L386" s="11">
        <v>14.0</v>
      </c>
      <c r="M386" s="13">
        <f t="shared" ref="M386:O386" si="388">IFERROR(G386/F386,"")</f>
        <v>0.2304067418</v>
      </c>
      <c r="N386" s="13">
        <f t="shared" si="388"/>
        <v>1.002164664</v>
      </c>
      <c r="O386" s="14">
        <f t="shared" si="388"/>
        <v>0.07351407716</v>
      </c>
      <c r="P386" s="13">
        <f t="shared" si="3"/>
        <v>0.0145240578</v>
      </c>
      <c r="Q386" s="13">
        <f t="shared" si="4"/>
        <v>0.0003724117384</v>
      </c>
      <c r="R386" s="13">
        <f t="shared" si="5"/>
        <v>0.001042752868</v>
      </c>
      <c r="S386" s="14">
        <f t="shared" si="6"/>
        <v>1.625053281</v>
      </c>
      <c r="T386" s="14">
        <f t="shared" si="7"/>
        <v>1.002024137</v>
      </c>
      <c r="U386" s="14">
        <f t="shared" si="8"/>
        <v>1.631883637</v>
      </c>
    </row>
    <row r="387" ht="15.75" customHeight="1">
      <c r="A387" s="9">
        <v>45396.5001951852</v>
      </c>
      <c r="B387" s="10">
        <v>12.0</v>
      </c>
      <c r="C387" s="10" t="s">
        <v>77</v>
      </c>
      <c r="D387" s="10" t="s">
        <v>1273</v>
      </c>
      <c r="E387" s="12" t="s">
        <v>62</v>
      </c>
      <c r="F387" s="11">
        <v>21528.0</v>
      </c>
      <c r="G387" s="11">
        <v>5510.0</v>
      </c>
      <c r="H387" s="11">
        <v>5526.0</v>
      </c>
      <c r="I387" s="11">
        <v>502.0</v>
      </c>
      <c r="J387" s="11">
        <v>104.0</v>
      </c>
      <c r="K387" s="11">
        <v>1.0</v>
      </c>
      <c r="L387" s="11">
        <v>4.0</v>
      </c>
      <c r="M387" s="13">
        <f t="shared" ref="M387:O387" si="389">IFERROR(G387/F387,"")</f>
        <v>0.2559457451</v>
      </c>
      <c r="N387" s="13">
        <f t="shared" si="389"/>
        <v>1.002903811</v>
      </c>
      <c r="O387" s="14">
        <f t="shared" si="389"/>
        <v>0.09084328628</v>
      </c>
      <c r="P387" s="13">
        <f t="shared" si="3"/>
        <v>0.01882012305</v>
      </c>
      <c r="Q387" s="13">
        <f t="shared" si="4"/>
        <v>0.0001809627217</v>
      </c>
      <c r="R387" s="13">
        <f t="shared" si="5"/>
        <v>0.0007238508867</v>
      </c>
      <c r="S387" s="14">
        <f t="shared" si="6"/>
        <v>1.805179265</v>
      </c>
      <c r="T387" s="14">
        <f t="shared" si="7"/>
        <v>1.002745629</v>
      </c>
      <c r="U387" s="14">
        <f t="shared" si="8"/>
        <v>0.7929666925</v>
      </c>
    </row>
    <row r="388" ht="15.75" customHeight="1">
      <c r="A388" s="9">
        <v>45398.5002869329</v>
      </c>
      <c r="B388" s="10">
        <v>12.0</v>
      </c>
      <c r="C388" s="10" t="s">
        <v>59</v>
      </c>
      <c r="D388" s="10" t="s">
        <v>1275</v>
      </c>
      <c r="E388" s="12" t="s">
        <v>62</v>
      </c>
      <c r="F388" s="11">
        <v>299.0</v>
      </c>
      <c r="G388" s="11">
        <v>89.0</v>
      </c>
      <c r="H388" s="11">
        <v>89.0</v>
      </c>
      <c r="I388" s="11">
        <v>7.0</v>
      </c>
      <c r="J388" s="11">
        <v>2.0</v>
      </c>
      <c r="K388" s="11">
        <v>0.0</v>
      </c>
      <c r="L388" s="11">
        <v>0.0</v>
      </c>
      <c r="M388" s="13">
        <f t="shared" ref="M388:O388" si="390">IFERROR(G388/F388,"")</f>
        <v>0.2976588629</v>
      </c>
      <c r="N388" s="13">
        <f t="shared" si="390"/>
        <v>1</v>
      </c>
      <c r="O388" s="14">
        <f t="shared" si="390"/>
        <v>0.07865168539</v>
      </c>
      <c r="P388" s="13">
        <f t="shared" si="3"/>
        <v>0.02247191011</v>
      </c>
      <c r="Q388" s="13">
        <f t="shared" si="4"/>
        <v>0</v>
      </c>
      <c r="R388" s="13">
        <f t="shared" si="5"/>
        <v>0</v>
      </c>
      <c r="S388" s="14">
        <f t="shared" si="6"/>
        <v>2.099380895</v>
      </c>
      <c r="T388" s="14">
        <f t="shared" si="7"/>
        <v>0.9998422758</v>
      </c>
      <c r="U388" s="14">
        <f t="shared" si="8"/>
        <v>0</v>
      </c>
    </row>
    <row r="389" ht="15.75" customHeight="1">
      <c r="A389" s="9">
        <v>45398.5588150232</v>
      </c>
      <c r="B389" s="10">
        <v>13.0</v>
      </c>
      <c r="C389" s="10" t="s">
        <v>59</v>
      </c>
      <c r="D389" s="10" t="s">
        <v>1275</v>
      </c>
      <c r="E389" s="12" t="s">
        <v>62</v>
      </c>
      <c r="F389" s="11">
        <v>48785.0</v>
      </c>
      <c r="G389" s="11">
        <v>15607.0</v>
      </c>
      <c r="H389" s="11">
        <v>15648.0</v>
      </c>
      <c r="I389" s="11">
        <v>1755.0</v>
      </c>
      <c r="J389" s="11">
        <v>207.0</v>
      </c>
      <c r="K389" s="11">
        <v>20.0</v>
      </c>
      <c r="L389" s="11">
        <v>14.0</v>
      </c>
      <c r="M389" s="13">
        <f t="shared" ref="M389:O389" si="391">IFERROR(G389/F389,"")</f>
        <v>0.319913908</v>
      </c>
      <c r="N389" s="13">
        <f t="shared" si="391"/>
        <v>1.002627026</v>
      </c>
      <c r="O389" s="14">
        <f t="shared" si="391"/>
        <v>0.112154908</v>
      </c>
      <c r="P389" s="13">
        <f t="shared" si="3"/>
        <v>0.01322852761</v>
      </c>
      <c r="Q389" s="13">
        <f t="shared" si="4"/>
        <v>0.001278118609</v>
      </c>
      <c r="R389" s="13">
        <f t="shared" si="5"/>
        <v>0.0008946830266</v>
      </c>
      <c r="S389" s="14">
        <f t="shared" si="6"/>
        <v>2.269225207</v>
      </c>
      <c r="T389" s="14">
        <f t="shared" si="7"/>
        <v>1.002477604</v>
      </c>
      <c r="U389" s="14">
        <f t="shared" si="8"/>
        <v>5.636212586</v>
      </c>
    </row>
    <row r="390" ht="15.75" customHeight="1">
      <c r="A390" s="9">
        <v>45400.4953915162</v>
      </c>
      <c r="B390" s="10">
        <v>11.0</v>
      </c>
      <c r="C390" s="10" t="s">
        <v>84</v>
      </c>
      <c r="D390" s="10" t="s">
        <v>1278</v>
      </c>
      <c r="E390" s="12" t="s">
        <v>62</v>
      </c>
      <c r="F390" s="11">
        <v>205500.0</v>
      </c>
      <c r="G390" s="11">
        <v>34817.0</v>
      </c>
      <c r="H390" s="11">
        <v>34825.0</v>
      </c>
      <c r="I390" s="11">
        <v>3147.0</v>
      </c>
      <c r="J390" s="11">
        <v>265.0</v>
      </c>
      <c r="K390" s="11">
        <v>5.0</v>
      </c>
      <c r="L390" s="11">
        <v>12.0</v>
      </c>
      <c r="M390" s="13">
        <f t="shared" ref="M390:O390" si="392">IFERROR(G390/F390,"")</f>
        <v>0.1694257908</v>
      </c>
      <c r="N390" s="13">
        <f t="shared" si="392"/>
        <v>1.000229773</v>
      </c>
      <c r="O390" s="14">
        <f t="shared" si="392"/>
        <v>0.0903661163</v>
      </c>
      <c r="P390" s="13">
        <f t="shared" si="3"/>
        <v>0.007609475951</v>
      </c>
      <c r="Q390" s="13">
        <f t="shared" si="4"/>
        <v>0.0001435750179</v>
      </c>
      <c r="R390" s="13">
        <f t="shared" si="5"/>
        <v>0.0003445800431</v>
      </c>
      <c r="S390" s="14">
        <f t="shared" si="6"/>
        <v>1.208676858</v>
      </c>
      <c r="T390" s="14">
        <f t="shared" si="7"/>
        <v>1.000072012</v>
      </c>
      <c r="U390" s="14">
        <f t="shared" si="8"/>
        <v>0.6291362445</v>
      </c>
    </row>
    <row r="391" ht="15.75" customHeight="1">
      <c r="A391" s="9">
        <v>45402.4969814005</v>
      </c>
      <c r="B391" s="10">
        <v>11.0</v>
      </c>
      <c r="C391" s="10" t="s">
        <v>69</v>
      </c>
      <c r="D391" s="10" t="s">
        <v>1280</v>
      </c>
      <c r="E391" s="12" t="s">
        <v>62</v>
      </c>
      <c r="F391" s="11">
        <v>724913.0</v>
      </c>
      <c r="G391" s="11">
        <v>81344.0</v>
      </c>
      <c r="H391" s="11">
        <v>81343.0</v>
      </c>
      <c r="I391" s="11">
        <v>2106.0</v>
      </c>
      <c r="J391" s="11">
        <v>235.0</v>
      </c>
      <c r="K391" s="11">
        <v>17.0</v>
      </c>
      <c r="L391" s="11">
        <v>18.0</v>
      </c>
      <c r="M391" s="13">
        <f t="shared" ref="M391:O391" si="393">IFERROR(G391/F391,"")</f>
        <v>0.1122120861</v>
      </c>
      <c r="N391" s="13">
        <f t="shared" si="393"/>
        <v>0.9999877065</v>
      </c>
      <c r="O391" s="14">
        <f t="shared" si="393"/>
        <v>0.02589036549</v>
      </c>
      <c r="P391" s="13">
        <f t="shared" si="3"/>
        <v>0.002889000897</v>
      </c>
      <c r="Q391" s="13">
        <f t="shared" si="4"/>
        <v>0.0002089915543</v>
      </c>
      <c r="R391" s="13">
        <f t="shared" si="5"/>
        <v>0.0002212851751</v>
      </c>
      <c r="S391" s="14">
        <f t="shared" si="6"/>
        <v>0.8005165632</v>
      </c>
      <c r="T391" s="14">
        <f t="shared" si="7"/>
        <v>0.999813442</v>
      </c>
      <c r="U391" s="14">
        <f t="shared" si="8"/>
        <v>0.9592035131</v>
      </c>
    </row>
    <row r="392" ht="15.75" customHeight="1">
      <c r="A392" s="9">
        <v>45404.5057044907</v>
      </c>
      <c r="B392" s="10">
        <v>12.0</v>
      </c>
      <c r="C392" s="10" t="s">
        <v>71</v>
      </c>
      <c r="D392" s="10" t="s">
        <v>1282</v>
      </c>
      <c r="E392" s="12" t="s">
        <v>62</v>
      </c>
      <c r="F392" s="11">
        <v>92396.0</v>
      </c>
      <c r="G392" s="11">
        <v>14185.0</v>
      </c>
      <c r="H392" s="11">
        <v>14216.0</v>
      </c>
      <c r="I392" s="11">
        <v>1325.0</v>
      </c>
      <c r="J392" s="11">
        <v>153.0</v>
      </c>
      <c r="K392" s="11">
        <v>6.0</v>
      </c>
      <c r="L392" s="11">
        <v>11.0</v>
      </c>
      <c r="M392" s="13">
        <f t="shared" ref="M392:O392" si="394">IFERROR(G392/F392,"")</f>
        <v>0.1535239621</v>
      </c>
      <c r="N392" s="13">
        <f t="shared" si="394"/>
        <v>1.002185407</v>
      </c>
      <c r="O392" s="14">
        <f t="shared" si="394"/>
        <v>0.09320483962</v>
      </c>
      <c r="P392" s="13">
        <f t="shared" si="3"/>
        <v>0.0107625211</v>
      </c>
      <c r="Q392" s="13">
        <f t="shared" si="4"/>
        <v>0.0004220596511</v>
      </c>
      <c r="R392" s="13">
        <f t="shared" si="5"/>
        <v>0.000773776027</v>
      </c>
      <c r="S392" s="14">
        <f t="shared" si="6"/>
        <v>1.124003467</v>
      </c>
      <c r="T392" s="14">
        <f t="shared" si="7"/>
        <v>1.001967993</v>
      </c>
      <c r="U392" s="14">
        <f t="shared" si="8"/>
        <v>2.033423105</v>
      </c>
    </row>
    <row r="393" ht="15.75" customHeight="1">
      <c r="A393" s="9">
        <v>45406.5017128704</v>
      </c>
      <c r="B393" s="10">
        <v>12.0</v>
      </c>
      <c r="C393" s="10" t="s">
        <v>80</v>
      </c>
      <c r="D393" s="10" t="s">
        <v>1284</v>
      </c>
      <c r="E393" s="12" t="s">
        <v>62</v>
      </c>
      <c r="F393" s="11">
        <v>187284.0</v>
      </c>
      <c r="G393" s="11">
        <v>17898.0</v>
      </c>
      <c r="H393" s="11">
        <v>17911.0</v>
      </c>
      <c r="I393" s="11">
        <v>480.0</v>
      </c>
      <c r="J393" s="11">
        <v>98.0</v>
      </c>
      <c r="K393" s="11">
        <v>2.0</v>
      </c>
      <c r="L393" s="11">
        <v>5.0</v>
      </c>
      <c r="M393" s="13">
        <f t="shared" ref="M393:O393" si="395">IFERROR(G393/F393,"")</f>
        <v>0.09556609214</v>
      </c>
      <c r="N393" s="13">
        <f t="shared" si="395"/>
        <v>1.000726338</v>
      </c>
      <c r="O393" s="14">
        <f t="shared" si="395"/>
        <v>0.02679917369</v>
      </c>
      <c r="P393" s="13">
        <f t="shared" si="3"/>
        <v>0.005471497962</v>
      </c>
      <c r="Q393" s="13">
        <f t="shared" si="4"/>
        <v>0.0001116632237</v>
      </c>
      <c r="R393" s="13">
        <f t="shared" si="5"/>
        <v>0.0002791580593</v>
      </c>
      <c r="S393" s="14">
        <f t="shared" si="6"/>
        <v>0.7103452948</v>
      </c>
      <c r="T393" s="14">
        <f t="shared" si="7"/>
        <v>1.000502846</v>
      </c>
      <c r="U393" s="14">
        <f t="shared" si="8"/>
        <v>0.5361301024</v>
      </c>
    </row>
    <row r="394" ht="15.75" customHeight="1">
      <c r="A394" s="9">
        <v>45408.4936398148</v>
      </c>
      <c r="B394" s="10">
        <v>11.0</v>
      </c>
      <c r="C394" s="10" t="s">
        <v>60</v>
      </c>
      <c r="D394" s="10" t="s">
        <v>1286</v>
      </c>
      <c r="E394" s="12" t="s">
        <v>62</v>
      </c>
      <c r="F394" s="11">
        <v>807377.0</v>
      </c>
      <c r="G394" s="11">
        <v>91587.0</v>
      </c>
      <c r="H394" s="11">
        <v>91588.0</v>
      </c>
      <c r="I394" s="11">
        <v>3447.0</v>
      </c>
      <c r="J394" s="11">
        <v>189.0</v>
      </c>
      <c r="K394" s="11">
        <v>1.0</v>
      </c>
      <c r="L394" s="11">
        <v>13.0</v>
      </c>
      <c r="M394" s="13">
        <f t="shared" ref="M394:O394" si="396">IFERROR(G394/F394,"")</f>
        <v>0.1134377125</v>
      </c>
      <c r="N394" s="13">
        <f t="shared" si="396"/>
        <v>1.000010919</v>
      </c>
      <c r="O394" s="14">
        <f t="shared" si="396"/>
        <v>0.03763593484</v>
      </c>
      <c r="P394" s="13">
        <f t="shared" si="3"/>
        <v>0.002063589116</v>
      </c>
      <c r="Q394" s="13">
        <f t="shared" si="4"/>
        <v>0.00001091846093</v>
      </c>
      <c r="R394" s="13">
        <f t="shared" si="5"/>
        <v>0.0001419399921</v>
      </c>
      <c r="S394" s="14">
        <f t="shared" si="6"/>
        <v>0.8433353977</v>
      </c>
      <c r="T394" s="14">
        <f t="shared" si="7"/>
        <v>0.9997875861</v>
      </c>
      <c r="U394" s="14">
        <f t="shared" si="8"/>
        <v>0.05402025163</v>
      </c>
    </row>
    <row r="395" ht="15.75" customHeight="1">
      <c r="A395" s="9">
        <v>45410.4963242708</v>
      </c>
      <c r="B395" s="10">
        <v>11.0</v>
      </c>
      <c r="C395" s="10" t="s">
        <v>77</v>
      </c>
      <c r="D395" s="10" t="s">
        <v>1288</v>
      </c>
      <c r="E395" s="12" t="s">
        <v>62</v>
      </c>
      <c r="F395" s="11">
        <v>526092.0</v>
      </c>
      <c r="G395" s="11">
        <v>66088.0</v>
      </c>
      <c r="H395" s="11">
        <v>66099.0</v>
      </c>
      <c r="I395" s="11">
        <v>2578.0</v>
      </c>
      <c r="J395" s="11">
        <v>117.0</v>
      </c>
      <c r="K395" s="11">
        <v>13.0</v>
      </c>
      <c r="L395" s="11">
        <v>7.0</v>
      </c>
      <c r="M395" s="13">
        <f t="shared" ref="M395:O395" si="397">IFERROR(G395/F395,"")</f>
        <v>0.1256206139</v>
      </c>
      <c r="N395" s="13">
        <f t="shared" si="397"/>
        <v>1.000166445</v>
      </c>
      <c r="O395" s="14">
        <f t="shared" si="397"/>
        <v>0.03900210291</v>
      </c>
      <c r="P395" s="13">
        <f t="shared" si="3"/>
        <v>0.001770072164</v>
      </c>
      <c r="Q395" s="13">
        <f t="shared" si="4"/>
        <v>0.0001966746849</v>
      </c>
      <c r="R395" s="13">
        <f t="shared" si="5"/>
        <v>0.0001059017534</v>
      </c>
      <c r="S395" s="14">
        <f t="shared" si="6"/>
        <v>0.9338243296</v>
      </c>
      <c r="T395" s="14">
        <f t="shared" si="7"/>
        <v>0.9999366865</v>
      </c>
      <c r="U395" s="14">
        <f t="shared" si="8"/>
        <v>0.9475505357</v>
      </c>
    </row>
    <row r="396" ht="15.75" customHeight="1">
      <c r="A396" s="9">
        <v>45412.5508921296</v>
      </c>
      <c r="B396" s="10">
        <v>13.0</v>
      </c>
      <c r="C396" s="10" t="s">
        <v>59</v>
      </c>
      <c r="D396" s="10" t="s">
        <v>1290</v>
      </c>
      <c r="E396" s="12" t="s">
        <v>62</v>
      </c>
      <c r="F396" s="11">
        <v>149122.0</v>
      </c>
      <c r="G396" s="11">
        <v>26916.0</v>
      </c>
      <c r="H396" s="11">
        <v>26947.0</v>
      </c>
      <c r="I396" s="11">
        <v>2579.0</v>
      </c>
      <c r="J396" s="11">
        <v>139.0</v>
      </c>
      <c r="K396" s="11">
        <v>2.0</v>
      </c>
      <c r="L396" s="11">
        <v>23.0</v>
      </c>
      <c r="M396" s="13">
        <f t="shared" ref="M396:O396" si="398">IFERROR(G396/F396,"")</f>
        <v>0.1804965062</v>
      </c>
      <c r="N396" s="13">
        <f t="shared" si="398"/>
        <v>1.001151731</v>
      </c>
      <c r="O396" s="14">
        <f t="shared" si="398"/>
        <v>0.09570638661</v>
      </c>
      <c r="P396" s="13">
        <f t="shared" si="3"/>
        <v>0.005158273648</v>
      </c>
      <c r="Q396" s="13">
        <f t="shared" si="4"/>
        <v>0.00007421976472</v>
      </c>
      <c r="R396" s="13">
        <f t="shared" si="5"/>
        <v>0.0008535272943</v>
      </c>
      <c r="S396" s="14">
        <f t="shared" si="6"/>
        <v>1.341754539</v>
      </c>
      <c r="T396" s="14">
        <f t="shared" si="7"/>
        <v>1.000921747</v>
      </c>
      <c r="U396" s="14">
        <f t="shared" si="8"/>
        <v>0.3773732483</v>
      </c>
    </row>
    <row r="397" ht="15.75" customHeight="1">
      <c r="A397" s="9">
        <v>45414.5420294213</v>
      </c>
      <c r="B397" s="10">
        <v>13.0</v>
      </c>
      <c r="C397" s="10" t="s">
        <v>84</v>
      </c>
      <c r="D397" s="10" t="s">
        <v>1292</v>
      </c>
      <c r="E397" s="12" t="s">
        <v>62</v>
      </c>
      <c r="F397" s="11">
        <v>1070371.0</v>
      </c>
      <c r="G397" s="11">
        <v>123550.0</v>
      </c>
      <c r="H397" s="11">
        <v>123554.0</v>
      </c>
      <c r="I397" s="11">
        <v>2507.0</v>
      </c>
      <c r="J397" s="11">
        <v>142.0</v>
      </c>
      <c r="K397" s="11">
        <v>4.0</v>
      </c>
      <c r="L397" s="11">
        <v>16.0</v>
      </c>
      <c r="M397" s="13">
        <f t="shared" ref="M397:O397" si="399">IFERROR(G397/F397,"")</f>
        <v>0.1154272677</v>
      </c>
      <c r="N397" s="13">
        <f t="shared" si="399"/>
        <v>1.000032376</v>
      </c>
      <c r="O397" s="14">
        <f t="shared" si="399"/>
        <v>0.02029072308</v>
      </c>
      <c r="P397" s="13">
        <f t="shared" si="3"/>
        <v>0.001149295045</v>
      </c>
      <c r="Q397" s="13">
        <f t="shared" si="4"/>
        <v>0.00003237450831</v>
      </c>
      <c r="R397" s="13">
        <f t="shared" si="5"/>
        <v>0.0001294980332</v>
      </c>
      <c r="S397" s="14">
        <f t="shared" si="6"/>
        <v>0.8580501845</v>
      </c>
      <c r="T397" s="14">
        <f t="shared" si="7"/>
        <v>0.9997772002</v>
      </c>
      <c r="U397" s="14">
        <f t="shared" si="8"/>
        <v>0.1559757561</v>
      </c>
    </row>
    <row r="398" ht="15.75" customHeight="1">
      <c r="A398" s="9">
        <v>45416.5160190509</v>
      </c>
      <c r="B398" s="10">
        <v>12.0</v>
      </c>
      <c r="C398" s="10" t="s">
        <v>69</v>
      </c>
      <c r="D398" s="10" t="s">
        <v>1294</v>
      </c>
      <c r="E398" s="12" t="s">
        <v>62</v>
      </c>
      <c r="F398" s="11">
        <v>401445.0</v>
      </c>
      <c r="G398" s="11">
        <v>40877.0</v>
      </c>
      <c r="H398" s="11">
        <v>40902.0</v>
      </c>
      <c r="I398" s="11">
        <v>786.0</v>
      </c>
      <c r="J398" s="11">
        <v>89.0</v>
      </c>
      <c r="K398" s="11">
        <v>23.0</v>
      </c>
      <c r="L398" s="11">
        <v>6.0</v>
      </c>
      <c r="M398" s="13">
        <f t="shared" ref="M398:O398" si="400">IFERROR(G398/F398,"")</f>
        <v>0.1018246584</v>
      </c>
      <c r="N398" s="13">
        <f t="shared" si="400"/>
        <v>1.000611591</v>
      </c>
      <c r="O398" s="14">
        <f t="shared" si="400"/>
        <v>0.01921666422</v>
      </c>
      <c r="P398" s="13">
        <f t="shared" si="3"/>
        <v>0.002175932717</v>
      </c>
      <c r="Q398" s="13">
        <f t="shared" si="4"/>
        <v>0.000562319691</v>
      </c>
      <c r="R398" s="13">
        <f t="shared" si="5"/>
        <v>0.0001466920933</v>
      </c>
      <c r="S398" s="14">
        <f t="shared" si="6"/>
        <v>0.7576029942</v>
      </c>
      <c r="T398" s="14">
        <f t="shared" si="7"/>
        <v>1.000341942</v>
      </c>
      <c r="U398" s="14">
        <f t="shared" si="8"/>
        <v>2.70917594</v>
      </c>
    </row>
    <row r="399" ht="15.75" customHeight="1">
      <c r="A399" s="9">
        <v>45418.4815580787</v>
      </c>
      <c r="B399" s="10">
        <v>11.0</v>
      </c>
      <c r="C399" s="10" t="s">
        <v>71</v>
      </c>
      <c r="D399" s="10" t="s">
        <v>1296</v>
      </c>
      <c r="E399" s="12" t="s">
        <v>62</v>
      </c>
      <c r="F399" s="11">
        <v>332201.0</v>
      </c>
      <c r="G399" s="11">
        <v>50639.0</v>
      </c>
      <c r="H399" s="11">
        <v>50638.0</v>
      </c>
      <c r="I399" s="11">
        <v>2769.0</v>
      </c>
      <c r="J399" s="11">
        <v>137.0</v>
      </c>
      <c r="K399" s="11">
        <v>15.0</v>
      </c>
      <c r="L399" s="11">
        <v>10.0</v>
      </c>
      <c r="M399" s="13">
        <f t="shared" ref="M399:O399" si="401">IFERROR(G399/F399,"")</f>
        <v>0.1524348211</v>
      </c>
      <c r="N399" s="13">
        <f t="shared" si="401"/>
        <v>0.9999802524</v>
      </c>
      <c r="O399" s="14">
        <f t="shared" si="401"/>
        <v>0.05468225443</v>
      </c>
      <c r="P399" s="13">
        <f t="shared" si="3"/>
        <v>0.002705478099</v>
      </c>
      <c r="Q399" s="13">
        <f t="shared" si="4"/>
        <v>0.0002962202299</v>
      </c>
      <c r="R399" s="13">
        <f t="shared" si="5"/>
        <v>0.0001974801532</v>
      </c>
      <c r="S399" s="14">
        <f t="shared" si="6"/>
        <v>1.13415629</v>
      </c>
      <c r="T399" s="14">
        <f t="shared" si="7"/>
        <v>0.9997017063</v>
      </c>
      <c r="U399" s="14">
        <f t="shared" si="8"/>
        <v>1.41737895</v>
      </c>
    </row>
    <row r="400" ht="15.75" customHeight="1">
      <c r="A400" s="9">
        <v>45420.4986331597</v>
      </c>
      <c r="B400" s="10">
        <v>11.0</v>
      </c>
      <c r="C400" s="10" t="s">
        <v>80</v>
      </c>
      <c r="D400" s="10" t="s">
        <v>1298</v>
      </c>
      <c r="E400" s="12" t="s">
        <v>62</v>
      </c>
      <c r="F400" s="11">
        <v>270818.0</v>
      </c>
      <c r="G400" s="11">
        <v>27233.0</v>
      </c>
      <c r="H400" s="11">
        <v>27232.0</v>
      </c>
      <c r="I400" s="11">
        <v>800.0</v>
      </c>
      <c r="J400" s="11">
        <v>82.0</v>
      </c>
      <c r="K400" s="11">
        <v>9.0</v>
      </c>
      <c r="L400" s="11">
        <v>9.0</v>
      </c>
      <c r="M400" s="13">
        <f t="shared" ref="M400:O400" si="402">IFERROR(G400/F400,"")</f>
        <v>0.1005583085</v>
      </c>
      <c r="N400" s="13">
        <f t="shared" si="402"/>
        <v>0.9999632798</v>
      </c>
      <c r="O400" s="14">
        <f t="shared" si="402"/>
        <v>0.02937720329</v>
      </c>
      <c r="P400" s="13">
        <f t="shared" si="3"/>
        <v>0.003011163337</v>
      </c>
      <c r="Q400" s="13">
        <f t="shared" si="4"/>
        <v>0.000330493537</v>
      </c>
      <c r="R400" s="13">
        <f t="shared" si="5"/>
        <v>0.000330493537</v>
      </c>
      <c r="S400" s="14">
        <f t="shared" si="6"/>
        <v>0.7559514389</v>
      </c>
      <c r="T400" s="14">
        <f t="shared" si="7"/>
        <v>0.9996763601</v>
      </c>
      <c r="U400" s="14">
        <f t="shared" si="8"/>
        <v>1.581372693</v>
      </c>
    </row>
    <row r="401" ht="15.75" customHeight="1">
      <c r="A401" s="9">
        <v>45422.4462261111</v>
      </c>
      <c r="B401" s="10">
        <v>10.0</v>
      </c>
      <c r="C401" s="10" t="s">
        <v>60</v>
      </c>
      <c r="D401" s="10" t="s">
        <v>1300</v>
      </c>
      <c r="E401" s="12" t="s">
        <v>62</v>
      </c>
      <c r="F401" s="11">
        <v>543436.0</v>
      </c>
      <c r="G401" s="11">
        <v>73111.0</v>
      </c>
      <c r="H401" s="11">
        <v>73120.0</v>
      </c>
      <c r="I401" s="11">
        <v>2465.0</v>
      </c>
      <c r="J401" s="11">
        <v>134.0</v>
      </c>
      <c r="K401" s="11">
        <v>11.0</v>
      </c>
      <c r="L401" s="11">
        <v>10.0</v>
      </c>
      <c r="M401" s="13">
        <f t="shared" ref="M401:O401" si="403">IFERROR(G401/F401,"")</f>
        <v>0.1345347014</v>
      </c>
      <c r="N401" s="13">
        <f t="shared" si="403"/>
        <v>1.0001231</v>
      </c>
      <c r="O401" s="14">
        <f t="shared" si="403"/>
        <v>0.03371170678</v>
      </c>
      <c r="P401" s="13">
        <f t="shared" si="3"/>
        <v>0.001832603939</v>
      </c>
      <c r="Q401" s="13">
        <f t="shared" si="4"/>
        <v>0.0001504376368</v>
      </c>
      <c r="R401" s="13">
        <f t="shared" si="5"/>
        <v>0.000136761488</v>
      </c>
      <c r="S401" s="14">
        <f t="shared" si="6"/>
        <v>1.025286622</v>
      </c>
      <c r="T401" s="14">
        <f t="shared" si="7"/>
        <v>0.9998361348</v>
      </c>
      <c r="U401" s="14">
        <f t="shared" si="8"/>
        <v>0.7198263934</v>
      </c>
    </row>
    <row r="402" ht="15.75" customHeight="1">
      <c r="A402" s="9">
        <v>45424.4849613773</v>
      </c>
      <c r="B402" s="10">
        <v>11.0</v>
      </c>
      <c r="C402" s="10" t="s">
        <v>77</v>
      </c>
      <c r="D402" s="10" t="s">
        <v>1302</v>
      </c>
      <c r="E402" s="12" t="s">
        <v>62</v>
      </c>
      <c r="F402" s="11">
        <v>998221.0</v>
      </c>
      <c r="G402" s="11">
        <v>123671.0</v>
      </c>
      <c r="H402" s="11">
        <v>123678.0</v>
      </c>
      <c r="I402" s="11">
        <v>4439.0</v>
      </c>
      <c r="J402" s="11">
        <v>289.0</v>
      </c>
      <c r="K402" s="11">
        <v>7.0</v>
      </c>
      <c r="L402" s="11">
        <v>15.0</v>
      </c>
      <c r="M402" s="13">
        <f t="shared" ref="M402:O402" si="404">IFERROR(G402/F402,"")</f>
        <v>0.1238914028</v>
      </c>
      <c r="N402" s="13">
        <f t="shared" si="404"/>
        <v>1.000056602</v>
      </c>
      <c r="O402" s="14">
        <f t="shared" si="404"/>
        <v>0.03589158945</v>
      </c>
      <c r="P402" s="13">
        <f t="shared" si="3"/>
        <v>0.002336713078</v>
      </c>
      <c r="Q402" s="13">
        <f t="shared" si="4"/>
        <v>0.00005659858665</v>
      </c>
      <c r="R402" s="13">
        <f t="shared" si="5"/>
        <v>0.0001212826857</v>
      </c>
      <c r="S402" s="14">
        <f t="shared" si="6"/>
        <v>0.9480108997</v>
      </c>
      <c r="T402" s="14">
        <f t="shared" si="7"/>
        <v>0.9997696319</v>
      </c>
      <c r="U402" s="14">
        <f t="shared" si="8"/>
        <v>0.2580627931</v>
      </c>
    </row>
    <row r="403" ht="15.75" customHeight="1">
      <c r="A403" s="9">
        <v>45426.5035828357</v>
      </c>
      <c r="B403" s="10">
        <v>12.0</v>
      </c>
      <c r="C403" s="10" t="s">
        <v>59</v>
      </c>
      <c r="D403" s="10" t="s">
        <v>1304</v>
      </c>
      <c r="E403" s="12" t="s">
        <v>62</v>
      </c>
      <c r="F403" s="11">
        <v>5182.0</v>
      </c>
      <c r="G403" s="11">
        <v>1315.0</v>
      </c>
      <c r="H403" s="11">
        <v>1318.0</v>
      </c>
      <c r="I403" s="11">
        <v>199.0</v>
      </c>
      <c r="J403" s="11">
        <v>52.0</v>
      </c>
      <c r="K403" s="11">
        <v>2.0</v>
      </c>
      <c r="L403" s="11">
        <v>1.0</v>
      </c>
      <c r="M403" s="13">
        <f t="shared" ref="M403:O403" si="405">IFERROR(G403/F403,"")</f>
        <v>0.2537630259</v>
      </c>
      <c r="N403" s="13">
        <f t="shared" si="405"/>
        <v>1.002281369</v>
      </c>
      <c r="O403" s="14">
        <f t="shared" si="405"/>
        <v>0.1509863429</v>
      </c>
      <c r="P403" s="13">
        <f t="shared" si="3"/>
        <v>0.03945371775</v>
      </c>
      <c r="Q403" s="13">
        <f t="shared" si="4"/>
        <v>0.001517450683</v>
      </c>
      <c r="R403" s="13">
        <f t="shared" si="5"/>
        <v>0.0007587253414</v>
      </c>
      <c r="S403" s="14">
        <f t="shared" si="6"/>
        <v>1.98015484</v>
      </c>
      <c r="T403" s="14">
        <f t="shared" si="7"/>
        <v>1.001993737</v>
      </c>
      <c r="U403" s="14">
        <f t="shared" si="8"/>
        <v>6.607654696</v>
      </c>
    </row>
    <row r="404" ht="15.75" customHeight="1">
      <c r="A404" s="9">
        <v>45428.5118090046</v>
      </c>
      <c r="B404" s="10">
        <v>12.0</v>
      </c>
      <c r="C404" s="10" t="s">
        <v>84</v>
      </c>
      <c r="D404" s="10" t="s">
        <v>347</v>
      </c>
      <c r="E404" s="12" t="s">
        <v>62</v>
      </c>
      <c r="F404" s="11">
        <v>107288.0</v>
      </c>
      <c r="G404" s="11">
        <v>14021.0</v>
      </c>
      <c r="H404" s="11">
        <v>14022.0</v>
      </c>
      <c r="I404" s="11">
        <v>181.0</v>
      </c>
      <c r="J404" s="11">
        <v>42.0</v>
      </c>
      <c r="K404" s="11">
        <v>2.0</v>
      </c>
      <c r="L404" s="11">
        <v>0.0</v>
      </c>
      <c r="M404" s="13">
        <f t="shared" ref="M404:O404" si="406">IFERROR(G404/F404,"")</f>
        <v>0.1306856312</v>
      </c>
      <c r="N404" s="13">
        <f t="shared" si="406"/>
        <v>1.000071322</v>
      </c>
      <c r="O404" s="14">
        <f t="shared" si="406"/>
        <v>0.01290828698</v>
      </c>
      <c r="P404" s="13">
        <f t="shared" si="3"/>
        <v>0.002995293111</v>
      </c>
      <c r="Q404" s="13">
        <f t="shared" si="4"/>
        <v>0.0001426330053</v>
      </c>
      <c r="R404" s="13">
        <f t="shared" si="5"/>
        <v>0</v>
      </c>
      <c r="S404" s="14">
        <f t="shared" si="6"/>
        <v>1.040319954</v>
      </c>
      <c r="T404" s="14">
        <f t="shared" si="7"/>
        <v>0.9997830472</v>
      </c>
      <c r="U404" s="14">
        <f t="shared" si="8"/>
        <v>0.6085557736</v>
      </c>
    </row>
    <row r="405" ht="15.75" customHeight="1">
      <c r="A405" s="9">
        <v>45430.5011197454</v>
      </c>
      <c r="B405" s="10">
        <v>12.0</v>
      </c>
      <c r="C405" s="10" t="s">
        <v>69</v>
      </c>
      <c r="D405" s="10" t="s">
        <v>1307</v>
      </c>
      <c r="E405" s="12" t="s">
        <v>62</v>
      </c>
      <c r="F405" s="11">
        <v>402607.0</v>
      </c>
      <c r="G405" s="11">
        <v>39180.0</v>
      </c>
      <c r="H405" s="11">
        <v>39190.0</v>
      </c>
      <c r="I405" s="11">
        <v>1096.0</v>
      </c>
      <c r="J405" s="11">
        <v>162.0</v>
      </c>
      <c r="K405" s="11">
        <v>9.0</v>
      </c>
      <c r="L405" s="11">
        <v>9.0</v>
      </c>
      <c r="M405" s="13">
        <f t="shared" ref="M405:O405" si="407">IFERROR(G405/F405,"")</f>
        <v>0.09731574463</v>
      </c>
      <c r="N405" s="13">
        <f t="shared" si="407"/>
        <v>1.000255232</v>
      </c>
      <c r="O405" s="14">
        <f t="shared" si="407"/>
        <v>0.02796631794</v>
      </c>
      <c r="P405" s="13">
        <f t="shared" si="3"/>
        <v>0.004133707578</v>
      </c>
      <c r="Q405" s="13">
        <f t="shared" si="4"/>
        <v>0.000229650421</v>
      </c>
      <c r="R405" s="13">
        <f t="shared" si="5"/>
        <v>0.000229650421</v>
      </c>
      <c r="S405" s="14">
        <f t="shared" si="6"/>
        <v>0.7756048073</v>
      </c>
      <c r="T405" s="14">
        <f t="shared" si="7"/>
        <v>0.999968182</v>
      </c>
      <c r="U405" s="14">
        <f t="shared" si="8"/>
        <v>1</v>
      </c>
    </row>
    <row r="406" ht="15.75" customHeight="1">
      <c r="A406" s="9">
        <v>45432.4999541088</v>
      </c>
      <c r="B406" s="10">
        <v>11.0</v>
      </c>
      <c r="C406" s="10" t="s">
        <v>71</v>
      </c>
      <c r="D406" s="10" t="s">
        <v>1309</v>
      </c>
      <c r="E406" s="12" t="s">
        <v>62</v>
      </c>
      <c r="F406" s="11">
        <v>333421.0</v>
      </c>
      <c r="G406" s="11">
        <v>34836.0</v>
      </c>
      <c r="H406" s="11">
        <v>34846.0</v>
      </c>
      <c r="I406" s="11">
        <v>418.0</v>
      </c>
      <c r="J406" s="11">
        <v>60.0</v>
      </c>
      <c r="K406" s="11">
        <v>3.0</v>
      </c>
      <c r="L406" s="11">
        <v>2.0</v>
      </c>
      <c r="M406" s="13">
        <f t="shared" ref="M406:O406" si="408">IFERROR(G406/F406,"")</f>
        <v>0.1044805216</v>
      </c>
      <c r="N406" s="13">
        <f t="shared" si="408"/>
        <v>1.000287059</v>
      </c>
      <c r="O406" s="14">
        <f t="shared" si="408"/>
        <v>0.01199563795</v>
      </c>
      <c r="P406" s="13">
        <f t="shared" si="3"/>
        <v>0.001721861907</v>
      </c>
      <c r="Q406" s="13">
        <f t="shared" si="4"/>
        <v>0.00008609309533</v>
      </c>
      <c r="R406" s="13">
        <f t="shared" si="5"/>
        <v>0.00005739539689</v>
      </c>
      <c r="S406" s="14">
        <f t="shared" si="6"/>
        <v>0.8327079564</v>
      </c>
      <c r="T406" s="14">
        <f t="shared" si="7"/>
        <v>0.9999974457</v>
      </c>
      <c r="U406" s="14">
        <f t="shared" si="8"/>
        <v>0.3748876007</v>
      </c>
    </row>
    <row r="407" ht="15.75" customHeight="1">
      <c r="A407" s="9">
        <v>45434.5104456366</v>
      </c>
      <c r="B407" s="10">
        <v>12.0</v>
      </c>
      <c r="C407" s="10" t="s">
        <v>80</v>
      </c>
      <c r="D407" s="10" t="s">
        <v>1311</v>
      </c>
      <c r="E407" s="12" t="s">
        <v>62</v>
      </c>
      <c r="F407" s="11">
        <v>10547.0</v>
      </c>
      <c r="G407" s="11">
        <v>1531.0</v>
      </c>
      <c r="H407" s="11">
        <v>1545.0</v>
      </c>
      <c r="I407" s="11">
        <v>161.0</v>
      </c>
      <c r="J407" s="11">
        <v>46.0</v>
      </c>
      <c r="K407" s="11">
        <v>0.0</v>
      </c>
      <c r="L407" s="11">
        <v>4.0</v>
      </c>
      <c r="M407" s="13">
        <f t="shared" ref="M407:O407" si="409">IFERROR(G407/F407,"")</f>
        <v>0.1451597611</v>
      </c>
      <c r="N407" s="13">
        <f t="shared" si="409"/>
        <v>1.00914435</v>
      </c>
      <c r="O407" s="14">
        <f t="shared" si="409"/>
        <v>0.1042071197</v>
      </c>
      <c r="P407" s="13">
        <f t="shared" si="3"/>
        <v>0.02977346278</v>
      </c>
      <c r="Q407" s="13">
        <f t="shared" si="4"/>
        <v>0</v>
      </c>
      <c r="R407" s="13">
        <f t="shared" si="5"/>
        <v>0.002588996764</v>
      </c>
      <c r="S407" s="14">
        <f t="shared" si="6"/>
        <v>1.158303956</v>
      </c>
      <c r="T407" s="14">
        <f t="shared" si="7"/>
        <v>1.008837671</v>
      </c>
      <c r="U407" s="14">
        <f t="shared" si="8"/>
        <v>0</v>
      </c>
    </row>
    <row r="408" ht="15.75" customHeight="1">
      <c r="A408" s="9">
        <v>45436.5010817824</v>
      </c>
      <c r="B408" s="10">
        <v>12.0</v>
      </c>
      <c r="C408" s="10" t="s">
        <v>60</v>
      </c>
      <c r="D408" s="10" t="s">
        <v>1313</v>
      </c>
      <c r="E408" s="12" t="s">
        <v>62</v>
      </c>
      <c r="F408" s="11">
        <v>490222.0</v>
      </c>
      <c r="G408" s="11">
        <v>51793.0</v>
      </c>
      <c r="H408" s="11">
        <v>51808.0</v>
      </c>
      <c r="I408" s="11">
        <v>266.0</v>
      </c>
      <c r="J408" s="11">
        <v>47.0</v>
      </c>
      <c r="K408" s="11">
        <v>2.0</v>
      </c>
      <c r="L408" s="11">
        <v>1.0</v>
      </c>
      <c r="M408" s="13">
        <f t="shared" ref="M408:O408" si="410">IFERROR(G408/F408,"")</f>
        <v>0.1056521331</v>
      </c>
      <c r="N408" s="13">
        <f t="shared" si="410"/>
        <v>1.000289614</v>
      </c>
      <c r="O408" s="14">
        <f t="shared" si="410"/>
        <v>0.005134342187</v>
      </c>
      <c r="P408" s="13">
        <f t="shared" si="3"/>
        <v>0.0009071957999</v>
      </c>
      <c r="Q408" s="13">
        <f t="shared" si="4"/>
        <v>0.00003860407659</v>
      </c>
      <c r="R408" s="13">
        <f t="shared" si="5"/>
        <v>0.0000193020383</v>
      </c>
      <c r="S408" s="14">
        <f t="shared" si="6"/>
        <v>0.8420456798</v>
      </c>
      <c r="T408" s="14">
        <f t="shared" si="7"/>
        <v>0.9999712536</v>
      </c>
      <c r="U408" s="14">
        <f t="shared" si="8"/>
        <v>0.1680993068</v>
      </c>
    </row>
    <row r="409" ht="15.75" customHeight="1">
      <c r="A409" s="9">
        <v>45438.4986769792</v>
      </c>
      <c r="B409" s="10">
        <v>11.0</v>
      </c>
      <c r="C409" s="10" t="s">
        <v>77</v>
      </c>
      <c r="D409" s="10" t="s">
        <v>1315</v>
      </c>
      <c r="E409" s="12" t="s">
        <v>62</v>
      </c>
      <c r="F409" s="11">
        <v>10294.0</v>
      </c>
      <c r="G409" s="11">
        <v>1901.0</v>
      </c>
      <c r="H409" s="11">
        <v>1913.0</v>
      </c>
      <c r="I409" s="11">
        <v>313.0</v>
      </c>
      <c r="J409" s="11">
        <v>55.0</v>
      </c>
      <c r="K409" s="11">
        <v>4.0</v>
      </c>
      <c r="L409" s="11">
        <v>1.0</v>
      </c>
      <c r="M409" s="13">
        <f t="shared" ref="M409:O409" si="411">IFERROR(G409/F409,"")</f>
        <v>0.184670682</v>
      </c>
      <c r="N409" s="13">
        <f t="shared" si="411"/>
        <v>1.006312467</v>
      </c>
      <c r="O409" s="14">
        <f t="shared" si="411"/>
        <v>0.1636173549</v>
      </c>
      <c r="P409" s="13">
        <f t="shared" si="3"/>
        <v>0.02875065342</v>
      </c>
      <c r="Q409" s="13">
        <f t="shared" si="4"/>
        <v>0.002090956613</v>
      </c>
      <c r="R409" s="13">
        <f t="shared" si="5"/>
        <v>0.0005227391532</v>
      </c>
      <c r="S409" s="14">
        <f t="shared" si="6"/>
        <v>1.473581796</v>
      </c>
      <c r="T409" s="14">
        <f t="shared" si="7"/>
        <v>1.005989688</v>
      </c>
      <c r="U409" s="14">
        <f t="shared" si="8"/>
        <v>9.533773466</v>
      </c>
    </row>
    <row r="410" ht="15.75" customHeight="1">
      <c r="A410" s="9">
        <v>45440.5071396644</v>
      </c>
      <c r="B410" s="10">
        <v>12.0</v>
      </c>
      <c r="C410" s="10" t="s">
        <v>59</v>
      </c>
      <c r="D410" s="10" t="s">
        <v>1318</v>
      </c>
      <c r="E410" s="12" t="s">
        <v>62</v>
      </c>
      <c r="F410" s="11">
        <v>17990.0</v>
      </c>
      <c r="G410" s="11">
        <v>3141.0</v>
      </c>
      <c r="H410" s="11">
        <v>3142.0</v>
      </c>
      <c r="I410" s="11">
        <v>349.0</v>
      </c>
      <c r="J410" s="11">
        <v>58.0</v>
      </c>
      <c r="K410" s="11">
        <v>1.0</v>
      </c>
      <c r="L410" s="11">
        <v>3.0</v>
      </c>
      <c r="M410" s="13">
        <f t="shared" ref="M410:O410" si="412">IFERROR(G410/F410,"")</f>
        <v>0.1745969983</v>
      </c>
      <c r="N410" s="13">
        <f t="shared" si="412"/>
        <v>1.00031837</v>
      </c>
      <c r="O410" s="14">
        <f t="shared" si="412"/>
        <v>0.1110757479</v>
      </c>
      <c r="P410" s="13">
        <f t="shared" si="3"/>
        <v>0.01845957989</v>
      </c>
      <c r="Q410" s="13">
        <f t="shared" si="4"/>
        <v>0.0003182686187</v>
      </c>
      <c r="R410" s="13">
        <f t="shared" si="5"/>
        <v>0.0009548058561</v>
      </c>
      <c r="S410" s="14">
        <f t="shared" si="6"/>
        <v>1.391535067</v>
      </c>
      <c r="T410" s="14">
        <f t="shared" si="7"/>
        <v>0.999995026</v>
      </c>
      <c r="U410" s="14">
        <f t="shared" si="8"/>
        <v>1.385883019</v>
      </c>
    </row>
    <row r="411" ht="15.75" customHeight="1">
      <c r="A411" s="9">
        <v>45442.499387037</v>
      </c>
      <c r="B411" s="10">
        <v>11.0</v>
      </c>
      <c r="C411" s="10" t="s">
        <v>84</v>
      </c>
      <c r="D411" s="10" t="s">
        <v>1320</v>
      </c>
      <c r="E411" s="12" t="s">
        <v>62</v>
      </c>
      <c r="F411" s="11">
        <v>572664.0</v>
      </c>
      <c r="G411" s="11">
        <v>60437.0</v>
      </c>
      <c r="H411" s="11">
        <v>60433.0</v>
      </c>
      <c r="I411" s="11">
        <v>1290.0</v>
      </c>
      <c r="J411" s="11">
        <v>82.0</v>
      </c>
      <c r="K411" s="11">
        <v>1.0</v>
      </c>
      <c r="L411" s="11">
        <v>4.0</v>
      </c>
      <c r="M411" s="13">
        <f t="shared" ref="M411:O411" si="413">IFERROR(G411/F411,"")</f>
        <v>0.1055365799</v>
      </c>
      <c r="N411" s="13">
        <f t="shared" si="413"/>
        <v>0.9999338154</v>
      </c>
      <c r="O411" s="14">
        <f t="shared" si="413"/>
        <v>0.02134595337</v>
      </c>
      <c r="P411" s="13">
        <f t="shared" si="3"/>
        <v>0.001356874555</v>
      </c>
      <c r="Q411" s="13">
        <f t="shared" si="4"/>
        <v>0.00001654725067</v>
      </c>
      <c r="R411" s="13">
        <f t="shared" si="5"/>
        <v>0.0000661890027</v>
      </c>
      <c r="S411" s="14">
        <f t="shared" si="6"/>
        <v>0.8401215107</v>
      </c>
      <c r="T411" s="14">
        <f t="shared" si="7"/>
        <v>0.9995955941</v>
      </c>
      <c r="U411" s="14">
        <f t="shared" si="8"/>
        <v>0.07060024371</v>
      </c>
    </row>
    <row r="412" ht="15.75" customHeight="1">
      <c r="A412" s="9">
        <v>45444.5239179861</v>
      </c>
      <c r="B412" s="10">
        <v>12.0</v>
      </c>
      <c r="C412" s="10" t="s">
        <v>69</v>
      </c>
      <c r="D412" s="10" t="s">
        <v>1323</v>
      </c>
      <c r="E412" s="12" t="s">
        <v>62</v>
      </c>
      <c r="F412" s="11">
        <v>2745.0</v>
      </c>
      <c r="G412" s="11">
        <v>447.0</v>
      </c>
      <c r="H412" s="11">
        <v>447.0</v>
      </c>
      <c r="I412" s="11">
        <v>78.0</v>
      </c>
      <c r="J412" s="11">
        <v>21.0</v>
      </c>
      <c r="K412" s="11">
        <v>0.0</v>
      </c>
      <c r="L412" s="11">
        <v>0.0</v>
      </c>
      <c r="M412" s="13">
        <f t="shared" ref="M412:O412" si="414">IFERROR(G412/F412,"")</f>
        <v>0.1628415301</v>
      </c>
      <c r="N412" s="13">
        <f t="shared" si="414"/>
        <v>1</v>
      </c>
      <c r="O412" s="14">
        <f t="shared" si="414"/>
        <v>0.1744966443</v>
      </c>
      <c r="P412" s="13">
        <f t="shared" si="3"/>
        <v>0.04697986577</v>
      </c>
      <c r="Q412" s="13">
        <f t="shared" si="4"/>
        <v>0</v>
      </c>
      <c r="R412" s="13">
        <f t="shared" si="5"/>
        <v>0</v>
      </c>
      <c r="S412" s="14">
        <f t="shared" si="6"/>
        <v>1.296296245</v>
      </c>
      <c r="T412" s="14">
        <f t="shared" si="7"/>
        <v>0.9996617563</v>
      </c>
      <c r="U412" s="14">
        <f t="shared" si="8"/>
        <v>0</v>
      </c>
    </row>
    <row r="413" ht="15.75" customHeight="1">
      <c r="A413" s="9">
        <v>45444.6254230903</v>
      </c>
      <c r="B413" s="10">
        <v>15.0</v>
      </c>
      <c r="C413" s="10" t="s">
        <v>69</v>
      </c>
      <c r="D413" s="10" t="s">
        <v>1325</v>
      </c>
      <c r="E413" s="12" t="s">
        <v>62</v>
      </c>
      <c r="F413" s="11">
        <v>46149.0</v>
      </c>
      <c r="G413" s="11">
        <v>5030.0</v>
      </c>
      <c r="H413" s="11">
        <v>5016.0</v>
      </c>
      <c r="I413" s="11">
        <v>335.0</v>
      </c>
      <c r="J413" s="11">
        <v>42.0</v>
      </c>
      <c r="K413" s="11">
        <v>2.0</v>
      </c>
      <c r="L413" s="11">
        <v>1.0</v>
      </c>
      <c r="M413" s="13">
        <f t="shared" ref="M413:O413" si="415">IFERROR(G413/F413,"")</f>
        <v>0.1089947778</v>
      </c>
      <c r="N413" s="13">
        <f t="shared" si="415"/>
        <v>0.9972166998</v>
      </c>
      <c r="O413" s="14">
        <f t="shared" si="415"/>
        <v>0.06678628389</v>
      </c>
      <c r="P413" s="13">
        <f t="shared" si="3"/>
        <v>0.008373205742</v>
      </c>
      <c r="Q413" s="13">
        <f t="shared" si="4"/>
        <v>0.0003987240829</v>
      </c>
      <c r="R413" s="13">
        <f t="shared" si="5"/>
        <v>0.0001993620415</v>
      </c>
      <c r="S413" s="14">
        <f t="shared" si="6"/>
        <v>0.8505042688</v>
      </c>
      <c r="T413" s="14">
        <f t="shared" si="7"/>
        <v>0.9968644371</v>
      </c>
      <c r="U413" s="14">
        <f t="shared" si="8"/>
        <v>1.66754386</v>
      </c>
    </row>
    <row r="414" ht="15.75" customHeight="1">
      <c r="A414" s="9">
        <v>45446.5030383912</v>
      </c>
      <c r="B414" s="10">
        <v>12.0</v>
      </c>
      <c r="C414" s="10" t="s">
        <v>71</v>
      </c>
      <c r="D414" s="10" t="s">
        <v>1327</v>
      </c>
      <c r="E414" s="12" t="s">
        <v>62</v>
      </c>
      <c r="F414" s="11">
        <v>162366.0</v>
      </c>
      <c r="G414" s="11">
        <v>17251.0</v>
      </c>
      <c r="H414" s="11">
        <v>17283.0</v>
      </c>
      <c r="I414" s="11">
        <v>227.0</v>
      </c>
      <c r="J414" s="11">
        <v>51.0</v>
      </c>
      <c r="K414" s="11">
        <v>3.0</v>
      </c>
      <c r="L414" s="11">
        <v>2.0</v>
      </c>
      <c r="M414" s="13">
        <f t="shared" ref="M414:O414" si="416">IFERROR(G414/F414,"")</f>
        <v>0.1062476134</v>
      </c>
      <c r="N414" s="13">
        <f t="shared" si="416"/>
        <v>1.001854965</v>
      </c>
      <c r="O414" s="14">
        <f t="shared" si="416"/>
        <v>0.01313429381</v>
      </c>
      <c r="P414" s="13">
        <f t="shared" si="3"/>
        <v>0.002950876584</v>
      </c>
      <c r="Q414" s="13">
        <f t="shared" si="4"/>
        <v>0.0001735809755</v>
      </c>
      <c r="R414" s="13">
        <f t="shared" si="5"/>
        <v>0.0001157206504</v>
      </c>
      <c r="S414" s="14">
        <f t="shared" si="6"/>
        <v>0.8290676911</v>
      </c>
      <c r="T414" s="14">
        <f t="shared" si="7"/>
        <v>1.001501064</v>
      </c>
      <c r="U414" s="14">
        <f t="shared" si="8"/>
        <v>0.7259503558</v>
      </c>
    </row>
    <row r="415" ht="15.75" customHeight="1">
      <c r="A415" s="9">
        <v>45448.5925577315</v>
      </c>
      <c r="B415" s="10">
        <v>14.0</v>
      </c>
      <c r="C415" s="10" t="s">
        <v>80</v>
      </c>
      <c r="D415" s="10" t="s">
        <v>1329</v>
      </c>
      <c r="E415" s="12" t="s">
        <v>62</v>
      </c>
      <c r="F415" s="11">
        <v>18849.0</v>
      </c>
      <c r="G415" s="11">
        <v>3156.0</v>
      </c>
      <c r="H415" s="11">
        <v>3199.0</v>
      </c>
      <c r="I415" s="11">
        <v>361.0</v>
      </c>
      <c r="J415" s="11">
        <v>60.0</v>
      </c>
      <c r="K415" s="11">
        <v>6.0</v>
      </c>
      <c r="L415" s="11">
        <v>1.0</v>
      </c>
      <c r="M415" s="13">
        <f t="shared" ref="M415:O415" si="417">IFERROR(G415/F415,"")</f>
        <v>0.1674359382</v>
      </c>
      <c r="N415" s="13">
        <f t="shared" si="417"/>
        <v>1.013624842</v>
      </c>
      <c r="O415" s="14">
        <f t="shared" si="417"/>
        <v>0.1128477649</v>
      </c>
      <c r="P415" s="13">
        <f t="shared" si="3"/>
        <v>0.01875586121</v>
      </c>
      <c r="Q415" s="13">
        <f t="shared" si="4"/>
        <v>0.001875586121</v>
      </c>
      <c r="R415" s="13">
        <f t="shared" si="5"/>
        <v>0.0003125976868</v>
      </c>
      <c r="S415" s="14">
        <f t="shared" si="6"/>
        <v>1.336634152</v>
      </c>
      <c r="T415" s="14">
        <f t="shared" si="7"/>
        <v>1.013266783</v>
      </c>
      <c r="U415" s="14">
        <f t="shared" si="8"/>
        <v>7.844076274</v>
      </c>
    </row>
    <row r="416" ht="15.75" customHeight="1">
      <c r="A416" s="9">
        <v>45450.5771876505</v>
      </c>
      <c r="B416" s="10">
        <v>13.0</v>
      </c>
      <c r="C416" s="10" t="s">
        <v>60</v>
      </c>
      <c r="D416" s="10" t="s">
        <v>1331</v>
      </c>
      <c r="E416" s="12" t="s">
        <v>62</v>
      </c>
      <c r="F416" s="11">
        <v>5107.0</v>
      </c>
      <c r="G416" s="11">
        <v>1149.0</v>
      </c>
      <c r="H416" s="11">
        <v>1154.0</v>
      </c>
      <c r="I416" s="11">
        <v>145.0</v>
      </c>
      <c r="J416" s="11">
        <v>41.0</v>
      </c>
      <c r="K416" s="11">
        <v>0.0</v>
      </c>
      <c r="L416" s="11">
        <v>0.0</v>
      </c>
      <c r="M416" s="13">
        <f t="shared" ref="M416:O416" si="418">IFERROR(G416/F416,"")</f>
        <v>0.2249853143</v>
      </c>
      <c r="N416" s="13">
        <f t="shared" si="418"/>
        <v>1.00435161</v>
      </c>
      <c r="O416" s="14">
        <f t="shared" si="418"/>
        <v>0.1256499133</v>
      </c>
      <c r="P416" s="13">
        <f t="shared" si="3"/>
        <v>0.03552859619</v>
      </c>
      <c r="Q416" s="13">
        <f t="shared" si="4"/>
        <v>0</v>
      </c>
      <c r="R416" s="13">
        <f t="shared" si="5"/>
        <v>0</v>
      </c>
      <c r="S416" s="14">
        <f t="shared" si="6"/>
        <v>1.796048434</v>
      </c>
      <c r="T416" s="14">
        <f t="shared" si="7"/>
        <v>1.003996827</v>
      </c>
      <c r="U416" s="14">
        <f t="shared" si="8"/>
        <v>0</v>
      </c>
    </row>
    <row r="417" ht="15.75" customHeight="1">
      <c r="A417" s="9">
        <v>45452.5002938773</v>
      </c>
      <c r="B417" s="10">
        <v>12.0</v>
      </c>
      <c r="C417" s="10" t="s">
        <v>77</v>
      </c>
      <c r="D417" s="10" t="s">
        <v>1332</v>
      </c>
      <c r="E417" s="12" t="s">
        <v>62</v>
      </c>
      <c r="F417" s="11">
        <v>156263.0</v>
      </c>
      <c r="G417" s="11">
        <v>15889.0</v>
      </c>
      <c r="H417" s="11">
        <v>15886.0</v>
      </c>
      <c r="I417" s="11">
        <v>1044.0</v>
      </c>
      <c r="J417" s="11">
        <v>110.0</v>
      </c>
      <c r="K417" s="11">
        <v>9.0</v>
      </c>
      <c r="L417" s="11">
        <v>5.0</v>
      </c>
      <c r="M417" s="13">
        <f t="shared" ref="M417:O417" si="419">IFERROR(G417/F417,"")</f>
        <v>0.1016811401</v>
      </c>
      <c r="N417" s="13">
        <f t="shared" si="419"/>
        <v>0.9998111901</v>
      </c>
      <c r="O417" s="14">
        <f t="shared" si="419"/>
        <v>0.06571824248</v>
      </c>
      <c r="P417" s="13">
        <f t="shared" si="3"/>
        <v>0.006924335893</v>
      </c>
      <c r="Q417" s="13">
        <f t="shared" si="4"/>
        <v>0.0005665365731</v>
      </c>
      <c r="R417" s="13">
        <f t="shared" si="5"/>
        <v>0.0003147425406</v>
      </c>
      <c r="S417" s="14">
        <f t="shared" si="6"/>
        <v>0.8117163252</v>
      </c>
      <c r="T417" s="14">
        <f t="shared" si="7"/>
        <v>0.9994410584</v>
      </c>
      <c r="U417" s="14">
        <f t="shared" si="8"/>
        <v>2.24722043</v>
      </c>
    </row>
    <row r="418" ht="15.75" customHeight="1">
      <c r="A418" s="9">
        <v>45454.5146293056</v>
      </c>
      <c r="B418" s="10">
        <v>12.0</v>
      </c>
      <c r="C418" s="10" t="s">
        <v>59</v>
      </c>
      <c r="D418" s="10" t="s">
        <v>750</v>
      </c>
      <c r="E418" s="12" t="s">
        <v>62</v>
      </c>
      <c r="F418" s="11">
        <v>97254.0</v>
      </c>
      <c r="G418" s="11">
        <v>10055.0</v>
      </c>
      <c r="H418" s="11">
        <v>10070.0</v>
      </c>
      <c r="I418" s="11">
        <v>562.0</v>
      </c>
      <c r="J418" s="11">
        <v>79.0</v>
      </c>
      <c r="K418" s="11">
        <v>6.0</v>
      </c>
      <c r="L418" s="11">
        <v>5.0</v>
      </c>
      <c r="M418" s="13">
        <f t="shared" ref="M418:O418" si="420">IFERROR(G418/F418,"")</f>
        <v>0.1033890637</v>
      </c>
      <c r="N418" s="13">
        <f t="shared" si="420"/>
        <v>1.001491795</v>
      </c>
      <c r="O418" s="14">
        <f t="shared" si="420"/>
        <v>0.05580933466</v>
      </c>
      <c r="P418" s="13">
        <f t="shared" si="3"/>
        <v>0.007845084409</v>
      </c>
      <c r="Q418" s="13">
        <f t="shared" si="4"/>
        <v>0.0005958291956</v>
      </c>
      <c r="R418" s="13">
        <f t="shared" si="5"/>
        <v>0.0004965243297</v>
      </c>
      <c r="S418" s="14">
        <f t="shared" si="6"/>
        <v>0.8253506082</v>
      </c>
      <c r="T418" s="14">
        <f t="shared" si="7"/>
        <v>1.001121041</v>
      </c>
      <c r="U418" s="14">
        <f t="shared" si="8"/>
        <v>2.363412363</v>
      </c>
    </row>
    <row r="419" ht="15.75" customHeight="1">
      <c r="A419" s="9">
        <v>45456.5038918171</v>
      </c>
      <c r="B419" s="10">
        <v>12.0</v>
      </c>
      <c r="C419" s="10" t="s">
        <v>84</v>
      </c>
      <c r="D419" s="10" t="s">
        <v>1336</v>
      </c>
      <c r="E419" s="12" t="s">
        <v>62</v>
      </c>
      <c r="F419" s="11">
        <v>7604.0</v>
      </c>
      <c r="G419" s="11">
        <v>1508.0</v>
      </c>
      <c r="H419" s="11">
        <v>1517.0</v>
      </c>
      <c r="I419" s="11">
        <v>206.0</v>
      </c>
      <c r="J419" s="11">
        <v>39.0</v>
      </c>
      <c r="K419" s="11">
        <v>2.0</v>
      </c>
      <c r="L419" s="11">
        <v>0.0</v>
      </c>
      <c r="M419" s="13">
        <f t="shared" ref="M419:O419" si="421">IFERROR(G419/F419,"")</f>
        <v>0.1983166754</v>
      </c>
      <c r="N419" s="13">
        <f t="shared" si="421"/>
        <v>1.00596817</v>
      </c>
      <c r="O419" s="14">
        <f t="shared" si="421"/>
        <v>0.1357943309</v>
      </c>
      <c r="P419" s="13">
        <f t="shared" si="3"/>
        <v>0.02570863546</v>
      </c>
      <c r="Q419" s="13">
        <f t="shared" si="4"/>
        <v>0.001318391562</v>
      </c>
      <c r="R419" s="13">
        <f t="shared" si="5"/>
        <v>0</v>
      </c>
      <c r="S419" s="14">
        <f t="shared" si="6"/>
        <v>1.587637525</v>
      </c>
      <c r="T419" s="14">
        <f t="shared" si="7"/>
        <v>1.005604287</v>
      </c>
      <c r="U419" s="14">
        <f t="shared" si="8"/>
        <v>5.367889977</v>
      </c>
    </row>
    <row r="420" ht="15.75" customHeight="1">
      <c r="A420" s="9">
        <v>45458.5017793634</v>
      </c>
      <c r="B420" s="10">
        <v>12.0</v>
      </c>
      <c r="C420" s="10" t="s">
        <v>69</v>
      </c>
      <c r="D420" s="10" t="s">
        <v>1338</v>
      </c>
      <c r="E420" s="12" t="s">
        <v>62</v>
      </c>
      <c r="F420" s="11">
        <v>317405.0</v>
      </c>
      <c r="G420" s="11">
        <v>30434.0</v>
      </c>
      <c r="H420" s="11">
        <v>30438.0</v>
      </c>
      <c r="I420" s="11">
        <v>300.0</v>
      </c>
      <c r="J420" s="11">
        <v>55.0</v>
      </c>
      <c r="K420" s="11">
        <v>5.0</v>
      </c>
      <c r="L420" s="11">
        <v>3.0</v>
      </c>
      <c r="M420" s="13">
        <f t="shared" ref="M420:O420" si="422">IFERROR(G420/F420,"")</f>
        <v>0.09588380775</v>
      </c>
      <c r="N420" s="13">
        <f t="shared" si="422"/>
        <v>1.000131432</v>
      </c>
      <c r="O420" s="14">
        <f t="shared" si="422"/>
        <v>0.009856100926</v>
      </c>
      <c r="P420" s="13">
        <f t="shared" si="3"/>
        <v>0.001806951837</v>
      </c>
      <c r="Q420" s="13">
        <f t="shared" si="4"/>
        <v>0.0001642683488</v>
      </c>
      <c r="R420" s="13">
        <f t="shared" si="5"/>
        <v>0.00009856100926</v>
      </c>
      <c r="S420" s="14">
        <f t="shared" si="6"/>
        <v>0.7676042921</v>
      </c>
      <c r="T420" s="14">
        <f t="shared" si="7"/>
        <v>0.9996933781</v>
      </c>
      <c r="U420" s="14">
        <f t="shared" si="8"/>
        <v>0.6688258998</v>
      </c>
    </row>
    <row r="421" ht="15.75" customHeight="1">
      <c r="A421" s="9">
        <v>45460.4976311343</v>
      </c>
      <c r="B421" s="10">
        <v>11.0</v>
      </c>
      <c r="C421" s="10" t="s">
        <v>71</v>
      </c>
      <c r="D421" s="10" t="s">
        <v>1340</v>
      </c>
      <c r="E421" s="12" t="s">
        <v>62</v>
      </c>
      <c r="F421" s="11">
        <v>161887.0</v>
      </c>
      <c r="G421" s="11">
        <v>18379.0</v>
      </c>
      <c r="H421" s="11">
        <v>18366.0</v>
      </c>
      <c r="I421" s="11">
        <v>1097.0</v>
      </c>
      <c r="J421" s="11">
        <v>68.0</v>
      </c>
      <c r="K421" s="11">
        <v>8.0</v>
      </c>
      <c r="L421" s="11">
        <v>8.0</v>
      </c>
      <c r="M421" s="13">
        <f t="shared" ref="M421:O421" si="423">IFERROR(G421/F421,"")</f>
        <v>0.1135298078</v>
      </c>
      <c r="N421" s="13">
        <f t="shared" si="423"/>
        <v>0.999292671</v>
      </c>
      <c r="O421" s="14">
        <f t="shared" si="423"/>
        <v>0.05972993575</v>
      </c>
      <c r="P421" s="13">
        <f t="shared" si="3"/>
        <v>0.003702493738</v>
      </c>
      <c r="Q421" s="13">
        <f t="shared" si="4"/>
        <v>0.0004355874986</v>
      </c>
      <c r="R421" s="13">
        <f t="shared" si="5"/>
        <v>0.0004355874986</v>
      </c>
      <c r="S421" s="14">
        <f t="shared" si="6"/>
        <v>0.9088705363</v>
      </c>
      <c r="T421" s="14">
        <f t="shared" si="7"/>
        <v>0.9988549845</v>
      </c>
      <c r="U421" s="14">
        <f t="shared" si="8"/>
        <v>1.773513905</v>
      </c>
    </row>
    <row r="422" ht="15.75" customHeight="1">
      <c r="A422" s="9">
        <v>45461.5283485764</v>
      </c>
      <c r="B422" s="10">
        <v>12.0</v>
      </c>
      <c r="C422" s="10" t="s">
        <v>59</v>
      </c>
      <c r="D422" s="10" t="s">
        <v>1342</v>
      </c>
      <c r="E422" s="12" t="s">
        <v>62</v>
      </c>
      <c r="F422" s="11">
        <v>93487.0</v>
      </c>
      <c r="G422" s="11">
        <v>9173.0</v>
      </c>
      <c r="H422" s="11">
        <v>9183.0</v>
      </c>
      <c r="I422" s="11">
        <v>533.0</v>
      </c>
      <c r="J422" s="11">
        <v>79.0</v>
      </c>
      <c r="K422" s="11">
        <v>1.0</v>
      </c>
      <c r="L422" s="11">
        <v>3.0</v>
      </c>
      <c r="M422" s="13">
        <f t="shared" ref="M422:O422" si="424">IFERROR(G422/F422,"")</f>
        <v>0.09812059431</v>
      </c>
      <c r="N422" s="13">
        <f t="shared" si="424"/>
        <v>1.001090156</v>
      </c>
      <c r="O422" s="14">
        <f t="shared" si="424"/>
        <v>0.05804203419</v>
      </c>
      <c r="P422" s="13">
        <f t="shared" si="3"/>
        <v>0.008602853098</v>
      </c>
      <c r="Q422" s="13">
        <f t="shared" si="4"/>
        <v>0.0001088968747</v>
      </c>
      <c r="R422" s="13">
        <f t="shared" si="5"/>
        <v>0.000326690624</v>
      </c>
      <c r="S422" s="14">
        <f t="shared" si="6"/>
        <v>0.7887365824</v>
      </c>
      <c r="T422" s="14">
        <f t="shared" si="7"/>
        <v>1.000583823</v>
      </c>
      <c r="U422" s="14">
        <f t="shared" si="8"/>
        <v>0.4319496624</v>
      </c>
    </row>
    <row r="423" ht="15.75" customHeight="1">
      <c r="A423" s="9">
        <v>45461.6615838889</v>
      </c>
      <c r="B423" s="10">
        <v>15.0</v>
      </c>
      <c r="C423" s="10" t="s">
        <v>59</v>
      </c>
      <c r="D423" s="10" t="s">
        <v>1345</v>
      </c>
      <c r="E423" s="12" t="s">
        <v>62</v>
      </c>
      <c r="F423" s="11">
        <v>1.0</v>
      </c>
      <c r="G423" s="11">
        <v>0.0</v>
      </c>
      <c r="H423" s="11">
        <v>0.0</v>
      </c>
      <c r="I423" s="11">
        <v>0.0</v>
      </c>
      <c r="J423" s="11">
        <v>0.0</v>
      </c>
      <c r="K423" s="11">
        <v>0.0</v>
      </c>
      <c r="L423" s="11">
        <v>0.0</v>
      </c>
      <c r="M423" s="13">
        <f t="shared" ref="M423:O423" si="425">IFERROR(G423/F423,"")</f>
        <v>0</v>
      </c>
      <c r="N423" s="13" t="str">
        <f t="shared" si="425"/>
        <v/>
      </c>
      <c r="O423" s="14" t="str">
        <f t="shared" si="425"/>
        <v/>
      </c>
      <c r="P423" s="13" t="str">
        <f t="shared" si="3"/>
        <v/>
      </c>
      <c r="Q423" s="13" t="str">
        <f t="shared" si="4"/>
        <v/>
      </c>
      <c r="R423" s="13" t="str">
        <f t="shared" si="5"/>
        <v/>
      </c>
      <c r="S423" s="14">
        <f t="shared" si="6"/>
        <v>0</v>
      </c>
      <c r="T423" s="14">
        <f t="shared" si="7"/>
        <v>0</v>
      </c>
      <c r="U423" s="14">
        <f t="shared" si="8"/>
        <v>0</v>
      </c>
    </row>
    <row r="424" ht="15.75" customHeight="1">
      <c r="A424" s="9">
        <v>45463.5523615857</v>
      </c>
      <c r="B424" s="10">
        <v>13.0</v>
      </c>
      <c r="C424" s="10" t="s">
        <v>84</v>
      </c>
      <c r="D424" s="10" t="s">
        <v>1348</v>
      </c>
      <c r="E424" s="12" t="s">
        <v>62</v>
      </c>
      <c r="F424" s="11">
        <v>133270.0</v>
      </c>
      <c r="G424" s="11">
        <v>12492.0</v>
      </c>
      <c r="H424" s="11">
        <v>12520.0</v>
      </c>
      <c r="I424" s="11">
        <v>484.0</v>
      </c>
      <c r="J424" s="11">
        <v>64.0</v>
      </c>
      <c r="K424" s="11">
        <v>0.0</v>
      </c>
      <c r="L424" s="11">
        <v>6.0</v>
      </c>
      <c r="M424" s="13">
        <f t="shared" ref="M424:O424" si="426">IFERROR(G424/F424,"")</f>
        <v>0.0937345239</v>
      </c>
      <c r="N424" s="13">
        <f t="shared" si="426"/>
        <v>1.002241435</v>
      </c>
      <c r="O424" s="14">
        <f t="shared" si="426"/>
        <v>0.03865814696</v>
      </c>
      <c r="P424" s="13">
        <f t="shared" si="3"/>
        <v>0.005111821086</v>
      </c>
      <c r="Q424" s="13">
        <f t="shared" si="4"/>
        <v>0</v>
      </c>
      <c r="R424" s="13">
        <f t="shared" si="5"/>
        <v>0.0004792332268</v>
      </c>
      <c r="S424" s="14">
        <f t="shared" si="6"/>
        <v>0.7565861858</v>
      </c>
      <c r="T424" s="14">
        <f t="shared" si="7"/>
        <v>1.001802456</v>
      </c>
      <c r="U424" s="14">
        <f t="shared" si="8"/>
        <v>0</v>
      </c>
    </row>
    <row r="425" ht="15.75" customHeight="1">
      <c r="A425" s="9">
        <v>45465.5260593287</v>
      </c>
      <c r="B425" s="10">
        <v>12.0</v>
      </c>
      <c r="C425" s="10" t="s">
        <v>69</v>
      </c>
      <c r="D425" s="10" t="s">
        <v>1350</v>
      </c>
      <c r="E425" s="12" t="s">
        <v>62</v>
      </c>
      <c r="F425" s="11">
        <v>124487.0</v>
      </c>
      <c r="G425" s="11">
        <v>11332.0</v>
      </c>
      <c r="H425" s="11">
        <v>11372.0</v>
      </c>
      <c r="I425" s="11">
        <v>369.0</v>
      </c>
      <c r="J425" s="11">
        <v>75.0</v>
      </c>
      <c r="K425" s="11">
        <v>3.0</v>
      </c>
      <c r="L425" s="11">
        <v>7.0</v>
      </c>
      <c r="M425" s="13">
        <f t="shared" ref="M425:O425" si="427">IFERROR(G425/F425,"")</f>
        <v>0.09102958542</v>
      </c>
      <c r="N425" s="13">
        <f t="shared" si="427"/>
        <v>1.003529827</v>
      </c>
      <c r="O425" s="14">
        <f t="shared" si="427"/>
        <v>0.03244811819</v>
      </c>
      <c r="P425" s="13">
        <f t="shared" si="3"/>
        <v>0.006595145973</v>
      </c>
      <c r="Q425" s="13">
        <f t="shared" si="4"/>
        <v>0.0002638058389</v>
      </c>
      <c r="R425" s="13">
        <f t="shared" si="5"/>
        <v>0.0006155469574</v>
      </c>
      <c r="S425" s="14">
        <f t="shared" si="6"/>
        <v>0.7317359277</v>
      </c>
      <c r="T425" s="14">
        <f t="shared" si="7"/>
        <v>1.00302226</v>
      </c>
      <c r="U425" s="14">
        <f t="shared" si="8"/>
        <v>1.046410592</v>
      </c>
    </row>
    <row r="426" ht="15.75" customHeight="1">
      <c r="A426" s="9">
        <v>45467.5128959954</v>
      </c>
      <c r="B426" s="10">
        <v>12.0</v>
      </c>
      <c r="C426" s="10" t="s">
        <v>71</v>
      </c>
      <c r="D426" s="10" t="s">
        <v>1353</v>
      </c>
      <c r="E426" s="12" t="s">
        <v>62</v>
      </c>
      <c r="F426" s="11">
        <v>166005.0</v>
      </c>
      <c r="G426" s="11">
        <v>16670.0</v>
      </c>
      <c r="H426" s="11">
        <v>16687.0</v>
      </c>
      <c r="I426" s="11">
        <v>866.0</v>
      </c>
      <c r="J426" s="11">
        <v>89.0</v>
      </c>
      <c r="K426" s="11">
        <v>6.0</v>
      </c>
      <c r="L426" s="11">
        <v>1.0</v>
      </c>
      <c r="M426" s="13">
        <f t="shared" ref="M426:O426" si="428">IFERROR(G426/F426,"")</f>
        <v>0.1004186621</v>
      </c>
      <c r="N426" s="13">
        <f t="shared" si="428"/>
        <v>1.001019796</v>
      </c>
      <c r="O426" s="14">
        <f t="shared" si="428"/>
        <v>0.05189668604</v>
      </c>
      <c r="P426" s="13">
        <f t="shared" si="3"/>
        <v>0.005333493138</v>
      </c>
      <c r="Q426" s="13">
        <f t="shared" si="4"/>
        <v>0.0003595613352</v>
      </c>
      <c r="R426" s="13">
        <f t="shared" si="5"/>
        <v>0.0000599268892</v>
      </c>
      <c r="S426" s="14">
        <f t="shared" si="6"/>
        <v>0.8039083744</v>
      </c>
      <c r="T426" s="14">
        <f t="shared" si="7"/>
        <v>1.000506079</v>
      </c>
      <c r="U426" s="14">
        <f t="shared" si="8"/>
        <v>1.393888158</v>
      </c>
    </row>
    <row r="427" ht="15.75" customHeight="1">
      <c r="A427" s="9">
        <v>45469.8049750463</v>
      </c>
      <c r="B427" s="10">
        <v>19.0</v>
      </c>
      <c r="C427" s="10" t="s">
        <v>80</v>
      </c>
      <c r="D427" s="10" t="s">
        <v>1356</v>
      </c>
      <c r="E427" s="12" t="s">
        <v>62</v>
      </c>
      <c r="F427" s="11">
        <v>11832.0</v>
      </c>
      <c r="G427" s="11">
        <v>2262.0</v>
      </c>
      <c r="H427" s="11">
        <v>2294.0</v>
      </c>
      <c r="I427" s="11">
        <v>368.0</v>
      </c>
      <c r="J427" s="11">
        <v>55.0</v>
      </c>
      <c r="K427" s="11">
        <v>2.0</v>
      </c>
      <c r="L427" s="11">
        <v>1.0</v>
      </c>
      <c r="M427" s="13">
        <f t="shared" ref="M427:O427" si="429">IFERROR(G427/F427,"")</f>
        <v>0.1911764706</v>
      </c>
      <c r="N427" s="13">
        <f t="shared" si="429"/>
        <v>1.014146773</v>
      </c>
      <c r="O427" s="14">
        <f t="shared" si="429"/>
        <v>0.160418483</v>
      </c>
      <c r="P427" s="13">
        <f t="shared" si="3"/>
        <v>0.02397558849</v>
      </c>
      <c r="Q427" s="13">
        <f t="shared" si="4"/>
        <v>0.0008718395815</v>
      </c>
      <c r="R427" s="13">
        <f t="shared" si="5"/>
        <v>0.0004359197908</v>
      </c>
      <c r="S427" s="14">
        <f t="shared" si="6"/>
        <v>1.532402913</v>
      </c>
      <c r="T427" s="14">
        <f t="shared" si="7"/>
        <v>1.013618803</v>
      </c>
      <c r="U427" s="14">
        <f t="shared" si="8"/>
        <v>3.30485324</v>
      </c>
    </row>
    <row r="428" ht="15.75" customHeight="1">
      <c r="A428" s="9">
        <v>45471.5447158912</v>
      </c>
      <c r="B428" s="10">
        <v>13.0</v>
      </c>
      <c r="C428" s="10" t="s">
        <v>60</v>
      </c>
      <c r="D428" s="10" t="s">
        <v>1359</v>
      </c>
      <c r="E428" s="12" t="s">
        <v>62</v>
      </c>
      <c r="F428" s="11">
        <v>176134.0</v>
      </c>
      <c r="G428" s="11">
        <v>16383.0</v>
      </c>
      <c r="H428" s="11">
        <v>16394.0</v>
      </c>
      <c r="I428" s="11">
        <v>566.0</v>
      </c>
      <c r="J428" s="11">
        <v>47.0</v>
      </c>
      <c r="K428" s="11">
        <v>2.0</v>
      </c>
      <c r="L428" s="11">
        <v>5.0</v>
      </c>
      <c r="M428" s="13">
        <f t="shared" ref="M428:O428" si="430">IFERROR(G428/F428,"")</f>
        <v>0.09301440948</v>
      </c>
      <c r="N428" s="13">
        <f t="shared" si="430"/>
        <v>1.000671428</v>
      </c>
      <c r="O428" s="14">
        <f t="shared" si="430"/>
        <v>0.03452482616</v>
      </c>
      <c r="P428" s="13">
        <f t="shared" si="3"/>
        <v>0.002866902525</v>
      </c>
      <c r="Q428" s="13">
        <f t="shared" si="4"/>
        <v>0.0001219958521</v>
      </c>
      <c r="R428" s="13">
        <f t="shared" si="5"/>
        <v>0.0003049896304</v>
      </c>
      <c r="S428" s="14">
        <f t="shared" si="6"/>
        <v>0.750773721</v>
      </c>
      <c r="T428" s="14">
        <f t="shared" si="7"/>
        <v>1.00015789</v>
      </c>
      <c r="U428" s="14">
        <f t="shared" si="8"/>
        <v>0.4729334246</v>
      </c>
    </row>
    <row r="429" ht="15.75" customHeight="1">
      <c r="A429" s="9">
        <v>45473.5281739005</v>
      </c>
      <c r="B429" s="10">
        <v>12.0</v>
      </c>
      <c r="C429" s="10" t="s">
        <v>77</v>
      </c>
      <c r="D429" s="10" t="s">
        <v>1361</v>
      </c>
      <c r="E429" s="12" t="s">
        <v>62</v>
      </c>
      <c r="F429" s="11">
        <v>434397.0</v>
      </c>
      <c r="G429" s="11">
        <v>41810.0</v>
      </c>
      <c r="H429" s="11">
        <v>41822.0</v>
      </c>
      <c r="I429" s="11">
        <v>971.0</v>
      </c>
      <c r="J429" s="11">
        <v>79.0</v>
      </c>
      <c r="K429" s="11">
        <v>10.0</v>
      </c>
      <c r="L429" s="11">
        <v>4.0</v>
      </c>
      <c r="M429" s="13">
        <f t="shared" ref="M429:O429" si="431">IFERROR(G429/F429,"")</f>
        <v>0.09624836267</v>
      </c>
      <c r="N429" s="13">
        <f t="shared" si="431"/>
        <v>1.000287013</v>
      </c>
      <c r="O429" s="14">
        <f t="shared" si="431"/>
        <v>0.02321744536</v>
      </c>
      <c r="P429" s="13">
        <f t="shared" si="3"/>
        <v>0.001888957965</v>
      </c>
      <c r="Q429" s="13">
        <f t="shared" si="4"/>
        <v>0.0002391086031</v>
      </c>
      <c r="R429" s="13">
        <f t="shared" si="5"/>
        <v>0.00009564344125</v>
      </c>
      <c r="S429" s="14">
        <f t="shared" si="6"/>
        <v>0.7768768493</v>
      </c>
      <c r="T429" s="14">
        <f t="shared" si="7"/>
        <v>0.9997736722</v>
      </c>
      <c r="U429" s="14">
        <f t="shared" si="8"/>
        <v>0.9508917746</v>
      </c>
    </row>
    <row r="430" ht="15.75" customHeight="1">
      <c r="A430" s="9">
        <v>45475.5894381366</v>
      </c>
      <c r="B430" s="10">
        <v>14.0</v>
      </c>
      <c r="C430" s="10" t="s">
        <v>59</v>
      </c>
      <c r="D430" s="10" t="s">
        <v>1362</v>
      </c>
      <c r="E430" s="12" t="s">
        <v>62</v>
      </c>
      <c r="F430" s="11">
        <v>768141.0</v>
      </c>
      <c r="G430" s="11">
        <v>70206.0</v>
      </c>
      <c r="H430" s="11">
        <v>70232.0</v>
      </c>
      <c r="I430" s="11">
        <v>1035.0</v>
      </c>
      <c r="J430" s="11">
        <v>63.0</v>
      </c>
      <c r="K430" s="11">
        <v>7.0</v>
      </c>
      <c r="L430" s="11">
        <v>7.0</v>
      </c>
      <c r="M430" s="13">
        <f t="shared" ref="M430:O430" si="432">IFERROR(G430/F430,"")</f>
        <v>0.09139728253</v>
      </c>
      <c r="N430" s="13">
        <f t="shared" si="432"/>
        <v>1.000370339</v>
      </c>
      <c r="O430" s="14">
        <f t="shared" si="432"/>
        <v>0.01473687208</v>
      </c>
      <c r="P430" s="13">
        <f t="shared" si="3"/>
        <v>0.0008970269962</v>
      </c>
      <c r="Q430" s="13">
        <f t="shared" si="4"/>
        <v>0.00009966966625</v>
      </c>
      <c r="R430" s="13">
        <f t="shared" si="5"/>
        <v>0.00009966966625</v>
      </c>
      <c r="S430" s="14">
        <f t="shared" si="6"/>
        <v>0.7326082627</v>
      </c>
      <c r="T430" s="14">
        <f t="shared" si="7"/>
        <v>0.9998495414</v>
      </c>
      <c r="U430" s="14">
        <f t="shared" si="8"/>
        <v>0.3778144815</v>
      </c>
    </row>
    <row r="431" ht="15.75" customHeight="1">
      <c r="A431" s="9">
        <v>45477.5002023495</v>
      </c>
      <c r="B431" s="10">
        <v>12.0</v>
      </c>
      <c r="C431" s="10" t="s">
        <v>84</v>
      </c>
      <c r="D431" s="10" t="s">
        <v>1364</v>
      </c>
      <c r="E431" s="12" t="s">
        <v>62</v>
      </c>
      <c r="F431" s="11">
        <v>98478.0</v>
      </c>
      <c r="G431" s="11">
        <v>7790.0</v>
      </c>
      <c r="H431" s="11">
        <v>7787.0</v>
      </c>
      <c r="I431" s="11">
        <v>729.0</v>
      </c>
      <c r="J431" s="11">
        <v>85.0</v>
      </c>
      <c r="K431" s="11">
        <v>10.0</v>
      </c>
      <c r="L431" s="11">
        <v>5.0</v>
      </c>
      <c r="M431" s="13">
        <f t="shared" ref="M431:O431" si="433">IFERROR(G431/F431,"")</f>
        <v>0.07910396231</v>
      </c>
      <c r="N431" s="13">
        <f t="shared" si="433"/>
        <v>0.9996148909</v>
      </c>
      <c r="O431" s="14">
        <f t="shared" si="433"/>
        <v>0.09361756774</v>
      </c>
      <c r="P431" s="13">
        <f t="shared" si="3"/>
        <v>0.01091562861</v>
      </c>
      <c r="Q431" s="13">
        <f t="shared" si="4"/>
        <v>0.001284191601</v>
      </c>
      <c r="R431" s="13">
        <f t="shared" si="5"/>
        <v>0.0006420958007</v>
      </c>
      <c r="S431" s="14">
        <f t="shared" si="6"/>
        <v>0.6524210036</v>
      </c>
      <c r="T431" s="14">
        <f t="shared" si="7"/>
        <v>0.9991093039</v>
      </c>
      <c r="U431" s="14">
        <f t="shared" si="8"/>
        <v>4.867942297</v>
      </c>
    </row>
    <row r="432" ht="15.75" customHeight="1">
      <c r="A432" s="9">
        <v>45479.4988749884</v>
      </c>
      <c r="B432" s="10">
        <v>11.0</v>
      </c>
      <c r="C432" s="10" t="s">
        <v>69</v>
      </c>
      <c r="D432" s="10" t="s">
        <v>1366</v>
      </c>
      <c r="E432" s="12" t="s">
        <v>62</v>
      </c>
      <c r="F432" s="11">
        <v>163584.0</v>
      </c>
      <c r="G432" s="11">
        <v>24436.0</v>
      </c>
      <c r="H432" s="11">
        <v>24450.0</v>
      </c>
      <c r="I432" s="11">
        <v>1747.0</v>
      </c>
      <c r="J432" s="11">
        <v>96.0</v>
      </c>
      <c r="K432" s="11">
        <v>25.0</v>
      </c>
      <c r="L432" s="11">
        <v>7.0</v>
      </c>
      <c r="M432" s="13">
        <f t="shared" ref="M432:O432" si="434">IFERROR(G432/F432,"")</f>
        <v>0.1493789124</v>
      </c>
      <c r="N432" s="13">
        <f t="shared" si="434"/>
        <v>1.000572925</v>
      </c>
      <c r="O432" s="14">
        <f t="shared" si="434"/>
        <v>0.07145194274</v>
      </c>
      <c r="P432" s="13">
        <f t="shared" si="3"/>
        <v>0.003926380368</v>
      </c>
      <c r="Q432" s="13">
        <f t="shared" si="4"/>
        <v>0.001022494888</v>
      </c>
      <c r="R432" s="13">
        <f t="shared" si="5"/>
        <v>0.0002862985685</v>
      </c>
      <c r="S432" s="14">
        <f t="shared" si="6"/>
        <v>1.259495211</v>
      </c>
      <c r="T432" s="14">
        <f t="shared" si="7"/>
        <v>1.000134678</v>
      </c>
      <c r="U432" s="14">
        <f t="shared" si="8"/>
        <v>4.066277689</v>
      </c>
    </row>
    <row r="433" ht="15.75" customHeight="1">
      <c r="A433" s="9">
        <v>45481.5107546412</v>
      </c>
      <c r="B433" s="10">
        <v>12.0</v>
      </c>
      <c r="C433" s="10" t="s">
        <v>71</v>
      </c>
      <c r="D433" s="10" t="s">
        <v>1368</v>
      </c>
      <c r="E433" s="12" t="s">
        <v>62</v>
      </c>
      <c r="F433" s="11">
        <v>352138.0</v>
      </c>
      <c r="G433" s="11">
        <v>33721.0</v>
      </c>
      <c r="H433" s="11">
        <v>33725.0</v>
      </c>
      <c r="I433" s="11">
        <v>1422.0</v>
      </c>
      <c r="J433" s="11">
        <v>84.0</v>
      </c>
      <c r="K433" s="11">
        <v>7.0</v>
      </c>
      <c r="L433" s="11">
        <v>8.0</v>
      </c>
      <c r="M433" s="13">
        <f t="shared" ref="M433:O433" si="435">IFERROR(G433/F433,"")</f>
        <v>0.09576075289</v>
      </c>
      <c r="N433" s="13">
        <f t="shared" si="435"/>
        <v>1.00011862</v>
      </c>
      <c r="O433" s="14">
        <f t="shared" si="435"/>
        <v>0.04216456635</v>
      </c>
      <c r="P433" s="13">
        <f t="shared" si="3"/>
        <v>0.002490733877</v>
      </c>
      <c r="Q433" s="13">
        <f t="shared" si="4"/>
        <v>0.0002075611564</v>
      </c>
      <c r="R433" s="13">
        <f t="shared" si="5"/>
        <v>0.0002372127502</v>
      </c>
      <c r="S433" s="14">
        <f t="shared" si="6"/>
        <v>0.81836489</v>
      </c>
      <c r="T433" s="14">
        <f t="shared" si="7"/>
        <v>0.9996127787</v>
      </c>
      <c r="U433" s="14">
        <f t="shared" si="8"/>
        <v>0.7867951569</v>
      </c>
    </row>
    <row r="434" ht="15.75" customHeight="1">
      <c r="A434" s="9">
        <v>45483.55462875</v>
      </c>
      <c r="B434" s="10">
        <v>13.0</v>
      </c>
      <c r="C434" s="10" t="s">
        <v>80</v>
      </c>
      <c r="D434" s="10" t="s">
        <v>1370</v>
      </c>
      <c r="E434" s="12" t="s">
        <v>62</v>
      </c>
      <c r="F434" s="11">
        <v>3783994.0</v>
      </c>
      <c r="G434" s="11">
        <v>672608.0</v>
      </c>
      <c r="H434" s="11">
        <v>672655.0</v>
      </c>
      <c r="I434" s="11">
        <v>54429.0</v>
      </c>
      <c r="J434" s="11">
        <v>1025.0</v>
      </c>
      <c r="K434" s="11">
        <v>397.0</v>
      </c>
      <c r="L434" s="11">
        <v>101.0</v>
      </c>
      <c r="M434" s="13">
        <f t="shared" ref="M434:O434" si="436">IFERROR(G434/F434,"")</f>
        <v>0.1777508104</v>
      </c>
      <c r="N434" s="13">
        <f t="shared" si="436"/>
        <v>1.000069877</v>
      </c>
      <c r="O434" s="14">
        <f t="shared" si="436"/>
        <v>0.08091666605</v>
      </c>
      <c r="P434" s="13">
        <f t="shared" si="3"/>
        <v>0.001523812356</v>
      </c>
      <c r="Q434" s="13">
        <f t="shared" si="4"/>
        <v>0.0005901985416</v>
      </c>
      <c r="R434" s="13">
        <f t="shared" si="5"/>
        <v>0.0001501512663</v>
      </c>
      <c r="S434" s="14">
        <f t="shared" si="6"/>
        <v>1.53993778</v>
      </c>
      <c r="T434" s="14">
        <f t="shared" si="7"/>
        <v>0.9995566482</v>
      </c>
      <c r="U434" s="14">
        <f t="shared" si="8"/>
        <v>2.347113116</v>
      </c>
    </row>
    <row r="435" ht="15.75" customHeight="1">
      <c r="A435" s="9">
        <v>45485.5001439931</v>
      </c>
      <c r="B435" s="10">
        <v>12.0</v>
      </c>
      <c r="C435" s="10" t="s">
        <v>60</v>
      </c>
      <c r="D435" s="10" t="s">
        <v>1372</v>
      </c>
      <c r="E435" s="12" t="s">
        <v>62</v>
      </c>
      <c r="F435" s="11">
        <v>12070.0</v>
      </c>
      <c r="G435" s="11">
        <v>2745.0</v>
      </c>
      <c r="H435" s="11">
        <v>2776.0</v>
      </c>
      <c r="I435" s="11">
        <v>416.0</v>
      </c>
      <c r="J435" s="11">
        <v>71.0</v>
      </c>
      <c r="K435" s="11">
        <v>5.0</v>
      </c>
      <c r="L435" s="11">
        <v>3.0</v>
      </c>
      <c r="M435" s="13">
        <f t="shared" ref="M435:O435" si="437">IFERROR(G435/F435,"")</f>
        <v>0.2274233637</v>
      </c>
      <c r="N435" s="13">
        <f t="shared" si="437"/>
        <v>1.01129326</v>
      </c>
      <c r="O435" s="14">
        <f t="shared" si="437"/>
        <v>0.1498559078</v>
      </c>
      <c r="P435" s="13">
        <f t="shared" si="3"/>
        <v>0.02557636888</v>
      </c>
      <c r="Q435" s="13">
        <f t="shared" si="4"/>
        <v>0.001801152738</v>
      </c>
      <c r="R435" s="13">
        <f t="shared" si="5"/>
        <v>0.001080691643</v>
      </c>
      <c r="S435" s="14">
        <f t="shared" si="6"/>
        <v>1.986602625</v>
      </c>
      <c r="T435" s="14">
        <f t="shared" si="7"/>
        <v>1.010766777</v>
      </c>
      <c r="U435" s="14">
        <f t="shared" si="8"/>
        <v>7.53278098</v>
      </c>
    </row>
    <row r="436" ht="15.75" customHeight="1">
      <c r="A436" s="9">
        <v>45487.5281232292</v>
      </c>
      <c r="B436" s="10">
        <v>12.0</v>
      </c>
      <c r="C436" s="10" t="s">
        <v>77</v>
      </c>
      <c r="D436" s="10" t="s">
        <v>1374</v>
      </c>
      <c r="E436" s="12" t="s">
        <v>62</v>
      </c>
      <c r="F436" s="11">
        <v>25685.0</v>
      </c>
      <c r="G436" s="11">
        <v>5169.0</v>
      </c>
      <c r="H436" s="11">
        <v>5192.0</v>
      </c>
      <c r="I436" s="11">
        <v>696.0</v>
      </c>
      <c r="J436" s="11">
        <v>84.0</v>
      </c>
      <c r="K436" s="11">
        <v>12.0</v>
      </c>
      <c r="L436" s="11">
        <v>7.0</v>
      </c>
      <c r="M436" s="13">
        <f t="shared" ref="M436:O436" si="438">IFERROR(G436/F436,"")</f>
        <v>0.2012458633</v>
      </c>
      <c r="N436" s="13">
        <f t="shared" si="438"/>
        <v>1.004449603</v>
      </c>
      <c r="O436" s="14">
        <f t="shared" si="438"/>
        <v>0.1340523883</v>
      </c>
      <c r="P436" s="13">
        <f t="shared" si="3"/>
        <v>0.01617873652</v>
      </c>
      <c r="Q436" s="13">
        <f t="shared" si="4"/>
        <v>0.002311248074</v>
      </c>
      <c r="R436" s="13">
        <f t="shared" si="5"/>
        <v>0.001348228043</v>
      </c>
      <c r="S436" s="14">
        <f t="shared" si="6"/>
        <v>1.772625773</v>
      </c>
      <c r="T436" s="14">
        <f t="shared" si="7"/>
        <v>1.003934127</v>
      </c>
      <c r="U436" s="14">
        <f t="shared" si="8"/>
        <v>9.861135274</v>
      </c>
    </row>
    <row r="437" ht="15.75" customHeight="1">
      <c r="A437" s="9">
        <v>45489.5032261227</v>
      </c>
      <c r="B437" s="10">
        <v>12.0</v>
      </c>
      <c r="C437" s="10" t="s">
        <v>59</v>
      </c>
      <c r="D437" s="10" t="s">
        <v>1376</v>
      </c>
      <c r="E437" s="12" t="s">
        <v>62</v>
      </c>
      <c r="F437" s="11">
        <v>111347.0</v>
      </c>
      <c r="G437" s="11">
        <v>13206.0</v>
      </c>
      <c r="H437" s="11">
        <v>13238.0</v>
      </c>
      <c r="I437" s="11">
        <v>986.0</v>
      </c>
      <c r="J437" s="11">
        <v>99.0</v>
      </c>
      <c r="K437" s="11">
        <v>6.0</v>
      </c>
      <c r="L437" s="11">
        <v>6.0</v>
      </c>
      <c r="M437" s="13">
        <f t="shared" ref="M437:O437" si="439">IFERROR(G437/F437,"")</f>
        <v>0.1186022075</v>
      </c>
      <c r="N437" s="13">
        <f t="shared" si="439"/>
        <v>1.002423141</v>
      </c>
      <c r="O437" s="14">
        <f t="shared" si="439"/>
        <v>0.07448255023</v>
      </c>
      <c r="P437" s="13">
        <f t="shared" si="3"/>
        <v>0.007478471068</v>
      </c>
      <c r="Q437" s="13">
        <f t="shared" si="4"/>
        <v>0.0004532406708</v>
      </c>
      <c r="R437" s="13">
        <f t="shared" si="5"/>
        <v>0.0004532406708</v>
      </c>
      <c r="S437" s="14">
        <f t="shared" si="6"/>
        <v>1.045527144</v>
      </c>
      <c r="T437" s="14">
        <f t="shared" si="7"/>
        <v>1.001908704</v>
      </c>
      <c r="U437" s="14">
        <f t="shared" si="8"/>
        <v>1.802456374</v>
      </c>
    </row>
    <row r="438" ht="15.75" customHeight="1">
      <c r="A438" s="9">
        <v>45491.532341794</v>
      </c>
      <c r="B438" s="10">
        <v>12.0</v>
      </c>
      <c r="C438" s="10" t="s">
        <v>84</v>
      </c>
      <c r="D438" s="10" t="s">
        <v>1378</v>
      </c>
      <c r="E438" s="12" t="s">
        <v>62</v>
      </c>
      <c r="F438" s="11">
        <v>12647.0</v>
      </c>
      <c r="G438" s="11">
        <v>2428.0</v>
      </c>
      <c r="H438" s="11">
        <v>2470.0</v>
      </c>
      <c r="I438" s="11">
        <v>310.0</v>
      </c>
      <c r="J438" s="11">
        <v>64.0</v>
      </c>
      <c r="K438" s="11">
        <v>0.0</v>
      </c>
      <c r="L438" s="11">
        <v>1.0</v>
      </c>
      <c r="M438" s="13">
        <f t="shared" ref="M438:O438" si="440">IFERROR(G438/F438,"")</f>
        <v>0.1919822883</v>
      </c>
      <c r="N438" s="13">
        <f t="shared" si="440"/>
        <v>1.017298188</v>
      </c>
      <c r="O438" s="14">
        <f t="shared" si="440"/>
        <v>0.1255060729</v>
      </c>
      <c r="P438" s="13">
        <f t="shared" si="3"/>
        <v>0.02591093117</v>
      </c>
      <c r="Q438" s="13">
        <f t="shared" si="4"/>
        <v>0</v>
      </c>
      <c r="R438" s="13">
        <f t="shared" si="5"/>
        <v>0.0004048582996</v>
      </c>
      <c r="S438" s="14">
        <f t="shared" si="6"/>
        <v>1.710887792</v>
      </c>
      <c r="T438" s="14">
        <f t="shared" si="7"/>
        <v>1.016852615</v>
      </c>
      <c r="U438" s="14">
        <f t="shared" si="8"/>
        <v>0</v>
      </c>
    </row>
    <row r="439" ht="15.75" customHeight="1">
      <c r="A439" s="9">
        <v>45493.5320845949</v>
      </c>
      <c r="B439" s="10">
        <v>12.0</v>
      </c>
      <c r="C439" s="10" t="s">
        <v>69</v>
      </c>
      <c r="D439" s="10" t="s">
        <v>1381</v>
      </c>
      <c r="E439" s="12" t="s">
        <v>62</v>
      </c>
      <c r="F439" s="11">
        <v>342134.0</v>
      </c>
      <c r="G439" s="11">
        <v>28895.0</v>
      </c>
      <c r="H439" s="11">
        <v>28926.0</v>
      </c>
      <c r="I439" s="11">
        <v>864.0</v>
      </c>
      <c r="J439" s="11">
        <v>91.0</v>
      </c>
      <c r="K439" s="11">
        <v>4.0</v>
      </c>
      <c r="L439" s="11">
        <v>6.0</v>
      </c>
      <c r="M439" s="13">
        <f t="shared" ref="M439:O439" si="441">IFERROR(G439/F439,"")</f>
        <v>0.08445521345</v>
      </c>
      <c r="N439" s="13">
        <f t="shared" si="441"/>
        <v>1.00107285</v>
      </c>
      <c r="O439" s="14">
        <f t="shared" si="441"/>
        <v>0.02986932172</v>
      </c>
      <c r="P439" s="13">
        <f t="shared" si="3"/>
        <v>0.003145958653</v>
      </c>
      <c r="Q439" s="13">
        <f t="shared" si="4"/>
        <v>0.0001382838968</v>
      </c>
      <c r="R439" s="13">
        <f t="shared" si="5"/>
        <v>0.0002074258453</v>
      </c>
      <c r="S439" s="14">
        <f t="shared" si="6"/>
        <v>0.7635858305</v>
      </c>
      <c r="T439" s="14">
        <f t="shared" si="7"/>
        <v>1.000566526</v>
      </c>
      <c r="U439" s="14">
        <f t="shared" si="8"/>
        <v>0.5241881583</v>
      </c>
    </row>
    <row r="440" ht="15.75" customHeight="1">
      <c r="A440" s="9">
        <v>45495.5065931829</v>
      </c>
      <c r="B440" s="10">
        <v>12.0</v>
      </c>
      <c r="C440" s="10" t="s">
        <v>71</v>
      </c>
      <c r="D440" s="10" t="s">
        <v>1383</v>
      </c>
      <c r="E440" s="12" t="s">
        <v>62</v>
      </c>
      <c r="F440" s="11">
        <v>423524.0</v>
      </c>
      <c r="G440" s="11">
        <v>38788.0</v>
      </c>
      <c r="H440" s="11">
        <v>38826.0</v>
      </c>
      <c r="I440" s="11">
        <v>916.0</v>
      </c>
      <c r="J440" s="11">
        <v>112.0</v>
      </c>
      <c r="K440" s="11">
        <v>16.0</v>
      </c>
      <c r="L440" s="11">
        <v>7.0</v>
      </c>
      <c r="M440" s="13">
        <f t="shared" ref="M440:O440" si="442">IFERROR(G440/F440,"")</f>
        <v>0.09158394802</v>
      </c>
      <c r="N440" s="13">
        <f t="shared" si="442"/>
        <v>1.000979684</v>
      </c>
      <c r="O440" s="14">
        <f t="shared" si="442"/>
        <v>0.02359243806</v>
      </c>
      <c r="P440" s="13">
        <f t="shared" si="3"/>
        <v>0.002884664915</v>
      </c>
      <c r="Q440" s="13">
        <f t="shared" si="4"/>
        <v>0.0004120949879</v>
      </c>
      <c r="R440" s="13">
        <f t="shared" si="5"/>
        <v>0.0001802915572</v>
      </c>
      <c r="S440" s="14">
        <f t="shared" si="6"/>
        <v>0.8402599636</v>
      </c>
      <c r="T440" s="14">
        <f t="shared" si="7"/>
        <v>1.000465988</v>
      </c>
      <c r="U440" s="14">
        <f t="shared" si="8"/>
        <v>1.509591433</v>
      </c>
    </row>
    <row r="441" ht="15.75" customHeight="1">
      <c r="A441" s="9">
        <v>45497.5001371875</v>
      </c>
      <c r="B441" s="10">
        <v>12.0</v>
      </c>
      <c r="C441" s="10" t="s">
        <v>80</v>
      </c>
      <c r="D441" s="10" t="s">
        <v>1385</v>
      </c>
      <c r="E441" s="12" t="s">
        <v>62</v>
      </c>
      <c r="F441" s="11">
        <v>141109.0</v>
      </c>
      <c r="G441" s="11">
        <v>11041.0</v>
      </c>
      <c r="H441" s="11">
        <v>11071.0</v>
      </c>
      <c r="I441" s="11">
        <v>280.0</v>
      </c>
      <c r="J441" s="11">
        <v>49.0</v>
      </c>
      <c r="K441" s="11">
        <v>0.0</v>
      </c>
      <c r="L441" s="11">
        <v>2.0</v>
      </c>
      <c r="M441" s="13">
        <f t="shared" ref="M441:O441" si="443">IFERROR(G441/F441,"")</f>
        <v>0.07824447767</v>
      </c>
      <c r="N441" s="13">
        <f t="shared" si="443"/>
        <v>1.002717145</v>
      </c>
      <c r="O441" s="14">
        <f t="shared" si="443"/>
        <v>0.0252913016</v>
      </c>
      <c r="P441" s="13">
        <f t="shared" si="3"/>
        <v>0.00442597778</v>
      </c>
      <c r="Q441" s="13">
        <f t="shared" si="4"/>
        <v>0</v>
      </c>
      <c r="R441" s="13">
        <f t="shared" si="5"/>
        <v>0.0001806521543</v>
      </c>
      <c r="S441" s="14">
        <f t="shared" si="6"/>
        <v>0.7187408547</v>
      </c>
      <c r="T441" s="14">
        <f t="shared" si="7"/>
        <v>1.002202558</v>
      </c>
      <c r="U441" s="14">
        <f t="shared" si="8"/>
        <v>0</v>
      </c>
    </row>
    <row r="442" ht="15.75" customHeight="1">
      <c r="A442" s="9">
        <v>45499.4963491088</v>
      </c>
      <c r="B442" s="10">
        <v>11.0</v>
      </c>
      <c r="C442" s="10" t="s">
        <v>60</v>
      </c>
      <c r="D442" s="10" t="s">
        <v>1387</v>
      </c>
      <c r="E442" s="12" t="s">
        <v>62</v>
      </c>
      <c r="F442" s="11">
        <v>7.0</v>
      </c>
      <c r="G442" s="11">
        <v>3.0</v>
      </c>
      <c r="H442" s="11">
        <v>3.0</v>
      </c>
      <c r="I442" s="11">
        <v>1.0</v>
      </c>
      <c r="J442" s="11">
        <v>0.0</v>
      </c>
      <c r="K442" s="11">
        <v>0.0</v>
      </c>
      <c r="L442" s="11">
        <v>0.0</v>
      </c>
      <c r="M442" s="13">
        <f t="shared" ref="M442:O442" si="444">IFERROR(G442/F442,"")</f>
        <v>0.4285714286</v>
      </c>
      <c r="N442" s="13">
        <f t="shared" si="444"/>
        <v>1</v>
      </c>
      <c r="O442" s="14">
        <f t="shared" si="444"/>
        <v>0.3333333333</v>
      </c>
      <c r="P442" s="13">
        <f t="shared" si="3"/>
        <v>0</v>
      </c>
      <c r="Q442" s="13">
        <f t="shared" si="4"/>
        <v>0</v>
      </c>
      <c r="R442" s="13">
        <f t="shared" si="5"/>
        <v>0</v>
      </c>
      <c r="S442" s="14">
        <f t="shared" si="6"/>
        <v>3.934409939</v>
      </c>
      <c r="T442" s="14">
        <f t="shared" si="7"/>
        <v>0.9994942182</v>
      </c>
      <c r="U442" s="14">
        <f t="shared" si="8"/>
        <v>0</v>
      </c>
    </row>
    <row r="443" ht="15.75" customHeight="1">
      <c r="A443" s="9">
        <v>45499.5026933912</v>
      </c>
      <c r="B443" s="10">
        <v>12.0</v>
      </c>
      <c r="C443" s="10" t="s">
        <v>60</v>
      </c>
      <c r="D443" s="10" t="s">
        <v>1387</v>
      </c>
      <c r="E443" s="12" t="s">
        <v>62</v>
      </c>
      <c r="F443" s="11">
        <v>107442.0</v>
      </c>
      <c r="G443" s="11">
        <v>9278.0</v>
      </c>
      <c r="H443" s="11">
        <v>9281.0</v>
      </c>
      <c r="I443" s="11">
        <v>429.0</v>
      </c>
      <c r="J443" s="11">
        <v>75.0</v>
      </c>
      <c r="K443" s="11">
        <v>3.0</v>
      </c>
      <c r="L443" s="11">
        <v>6.0</v>
      </c>
      <c r="M443" s="13">
        <f t="shared" ref="M443:O443" si="445">IFERROR(G443/F443,"")</f>
        <v>0.08635356751</v>
      </c>
      <c r="N443" s="13">
        <f t="shared" si="445"/>
        <v>1.000323346</v>
      </c>
      <c r="O443" s="14">
        <f t="shared" si="445"/>
        <v>0.0462234673</v>
      </c>
      <c r="P443" s="13">
        <f t="shared" si="3"/>
        <v>0.008081025752</v>
      </c>
      <c r="Q443" s="13">
        <f t="shared" si="4"/>
        <v>0.0003232410301</v>
      </c>
      <c r="R443" s="13">
        <f t="shared" si="5"/>
        <v>0.0006464820601</v>
      </c>
      <c r="S443" s="14">
        <f t="shared" si="6"/>
        <v>0.7927507799</v>
      </c>
      <c r="T443" s="14">
        <f t="shared" si="7"/>
        <v>0.9998174002</v>
      </c>
      <c r="U443" s="14">
        <f t="shared" si="8"/>
        <v>1.145582373</v>
      </c>
    </row>
    <row r="444" ht="15.75" customHeight="1">
      <c r="A444" s="9">
        <v>45501.5103917708</v>
      </c>
      <c r="B444" s="10">
        <v>12.0</v>
      </c>
      <c r="C444" s="10" t="s">
        <v>77</v>
      </c>
      <c r="D444" s="10" t="s">
        <v>1390</v>
      </c>
      <c r="E444" s="12" t="s">
        <v>62</v>
      </c>
      <c r="F444" s="11">
        <v>16569.0</v>
      </c>
      <c r="G444" s="11">
        <v>2690.0</v>
      </c>
      <c r="H444" s="11">
        <v>2688.0</v>
      </c>
      <c r="I444" s="11">
        <v>387.0</v>
      </c>
      <c r="J444" s="11">
        <v>61.0</v>
      </c>
      <c r="K444" s="11">
        <v>0.0</v>
      </c>
      <c r="L444" s="11">
        <v>1.0</v>
      </c>
      <c r="M444" s="13">
        <f t="shared" ref="M444:O444" si="446">IFERROR(G444/F444,"")</f>
        <v>0.1623513791</v>
      </c>
      <c r="N444" s="13">
        <f t="shared" si="446"/>
        <v>0.9992565056</v>
      </c>
      <c r="O444" s="14">
        <f t="shared" si="446"/>
        <v>0.1439732143</v>
      </c>
      <c r="P444" s="13">
        <f t="shared" si="3"/>
        <v>0.02269345238</v>
      </c>
      <c r="Q444" s="13">
        <f t="shared" si="4"/>
        <v>0</v>
      </c>
      <c r="R444" s="13">
        <f t="shared" si="5"/>
        <v>0.0003720238095</v>
      </c>
      <c r="S444" s="14">
        <f t="shared" si="6"/>
        <v>1.490432719</v>
      </c>
      <c r="T444" s="14">
        <f t="shared" si="7"/>
        <v>0.9987362881</v>
      </c>
      <c r="U444" s="14">
        <f t="shared" si="8"/>
        <v>0</v>
      </c>
    </row>
    <row r="445" ht="15.75" customHeight="1">
      <c r="A445" s="9">
        <v>45503.4972046296</v>
      </c>
      <c r="B445" s="10">
        <v>11.0</v>
      </c>
      <c r="C445" s="10" t="s">
        <v>59</v>
      </c>
      <c r="D445" s="10" t="s">
        <v>1392</v>
      </c>
      <c r="E445" s="12" t="s">
        <v>62</v>
      </c>
      <c r="F445" s="11">
        <v>283597.0</v>
      </c>
      <c r="G445" s="11">
        <v>25469.0</v>
      </c>
      <c r="H445" s="11">
        <v>25478.0</v>
      </c>
      <c r="I445" s="11">
        <v>1370.0</v>
      </c>
      <c r="J445" s="11">
        <v>109.0</v>
      </c>
      <c r="K445" s="11">
        <v>8.0</v>
      </c>
      <c r="L445" s="11">
        <v>11.0</v>
      </c>
      <c r="M445" s="13">
        <f t="shared" ref="M445:O445" si="447">IFERROR(G445/F445,"")</f>
        <v>0.08980701488</v>
      </c>
      <c r="N445" s="13">
        <f t="shared" si="447"/>
        <v>1.000353371</v>
      </c>
      <c r="O445" s="14">
        <f t="shared" si="447"/>
        <v>0.05377188162</v>
      </c>
      <c r="P445" s="13">
        <f t="shared" si="3"/>
        <v>0.004278200801</v>
      </c>
      <c r="Q445" s="13">
        <f t="shared" si="4"/>
        <v>0.000313996389</v>
      </c>
      <c r="R445" s="13">
        <f t="shared" si="5"/>
        <v>0.0004317450349</v>
      </c>
      <c r="S445" s="14">
        <f t="shared" si="6"/>
        <v>0.8249524127</v>
      </c>
      <c r="T445" s="14">
        <f t="shared" si="7"/>
        <v>0.9998065761</v>
      </c>
      <c r="U445" s="14">
        <f t="shared" si="8"/>
        <v>1.0291309</v>
      </c>
    </row>
    <row r="446" ht="15.75" customHeight="1">
      <c r="A446" s="9">
        <v>45505.5105356482</v>
      </c>
      <c r="B446" s="10">
        <v>12.0</v>
      </c>
      <c r="C446" s="10" t="s">
        <v>84</v>
      </c>
      <c r="D446" s="10" t="s">
        <v>1394</v>
      </c>
      <c r="E446" s="12" t="s">
        <v>62</v>
      </c>
      <c r="F446" s="11">
        <v>230946.0</v>
      </c>
      <c r="G446" s="11">
        <v>23153.0</v>
      </c>
      <c r="H446" s="11">
        <v>23194.0</v>
      </c>
      <c r="I446" s="11">
        <v>817.0</v>
      </c>
      <c r="J446" s="11">
        <v>106.0</v>
      </c>
      <c r="K446" s="11">
        <v>9.0</v>
      </c>
      <c r="L446" s="11">
        <v>8.0</v>
      </c>
      <c r="M446" s="13">
        <f t="shared" ref="M446:O446" si="448">IFERROR(G446/F446,"")</f>
        <v>0.100252873</v>
      </c>
      <c r="N446" s="13">
        <f t="shared" si="448"/>
        <v>1.001770829</v>
      </c>
      <c r="O446" s="14">
        <f t="shared" si="448"/>
        <v>0.03522462706</v>
      </c>
      <c r="P446" s="13">
        <f t="shared" si="3"/>
        <v>0.004570147452</v>
      </c>
      <c r="Q446" s="13">
        <f t="shared" si="4"/>
        <v>0.0003880313874</v>
      </c>
      <c r="R446" s="13">
        <f t="shared" si="5"/>
        <v>0.0003449167888</v>
      </c>
      <c r="S446" s="14">
        <f t="shared" si="6"/>
        <v>0.9209063406</v>
      </c>
      <c r="T446" s="14">
        <f t="shared" si="7"/>
        <v>1.001223259</v>
      </c>
      <c r="U446" s="14">
        <f t="shared" si="8"/>
        <v>1.271782431</v>
      </c>
    </row>
    <row r="447" ht="15.75" customHeight="1">
      <c r="A447" s="9">
        <v>45507.5260832755</v>
      </c>
      <c r="B447" s="10">
        <v>12.0</v>
      </c>
      <c r="C447" s="10" t="s">
        <v>69</v>
      </c>
      <c r="D447" s="10" t="s">
        <v>1396</v>
      </c>
      <c r="E447" s="12" t="s">
        <v>62</v>
      </c>
      <c r="F447" s="11">
        <v>27627.0</v>
      </c>
      <c r="G447" s="11">
        <v>4570.0</v>
      </c>
      <c r="H447" s="11">
        <v>4598.0</v>
      </c>
      <c r="I447" s="11">
        <v>640.0</v>
      </c>
      <c r="J447" s="11">
        <v>101.0</v>
      </c>
      <c r="K447" s="11">
        <v>3.0</v>
      </c>
      <c r="L447" s="11">
        <v>6.0</v>
      </c>
      <c r="M447" s="13">
        <f t="shared" ref="M447:O447" si="449">IFERROR(G447/F447,"")</f>
        <v>0.1654178883</v>
      </c>
      <c r="N447" s="13">
        <f t="shared" si="449"/>
        <v>1.006126915</v>
      </c>
      <c r="O447" s="14">
        <f t="shared" si="449"/>
        <v>0.1391909526</v>
      </c>
      <c r="P447" s="13">
        <f t="shared" si="3"/>
        <v>0.02196607221</v>
      </c>
      <c r="Q447" s="13">
        <f t="shared" si="4"/>
        <v>0.0006524575903</v>
      </c>
      <c r="R447" s="13">
        <f t="shared" si="5"/>
        <v>0.001304915181</v>
      </c>
      <c r="S447" s="14">
        <f t="shared" si="6"/>
        <v>1.537977883</v>
      </c>
      <c r="T447" s="14">
        <f t="shared" si="7"/>
        <v>1.005550809</v>
      </c>
      <c r="U447" s="14">
        <f t="shared" si="8"/>
        <v>2.077914311</v>
      </c>
    </row>
    <row r="448" ht="15.75" customHeight="1">
      <c r="A448" s="9">
        <v>45509.5069006482</v>
      </c>
      <c r="B448" s="10">
        <v>12.0</v>
      </c>
      <c r="C448" s="10" t="s">
        <v>71</v>
      </c>
      <c r="D448" s="10" t="s">
        <v>1398</v>
      </c>
      <c r="E448" s="12" t="s">
        <v>62</v>
      </c>
      <c r="F448" s="11">
        <v>925776.0</v>
      </c>
      <c r="G448" s="11">
        <v>100783.0</v>
      </c>
      <c r="H448" s="11">
        <v>100834.0</v>
      </c>
      <c r="I448" s="11">
        <v>2798.0</v>
      </c>
      <c r="J448" s="11">
        <v>167.0</v>
      </c>
      <c r="K448" s="11">
        <v>21.0</v>
      </c>
      <c r="L448" s="11">
        <v>15.0</v>
      </c>
      <c r="M448" s="13">
        <f t="shared" ref="M448:O448" si="450">IFERROR(G448/F448,"")</f>
        <v>0.1088632671</v>
      </c>
      <c r="N448" s="13">
        <f t="shared" si="450"/>
        <v>1.000506038</v>
      </c>
      <c r="O448" s="14">
        <f t="shared" si="450"/>
        <v>0.02774857687</v>
      </c>
      <c r="P448" s="13">
        <f t="shared" si="3"/>
        <v>0.001656187397</v>
      </c>
      <c r="Q448" s="13">
        <f t="shared" si="4"/>
        <v>0.0002082630859</v>
      </c>
      <c r="R448" s="13">
        <f t="shared" si="5"/>
        <v>0.000148759347</v>
      </c>
      <c r="S448" s="14">
        <f t="shared" si="6"/>
        <v>1</v>
      </c>
      <c r="T448" s="14">
        <f t="shared" si="7"/>
        <v>0.9999591596</v>
      </c>
      <c r="U448" s="14">
        <f t="shared" si="8"/>
        <v>0.6825873941</v>
      </c>
    </row>
    <row r="449" ht="15.75" customHeight="1">
      <c r="A449" s="9">
        <v>45511.48222125</v>
      </c>
      <c r="B449" s="10">
        <v>11.0</v>
      </c>
      <c r="C449" s="10" t="s">
        <v>80</v>
      </c>
      <c r="D449" s="10" t="s">
        <v>1400</v>
      </c>
      <c r="E449" s="12" t="s">
        <v>62</v>
      </c>
      <c r="F449" s="11">
        <v>429767.0</v>
      </c>
      <c r="G449" s="11">
        <v>45255.0</v>
      </c>
      <c r="H449" s="11">
        <v>45314.0</v>
      </c>
      <c r="I449" s="11">
        <v>2024.0</v>
      </c>
      <c r="J449" s="11">
        <v>159.0</v>
      </c>
      <c r="K449" s="11">
        <v>22.0</v>
      </c>
      <c r="L449" s="11">
        <v>9.0</v>
      </c>
      <c r="M449" s="13">
        <f t="shared" ref="M449:O449" si="451">IFERROR(G449/F449,"")</f>
        <v>0.1053012446</v>
      </c>
      <c r="N449" s="13">
        <f t="shared" si="451"/>
        <v>1.001303723</v>
      </c>
      <c r="O449" s="14">
        <f t="shared" si="451"/>
        <v>0.0446661076</v>
      </c>
      <c r="P449" s="13">
        <f t="shared" si="3"/>
        <v>0.003508849362</v>
      </c>
      <c r="Q449" s="13">
        <f t="shared" si="4"/>
        <v>0.0004855011696</v>
      </c>
      <c r="R449" s="13">
        <f t="shared" si="5"/>
        <v>0.0001986141148</v>
      </c>
      <c r="S449" s="14">
        <f t="shared" si="6"/>
        <v>0.9790415469</v>
      </c>
      <c r="T449" s="14">
        <f t="shared" si="7"/>
        <v>1.00073038</v>
      </c>
      <c r="U449" s="14">
        <f t="shared" si="8"/>
        <v>1.54619985</v>
      </c>
    </row>
    <row r="450" ht="15.75" customHeight="1">
      <c r="A450" s="9">
        <v>45520.5319105787</v>
      </c>
      <c r="B450" s="10">
        <v>12.0</v>
      </c>
      <c r="C450" s="10" t="s">
        <v>60</v>
      </c>
      <c r="D450" s="10" t="s">
        <v>1402</v>
      </c>
      <c r="E450" s="12" t="s">
        <v>62</v>
      </c>
      <c r="F450" s="11">
        <v>785914.0</v>
      </c>
      <c r="G450" s="11">
        <v>106763.0</v>
      </c>
      <c r="H450" s="11">
        <v>106825.0</v>
      </c>
      <c r="I450" s="11">
        <v>7594.0</v>
      </c>
      <c r="J450" s="11">
        <v>373.0</v>
      </c>
      <c r="K450" s="11">
        <v>46.0</v>
      </c>
      <c r="L450" s="11">
        <v>47.0</v>
      </c>
      <c r="M450" s="13">
        <f t="shared" ref="M450:O450" si="452">IFERROR(G450/F450,"")</f>
        <v>0.1358456523</v>
      </c>
      <c r="N450" s="13">
        <f t="shared" si="452"/>
        <v>1.000580726</v>
      </c>
      <c r="O450" s="14">
        <f t="shared" si="452"/>
        <v>0.07108822841</v>
      </c>
      <c r="P450" s="13">
        <f t="shared" si="3"/>
        <v>0.00349169202</v>
      </c>
      <c r="Q450" s="13">
        <f t="shared" si="4"/>
        <v>0.0004306108121</v>
      </c>
      <c r="R450" s="13">
        <f t="shared" si="5"/>
        <v>0.0004399719167</v>
      </c>
      <c r="S450" s="14">
        <f t="shared" si="6"/>
        <v>1.287190209</v>
      </c>
      <c r="T450" s="14">
        <f t="shared" si="7"/>
        <v>0.9998171627</v>
      </c>
      <c r="U450" s="14">
        <f t="shared" si="8"/>
        <v>1.342492082</v>
      </c>
    </row>
    <row r="451" ht="15.75" customHeight="1">
      <c r="A451" s="9">
        <v>45533.4843675116</v>
      </c>
      <c r="B451" s="10">
        <v>11.0</v>
      </c>
      <c r="C451" s="10" t="s">
        <v>84</v>
      </c>
      <c r="D451" s="10" t="s">
        <v>1404</v>
      </c>
      <c r="E451" s="12" t="s">
        <v>62</v>
      </c>
      <c r="F451" s="11">
        <v>414755.0</v>
      </c>
      <c r="G451" s="11">
        <v>61435.0</v>
      </c>
      <c r="H451" s="11">
        <v>61467.0</v>
      </c>
      <c r="I451" s="11">
        <v>4499.0</v>
      </c>
      <c r="J451" s="11">
        <v>204.0</v>
      </c>
      <c r="K451" s="11">
        <v>27.0</v>
      </c>
      <c r="L451" s="11">
        <v>26.0</v>
      </c>
      <c r="M451" s="13">
        <f t="shared" ref="M451:O451" si="453">IFERROR(G451/F451,"")</f>
        <v>0.148123591</v>
      </c>
      <c r="N451" s="13">
        <f t="shared" si="453"/>
        <v>1.000520876</v>
      </c>
      <c r="O451" s="14">
        <f t="shared" si="453"/>
        <v>0.07319374624</v>
      </c>
      <c r="P451" s="13">
        <f t="shared" si="3"/>
        <v>0.003318854019</v>
      </c>
      <c r="Q451" s="13">
        <f t="shared" si="4"/>
        <v>0.0004392600908</v>
      </c>
      <c r="R451" s="13">
        <f t="shared" si="5"/>
        <v>0.0004229911985</v>
      </c>
      <c r="S451" s="14">
        <f t="shared" si="6"/>
        <v>1.40666515</v>
      </c>
      <c r="T451" s="14">
        <f t="shared" si="7"/>
        <v>0.9996208416</v>
      </c>
      <c r="U451" s="14">
        <f t="shared" si="8"/>
        <v>1.245874074</v>
      </c>
    </row>
    <row r="452" ht="15.75" customHeight="1">
      <c r="A452" s="9">
        <v>45562.6272049769</v>
      </c>
      <c r="B452" s="10">
        <v>15.0</v>
      </c>
      <c r="C452" s="10" t="s">
        <v>60</v>
      </c>
      <c r="D452" s="10" t="s">
        <v>1406</v>
      </c>
      <c r="E452" s="12" t="s">
        <v>62</v>
      </c>
      <c r="F452" s="11">
        <v>1226101.0</v>
      </c>
      <c r="G452" s="11">
        <v>170895.0</v>
      </c>
      <c r="H452" s="11">
        <v>170902.0</v>
      </c>
      <c r="I452" s="11">
        <v>7858.0</v>
      </c>
      <c r="J452" s="11">
        <v>300.0</v>
      </c>
      <c r="K452" s="11">
        <v>37.0</v>
      </c>
      <c r="L452" s="11">
        <v>63.0</v>
      </c>
      <c r="M452" s="13">
        <f t="shared" ref="M452:O452" si="454">IFERROR(G452/F452,"")</f>
        <v>0.1393808504</v>
      </c>
      <c r="N452" s="13">
        <f t="shared" si="454"/>
        <v>1.000040961</v>
      </c>
      <c r="O452" s="14">
        <f t="shared" si="454"/>
        <v>0.04597956724</v>
      </c>
      <c r="P452" s="13">
        <f t="shared" si="3"/>
        <v>0.001755391979</v>
      </c>
      <c r="Q452" s="13">
        <f t="shared" si="4"/>
        <v>0.0002164983441</v>
      </c>
      <c r="R452" s="13">
        <f t="shared" si="5"/>
        <v>0.0003686323156</v>
      </c>
      <c r="S452" s="14">
        <f t="shared" si="6"/>
        <v>1.455511221</v>
      </c>
      <c r="T452" s="14">
        <f t="shared" si="7"/>
        <v>0.9994605486</v>
      </c>
      <c r="U452" s="14">
        <f t="shared" si="8"/>
        <v>0.6264740417</v>
      </c>
    </row>
    <row r="453" ht="15.75" customHeight="1">
      <c r="A453" s="9">
        <v>45567.4664424306</v>
      </c>
      <c r="B453" s="10">
        <v>11.0</v>
      </c>
      <c r="C453" s="10" t="s">
        <v>80</v>
      </c>
      <c r="D453" s="10" t="s">
        <v>1408</v>
      </c>
      <c r="E453" s="12" t="s">
        <v>62</v>
      </c>
      <c r="F453" s="11">
        <v>758663.0</v>
      </c>
      <c r="G453" s="11">
        <v>70858.0</v>
      </c>
      <c r="H453" s="11">
        <v>70881.0</v>
      </c>
      <c r="I453" s="11">
        <v>1895.0</v>
      </c>
      <c r="J453" s="11">
        <v>118.0</v>
      </c>
      <c r="K453" s="11">
        <v>20.0</v>
      </c>
      <c r="L453" s="11">
        <v>13.0</v>
      </c>
      <c r="M453" s="13">
        <f t="shared" ref="M453:O453" si="455">IFERROR(G453/F453,"")</f>
        <v>0.09339851818</v>
      </c>
      <c r="N453" s="13">
        <f t="shared" si="455"/>
        <v>1.000324593</v>
      </c>
      <c r="O453" s="14">
        <f t="shared" si="455"/>
        <v>0.02673495013</v>
      </c>
      <c r="P453" s="13">
        <f t="shared" si="3"/>
        <v>0.001664762066</v>
      </c>
      <c r="Q453" s="13">
        <f t="shared" si="4"/>
        <v>0.000282163062</v>
      </c>
      <c r="R453" s="13">
        <f t="shared" si="5"/>
        <v>0.0001834059903</v>
      </c>
      <c r="S453" s="14">
        <f t="shared" si="6"/>
        <v>0.9778294023</v>
      </c>
      <c r="T453" s="14">
        <f t="shared" si="7"/>
        <v>0.9996643008</v>
      </c>
      <c r="U453" s="14">
        <f t="shared" si="8"/>
        <v>0.8162103093</v>
      </c>
    </row>
    <row r="454" ht="15.75" customHeight="1">
      <c r="A454" s="9">
        <v>45580.5200269329</v>
      </c>
      <c r="B454" s="10">
        <v>12.0</v>
      </c>
      <c r="C454" s="10" t="s">
        <v>59</v>
      </c>
      <c r="D454" s="10" t="s">
        <v>1410</v>
      </c>
      <c r="E454" s="12" t="s">
        <v>62</v>
      </c>
      <c r="F454" s="11">
        <v>105663.0</v>
      </c>
      <c r="G454" s="11">
        <v>8714.0</v>
      </c>
      <c r="H454" s="11">
        <v>8681.0</v>
      </c>
      <c r="I454" s="11">
        <v>911.0</v>
      </c>
      <c r="J454" s="11">
        <v>67.0</v>
      </c>
      <c r="K454" s="11">
        <v>3.0</v>
      </c>
      <c r="L454" s="11">
        <v>8.0</v>
      </c>
      <c r="M454" s="13">
        <f t="shared" ref="M454:O454" si="456">IFERROR(G454/F454,"")</f>
        <v>0.0824697387</v>
      </c>
      <c r="N454" s="13">
        <f t="shared" si="456"/>
        <v>0.9962129906</v>
      </c>
      <c r="O454" s="14">
        <f t="shared" si="456"/>
        <v>0.104941827</v>
      </c>
      <c r="P454" s="13">
        <f t="shared" si="3"/>
        <v>0.007718004838</v>
      </c>
      <c r="Q454" s="13">
        <f t="shared" si="4"/>
        <v>0.0003455823062</v>
      </c>
      <c r="R454" s="13">
        <f t="shared" si="5"/>
        <v>0.0009215528165</v>
      </c>
      <c r="S454" s="14">
        <f t="shared" si="6"/>
        <v>0.9004824588</v>
      </c>
      <c r="T454" s="14">
        <f t="shared" si="7"/>
        <v>0.9954655115</v>
      </c>
      <c r="U454" s="14">
        <f t="shared" si="8"/>
        <v>1</v>
      </c>
    </row>
    <row r="455" ht="15.75" customHeight="1">
      <c r="A455" s="9">
        <v>45586.3824228935</v>
      </c>
      <c r="B455" s="10">
        <v>9.0</v>
      </c>
      <c r="C455" s="10" t="s">
        <v>71</v>
      </c>
      <c r="D455" s="10" t="s">
        <v>1412</v>
      </c>
      <c r="E455" s="12" t="s">
        <v>62</v>
      </c>
      <c r="F455" s="11">
        <v>94994.0</v>
      </c>
      <c r="G455" s="11">
        <v>9440.0</v>
      </c>
      <c r="H455" s="11">
        <v>9458.0</v>
      </c>
      <c r="I455" s="11">
        <v>1333.0</v>
      </c>
      <c r="J455" s="11">
        <v>86.0</v>
      </c>
      <c r="K455" s="11">
        <v>15.0</v>
      </c>
      <c r="L455" s="11">
        <v>17.0</v>
      </c>
      <c r="M455" s="13">
        <f t="shared" ref="M455:O455" si="457">IFERROR(G455/F455,"")</f>
        <v>0.09937469735</v>
      </c>
      <c r="N455" s="13">
        <f t="shared" si="457"/>
        <v>1.00190678</v>
      </c>
      <c r="O455" s="14">
        <f t="shared" si="457"/>
        <v>0.1409388877</v>
      </c>
      <c r="P455" s="13">
        <f t="shared" si="3"/>
        <v>0.009092831465</v>
      </c>
      <c r="Q455" s="13">
        <f t="shared" si="4"/>
        <v>0.001585958977</v>
      </c>
      <c r="R455" s="13">
        <f t="shared" si="5"/>
        <v>0.001797420173</v>
      </c>
      <c r="S455" s="14">
        <f t="shared" si="6"/>
        <v>1.085066756</v>
      </c>
      <c r="T455" s="14">
        <f t="shared" si="7"/>
        <v>1.001155028</v>
      </c>
      <c r="U455" s="14">
        <f t="shared" si="8"/>
        <v>4.589236625</v>
      </c>
    </row>
    <row r="456" ht="15.75" customHeight="1">
      <c r="A456" s="9">
        <v>45589.531070787</v>
      </c>
      <c r="B456" s="10">
        <v>12.0</v>
      </c>
      <c r="C456" s="10" t="s">
        <v>84</v>
      </c>
      <c r="D456" s="10" t="s">
        <v>1414</v>
      </c>
      <c r="E456" s="12" t="s">
        <v>62</v>
      </c>
      <c r="F456" s="11">
        <v>514089.0</v>
      </c>
      <c r="G456" s="11">
        <v>58215.0</v>
      </c>
      <c r="H456" s="11">
        <v>58270.0</v>
      </c>
      <c r="I456" s="11">
        <v>2866.0</v>
      </c>
      <c r="J456" s="11">
        <v>159.0</v>
      </c>
      <c r="K456" s="11">
        <v>22.0</v>
      </c>
      <c r="L456" s="11">
        <v>19.0</v>
      </c>
      <c r="M456" s="13">
        <f t="shared" ref="M456:O456" si="458">IFERROR(G456/F456,"")</f>
        <v>0.1132391473</v>
      </c>
      <c r="N456" s="13">
        <f t="shared" si="458"/>
        <v>1.000944774</v>
      </c>
      <c r="O456" s="14">
        <f t="shared" si="458"/>
        <v>0.04918482924</v>
      </c>
      <c r="P456" s="13">
        <f t="shared" si="3"/>
        <v>0.002728676849</v>
      </c>
      <c r="Q456" s="13">
        <f t="shared" si="4"/>
        <v>0.0003775527716</v>
      </c>
      <c r="R456" s="13">
        <f t="shared" si="5"/>
        <v>0.0003260683027</v>
      </c>
      <c r="S456" s="14">
        <f t="shared" si="6"/>
        <v>1.231784649</v>
      </c>
      <c r="T456" s="14">
        <f t="shared" si="7"/>
        <v>1.000193744</v>
      </c>
      <c r="U456" s="14">
        <f t="shared" si="8"/>
        <v>1.091774743</v>
      </c>
    </row>
    <row r="457" ht="15.75" customHeight="1">
      <c r="A457" s="9">
        <v>45594.448149838</v>
      </c>
      <c r="B457" s="10">
        <v>10.0</v>
      </c>
      <c r="C457" s="10" t="s">
        <v>59</v>
      </c>
      <c r="D457" s="10" t="s">
        <v>1416</v>
      </c>
      <c r="E457" s="12" t="s">
        <v>62</v>
      </c>
      <c r="F457" s="11">
        <v>192614.0</v>
      </c>
      <c r="G457" s="11">
        <v>22076.0</v>
      </c>
      <c r="H457" s="11">
        <v>22122.0</v>
      </c>
      <c r="I457" s="11">
        <v>1007.0</v>
      </c>
      <c r="J457" s="11">
        <v>97.0</v>
      </c>
      <c r="K457" s="11">
        <v>6.0</v>
      </c>
      <c r="L457" s="11">
        <v>4.0</v>
      </c>
      <c r="M457" s="13">
        <f t="shared" ref="M457:O457" si="459">IFERROR(G457/F457,"")</f>
        <v>0.114612645</v>
      </c>
      <c r="N457" s="13">
        <f t="shared" si="459"/>
        <v>1.002083711</v>
      </c>
      <c r="O457" s="14">
        <f t="shared" si="459"/>
        <v>0.04552029654</v>
      </c>
      <c r="P457" s="13">
        <f t="shared" si="3"/>
        <v>0.004384775337</v>
      </c>
      <c r="Q457" s="13">
        <f t="shared" si="4"/>
        <v>0.0002712232167</v>
      </c>
      <c r="R457" s="13">
        <f t="shared" si="5"/>
        <v>0.0001808154778</v>
      </c>
      <c r="S457" s="14">
        <f t="shared" si="6"/>
        <v>1.236852821</v>
      </c>
      <c r="T457" s="14">
        <f t="shared" si="7"/>
        <v>1.001259155</v>
      </c>
      <c r="U457" s="14">
        <f t="shared" si="8"/>
        <v>0.7613367952</v>
      </c>
    </row>
    <row r="458" ht="15.75" customHeight="1">
      <c r="A458" s="9">
        <v>45601.5255693519</v>
      </c>
      <c r="B458" s="10">
        <v>12.0</v>
      </c>
      <c r="C458" s="10" t="s">
        <v>59</v>
      </c>
      <c r="D458" s="10" t="s">
        <v>1419</v>
      </c>
      <c r="E458" s="12" t="s">
        <v>62</v>
      </c>
      <c r="F458" s="11">
        <v>682748.0</v>
      </c>
      <c r="G458" s="11">
        <v>54908.0</v>
      </c>
      <c r="H458" s="11">
        <v>54955.0</v>
      </c>
      <c r="I458" s="11">
        <v>2147.0</v>
      </c>
      <c r="J458" s="11">
        <v>120.0</v>
      </c>
      <c r="K458" s="11">
        <v>52.0</v>
      </c>
      <c r="L458" s="11">
        <v>11.0</v>
      </c>
      <c r="M458" s="13">
        <f t="shared" ref="M458:O458" si="460">IFERROR(G458/F458,"")</f>
        <v>0.08042205909</v>
      </c>
      <c r="N458" s="13">
        <f t="shared" si="460"/>
        <v>1.000855977</v>
      </c>
      <c r="O458" s="14">
        <f t="shared" si="460"/>
        <v>0.03906832863</v>
      </c>
      <c r="P458" s="13">
        <f t="shared" si="3"/>
        <v>0.002183604768</v>
      </c>
      <c r="Q458" s="13">
        <f t="shared" si="4"/>
        <v>0.0009462287326</v>
      </c>
      <c r="R458" s="13">
        <f t="shared" si="5"/>
        <v>0.0002001637704</v>
      </c>
      <c r="S458" s="14">
        <f t="shared" si="6"/>
        <v>0.8678819924</v>
      </c>
      <c r="T458" s="14">
        <f t="shared" si="7"/>
        <v>1.000084939</v>
      </c>
      <c r="U458" s="14">
        <f t="shared" si="8"/>
        <v>2.656110194</v>
      </c>
    </row>
    <row r="459" ht="15.75" customHeight="1">
      <c r="A459" s="9">
        <v>45603.485003044</v>
      </c>
      <c r="B459" s="10">
        <v>11.0</v>
      </c>
      <c r="C459" s="10" t="s">
        <v>84</v>
      </c>
      <c r="D459" s="10" t="s">
        <v>1421</v>
      </c>
      <c r="E459" s="12" t="s">
        <v>62</v>
      </c>
      <c r="F459" s="11">
        <v>342865.0</v>
      </c>
      <c r="G459" s="11">
        <v>19317.0</v>
      </c>
      <c r="H459" s="11">
        <v>19345.0</v>
      </c>
      <c r="I459" s="11">
        <v>677.0</v>
      </c>
      <c r="J459" s="11">
        <v>75.0</v>
      </c>
      <c r="K459" s="11">
        <v>11.0</v>
      </c>
      <c r="L459" s="11">
        <v>9.0</v>
      </c>
      <c r="M459" s="13">
        <f t="shared" ref="M459:O459" si="461">IFERROR(G459/F459,"")</f>
        <v>0.05633995888</v>
      </c>
      <c r="N459" s="13">
        <f t="shared" si="461"/>
        <v>1.0014495</v>
      </c>
      <c r="O459" s="14">
        <f t="shared" si="461"/>
        <v>0.03499612303</v>
      </c>
      <c r="P459" s="13">
        <f t="shared" si="3"/>
        <v>0.003876970793</v>
      </c>
      <c r="Q459" s="13">
        <f t="shared" si="4"/>
        <v>0.000568622383</v>
      </c>
      <c r="R459" s="13">
        <f t="shared" si="5"/>
        <v>0.0004652364952</v>
      </c>
      <c r="S459" s="14">
        <f t="shared" si="6"/>
        <v>0.6032211214</v>
      </c>
      <c r="T459" s="14">
        <f t="shared" si="7"/>
        <v>1.000657919</v>
      </c>
      <c r="U459" s="14">
        <f t="shared" si="8"/>
        <v>1.550746963</v>
      </c>
    </row>
    <row r="460" ht="15.75" customHeight="1">
      <c r="A460" s="9">
        <v>45631.6176474421</v>
      </c>
      <c r="B460" s="10">
        <v>14.0</v>
      </c>
      <c r="C460" s="10" t="s">
        <v>84</v>
      </c>
      <c r="D460" s="10" t="s">
        <v>1423</v>
      </c>
      <c r="E460" s="12" t="s">
        <v>62</v>
      </c>
      <c r="F460" s="11">
        <v>591494.0</v>
      </c>
      <c r="G460" s="11">
        <v>40452.0</v>
      </c>
      <c r="H460" s="11">
        <v>40484.0</v>
      </c>
      <c r="I460" s="11">
        <v>1689.0</v>
      </c>
      <c r="J460" s="11">
        <v>130.0</v>
      </c>
      <c r="K460" s="11">
        <v>14.0</v>
      </c>
      <c r="L460" s="11">
        <v>10.0</v>
      </c>
      <c r="M460" s="13">
        <f t="shared" ref="M460:O460" si="462">IFERROR(G460/F460,"")</f>
        <v>0.06838953565</v>
      </c>
      <c r="N460" s="13">
        <f t="shared" si="462"/>
        <v>1.000791061</v>
      </c>
      <c r="O460" s="14">
        <f t="shared" si="462"/>
        <v>0.04172018575</v>
      </c>
      <c r="P460" s="13">
        <f t="shared" si="3"/>
        <v>0.003211145144</v>
      </c>
      <c r="Q460" s="13">
        <f t="shared" si="4"/>
        <v>0.0003458156309</v>
      </c>
      <c r="R460" s="13">
        <f t="shared" si="5"/>
        <v>0.0002470111649</v>
      </c>
      <c r="S460" s="14">
        <f t="shared" si="6"/>
        <v>0.7554765527</v>
      </c>
      <c r="T460" s="14">
        <f t="shared" si="7"/>
        <v>0.9998464324</v>
      </c>
      <c r="U460" s="14">
        <f t="shared" si="8"/>
        <v>1.214833844</v>
      </c>
    </row>
    <row r="461" ht="15.75" customHeight="1">
      <c r="A461" s="9">
        <v>45633.4917862732</v>
      </c>
      <c r="B461" s="10">
        <v>11.0</v>
      </c>
      <c r="C461" s="10" t="s">
        <v>69</v>
      </c>
      <c r="D461" s="10" t="s">
        <v>1425</v>
      </c>
      <c r="E461" s="12" t="s">
        <v>62</v>
      </c>
      <c r="F461" s="11">
        <v>203412.0</v>
      </c>
      <c r="G461" s="11">
        <v>13875.0</v>
      </c>
      <c r="H461" s="11">
        <v>13636.0</v>
      </c>
      <c r="I461" s="11">
        <v>1014.0</v>
      </c>
      <c r="J461" s="11">
        <v>72.0</v>
      </c>
      <c r="K461" s="11">
        <v>5.0</v>
      </c>
      <c r="L461" s="11">
        <v>5.0</v>
      </c>
      <c r="M461" s="13">
        <f t="shared" ref="M461:O461" si="463">IFERROR(G461/F461,"")</f>
        <v>0.06821131497</v>
      </c>
      <c r="N461" s="13">
        <f t="shared" si="463"/>
        <v>0.9827747748</v>
      </c>
      <c r="O461" s="14">
        <f t="shared" si="463"/>
        <v>0.07436198299</v>
      </c>
      <c r="P461" s="13">
        <f t="shared" si="3"/>
        <v>0.005280140804</v>
      </c>
      <c r="Q461" s="13">
        <f t="shared" si="4"/>
        <v>0.0003666764447</v>
      </c>
      <c r="R461" s="13">
        <f t="shared" si="5"/>
        <v>0.0003666764447</v>
      </c>
      <c r="S461" s="14">
        <f t="shared" si="6"/>
        <v>0.7477015726</v>
      </c>
      <c r="T461" s="14">
        <f t="shared" si="7"/>
        <v>0.9817017117</v>
      </c>
      <c r="U461" s="14">
        <f t="shared" si="8"/>
        <v>1.225458827</v>
      </c>
    </row>
    <row r="462" ht="15.75" customHeight="1">
      <c r="A462" s="9">
        <v>45636.4222082639</v>
      </c>
      <c r="B462" s="10">
        <v>10.0</v>
      </c>
      <c r="C462" s="10" t="s">
        <v>59</v>
      </c>
      <c r="D462" s="10" t="s">
        <v>1427</v>
      </c>
      <c r="E462" s="12" t="s">
        <v>62</v>
      </c>
      <c r="F462" s="11">
        <v>357537.0</v>
      </c>
      <c r="G462" s="11">
        <v>28558.0</v>
      </c>
      <c r="H462" s="11">
        <v>28566.0</v>
      </c>
      <c r="I462" s="11">
        <v>1126.0</v>
      </c>
      <c r="J462" s="11">
        <v>91.0</v>
      </c>
      <c r="K462" s="11">
        <v>3.0</v>
      </c>
      <c r="L462" s="11">
        <v>6.0</v>
      </c>
      <c r="M462" s="13">
        <f t="shared" ref="M462:O462" si="464">IFERROR(G462/F462,"")</f>
        <v>0.07987425078</v>
      </c>
      <c r="N462" s="13">
        <f t="shared" si="464"/>
        <v>1.000280132</v>
      </c>
      <c r="O462" s="14">
        <f t="shared" si="464"/>
        <v>0.03941748932</v>
      </c>
      <c r="P462" s="13">
        <f t="shared" si="3"/>
        <v>0.003185605265</v>
      </c>
      <c r="Q462" s="13">
        <f t="shared" si="4"/>
        <v>0.0001050199538</v>
      </c>
      <c r="R462" s="13">
        <f t="shared" si="5"/>
        <v>0.0002100399076</v>
      </c>
      <c r="S462" s="14">
        <f t="shared" si="6"/>
        <v>0.8755453981</v>
      </c>
      <c r="T462" s="14">
        <f t="shared" si="7"/>
        <v>0.999187955</v>
      </c>
      <c r="U462" s="14">
        <f t="shared" si="8"/>
        <v>0.3509841747</v>
      </c>
    </row>
    <row r="463" ht="15.75" customHeight="1">
      <c r="A463" s="9">
        <v>45638.5103050347</v>
      </c>
      <c r="B463" s="10">
        <v>12.0</v>
      </c>
      <c r="C463" s="10" t="s">
        <v>84</v>
      </c>
      <c r="D463" s="10" t="s">
        <v>1361</v>
      </c>
      <c r="E463" s="12" t="s">
        <v>62</v>
      </c>
      <c r="F463" s="11">
        <v>1441500.0</v>
      </c>
      <c r="G463" s="11">
        <v>147525.0</v>
      </c>
      <c r="H463" s="11">
        <v>147544.0</v>
      </c>
      <c r="I463" s="11">
        <v>8481.0</v>
      </c>
      <c r="J463" s="11">
        <v>277.0</v>
      </c>
      <c r="K463" s="11">
        <v>42.0</v>
      </c>
      <c r="L463" s="11">
        <v>31.0</v>
      </c>
      <c r="M463" s="13">
        <f t="shared" ref="M463:O463" si="465">IFERROR(G463/F463,"")</f>
        <v>0.1023413111</v>
      </c>
      <c r="N463" s="13">
        <f t="shared" si="465"/>
        <v>1.000128792</v>
      </c>
      <c r="O463" s="14">
        <f t="shared" si="465"/>
        <v>0.05748115816</v>
      </c>
      <c r="P463" s="13">
        <f t="shared" si="3"/>
        <v>0.001877406062</v>
      </c>
      <c r="Q463" s="13">
        <f t="shared" si="4"/>
        <v>0.0002846608469</v>
      </c>
      <c r="R463" s="13">
        <f t="shared" si="5"/>
        <v>0.0002101068156</v>
      </c>
      <c r="S463" s="14">
        <f t="shared" si="6"/>
        <v>1.130530573</v>
      </c>
      <c r="T463" s="14">
        <f t="shared" si="7"/>
        <v>0.9988888163</v>
      </c>
      <c r="U463" s="14">
        <f t="shared" si="8"/>
        <v>1</v>
      </c>
    </row>
    <row r="464" ht="15.75" customHeight="1">
      <c r="A464" s="9">
        <v>45640.5396009954</v>
      </c>
      <c r="B464" s="10">
        <v>12.0</v>
      </c>
      <c r="C464" s="10" t="s">
        <v>69</v>
      </c>
      <c r="D464" s="10" t="s">
        <v>1430</v>
      </c>
      <c r="E464" s="12" t="s">
        <v>62</v>
      </c>
      <c r="F464" s="11">
        <v>1475949.0</v>
      </c>
      <c r="G464" s="11">
        <v>140616.0</v>
      </c>
      <c r="H464" s="11">
        <v>140646.0</v>
      </c>
      <c r="I464" s="11">
        <v>7492.0</v>
      </c>
      <c r="J464" s="11">
        <v>300.0</v>
      </c>
      <c r="K464" s="11">
        <v>72.0</v>
      </c>
      <c r="L464" s="11">
        <v>38.0</v>
      </c>
      <c r="M464" s="13">
        <f t="shared" ref="M464:O464" si="466">IFERROR(G464/F464,"")</f>
        <v>0.09527158459</v>
      </c>
      <c r="N464" s="13">
        <f t="shared" si="466"/>
        <v>1.000213347</v>
      </c>
      <c r="O464" s="14">
        <f t="shared" si="466"/>
        <v>0.05326848968</v>
      </c>
      <c r="P464" s="13">
        <f t="shared" si="3"/>
        <v>0.002133014803</v>
      </c>
      <c r="Q464" s="13">
        <f t="shared" si="4"/>
        <v>0.0005119235527</v>
      </c>
      <c r="R464" s="13">
        <f t="shared" si="5"/>
        <v>0.0002701818751</v>
      </c>
      <c r="S464" s="14">
        <f t="shared" si="6"/>
        <v>1.052433645</v>
      </c>
      <c r="T464" s="14">
        <f t="shared" si="7"/>
        <v>0.9989732667</v>
      </c>
      <c r="U464" s="14">
        <f t="shared" si="8"/>
        <v>1.798363063</v>
      </c>
    </row>
    <row r="465" ht="15.75" customHeight="1">
      <c r="A465" s="9">
        <v>45643.5234095486</v>
      </c>
      <c r="B465" s="10">
        <v>12.0</v>
      </c>
      <c r="C465" s="10" t="s">
        <v>59</v>
      </c>
      <c r="D465" s="10" t="s">
        <v>1432</v>
      </c>
      <c r="E465" s="12" t="s">
        <v>62</v>
      </c>
      <c r="F465" s="11">
        <v>1111070.0</v>
      </c>
      <c r="G465" s="11">
        <v>81737.0</v>
      </c>
      <c r="H465" s="11">
        <v>81794.0</v>
      </c>
      <c r="I465" s="11">
        <v>3188.0</v>
      </c>
      <c r="J465" s="11">
        <v>226.0</v>
      </c>
      <c r="K465" s="11">
        <v>17.0</v>
      </c>
      <c r="L465" s="11">
        <v>24.0</v>
      </c>
      <c r="M465" s="13">
        <f t="shared" ref="M465:O465" si="467">IFERROR(G465/F465,"")</f>
        <v>0.07356602194</v>
      </c>
      <c r="N465" s="13">
        <f t="shared" si="467"/>
        <v>1.000697359</v>
      </c>
      <c r="O465" s="14">
        <f t="shared" si="467"/>
        <v>0.03897596401</v>
      </c>
      <c r="P465" s="13">
        <f t="shared" si="3"/>
        <v>0.002763038854</v>
      </c>
      <c r="Q465" s="13">
        <f t="shared" si="4"/>
        <v>0.0002078392058</v>
      </c>
      <c r="R465" s="13">
        <f t="shared" si="5"/>
        <v>0.0002934200553</v>
      </c>
      <c r="S465" s="14">
        <f t="shared" si="6"/>
        <v>0.8126594826</v>
      </c>
      <c r="T465" s="14">
        <f t="shared" si="7"/>
        <v>0.9994566782</v>
      </c>
      <c r="U465" s="14">
        <f t="shared" si="8"/>
        <v>0.7301292329</v>
      </c>
    </row>
    <row r="466" ht="15.75" customHeight="1">
      <c r="A466" s="9">
        <v>45645.4199998958</v>
      </c>
      <c r="B466" s="10">
        <v>10.0</v>
      </c>
      <c r="C466" s="10" t="s">
        <v>84</v>
      </c>
      <c r="D466" s="10" t="s">
        <v>1361</v>
      </c>
      <c r="E466" s="12" t="s">
        <v>62</v>
      </c>
      <c r="F466" s="11">
        <v>857008.0</v>
      </c>
      <c r="G466" s="11">
        <v>65740.0</v>
      </c>
      <c r="H466" s="11">
        <v>65781.0</v>
      </c>
      <c r="I466" s="11">
        <v>2084.0</v>
      </c>
      <c r="J466" s="11">
        <v>247.0</v>
      </c>
      <c r="K466" s="11">
        <v>12.0</v>
      </c>
      <c r="L466" s="11">
        <v>15.0</v>
      </c>
      <c r="M466" s="13">
        <f t="shared" ref="M466:O466" si="468">IFERROR(G466/F466,"")</f>
        <v>0.07670873551</v>
      </c>
      <c r="N466" s="13">
        <f t="shared" si="468"/>
        <v>1.000623669</v>
      </c>
      <c r="O466" s="14">
        <f t="shared" si="468"/>
        <v>0.0316808805</v>
      </c>
      <c r="P466" s="13">
        <f t="shared" si="3"/>
        <v>0.003754883629</v>
      </c>
      <c r="Q466" s="13">
        <f t="shared" si="4"/>
        <v>0.0001824234961</v>
      </c>
      <c r="R466" s="13">
        <f t="shared" si="5"/>
        <v>0.0002280293702</v>
      </c>
      <c r="S466" s="14">
        <f t="shared" si="6"/>
        <v>0.8473759986</v>
      </c>
      <c r="T466" s="14">
        <f t="shared" si="7"/>
        <v>0.99938308</v>
      </c>
      <c r="U466" s="14">
        <f t="shared" si="8"/>
        <v>0.6408450551</v>
      </c>
    </row>
    <row r="467" ht="15.75" customHeight="1">
      <c r="A467" s="9">
        <v>45647.4730607292</v>
      </c>
      <c r="B467" s="10">
        <v>11.0</v>
      </c>
      <c r="C467" s="10" t="s">
        <v>69</v>
      </c>
      <c r="D467" s="10" t="s">
        <v>1435</v>
      </c>
      <c r="E467" s="12" t="s">
        <v>62</v>
      </c>
      <c r="F467" s="11">
        <v>855133.0</v>
      </c>
      <c r="G467" s="11">
        <v>74754.0</v>
      </c>
      <c r="H467" s="11">
        <v>74786.0</v>
      </c>
      <c r="I467" s="11">
        <v>2651.0</v>
      </c>
      <c r="J467" s="11">
        <v>228.0</v>
      </c>
      <c r="K467" s="11">
        <v>14.0</v>
      </c>
      <c r="L467" s="11">
        <v>27.0</v>
      </c>
      <c r="M467" s="13">
        <f t="shared" ref="M467:O467" si="469">IFERROR(G467/F467,"")</f>
        <v>0.08741798059</v>
      </c>
      <c r="N467" s="13">
        <f t="shared" si="469"/>
        <v>1.000428071</v>
      </c>
      <c r="O467" s="14">
        <f t="shared" si="469"/>
        <v>0.03544781109</v>
      </c>
      <c r="P467" s="13">
        <f t="shared" si="3"/>
        <v>0.003048698954</v>
      </c>
      <c r="Q467" s="13">
        <f t="shared" si="4"/>
        <v>0.000187200813</v>
      </c>
      <c r="R467" s="13">
        <f t="shared" si="5"/>
        <v>0.0003610301393</v>
      </c>
      <c r="S467" s="14">
        <f t="shared" si="6"/>
        <v>0.9656774826</v>
      </c>
      <c r="T467" s="14">
        <f t="shared" si="7"/>
        <v>0.9991877242</v>
      </c>
      <c r="U467" s="14">
        <f t="shared" si="8"/>
        <v>0.6576275417</v>
      </c>
    </row>
    <row r="468" ht="15.75" customHeight="1">
      <c r="A468" s="9">
        <v>45650.4630031482</v>
      </c>
      <c r="B468" s="10">
        <v>11.0</v>
      </c>
      <c r="C468" s="10" t="s">
        <v>59</v>
      </c>
      <c r="D468" s="10" t="s">
        <v>1438</v>
      </c>
      <c r="E468" s="12" t="s">
        <v>62</v>
      </c>
      <c r="F468" s="11">
        <v>565715.0</v>
      </c>
      <c r="G468" s="11">
        <v>37393.0</v>
      </c>
      <c r="H468" s="11">
        <v>37491.0</v>
      </c>
      <c r="I468" s="11">
        <v>513.0</v>
      </c>
      <c r="J468" s="11">
        <v>58.0</v>
      </c>
      <c r="K468" s="11">
        <v>18.0</v>
      </c>
      <c r="L468" s="11">
        <v>11.0</v>
      </c>
      <c r="M468" s="13">
        <f t="shared" ref="M468:O468" si="470">IFERROR(G468/F468,"")</f>
        <v>0.06609865392</v>
      </c>
      <c r="N468" s="13">
        <f t="shared" si="470"/>
        <v>1.002620811</v>
      </c>
      <c r="O468" s="14">
        <f t="shared" si="470"/>
        <v>0.01368328399</v>
      </c>
      <c r="P468" s="13">
        <f t="shared" si="3"/>
        <v>0.001547037956</v>
      </c>
      <c r="Q468" s="13">
        <f t="shared" si="4"/>
        <v>0.0004801152277</v>
      </c>
      <c r="R468" s="13">
        <f t="shared" si="5"/>
        <v>0.0002934037502</v>
      </c>
      <c r="S468" s="14">
        <f t="shared" si="6"/>
        <v>0.7301699408</v>
      </c>
      <c r="T468" s="14">
        <f t="shared" si="7"/>
        <v>1.001377746</v>
      </c>
      <c r="U468" s="14">
        <f t="shared" si="8"/>
        <v>1.686621932</v>
      </c>
    </row>
    <row r="469" ht="15.75" customHeight="1">
      <c r="A469" s="9">
        <v>45652.6567647222</v>
      </c>
      <c r="B469" s="10">
        <v>15.0</v>
      </c>
      <c r="C469" s="10" t="s">
        <v>84</v>
      </c>
      <c r="D469" s="10" t="s">
        <v>1440</v>
      </c>
      <c r="E469" s="12" t="s">
        <v>62</v>
      </c>
      <c r="F469" s="11">
        <v>40540.0</v>
      </c>
      <c r="G469" s="11">
        <v>7500.0</v>
      </c>
      <c r="H469" s="11">
        <v>7528.0</v>
      </c>
      <c r="I469" s="11">
        <v>851.0</v>
      </c>
      <c r="J469" s="11">
        <v>95.0</v>
      </c>
      <c r="K469" s="11">
        <v>4.0</v>
      </c>
      <c r="L469" s="11">
        <v>9.0</v>
      </c>
      <c r="M469" s="13">
        <f t="shared" ref="M469:O469" si="471">IFERROR(G469/F469,"")</f>
        <v>0.1850024667</v>
      </c>
      <c r="N469" s="13">
        <f t="shared" si="471"/>
        <v>1.003733333</v>
      </c>
      <c r="O469" s="14">
        <f t="shared" si="471"/>
        <v>0.1130446334</v>
      </c>
      <c r="P469" s="13">
        <f t="shared" si="3"/>
        <v>0.01261955367</v>
      </c>
      <c r="Q469" s="13">
        <f t="shared" si="4"/>
        <v>0.0005313496281</v>
      </c>
      <c r="R469" s="13">
        <f t="shared" si="5"/>
        <v>0.001195536663</v>
      </c>
      <c r="S469" s="14">
        <f t="shared" si="6"/>
        <v>2.070972649</v>
      </c>
      <c r="T469" s="14">
        <f t="shared" si="7"/>
        <v>1.002438403</v>
      </c>
      <c r="U469" s="14">
        <f t="shared" si="8"/>
        <v>1.874831388</v>
      </c>
    </row>
    <row r="470" ht="15.75" customHeight="1">
      <c r="A470" s="9">
        <v>45654.3749952662</v>
      </c>
      <c r="B470" s="10">
        <v>8.0</v>
      </c>
      <c r="C470" s="10" t="s">
        <v>69</v>
      </c>
      <c r="D470" s="10" t="s">
        <v>1442</v>
      </c>
      <c r="E470" s="12" t="s">
        <v>62</v>
      </c>
      <c r="F470" s="11">
        <v>831055.0</v>
      </c>
      <c r="G470" s="11">
        <v>73247.0</v>
      </c>
      <c r="H470" s="11">
        <v>73302.0</v>
      </c>
      <c r="I470" s="11">
        <v>2828.0</v>
      </c>
      <c r="J470" s="11">
        <v>188.0</v>
      </c>
      <c r="K470" s="11">
        <v>23.0</v>
      </c>
      <c r="L470" s="11">
        <v>26.0</v>
      </c>
      <c r="M470" s="13">
        <f t="shared" ref="M470:O470" si="472">IFERROR(G470/F470,"")</f>
        <v>0.08813736756</v>
      </c>
      <c r="N470" s="13">
        <f t="shared" si="472"/>
        <v>1.000750884</v>
      </c>
      <c r="O470" s="14">
        <f t="shared" si="472"/>
        <v>0.0385801206</v>
      </c>
      <c r="P470" s="13">
        <f t="shared" si="3"/>
        <v>0.002564732204</v>
      </c>
      <c r="Q470" s="13">
        <f t="shared" si="4"/>
        <v>0.0003137704292</v>
      </c>
      <c r="R470" s="13">
        <f t="shared" si="5"/>
        <v>0.0003546970069</v>
      </c>
      <c r="S470" s="14">
        <f t="shared" si="6"/>
        <v>0.9866359126</v>
      </c>
      <c r="T470" s="14">
        <f t="shared" si="7"/>
        <v>0.9994598018</v>
      </c>
      <c r="U470" s="14">
        <f t="shared" si="8"/>
        <v>1.107117834</v>
      </c>
    </row>
    <row r="471" ht="15.75" customHeight="1">
      <c r="A471" s="9">
        <v>45657.3750928357</v>
      </c>
      <c r="B471" s="10">
        <v>9.0</v>
      </c>
      <c r="C471" s="10" t="s">
        <v>59</v>
      </c>
      <c r="D471" s="10" t="s">
        <v>1444</v>
      </c>
      <c r="E471" s="12" t="s">
        <v>62</v>
      </c>
      <c r="F471" s="11">
        <v>532689.0</v>
      </c>
      <c r="G471" s="11">
        <v>41042.0</v>
      </c>
      <c r="H471" s="11">
        <v>41106.0</v>
      </c>
      <c r="I471" s="11">
        <v>290.0</v>
      </c>
      <c r="J471" s="11">
        <v>47.0</v>
      </c>
      <c r="K471" s="11">
        <v>3.0</v>
      </c>
      <c r="L471" s="11">
        <v>2.0</v>
      </c>
      <c r="M471" s="13">
        <f t="shared" ref="M471:O471" si="473">IFERROR(G471/F471,"")</f>
        <v>0.0770468322</v>
      </c>
      <c r="N471" s="13">
        <f t="shared" si="473"/>
        <v>1.001559378</v>
      </c>
      <c r="O471" s="14">
        <f t="shared" si="473"/>
        <v>0.007054931154</v>
      </c>
      <c r="P471" s="13">
        <f t="shared" si="3"/>
        <v>0.001143385394</v>
      </c>
      <c r="Q471" s="13">
        <f t="shared" si="4"/>
        <v>0.00007298204642</v>
      </c>
      <c r="R471" s="13">
        <f t="shared" si="5"/>
        <v>0.00004865469761</v>
      </c>
      <c r="S471" s="14">
        <f t="shared" si="6"/>
        <v>0.8624851605</v>
      </c>
      <c r="T471" s="14">
        <f t="shared" si="7"/>
        <v>1.000267253</v>
      </c>
      <c r="U471" s="14">
        <f t="shared" si="8"/>
        <v>0.2575122371</v>
      </c>
    </row>
    <row r="472" ht="15.75" customHeight="1">
      <c r="A472" s="9">
        <v>45659.3647582407</v>
      </c>
      <c r="B472" s="10">
        <v>8.0</v>
      </c>
      <c r="C472" s="10" t="s">
        <v>84</v>
      </c>
      <c r="D472" s="10" t="s">
        <v>1446</v>
      </c>
      <c r="E472" s="12" t="s">
        <v>62</v>
      </c>
      <c r="F472" s="11">
        <v>450401.0</v>
      </c>
      <c r="G472" s="11">
        <v>36102.0</v>
      </c>
      <c r="H472" s="11">
        <v>36120.0</v>
      </c>
      <c r="I472" s="11">
        <v>275.0</v>
      </c>
      <c r="J472" s="11">
        <v>50.0</v>
      </c>
      <c r="K472" s="11">
        <v>16.0</v>
      </c>
      <c r="L472" s="11">
        <v>7.0</v>
      </c>
      <c r="M472" s="13">
        <f t="shared" ref="M472:O472" si="474">IFERROR(G472/F472,"")</f>
        <v>0.08015523944</v>
      </c>
      <c r="N472" s="13">
        <f t="shared" si="474"/>
        <v>1.000498587</v>
      </c>
      <c r="O472" s="14">
        <f t="shared" si="474"/>
        <v>0.00761351052</v>
      </c>
      <c r="P472" s="13">
        <f t="shared" si="3"/>
        <v>0.00138427464</v>
      </c>
      <c r="Q472" s="13">
        <f t="shared" si="4"/>
        <v>0.0004429678848</v>
      </c>
      <c r="R472" s="13">
        <f t="shared" si="5"/>
        <v>0.0001937984496</v>
      </c>
      <c r="S472" s="14">
        <f t="shared" si="6"/>
        <v>0.9094353696</v>
      </c>
      <c r="T472" s="14">
        <f t="shared" si="7"/>
        <v>0.9991575129</v>
      </c>
      <c r="U472" s="14">
        <f t="shared" si="8"/>
        <v>1.556125086</v>
      </c>
    </row>
    <row r="473" ht="15.75" customHeight="1">
      <c r="A473" s="9">
        <v>45661.3337463889</v>
      </c>
      <c r="B473" s="10">
        <v>8.0</v>
      </c>
      <c r="C473" s="10" t="s">
        <v>69</v>
      </c>
      <c r="D473" s="10" t="s">
        <v>1448</v>
      </c>
      <c r="E473" s="12" t="s">
        <v>62</v>
      </c>
      <c r="F473" s="11">
        <v>529585.0</v>
      </c>
      <c r="G473" s="11">
        <v>39473.0</v>
      </c>
      <c r="H473" s="11">
        <v>39522.0</v>
      </c>
      <c r="I473" s="11">
        <v>472.0</v>
      </c>
      <c r="J473" s="11">
        <v>82.0</v>
      </c>
      <c r="K473" s="11">
        <v>8.0</v>
      </c>
      <c r="L473" s="11">
        <v>7.0</v>
      </c>
      <c r="M473" s="13">
        <f t="shared" ref="M473:O473" si="475">IFERROR(G473/F473,"")</f>
        <v>0.07453572137</v>
      </c>
      <c r="N473" s="13">
        <f t="shared" si="475"/>
        <v>1.001241355</v>
      </c>
      <c r="O473" s="14">
        <f t="shared" si="475"/>
        <v>0.01194271545</v>
      </c>
      <c r="P473" s="13">
        <f t="shared" si="3"/>
        <v>0.002074793786</v>
      </c>
      <c r="Q473" s="13">
        <f t="shared" si="4"/>
        <v>0.0002024189059</v>
      </c>
      <c r="R473" s="13">
        <f t="shared" si="5"/>
        <v>0.0001771165427</v>
      </c>
      <c r="S473" s="14">
        <f t="shared" si="6"/>
        <v>0.8456767365</v>
      </c>
      <c r="T473" s="14">
        <f t="shared" si="7"/>
        <v>0.9998992848</v>
      </c>
      <c r="U473" s="14">
        <f t="shared" si="8"/>
        <v>0.7110879775</v>
      </c>
    </row>
    <row r="474" ht="15.75" customHeight="1">
      <c r="A474" s="9">
        <v>45663.3333087384</v>
      </c>
      <c r="B474" s="10">
        <v>7.0</v>
      </c>
      <c r="C474" s="10" t="s">
        <v>71</v>
      </c>
      <c r="D474" s="10" t="s">
        <v>1450</v>
      </c>
      <c r="E474" s="12" t="s">
        <v>62</v>
      </c>
      <c r="F474" s="11">
        <v>69000.0</v>
      </c>
      <c r="G474" s="11">
        <v>5713.0</v>
      </c>
      <c r="H474" s="11">
        <v>5728.0</v>
      </c>
      <c r="I474" s="11">
        <v>171.0</v>
      </c>
      <c r="J474" s="11">
        <v>56.0</v>
      </c>
      <c r="K474" s="11">
        <v>3.0</v>
      </c>
      <c r="L474" s="11">
        <v>4.0</v>
      </c>
      <c r="M474" s="13">
        <f t="shared" ref="M474:O474" si="476">IFERROR(G474/F474,"")</f>
        <v>0.08279710145</v>
      </c>
      <c r="N474" s="13">
        <f t="shared" si="476"/>
        <v>1.002625591</v>
      </c>
      <c r="O474" s="14">
        <f t="shared" si="476"/>
        <v>0.02985335196</v>
      </c>
      <c r="P474" s="13">
        <f t="shared" si="3"/>
        <v>0.009776536313</v>
      </c>
      <c r="Q474" s="13">
        <f t="shared" si="4"/>
        <v>0.0005237430168</v>
      </c>
      <c r="R474" s="13">
        <f t="shared" si="5"/>
        <v>0.0006983240223</v>
      </c>
      <c r="S474" s="14">
        <f t="shared" si="6"/>
        <v>0.9394097389</v>
      </c>
      <c r="T474" s="14">
        <f t="shared" si="7"/>
        <v>1.001281665</v>
      </c>
      <c r="U474" s="14">
        <f t="shared" si="8"/>
        <v>1.839884278</v>
      </c>
    </row>
    <row r="475" ht="15.75" customHeight="1">
      <c r="A475" s="9">
        <v>45665.3333778009</v>
      </c>
      <c r="B475" s="10">
        <v>8.0</v>
      </c>
      <c r="C475" s="10" t="s">
        <v>80</v>
      </c>
      <c r="D475" s="10" t="s">
        <v>1452</v>
      </c>
      <c r="E475" s="12" t="s">
        <v>62</v>
      </c>
      <c r="F475" s="11">
        <v>338249.0</v>
      </c>
      <c r="G475" s="11">
        <v>30620.0</v>
      </c>
      <c r="H475" s="11">
        <v>30581.0</v>
      </c>
      <c r="I475" s="11">
        <v>1102.0</v>
      </c>
      <c r="J475" s="11">
        <v>185.0</v>
      </c>
      <c r="K475" s="11">
        <v>28.0</v>
      </c>
      <c r="L475" s="11">
        <v>31.0</v>
      </c>
      <c r="M475" s="13">
        <f t="shared" ref="M475:O475" si="477">IFERROR(G475/F475,"")</f>
        <v>0.09052502742</v>
      </c>
      <c r="N475" s="13">
        <f t="shared" si="477"/>
        <v>0.9987263227</v>
      </c>
      <c r="O475" s="14">
        <f t="shared" si="477"/>
        <v>0.03603544685</v>
      </c>
      <c r="P475" s="13">
        <f t="shared" si="3"/>
        <v>0.006049507864</v>
      </c>
      <c r="Q475" s="13">
        <f t="shared" si="4"/>
        <v>0.0009156011903</v>
      </c>
      <c r="R475" s="13">
        <f t="shared" si="5"/>
        <v>0.001013701318</v>
      </c>
      <c r="S475" s="14">
        <f t="shared" si="6"/>
        <v>1.027090211</v>
      </c>
      <c r="T475" s="14">
        <f t="shared" si="7"/>
        <v>0.9973876238</v>
      </c>
      <c r="U475" s="14">
        <f t="shared" si="8"/>
        <v>3.216463381</v>
      </c>
    </row>
    <row r="476" ht="15.75" customHeight="1">
      <c r="A476" s="9">
        <v>45667.3336739699</v>
      </c>
      <c r="B476" s="10">
        <v>8.0</v>
      </c>
      <c r="C476" s="10" t="s">
        <v>60</v>
      </c>
      <c r="D476" s="10" t="s">
        <v>1454</v>
      </c>
      <c r="E476" s="12" t="s">
        <v>62</v>
      </c>
      <c r="F476" s="11">
        <v>30758.0</v>
      </c>
      <c r="G476" s="11">
        <v>4936.0</v>
      </c>
      <c r="H476" s="11">
        <v>5025.0</v>
      </c>
      <c r="I476" s="11">
        <v>381.0</v>
      </c>
      <c r="J476" s="11">
        <v>72.0</v>
      </c>
      <c r="K476" s="11">
        <v>6.0</v>
      </c>
      <c r="L476" s="11">
        <v>6.0</v>
      </c>
      <c r="M476" s="13">
        <f t="shared" ref="M476:O476" si="478">IFERROR(G476/F476,"")</f>
        <v>0.1604785747</v>
      </c>
      <c r="N476" s="13">
        <f t="shared" si="478"/>
        <v>1.018030794</v>
      </c>
      <c r="O476" s="14">
        <f t="shared" si="478"/>
        <v>0.07582089552</v>
      </c>
      <c r="P476" s="13">
        <f t="shared" si="3"/>
        <v>0.01432835821</v>
      </c>
      <c r="Q476" s="13">
        <f t="shared" si="4"/>
        <v>0.001194029851</v>
      </c>
      <c r="R476" s="13">
        <f t="shared" si="5"/>
        <v>0.001194029851</v>
      </c>
      <c r="S476" s="14">
        <f t="shared" si="6"/>
        <v>1.820777941</v>
      </c>
      <c r="T476" s="14">
        <f t="shared" si="7"/>
        <v>1.016666219</v>
      </c>
      <c r="U476" s="14">
        <f t="shared" si="8"/>
        <v>4.194570007</v>
      </c>
    </row>
    <row r="477" ht="15.75" customHeight="1">
      <c r="A477" s="9">
        <v>45668.3338982176</v>
      </c>
      <c r="B477" s="10">
        <v>8.0</v>
      </c>
      <c r="C477" s="10" t="s">
        <v>69</v>
      </c>
      <c r="D477" s="10" t="s">
        <v>1456</v>
      </c>
      <c r="E477" s="12" t="s">
        <v>62</v>
      </c>
      <c r="F477" s="11">
        <v>1615.0</v>
      </c>
      <c r="G477" s="11">
        <v>186.0</v>
      </c>
      <c r="H477" s="11">
        <v>186.0</v>
      </c>
      <c r="I477" s="11">
        <v>21.0</v>
      </c>
      <c r="J477" s="11">
        <v>4.0</v>
      </c>
      <c r="K477" s="11">
        <v>0.0</v>
      </c>
      <c r="L477" s="11">
        <v>0.0</v>
      </c>
      <c r="M477" s="13">
        <f t="shared" ref="M477:O477" si="479">IFERROR(G477/F477,"")</f>
        <v>0.1151702786</v>
      </c>
      <c r="N477" s="13">
        <f t="shared" si="479"/>
        <v>1</v>
      </c>
      <c r="O477" s="14">
        <f t="shared" si="479"/>
        <v>0.1129032258</v>
      </c>
      <c r="P477" s="13">
        <f t="shared" si="3"/>
        <v>0.02150537634</v>
      </c>
      <c r="Q477" s="13">
        <f t="shared" si="4"/>
        <v>0</v>
      </c>
      <c r="R477" s="13">
        <f t="shared" si="5"/>
        <v>0</v>
      </c>
      <c r="S477" s="14">
        <f t="shared" si="6"/>
        <v>1.309461795</v>
      </c>
      <c r="T477" s="14">
        <f t="shared" si="7"/>
        <v>0.9987098865</v>
      </c>
      <c r="U477" s="14">
        <f t="shared" si="8"/>
        <v>0</v>
      </c>
    </row>
    <row r="478" ht="15.75" customHeight="1">
      <c r="A478" s="9">
        <v>45671.3338102431</v>
      </c>
      <c r="B478" s="10">
        <v>8.0</v>
      </c>
      <c r="C478" s="10" t="s">
        <v>59</v>
      </c>
      <c r="D478" s="10" t="s">
        <v>1458</v>
      </c>
      <c r="E478" s="12" t="s">
        <v>62</v>
      </c>
      <c r="F478" s="11">
        <v>172814.0</v>
      </c>
      <c r="G478" s="11">
        <v>18429.0</v>
      </c>
      <c r="H478" s="11">
        <v>18454.0</v>
      </c>
      <c r="I478" s="11">
        <v>642.0</v>
      </c>
      <c r="J478" s="11">
        <v>68.0</v>
      </c>
      <c r="K478" s="11">
        <v>5.0</v>
      </c>
      <c r="L478" s="11">
        <v>12.0</v>
      </c>
      <c r="M478" s="13">
        <f t="shared" ref="M478:O478" si="480">IFERROR(G478/F478,"")</f>
        <v>0.1066406657</v>
      </c>
      <c r="N478" s="13">
        <f t="shared" si="480"/>
        <v>1.001356558</v>
      </c>
      <c r="O478" s="14">
        <f t="shared" si="480"/>
        <v>0.03478920559</v>
      </c>
      <c r="P478" s="13">
        <f t="shared" si="3"/>
        <v>0.003684837976</v>
      </c>
      <c r="Q478" s="13">
        <f t="shared" si="4"/>
        <v>0.0002709439688</v>
      </c>
      <c r="R478" s="13">
        <f t="shared" si="5"/>
        <v>0.0006502655251</v>
      </c>
      <c r="S478" s="14">
        <f t="shared" si="6"/>
        <v>1.215037473</v>
      </c>
      <c r="T478" s="14">
        <f t="shared" si="7"/>
        <v>1.000014333</v>
      </c>
      <c r="U478" s="14">
        <f t="shared" si="8"/>
        <v>0.9518132603</v>
      </c>
    </row>
    <row r="479" ht="15.75" customHeight="1">
      <c r="A479" s="9">
        <v>45673.3334871065</v>
      </c>
      <c r="B479" s="10">
        <v>8.0</v>
      </c>
      <c r="C479" s="10" t="s">
        <v>84</v>
      </c>
      <c r="D479" s="10" t="s">
        <v>1456</v>
      </c>
      <c r="E479" s="12" t="s">
        <v>62</v>
      </c>
      <c r="F479" s="11">
        <v>470147.0</v>
      </c>
      <c r="G479" s="11">
        <v>49096.0</v>
      </c>
      <c r="H479" s="11">
        <v>49184.0</v>
      </c>
      <c r="I479" s="11">
        <v>2159.0</v>
      </c>
      <c r="J479" s="11">
        <v>200.0</v>
      </c>
      <c r="K479" s="11">
        <v>6.0</v>
      </c>
      <c r="L479" s="11">
        <v>25.0</v>
      </c>
      <c r="M479" s="13">
        <f t="shared" ref="M479:O479" si="481">IFERROR(G479/F479,"")</f>
        <v>0.1044269133</v>
      </c>
      <c r="N479" s="13">
        <f t="shared" si="481"/>
        <v>1.001792407</v>
      </c>
      <c r="O479" s="14">
        <f t="shared" si="481"/>
        <v>0.04389638907</v>
      </c>
      <c r="P479" s="13">
        <f t="shared" si="3"/>
        <v>0.004066363045</v>
      </c>
      <c r="Q479" s="13">
        <f t="shared" si="4"/>
        <v>0.0001219908913</v>
      </c>
      <c r="R479" s="13">
        <f t="shared" si="5"/>
        <v>0.0005082953806</v>
      </c>
      <c r="S479" s="14">
        <f t="shared" si="6"/>
        <v>1.189814524</v>
      </c>
      <c r="T479" s="14">
        <f t="shared" si="7"/>
        <v>1.000449598</v>
      </c>
      <c r="U479" s="14">
        <f t="shared" si="8"/>
        <v>0.4285481922</v>
      </c>
    </row>
    <row r="480" ht="15.75" customHeight="1">
      <c r="A480" s="9">
        <v>45675.5709738773</v>
      </c>
      <c r="B480" s="10">
        <v>13.0</v>
      </c>
      <c r="C480" s="10" t="s">
        <v>69</v>
      </c>
      <c r="D480" s="10" t="s">
        <v>1461</v>
      </c>
      <c r="E480" s="12" t="s">
        <v>62</v>
      </c>
      <c r="F480" s="11">
        <v>413855.0</v>
      </c>
      <c r="G480" s="11">
        <v>35017.0</v>
      </c>
      <c r="H480" s="11">
        <v>35064.0</v>
      </c>
      <c r="I480" s="11">
        <v>1457.0</v>
      </c>
      <c r="J480" s="11">
        <v>95.0</v>
      </c>
      <c r="K480" s="11">
        <v>16.0</v>
      </c>
      <c r="L480" s="11">
        <v>11.0</v>
      </c>
      <c r="M480" s="13">
        <f t="shared" ref="M480:O480" si="482">IFERROR(G480/F480,"")</f>
        <v>0.08461176016</v>
      </c>
      <c r="N480" s="13">
        <f t="shared" si="482"/>
        <v>1.001342205</v>
      </c>
      <c r="O480" s="14">
        <f t="shared" si="482"/>
        <v>0.04155258955</v>
      </c>
      <c r="P480" s="13">
        <f t="shared" si="3"/>
        <v>0.002709331508</v>
      </c>
      <c r="Q480" s="13">
        <f t="shared" si="4"/>
        <v>0.0004563084645</v>
      </c>
      <c r="R480" s="13">
        <f t="shared" si="5"/>
        <v>0.0003137120694</v>
      </c>
      <c r="S480" s="14">
        <f t="shared" si="6"/>
        <v>0.9640455506</v>
      </c>
      <c r="T480" s="14">
        <f t="shared" si="7"/>
        <v>1</v>
      </c>
      <c r="U480" s="14">
        <f t="shared" si="8"/>
        <v>1.602989907</v>
      </c>
    </row>
    <row r="481" ht="15.75" customHeight="1">
      <c r="A481" s="9">
        <v>45678.3666902431</v>
      </c>
      <c r="B481" s="10">
        <v>8.0</v>
      </c>
      <c r="C481" s="10" t="s">
        <v>59</v>
      </c>
      <c r="D481" s="10" t="s">
        <v>1463</v>
      </c>
      <c r="E481" s="12" t="s">
        <v>62</v>
      </c>
      <c r="F481" s="11">
        <v>196876.0</v>
      </c>
      <c r="G481" s="11">
        <v>18099.0</v>
      </c>
      <c r="H481" s="11">
        <v>18184.0</v>
      </c>
      <c r="I481" s="11">
        <v>1306.0</v>
      </c>
      <c r="J481" s="11">
        <v>122.0</v>
      </c>
      <c r="K481" s="11">
        <v>13.0</v>
      </c>
      <c r="L481" s="11">
        <v>29.0</v>
      </c>
      <c r="M481" s="13">
        <f t="shared" ref="M481:O481" si="483">IFERROR(G481/F481,"")</f>
        <v>0.09193096162</v>
      </c>
      <c r="N481" s="13">
        <f t="shared" si="483"/>
        <v>1.004696392</v>
      </c>
      <c r="O481" s="14">
        <f t="shared" si="483"/>
        <v>0.07182138143</v>
      </c>
      <c r="P481" s="13">
        <f t="shared" si="3"/>
        <v>0.006709194897</v>
      </c>
      <c r="Q481" s="13">
        <f t="shared" si="4"/>
        <v>0.0007149142103</v>
      </c>
      <c r="R481" s="13">
        <f t="shared" si="5"/>
        <v>0.001594808623</v>
      </c>
      <c r="S481" s="14">
        <f t="shared" si="6"/>
        <v>1.045235658</v>
      </c>
      <c r="T481" s="14">
        <f t="shared" si="7"/>
        <v>1.0033425</v>
      </c>
      <c r="U481" s="14">
        <f t="shared" si="8"/>
        <v>2.572170195</v>
      </c>
    </row>
    <row r="482" ht="15.75" customHeight="1">
      <c r="A482" s="9">
        <v>45680.3906204861</v>
      </c>
      <c r="B482" s="10">
        <v>9.0</v>
      </c>
      <c r="C482" s="10" t="s">
        <v>84</v>
      </c>
      <c r="D482" s="10" t="s">
        <v>710</v>
      </c>
      <c r="E482" s="12" t="s">
        <v>62</v>
      </c>
      <c r="F482" s="11">
        <v>413172.0</v>
      </c>
      <c r="G482" s="11">
        <v>39644.0</v>
      </c>
      <c r="H482" s="11">
        <v>39783.0</v>
      </c>
      <c r="I482" s="11">
        <v>1417.0</v>
      </c>
      <c r="J482" s="11">
        <v>150.0</v>
      </c>
      <c r="K482" s="11">
        <v>5.0</v>
      </c>
      <c r="L482" s="11">
        <v>30.0</v>
      </c>
      <c r="M482" s="13">
        <f t="shared" ref="M482:O482" si="484">IFERROR(G482/F482,"")</f>
        <v>0.09595035482</v>
      </c>
      <c r="N482" s="13">
        <f t="shared" si="484"/>
        <v>1.003506205</v>
      </c>
      <c r="O482" s="14">
        <f t="shared" si="484"/>
        <v>0.03561822889</v>
      </c>
      <c r="P482" s="13">
        <f t="shared" si="3"/>
        <v>0.003770454717</v>
      </c>
      <c r="Q482" s="13">
        <f t="shared" si="4"/>
        <v>0.0001256818239</v>
      </c>
      <c r="R482" s="13">
        <f t="shared" si="5"/>
        <v>0.0007540909434</v>
      </c>
      <c r="S482" s="14">
        <f t="shared" si="6"/>
        <v>1.093234705</v>
      </c>
      <c r="T482" s="14">
        <f t="shared" si="7"/>
        <v>1.002161099</v>
      </c>
      <c r="U482" s="14">
        <f t="shared" si="8"/>
        <v>0.4633888847</v>
      </c>
    </row>
    <row r="483" ht="15.75" customHeight="1">
      <c r="A483" s="9">
        <v>45685.3338471065</v>
      </c>
      <c r="B483" s="10">
        <v>8.0</v>
      </c>
      <c r="C483" s="10" t="s">
        <v>59</v>
      </c>
      <c r="D483" s="10" t="s">
        <v>1466</v>
      </c>
      <c r="E483" s="12" t="s">
        <v>62</v>
      </c>
      <c r="F483" s="11">
        <v>43489.0</v>
      </c>
      <c r="G483" s="11">
        <v>6611.0</v>
      </c>
      <c r="H483" s="11">
        <v>6611.0</v>
      </c>
      <c r="I483" s="11">
        <v>543.0</v>
      </c>
      <c r="J483" s="11">
        <v>69.0</v>
      </c>
      <c r="K483" s="11">
        <v>6.0</v>
      </c>
      <c r="L483" s="11">
        <v>13.0</v>
      </c>
      <c r="M483" s="13">
        <f t="shared" ref="M483:O483" si="485">IFERROR(G483/F483,"")</f>
        <v>0.1520154522</v>
      </c>
      <c r="N483" s="13">
        <f t="shared" si="485"/>
        <v>1</v>
      </c>
      <c r="O483" s="14">
        <f t="shared" si="485"/>
        <v>0.08213583422</v>
      </c>
      <c r="P483" s="13">
        <f t="shared" si="3"/>
        <v>0.0104371502</v>
      </c>
      <c r="Q483" s="13">
        <f t="shared" si="4"/>
        <v>0.0009075782786</v>
      </c>
      <c r="R483" s="13">
        <f t="shared" si="5"/>
        <v>0.001966419604</v>
      </c>
      <c r="S483" s="14">
        <f t="shared" si="6"/>
        <v>1.735481144</v>
      </c>
      <c r="T483" s="14">
        <f t="shared" si="7"/>
        <v>0.998652437</v>
      </c>
      <c r="U483" s="14">
        <f t="shared" si="8"/>
        <v>3.347964624</v>
      </c>
    </row>
    <row r="484" ht="15.75" customHeight="1">
      <c r="A484" s="9">
        <v>45687.3683208218</v>
      </c>
      <c r="B484" s="10">
        <v>8.0</v>
      </c>
      <c r="C484" s="10" t="s">
        <v>84</v>
      </c>
      <c r="D484" s="10" t="s">
        <v>693</v>
      </c>
      <c r="E484" s="12" t="s">
        <v>62</v>
      </c>
      <c r="F484" s="11">
        <v>1023437.0</v>
      </c>
      <c r="G484" s="11">
        <v>100706.0</v>
      </c>
      <c r="H484" s="11">
        <v>100766.0</v>
      </c>
      <c r="I484" s="11">
        <v>1198.0</v>
      </c>
      <c r="J484" s="11">
        <v>213.0</v>
      </c>
      <c r="K484" s="11">
        <v>34.0</v>
      </c>
      <c r="L484" s="11">
        <v>23.0</v>
      </c>
      <c r="M484" s="13">
        <f t="shared" ref="M484:O484" si="486">IFERROR(G484/F484,"")</f>
        <v>0.0983998038</v>
      </c>
      <c r="N484" s="13">
        <f t="shared" si="486"/>
        <v>1.000595794</v>
      </c>
      <c r="O484" s="14">
        <f t="shared" si="486"/>
        <v>0.01188893079</v>
      </c>
      <c r="P484" s="13">
        <f t="shared" si="3"/>
        <v>0.002113808229</v>
      </c>
      <c r="Q484" s="13">
        <f t="shared" si="4"/>
        <v>0.0003374153981</v>
      </c>
      <c r="R484" s="13">
        <f t="shared" si="5"/>
        <v>0.0002282515928</v>
      </c>
      <c r="S484" s="14">
        <f t="shared" si="6"/>
        <v>1.121143123</v>
      </c>
      <c r="T484" s="14">
        <f t="shared" si="7"/>
        <v>0.9992402667</v>
      </c>
      <c r="U484" s="14">
        <f t="shared" si="8"/>
        <v>1.245332751</v>
      </c>
    </row>
    <row r="485" ht="15.75" customHeight="1">
      <c r="A485" s="9">
        <v>45692.4350407407</v>
      </c>
      <c r="B485" s="10">
        <v>10.0</v>
      </c>
      <c r="C485" s="10" t="s">
        <v>59</v>
      </c>
      <c r="D485" s="10" t="s">
        <v>1469</v>
      </c>
      <c r="E485" s="12" t="s">
        <v>62</v>
      </c>
      <c r="F485" s="11">
        <v>72009.0</v>
      </c>
      <c r="G485" s="11">
        <v>8356.0</v>
      </c>
      <c r="H485" s="11">
        <v>8431.0</v>
      </c>
      <c r="I485" s="11">
        <v>564.0</v>
      </c>
      <c r="J485" s="11">
        <v>87.0</v>
      </c>
      <c r="K485" s="11">
        <v>7.0</v>
      </c>
      <c r="L485" s="11">
        <v>10.0</v>
      </c>
      <c r="M485" s="13">
        <f t="shared" ref="M485:O485" si="487">IFERROR(G485/F485,"")</f>
        <v>0.1160410504</v>
      </c>
      <c r="N485" s="13">
        <f t="shared" si="487"/>
        <v>1.008975586</v>
      </c>
      <c r="O485" s="14">
        <f t="shared" si="487"/>
        <v>0.06689597912</v>
      </c>
      <c r="P485" s="13">
        <f t="shared" si="3"/>
        <v>0.01031906061</v>
      </c>
      <c r="Q485" s="13">
        <f t="shared" si="4"/>
        <v>0.0008302692445</v>
      </c>
      <c r="R485" s="13">
        <f t="shared" si="5"/>
        <v>0.001186098921</v>
      </c>
      <c r="S485" s="14">
        <f t="shared" si="6"/>
        <v>1.322143141</v>
      </c>
      <c r="T485" s="14">
        <f t="shared" si="7"/>
        <v>1.007608707</v>
      </c>
      <c r="U485" s="14">
        <f t="shared" si="8"/>
        <v>3.175987427</v>
      </c>
    </row>
    <row r="486" ht="15.75" customHeight="1">
      <c r="A486" s="9">
        <v>45694.4235031944</v>
      </c>
      <c r="B486" s="10">
        <v>10.0</v>
      </c>
      <c r="C486" s="10" t="s">
        <v>84</v>
      </c>
      <c r="D486" s="10" t="s">
        <v>1471</v>
      </c>
      <c r="E486" s="12" t="s">
        <v>62</v>
      </c>
      <c r="F486" s="11">
        <v>217973.0</v>
      </c>
      <c r="G486" s="11">
        <v>20773.0</v>
      </c>
      <c r="H486" s="11">
        <v>20781.0</v>
      </c>
      <c r="I486" s="11">
        <v>494.0</v>
      </c>
      <c r="J486" s="11">
        <v>89.0</v>
      </c>
      <c r="K486" s="11">
        <v>4.0</v>
      </c>
      <c r="L486" s="11">
        <v>12.0</v>
      </c>
      <c r="M486" s="13">
        <f t="shared" ref="M486:O486" si="488">IFERROR(G486/F486,"")</f>
        <v>0.09530079414</v>
      </c>
      <c r="N486" s="13">
        <f t="shared" si="488"/>
        <v>1.000385115</v>
      </c>
      <c r="O486" s="14">
        <f t="shared" si="488"/>
        <v>0.02377171455</v>
      </c>
      <c r="P486" s="13">
        <f t="shared" si="3"/>
        <v>0.004282758289</v>
      </c>
      <c r="Q486" s="13">
        <f t="shared" si="4"/>
        <v>0.0001924835186</v>
      </c>
      <c r="R486" s="13">
        <f t="shared" si="5"/>
        <v>0.0005774505558</v>
      </c>
      <c r="S486" s="14">
        <f t="shared" si="6"/>
        <v>1.081275704</v>
      </c>
      <c r="T486" s="14">
        <f t="shared" si="7"/>
        <v>0.9989721061</v>
      </c>
      <c r="U486" s="14">
        <f t="shared" si="8"/>
        <v>0.8351498965</v>
      </c>
    </row>
    <row r="487" ht="15.75" customHeight="1">
      <c r="A487" s="9">
        <v>45699.4221029051</v>
      </c>
      <c r="B487" s="10">
        <v>10.0</v>
      </c>
      <c r="C487" s="10" t="s">
        <v>59</v>
      </c>
      <c r="D487" s="10" t="s">
        <v>1473</v>
      </c>
      <c r="E487" s="12" t="s">
        <v>62</v>
      </c>
      <c r="F487" s="11">
        <v>195111.0</v>
      </c>
      <c r="G487" s="11">
        <v>12412.0</v>
      </c>
      <c r="H487" s="11">
        <v>12489.0</v>
      </c>
      <c r="I487" s="11">
        <v>156.0</v>
      </c>
      <c r="J487" s="11">
        <v>37.0</v>
      </c>
      <c r="K487" s="11">
        <v>1.0</v>
      </c>
      <c r="L487" s="11">
        <v>10.0</v>
      </c>
      <c r="M487" s="13">
        <f t="shared" ref="M487:O487" si="489">IFERROR(G487/F487,"")</f>
        <v>0.0636150704</v>
      </c>
      <c r="N487" s="13">
        <f t="shared" si="489"/>
        <v>1.006203674</v>
      </c>
      <c r="O487" s="14">
        <f t="shared" si="489"/>
        <v>0.01249099207</v>
      </c>
      <c r="P487" s="13">
        <f t="shared" si="3"/>
        <v>0.002962607094</v>
      </c>
      <c r="Q487" s="13">
        <f t="shared" si="4"/>
        <v>0.00008007046201</v>
      </c>
      <c r="R487" s="13">
        <f t="shared" si="5"/>
        <v>0.0008007046201</v>
      </c>
      <c r="S487" s="14">
        <f t="shared" si="6"/>
        <v>0.712126023</v>
      </c>
      <c r="T487" s="14">
        <f t="shared" si="7"/>
        <v>1.004811497</v>
      </c>
      <c r="U487" s="14">
        <f t="shared" si="8"/>
        <v>0.3653541124</v>
      </c>
    </row>
    <row r="488" ht="15.75" customHeight="1">
      <c r="A488" s="9">
        <v>45701.4350176042</v>
      </c>
      <c r="B488" s="10">
        <v>10.0</v>
      </c>
      <c r="C488" s="10" t="s">
        <v>84</v>
      </c>
      <c r="D488" s="10" t="s">
        <v>1475</v>
      </c>
      <c r="E488" s="12" t="s">
        <v>62</v>
      </c>
      <c r="F488" s="11">
        <v>131141.0</v>
      </c>
      <c r="G488" s="11">
        <v>10426.0</v>
      </c>
      <c r="H488" s="11">
        <v>10558.0</v>
      </c>
      <c r="I488" s="11">
        <v>167.0</v>
      </c>
      <c r="J488" s="11">
        <v>58.0</v>
      </c>
      <c r="K488" s="11">
        <v>2.0</v>
      </c>
      <c r="L488" s="11">
        <v>9.0</v>
      </c>
      <c r="M488" s="13">
        <f t="shared" ref="M488:O488" si="490">IFERROR(G488/F488,"")</f>
        <v>0.07950221517</v>
      </c>
      <c r="N488" s="13">
        <f t="shared" si="490"/>
        <v>1.012660656</v>
      </c>
      <c r="O488" s="14">
        <f t="shared" si="490"/>
        <v>0.01581738966</v>
      </c>
      <c r="P488" s="13">
        <f t="shared" si="3"/>
        <v>0.005493464671</v>
      </c>
      <c r="Q488" s="13">
        <f t="shared" si="4"/>
        <v>0.0001894298163</v>
      </c>
      <c r="R488" s="13">
        <f t="shared" si="5"/>
        <v>0.0008524341731</v>
      </c>
      <c r="S488" s="14">
        <f t="shared" si="6"/>
        <v>0.8782346434</v>
      </c>
      <c r="T488" s="14">
        <f t="shared" si="7"/>
        <v>1.011230308</v>
      </c>
      <c r="U488" s="14">
        <f t="shared" si="8"/>
        <v>0.8219004546</v>
      </c>
    </row>
    <row r="489" ht="15.75" customHeight="1">
      <c r="A489" s="9">
        <v>45706.4805996875</v>
      </c>
      <c r="B489" s="10">
        <v>11.0</v>
      </c>
      <c r="C489" s="10" t="s">
        <v>59</v>
      </c>
      <c r="D489" s="10" t="s">
        <v>1477</v>
      </c>
      <c r="E489" s="12" t="s">
        <v>62</v>
      </c>
      <c r="F489" s="11">
        <v>912605.0</v>
      </c>
      <c r="G489" s="11">
        <v>74931.0</v>
      </c>
      <c r="H489" s="11">
        <v>75102.0</v>
      </c>
      <c r="I489" s="11">
        <v>1170.0</v>
      </c>
      <c r="J489" s="11">
        <v>111.0</v>
      </c>
      <c r="K489" s="11">
        <v>2.0</v>
      </c>
      <c r="L489" s="11">
        <v>14.0</v>
      </c>
      <c r="M489" s="13">
        <f t="shared" ref="M489:O489" si="491">IFERROR(G489/F489,"")</f>
        <v>0.08210671649</v>
      </c>
      <c r="N489" s="13">
        <f t="shared" si="491"/>
        <v>1.0022821</v>
      </c>
      <c r="O489" s="14">
        <f t="shared" si="491"/>
        <v>0.01557881281</v>
      </c>
      <c r="P489" s="13">
        <f t="shared" si="3"/>
        <v>0.001477989934</v>
      </c>
      <c r="Q489" s="13">
        <f t="shared" si="4"/>
        <v>0.00002663044926</v>
      </c>
      <c r="R489" s="13">
        <f t="shared" si="5"/>
        <v>0.0001864131448</v>
      </c>
      <c r="S489" s="14">
        <f t="shared" si="6"/>
        <v>0.9000166771</v>
      </c>
      <c r="T489" s="14">
        <f t="shared" si="7"/>
        <v>1.000848902</v>
      </c>
      <c r="U489" s="14">
        <f t="shared" si="8"/>
        <v>0.1082761673</v>
      </c>
    </row>
    <row r="490" ht="15.75" customHeight="1">
      <c r="A490" s="9">
        <v>45708.3278658449</v>
      </c>
      <c r="B490" s="10">
        <v>7.0</v>
      </c>
      <c r="C490" s="10" t="s">
        <v>84</v>
      </c>
      <c r="D490" s="10" t="s">
        <v>1479</v>
      </c>
      <c r="E490" s="12" t="s">
        <v>62</v>
      </c>
      <c r="F490" s="11">
        <v>116690.0</v>
      </c>
      <c r="G490" s="11">
        <v>8321.0</v>
      </c>
      <c r="H490" s="11">
        <v>8451.0</v>
      </c>
      <c r="I490" s="11">
        <v>204.0</v>
      </c>
      <c r="J490" s="11">
        <v>51.0</v>
      </c>
      <c r="K490" s="11">
        <v>0.0</v>
      </c>
      <c r="L490" s="11">
        <v>13.0</v>
      </c>
      <c r="M490" s="13">
        <f t="shared" ref="M490:O490" si="492">IFERROR(G490/F490,"")</f>
        <v>0.07130859542</v>
      </c>
      <c r="N490" s="13">
        <f t="shared" si="492"/>
        <v>1.015623122</v>
      </c>
      <c r="O490" s="14">
        <f t="shared" si="492"/>
        <v>0.02413915513</v>
      </c>
      <c r="P490" s="13">
        <f t="shared" si="3"/>
        <v>0.006034788782</v>
      </c>
      <c r="Q490" s="13">
        <f t="shared" si="4"/>
        <v>0</v>
      </c>
      <c r="R490" s="13">
        <f t="shared" si="5"/>
        <v>0.001538279494</v>
      </c>
      <c r="S490" s="14">
        <f t="shared" si="6"/>
        <v>0.7756755087</v>
      </c>
      <c r="T490" s="14">
        <f t="shared" si="7"/>
        <v>1.014153107</v>
      </c>
      <c r="U490" s="14">
        <f t="shared" si="8"/>
        <v>0</v>
      </c>
    </row>
    <row r="491" ht="15.75" customHeight="1">
      <c r="A491" s="9">
        <v>45713.3812238079</v>
      </c>
      <c r="B491" s="10">
        <v>9.0</v>
      </c>
      <c r="C491" s="10" t="s">
        <v>59</v>
      </c>
      <c r="D491" s="10" t="s">
        <v>1304</v>
      </c>
      <c r="E491" s="12" t="s">
        <v>62</v>
      </c>
      <c r="F491" s="11">
        <v>1179373.0</v>
      </c>
      <c r="G491" s="11">
        <v>118066.0</v>
      </c>
      <c r="H491" s="11">
        <v>118233.0</v>
      </c>
      <c r="I491" s="11">
        <v>1826.0</v>
      </c>
      <c r="J491" s="11">
        <v>138.0</v>
      </c>
      <c r="K491" s="11">
        <v>6.0</v>
      </c>
      <c r="L491" s="11">
        <v>20.0</v>
      </c>
      <c r="M491" s="13">
        <f t="shared" ref="M491:O491" si="493">IFERROR(G491/F491,"")</f>
        <v>0.1001091258</v>
      </c>
      <c r="N491" s="13">
        <f t="shared" si="493"/>
        <v>1.001414463</v>
      </c>
      <c r="O491" s="14">
        <f t="shared" si="493"/>
        <v>0.01544408076</v>
      </c>
      <c r="P491" s="13">
        <f t="shared" si="3"/>
        <v>0.001167186826</v>
      </c>
      <c r="Q491" s="13">
        <f t="shared" si="4"/>
        <v>0.0000507472533</v>
      </c>
      <c r="R491" s="13">
        <f t="shared" si="5"/>
        <v>0.000169157511</v>
      </c>
      <c r="S491" s="14">
        <f t="shared" si="6"/>
        <v>1.069527395</v>
      </c>
      <c r="T491" s="14">
        <f t="shared" si="7"/>
        <v>0.9999101589</v>
      </c>
      <c r="U491" s="14">
        <f t="shared" si="8"/>
        <v>0.1906484207</v>
      </c>
    </row>
    <row r="492" ht="15.75" customHeight="1">
      <c r="A492" s="9">
        <v>45715.2872645949</v>
      </c>
      <c r="B492" s="10">
        <v>6.0</v>
      </c>
      <c r="C492" s="10" t="s">
        <v>84</v>
      </c>
      <c r="D492" s="10" t="s">
        <v>1482</v>
      </c>
      <c r="E492" s="12" t="s">
        <v>62</v>
      </c>
      <c r="F492" s="11">
        <v>243135.0</v>
      </c>
      <c r="G492" s="11">
        <v>23378.0</v>
      </c>
      <c r="H492" s="11">
        <v>23614.0</v>
      </c>
      <c r="I492" s="11">
        <v>866.0</v>
      </c>
      <c r="J492" s="11">
        <v>142.0</v>
      </c>
      <c r="K492" s="11">
        <v>3.0</v>
      </c>
      <c r="L492" s="11">
        <v>17.0</v>
      </c>
      <c r="M492" s="13">
        <f t="shared" ref="M492:O492" si="494">IFERROR(G492/F492,"")</f>
        <v>0.09615234335</v>
      </c>
      <c r="N492" s="13">
        <f t="shared" si="494"/>
        <v>1.010094961</v>
      </c>
      <c r="O492" s="14">
        <f t="shared" si="494"/>
        <v>0.03667315999</v>
      </c>
      <c r="P492" s="13">
        <f t="shared" si="3"/>
        <v>0.006013381892</v>
      </c>
      <c r="Q492" s="13">
        <f t="shared" si="4"/>
        <v>0.0001270432794</v>
      </c>
      <c r="R492" s="13">
        <f t="shared" si="5"/>
        <v>0.0007199119167</v>
      </c>
      <c r="S492" s="14">
        <f t="shared" si="6"/>
        <v>1.009244716</v>
      </c>
      <c r="T492" s="14">
        <f t="shared" si="7"/>
        <v>1.008522293</v>
      </c>
      <c r="U492" s="14">
        <f t="shared" si="8"/>
        <v>0.4688913356</v>
      </c>
    </row>
    <row r="493" ht="15.75" customHeight="1">
      <c r="A493" s="9">
        <v>45720.3980724653</v>
      </c>
      <c r="B493" s="10">
        <v>9.0</v>
      </c>
      <c r="C493" s="10" t="s">
        <v>59</v>
      </c>
      <c r="D493" s="10" t="s">
        <v>1484</v>
      </c>
      <c r="E493" s="12" t="s">
        <v>62</v>
      </c>
      <c r="F493" s="11">
        <v>644989.0</v>
      </c>
      <c r="G493" s="11">
        <v>56609.0</v>
      </c>
      <c r="H493" s="11">
        <v>56660.0</v>
      </c>
      <c r="I493" s="11">
        <v>482.0</v>
      </c>
      <c r="J493" s="11">
        <v>32.0</v>
      </c>
      <c r="K493" s="11">
        <v>3.0</v>
      </c>
      <c r="L493" s="11">
        <v>7.0</v>
      </c>
      <c r="M493" s="13">
        <f t="shared" ref="M493:O493" si="495">IFERROR(G493/F493,"")</f>
        <v>0.08776738828</v>
      </c>
      <c r="N493" s="13">
        <f t="shared" si="495"/>
        <v>1.000900917</v>
      </c>
      <c r="O493" s="14">
        <f t="shared" si="495"/>
        <v>0.008506883163</v>
      </c>
      <c r="P493" s="13">
        <f t="shared" si="3"/>
        <v>0.0005647723262</v>
      </c>
      <c r="Q493" s="13">
        <f t="shared" si="4"/>
        <v>0.00005294740558</v>
      </c>
      <c r="R493" s="13">
        <f t="shared" si="5"/>
        <v>0.0001235439463</v>
      </c>
      <c r="S493" s="14">
        <f t="shared" si="6"/>
        <v>0.9211544805</v>
      </c>
      <c r="T493" s="14">
        <f t="shared" si="7"/>
        <v>0.999226321</v>
      </c>
      <c r="U493" s="14">
        <f t="shared" si="8"/>
        <v>0.1989140021</v>
      </c>
    </row>
    <row r="494" ht="15.75" customHeight="1">
      <c r="A494" s="9">
        <v>45722.2760225463</v>
      </c>
      <c r="B494" s="10">
        <v>6.0</v>
      </c>
      <c r="C494" s="10" t="s">
        <v>84</v>
      </c>
      <c r="D494" s="10" t="s">
        <v>753</v>
      </c>
      <c r="E494" s="12" t="s">
        <v>62</v>
      </c>
      <c r="F494" s="11">
        <v>550823.0</v>
      </c>
      <c r="G494" s="11">
        <v>58420.0</v>
      </c>
      <c r="H494" s="11">
        <v>58529.0</v>
      </c>
      <c r="I494" s="11">
        <v>3378.0</v>
      </c>
      <c r="J494" s="11">
        <v>154.0</v>
      </c>
      <c r="K494" s="11">
        <v>26.0</v>
      </c>
      <c r="L494" s="11">
        <v>32.0</v>
      </c>
      <c r="M494" s="13">
        <f t="shared" ref="M494:O494" si="496">IFERROR(G494/F494,"")</f>
        <v>0.1060594783</v>
      </c>
      <c r="N494" s="13">
        <f t="shared" si="496"/>
        <v>1.001865799</v>
      </c>
      <c r="O494" s="14">
        <f t="shared" si="496"/>
        <v>0.0577149789</v>
      </c>
      <c r="P494" s="13">
        <f t="shared" si="3"/>
        <v>0.00263117429</v>
      </c>
      <c r="Q494" s="13">
        <f t="shared" si="4"/>
        <v>0.0004442242307</v>
      </c>
      <c r="R494" s="13">
        <f t="shared" si="5"/>
        <v>0.0005467375147</v>
      </c>
      <c r="S494" s="14">
        <f t="shared" si="6"/>
        <v>1.112966815</v>
      </c>
      <c r="T494" s="14">
        <f t="shared" si="7"/>
        <v>1.000036629</v>
      </c>
      <c r="U494" s="14">
        <f t="shared" si="8"/>
        <v>1.806161686</v>
      </c>
    </row>
    <row r="495" ht="15.75" customHeight="1">
      <c r="A495" s="9">
        <v>45727.2936543287</v>
      </c>
      <c r="B495" s="10">
        <v>7.0</v>
      </c>
      <c r="C495" s="10" t="s">
        <v>59</v>
      </c>
      <c r="D495" s="10" t="s">
        <v>1487</v>
      </c>
      <c r="E495" s="12" t="s">
        <v>62</v>
      </c>
      <c r="F495" s="11">
        <v>593897.0</v>
      </c>
      <c r="G495" s="11">
        <v>51038.0</v>
      </c>
      <c r="H495" s="11">
        <v>51183.0</v>
      </c>
      <c r="I495" s="11">
        <v>1552.0</v>
      </c>
      <c r="J495" s="11">
        <v>100.0</v>
      </c>
      <c r="K495" s="11">
        <v>9.0</v>
      </c>
      <c r="L495" s="11">
        <v>38.0</v>
      </c>
      <c r="M495" s="13">
        <f t="shared" ref="M495:O495" si="497">IFERROR(G495/F495,"")</f>
        <v>0.08593746054</v>
      </c>
      <c r="N495" s="13">
        <f t="shared" si="497"/>
        <v>1.00284102</v>
      </c>
      <c r="O495" s="14">
        <f t="shared" si="497"/>
        <v>0.03032256804</v>
      </c>
      <c r="P495" s="13">
        <f t="shared" si="3"/>
        <v>0.001953773714</v>
      </c>
      <c r="Q495" s="13">
        <f t="shared" si="4"/>
        <v>0.0001758396343</v>
      </c>
      <c r="R495" s="13">
        <f t="shared" si="5"/>
        <v>0.0007424340113</v>
      </c>
      <c r="S495" s="14">
        <f t="shared" si="6"/>
        <v>0.8999442162</v>
      </c>
      <c r="T495" s="14">
        <f t="shared" si="7"/>
        <v>1.000973405</v>
      </c>
      <c r="U495" s="14">
        <f t="shared" si="8"/>
        <v>0.8460368849</v>
      </c>
    </row>
    <row r="496" ht="15.75" customHeight="1">
      <c r="A496" s="9">
        <v>45757.6319697454</v>
      </c>
      <c r="B496" s="10">
        <v>15.0</v>
      </c>
      <c r="C496" s="10" t="s">
        <v>84</v>
      </c>
      <c r="D496" s="10" t="s">
        <v>1489</v>
      </c>
      <c r="E496" s="12" t="s">
        <v>62</v>
      </c>
      <c r="F496" s="11">
        <v>202180.0</v>
      </c>
      <c r="G496" s="11">
        <v>15291.0</v>
      </c>
      <c r="H496" s="11">
        <v>15301.0</v>
      </c>
      <c r="I496" s="11">
        <v>183.0</v>
      </c>
      <c r="J496" s="11">
        <v>78.0</v>
      </c>
      <c r="K496" s="11">
        <v>4.0</v>
      </c>
      <c r="L496" s="11">
        <v>15.0</v>
      </c>
      <c r="M496" s="13">
        <f t="shared" ref="M496:O496" si="498">IFERROR(G496/F496,"")</f>
        <v>0.07563062617</v>
      </c>
      <c r="N496" s="13">
        <f t="shared" si="498"/>
        <v>1.000653979</v>
      </c>
      <c r="O496" s="14">
        <f t="shared" si="498"/>
        <v>0.01196000261</v>
      </c>
      <c r="P496" s="13">
        <f t="shared" si="3"/>
        <v>0.005097706032</v>
      </c>
      <c r="Q496" s="13">
        <f t="shared" si="4"/>
        <v>0.0002614208222</v>
      </c>
      <c r="R496" s="13">
        <f t="shared" si="5"/>
        <v>0.0009803280831</v>
      </c>
      <c r="S496" s="14">
        <f t="shared" si="6"/>
        <v>0.7292339311</v>
      </c>
      <c r="T496" s="14">
        <f t="shared" si="7"/>
        <v>0.9972325818</v>
      </c>
      <c r="U496" s="14">
        <f t="shared" si="8"/>
        <v>1.369005993</v>
      </c>
    </row>
    <row r="497" ht="15.75" customHeight="1">
      <c r="A497" s="9">
        <v>45776.2170047338</v>
      </c>
      <c r="B497" s="10">
        <v>5.0</v>
      </c>
      <c r="C497" s="10" t="s">
        <v>59</v>
      </c>
      <c r="D497" s="10" t="s">
        <v>1491</v>
      </c>
      <c r="E497" s="12" t="s">
        <v>62</v>
      </c>
      <c r="F497" s="11">
        <v>284575.0</v>
      </c>
      <c r="G497" s="11">
        <v>33535.0</v>
      </c>
      <c r="H497" s="11">
        <v>33751.0</v>
      </c>
      <c r="I497" s="11">
        <v>0.0</v>
      </c>
      <c r="J497" s="11">
        <v>84.0</v>
      </c>
      <c r="K497" s="11">
        <v>4.0</v>
      </c>
      <c r="L497" s="11">
        <v>23.0</v>
      </c>
      <c r="M497" s="13">
        <f t="shared" ref="M497:O497" si="499">IFERROR(G497/F497,"")</f>
        <v>0.1178423966</v>
      </c>
      <c r="N497" s="13">
        <f t="shared" si="499"/>
        <v>1.006441032</v>
      </c>
      <c r="O497" s="14">
        <f t="shared" si="499"/>
        <v>0</v>
      </c>
      <c r="P497" s="13">
        <f t="shared" si="3"/>
        <v>0.002488815146</v>
      </c>
      <c r="Q497" s="13">
        <f t="shared" si="4"/>
        <v>0.000118515007</v>
      </c>
      <c r="R497" s="13">
        <f t="shared" si="5"/>
        <v>0.00068146129</v>
      </c>
      <c r="S497" s="14">
        <f t="shared" si="6"/>
        <v>1.111097268</v>
      </c>
      <c r="T497" s="14">
        <f t="shared" si="7"/>
        <v>1.003075133</v>
      </c>
      <c r="U497" s="14">
        <f t="shared" si="8"/>
        <v>0.6157150899</v>
      </c>
    </row>
    <row r="498" ht="15.75" customHeight="1">
      <c r="A498" s="9">
        <v>45778.3676504282</v>
      </c>
      <c r="B498" s="10">
        <v>8.0</v>
      </c>
      <c r="C498" s="10" t="s">
        <v>84</v>
      </c>
      <c r="D498" s="10" t="s">
        <v>1493</v>
      </c>
      <c r="E498" s="12" t="s">
        <v>62</v>
      </c>
      <c r="F498" s="11">
        <v>502587.0</v>
      </c>
      <c r="G498" s="11">
        <v>53642.0</v>
      </c>
      <c r="H498" s="11">
        <v>53822.0</v>
      </c>
      <c r="I498" s="11">
        <v>0.0</v>
      </c>
      <c r="J498" s="11">
        <v>157.0</v>
      </c>
      <c r="K498" s="11">
        <v>7.0</v>
      </c>
      <c r="L498" s="11">
        <v>23.0</v>
      </c>
      <c r="M498" s="13">
        <f t="shared" ref="M498:O498" si="500">IFERROR(G498/F498,"")</f>
        <v>0.1067317698</v>
      </c>
      <c r="N498" s="13">
        <f t="shared" si="500"/>
        <v>1.00335558</v>
      </c>
      <c r="O498" s="14">
        <f t="shared" si="500"/>
        <v>0</v>
      </c>
      <c r="P498" s="13">
        <f t="shared" si="3"/>
        <v>0.002917022779</v>
      </c>
      <c r="Q498" s="13">
        <f t="shared" si="4"/>
        <v>0.0001300583405</v>
      </c>
      <c r="R498" s="13">
        <f t="shared" si="5"/>
        <v>0.0004273345472</v>
      </c>
      <c r="S498" s="14">
        <f t="shared" si="6"/>
        <v>1.006338816</v>
      </c>
      <c r="T498" s="14">
        <f t="shared" si="7"/>
        <v>1</v>
      </c>
      <c r="U498" s="14">
        <f t="shared" si="8"/>
        <v>0.6756855933</v>
      </c>
    </row>
    <row r="499" ht="15.75" customHeight="1">
      <c r="A499" s="9">
        <v>45783.2811264699</v>
      </c>
      <c r="B499" s="10">
        <v>6.0</v>
      </c>
      <c r="C499" s="10" t="s">
        <v>59</v>
      </c>
      <c r="D499" s="10" t="s">
        <v>1495</v>
      </c>
      <c r="E499" s="12" t="s">
        <v>62</v>
      </c>
      <c r="F499" s="11">
        <v>573537.0</v>
      </c>
      <c r="G499" s="11">
        <v>69240.0</v>
      </c>
      <c r="H499" s="11">
        <v>69421.0</v>
      </c>
      <c r="I499" s="11">
        <v>0.0</v>
      </c>
      <c r="J499" s="11">
        <v>160.0</v>
      </c>
      <c r="K499" s="11">
        <v>16.0</v>
      </c>
      <c r="L499" s="11">
        <v>15.0</v>
      </c>
      <c r="M499" s="13">
        <f t="shared" ref="M499:O499" si="501">IFERROR(G499/F499,"")</f>
        <v>0.1207245566</v>
      </c>
      <c r="N499" s="13">
        <f t="shared" si="501"/>
        <v>1.002614096</v>
      </c>
      <c r="O499" s="14">
        <f t="shared" si="501"/>
        <v>0</v>
      </c>
      <c r="P499" s="13">
        <f t="shared" si="3"/>
        <v>0.002304778093</v>
      </c>
      <c r="Q499" s="13">
        <f t="shared" si="4"/>
        <v>0.0002304778093</v>
      </c>
      <c r="R499" s="13">
        <f t="shared" si="5"/>
        <v>0.0002160729462</v>
      </c>
      <c r="S499" s="14">
        <f t="shared" si="6"/>
        <v>1.138272209</v>
      </c>
      <c r="T499" s="14">
        <f t="shared" si="7"/>
        <v>0.9983174667</v>
      </c>
      <c r="U499" s="14">
        <f t="shared" si="8"/>
        <v>1.197389839</v>
      </c>
    </row>
    <row r="500" ht="15.75" customHeight="1">
      <c r="A500" s="9">
        <v>45785.3162780903</v>
      </c>
      <c r="B500" s="10">
        <v>7.0</v>
      </c>
      <c r="C500" s="10" t="s">
        <v>84</v>
      </c>
      <c r="D500" s="10" t="s">
        <v>1497</v>
      </c>
      <c r="E500" s="12" t="s">
        <v>62</v>
      </c>
      <c r="F500" s="11">
        <v>62075.0</v>
      </c>
      <c r="G500" s="11">
        <v>5915.0</v>
      </c>
      <c r="H500" s="11">
        <v>5921.0</v>
      </c>
      <c r="I500" s="11">
        <v>0.0</v>
      </c>
      <c r="J500" s="11">
        <v>126.0</v>
      </c>
      <c r="K500" s="11">
        <v>0.0</v>
      </c>
      <c r="L500" s="11">
        <v>10.0</v>
      </c>
      <c r="M500" s="13">
        <f t="shared" ref="M500:O500" si="502">IFERROR(G500/F500,"")</f>
        <v>0.09528795812</v>
      </c>
      <c r="N500" s="13">
        <f t="shared" si="502"/>
        <v>1.00101437</v>
      </c>
      <c r="O500" s="14">
        <f t="shared" si="502"/>
        <v>0</v>
      </c>
      <c r="P500" s="13">
        <f t="shared" si="3"/>
        <v>0.02128018916</v>
      </c>
      <c r="Q500" s="13">
        <f t="shared" si="4"/>
        <v>0</v>
      </c>
      <c r="R500" s="13">
        <f t="shared" si="5"/>
        <v>0.001688903901</v>
      </c>
      <c r="S500" s="14">
        <f t="shared" si="6"/>
        <v>0.9115959808</v>
      </c>
      <c r="T500" s="14">
        <f t="shared" si="7"/>
        <v>0.9971953861</v>
      </c>
      <c r="U500" s="14">
        <f t="shared" si="8"/>
        <v>0</v>
      </c>
    </row>
    <row r="501" ht="15.75" customHeight="1">
      <c r="A501" s="9">
        <v>45790.1847220023</v>
      </c>
      <c r="B501" s="10">
        <v>4.0</v>
      </c>
      <c r="C501" s="10" t="s">
        <v>59</v>
      </c>
      <c r="D501" s="10" t="s">
        <v>1499</v>
      </c>
      <c r="E501" s="12" t="s">
        <v>62</v>
      </c>
      <c r="F501" s="11">
        <v>14046.0</v>
      </c>
      <c r="G501" s="11">
        <v>1934.0</v>
      </c>
      <c r="H501" s="11">
        <v>2076.0</v>
      </c>
      <c r="I501" s="11">
        <v>0.0</v>
      </c>
      <c r="J501" s="11">
        <v>25.0</v>
      </c>
      <c r="K501" s="11">
        <v>4.0</v>
      </c>
      <c r="L501" s="11">
        <v>12.0</v>
      </c>
      <c r="M501" s="13">
        <f t="shared" ref="M501:O501" si="503">IFERROR(G501/F501,"")</f>
        <v>0.1376904457</v>
      </c>
      <c r="N501" s="13">
        <f t="shared" si="503"/>
        <v>1.073422958</v>
      </c>
      <c r="O501" s="14">
        <f t="shared" si="503"/>
        <v>0</v>
      </c>
      <c r="P501" s="13">
        <f t="shared" si="3"/>
        <v>0.01204238921</v>
      </c>
      <c r="Q501" s="13">
        <f t="shared" si="4"/>
        <v>0.001926782274</v>
      </c>
      <c r="R501" s="13">
        <f t="shared" si="5"/>
        <v>0.005780346821</v>
      </c>
      <c r="S501" s="14">
        <f t="shared" si="6"/>
        <v>1.298238007</v>
      </c>
      <c r="T501" s="14">
        <f t="shared" si="7"/>
        <v>1.068822882</v>
      </c>
      <c r="U501" s="14">
        <f t="shared" si="8"/>
        <v>10.17148362</v>
      </c>
    </row>
    <row r="502" ht="15.75" customHeight="1">
      <c r="A502" s="9">
        <v>45792.1319822454</v>
      </c>
      <c r="B502" s="10">
        <v>3.0</v>
      </c>
      <c r="C502" s="10" t="s">
        <v>84</v>
      </c>
      <c r="D502" s="10" t="s">
        <v>1501</v>
      </c>
      <c r="E502" s="12" t="s">
        <v>62</v>
      </c>
      <c r="F502" s="11">
        <v>15391.0</v>
      </c>
      <c r="G502" s="11">
        <v>2349.0</v>
      </c>
      <c r="H502" s="11">
        <v>2570.0</v>
      </c>
      <c r="I502" s="11">
        <v>0.0</v>
      </c>
      <c r="J502" s="11">
        <v>39.0</v>
      </c>
      <c r="K502" s="11">
        <v>3.0</v>
      </c>
      <c r="L502" s="11">
        <v>15.0</v>
      </c>
      <c r="M502" s="13">
        <f t="shared" ref="M502:O502" si="504">IFERROR(G502/F502,"")</f>
        <v>0.152621662</v>
      </c>
      <c r="N502" s="13">
        <f t="shared" si="504"/>
        <v>1.094082588</v>
      </c>
      <c r="O502" s="14">
        <f t="shared" si="504"/>
        <v>0</v>
      </c>
      <c r="P502" s="13">
        <f t="shared" si="3"/>
        <v>0.01517509728</v>
      </c>
      <c r="Q502" s="13">
        <f t="shared" si="4"/>
        <v>0.001167315175</v>
      </c>
      <c r="R502" s="13">
        <f t="shared" si="5"/>
        <v>0.005836575875</v>
      </c>
      <c r="S502" s="14">
        <f t="shared" si="6"/>
        <v>1.434473113</v>
      </c>
      <c r="T502" s="14">
        <f t="shared" si="7"/>
        <v>1.089908538</v>
      </c>
      <c r="U502" s="14">
        <f t="shared" si="8"/>
        <v>5.934174523</v>
      </c>
    </row>
    <row r="503" ht="15.75" customHeight="1">
      <c r="A503" s="9">
        <v>45797.2172909954</v>
      </c>
      <c r="B503" s="10">
        <v>5.0</v>
      </c>
      <c r="C503" s="10" t="s">
        <v>59</v>
      </c>
      <c r="D503" s="10" t="s">
        <v>1504</v>
      </c>
      <c r="E503" s="12" t="s">
        <v>62</v>
      </c>
      <c r="F503" s="11">
        <v>186406.0</v>
      </c>
      <c r="G503" s="11">
        <v>34620.0</v>
      </c>
      <c r="H503" s="11">
        <v>34769.0</v>
      </c>
      <c r="I503" s="11">
        <v>0.0</v>
      </c>
      <c r="J503" s="11">
        <v>112.0</v>
      </c>
      <c r="K503" s="11">
        <v>16.0</v>
      </c>
      <c r="L503" s="11">
        <v>18.0</v>
      </c>
      <c r="M503" s="13">
        <f t="shared" ref="M503:O503" si="505">IFERROR(G503/F503,"")</f>
        <v>0.1857236355</v>
      </c>
      <c r="N503" s="13">
        <f t="shared" si="505"/>
        <v>1.004303871</v>
      </c>
      <c r="O503" s="14">
        <f t="shared" si="505"/>
        <v>0</v>
      </c>
      <c r="P503" s="13">
        <f t="shared" si="3"/>
        <v>0.003221260318</v>
      </c>
      <c r="Q503" s="13">
        <f t="shared" si="4"/>
        <v>0.0004601800454</v>
      </c>
      <c r="R503" s="13">
        <f t="shared" si="5"/>
        <v>0.0005177025511</v>
      </c>
      <c r="S503" s="14">
        <f t="shared" si="6"/>
        <v>1.740097028</v>
      </c>
      <c r="T503" s="14">
        <f t="shared" si="7"/>
        <v>1.00094512</v>
      </c>
      <c r="U503" s="14">
        <f t="shared" si="8"/>
        <v>2.255879279</v>
      </c>
    </row>
    <row r="504" ht="15.75" customHeight="1">
      <c r="A504" s="9">
        <v>45799.6913472222</v>
      </c>
      <c r="B504" s="10">
        <v>16.0</v>
      </c>
      <c r="C504" s="10" t="s">
        <v>84</v>
      </c>
      <c r="D504" s="10" t="s">
        <v>1507</v>
      </c>
      <c r="E504" s="12" t="s">
        <v>62</v>
      </c>
      <c r="F504" s="11">
        <v>40750.0</v>
      </c>
      <c r="G504" s="11">
        <v>4765.0</v>
      </c>
      <c r="H504" s="11">
        <v>4904.0</v>
      </c>
      <c r="I504" s="11">
        <v>0.0</v>
      </c>
      <c r="J504" s="11">
        <v>36.0</v>
      </c>
      <c r="K504" s="11">
        <v>4.0</v>
      </c>
      <c r="L504" s="11">
        <v>12.0</v>
      </c>
      <c r="M504" s="13">
        <f t="shared" ref="M504:O504" si="506">IFERROR(G504/F504,"")</f>
        <v>0.1169325153</v>
      </c>
      <c r="N504" s="13">
        <f t="shared" si="506"/>
        <v>1.029171039</v>
      </c>
      <c r="O504" s="14">
        <f t="shared" si="506"/>
        <v>0</v>
      </c>
      <c r="P504" s="13">
        <f t="shared" si="3"/>
        <v>0.007340946166</v>
      </c>
      <c r="Q504" s="13">
        <f t="shared" si="4"/>
        <v>0.0008156606852</v>
      </c>
      <c r="R504" s="13">
        <f t="shared" si="5"/>
        <v>0.002446982055</v>
      </c>
      <c r="S504" s="14">
        <f t="shared" si="6"/>
        <v>1.08765471</v>
      </c>
      <c r="T504" s="14">
        <f t="shared" si="7"/>
        <v>1.025244634</v>
      </c>
      <c r="U504" s="14">
        <f t="shared" si="8"/>
        <v>3.773652169</v>
      </c>
    </row>
    <row r="505" ht="15.75" customHeight="1">
      <c r="A505" s="9">
        <v>45804.2326442708</v>
      </c>
      <c r="B505" s="10">
        <v>5.0</v>
      </c>
      <c r="C505" s="10" t="s">
        <v>59</v>
      </c>
      <c r="D505" s="10" t="s">
        <v>1509</v>
      </c>
      <c r="E505" s="12" t="s">
        <v>62</v>
      </c>
      <c r="F505" s="11">
        <v>301200.0</v>
      </c>
      <c r="G505" s="11">
        <v>33973.0</v>
      </c>
      <c r="H505" s="11">
        <v>34247.0</v>
      </c>
      <c r="I505" s="11">
        <v>0.0</v>
      </c>
      <c r="J505" s="11">
        <v>82.0</v>
      </c>
      <c r="K505" s="11">
        <v>36.0</v>
      </c>
      <c r="L505" s="11">
        <v>19.0</v>
      </c>
      <c r="M505" s="13">
        <f t="shared" ref="M505:O505" si="507">IFERROR(G505/F505,"")</f>
        <v>0.1127921647</v>
      </c>
      <c r="N505" s="13">
        <f t="shared" si="507"/>
        <v>1.008065228</v>
      </c>
      <c r="O505" s="14">
        <f t="shared" si="507"/>
        <v>0</v>
      </c>
      <c r="P505" s="13">
        <f t="shared" si="3"/>
        <v>0.00239437031</v>
      </c>
      <c r="Q505" s="13">
        <f t="shared" si="4"/>
        <v>0.001051186965</v>
      </c>
      <c r="R505" s="13">
        <f t="shared" si="5"/>
        <v>0.0005547931206</v>
      </c>
      <c r="S505" s="14">
        <f t="shared" si="6"/>
        <v>1.041614074</v>
      </c>
      <c r="T505" s="14">
        <f t="shared" si="7"/>
        <v>1.004693898</v>
      </c>
      <c r="U505" s="14">
        <f t="shared" si="8"/>
        <v>4.604390033</v>
      </c>
    </row>
    <row r="506" ht="15.75" customHeight="1">
      <c r="A506" s="9">
        <v>45806.7989315046</v>
      </c>
      <c r="B506" s="10">
        <v>19.0</v>
      </c>
      <c r="C506" s="10" t="s">
        <v>84</v>
      </c>
      <c r="D506" s="10" t="s">
        <v>1512</v>
      </c>
      <c r="E506" s="12" t="s">
        <v>62</v>
      </c>
      <c r="F506" s="11">
        <v>1034647.0</v>
      </c>
      <c r="G506" s="11">
        <v>144410.0</v>
      </c>
      <c r="H506" s="11">
        <v>144701.0</v>
      </c>
      <c r="I506" s="11">
        <v>0.0</v>
      </c>
      <c r="J506" s="11">
        <v>203.0</v>
      </c>
      <c r="K506" s="11">
        <v>11.0</v>
      </c>
      <c r="L506" s="11">
        <v>27.0</v>
      </c>
      <c r="M506" s="13">
        <f t="shared" ref="M506:O506" si="508">IFERROR(G506/F506,"")</f>
        <v>0.1395741736</v>
      </c>
      <c r="N506" s="13">
        <f t="shared" si="508"/>
        <v>1.002015096</v>
      </c>
      <c r="O506" s="14">
        <f t="shared" si="508"/>
        <v>0</v>
      </c>
      <c r="P506" s="13">
        <f t="shared" si="3"/>
        <v>0.001402892862</v>
      </c>
      <c r="Q506" s="13">
        <f t="shared" si="4"/>
        <v>0.00007601882503</v>
      </c>
      <c r="R506" s="13">
        <f t="shared" si="5"/>
        <v>0.0001865916614</v>
      </c>
      <c r="S506" s="14">
        <f t="shared" si="6"/>
        <v>1.288940805</v>
      </c>
      <c r="T506" s="14">
        <f t="shared" si="7"/>
        <v>0.9977210337</v>
      </c>
      <c r="U506" s="14">
        <f t="shared" si="8"/>
        <v>0.3329762752</v>
      </c>
    </row>
    <row r="507" ht="15.75" customHeight="1">
      <c r="A507" s="9">
        <v>45811.1745072338</v>
      </c>
      <c r="B507" s="10">
        <v>4.0</v>
      </c>
      <c r="C507" s="10" t="s">
        <v>59</v>
      </c>
      <c r="D507" s="10" t="s">
        <v>1514</v>
      </c>
      <c r="E507" s="12" t="s">
        <v>62</v>
      </c>
      <c r="F507" s="11">
        <v>304968.0</v>
      </c>
      <c r="G507" s="11">
        <v>29122.0</v>
      </c>
      <c r="H507" s="11">
        <v>29413.0</v>
      </c>
      <c r="I507" s="11">
        <v>0.0</v>
      </c>
      <c r="J507" s="11">
        <v>95.0</v>
      </c>
      <c r="K507" s="11">
        <v>6.0</v>
      </c>
      <c r="L507" s="11">
        <v>22.0</v>
      </c>
      <c r="M507" s="13">
        <f t="shared" ref="M507:O507" si="509">IFERROR(G507/F507,"")</f>
        <v>0.09549198604</v>
      </c>
      <c r="N507" s="13">
        <f t="shared" si="509"/>
        <v>1.009992446</v>
      </c>
      <c r="O507" s="14">
        <f t="shared" si="509"/>
        <v>0</v>
      </c>
      <c r="P507" s="13">
        <f t="shared" si="3"/>
        <v>0.003229864346</v>
      </c>
      <c r="Q507" s="13">
        <f t="shared" si="4"/>
        <v>0.0002039914324</v>
      </c>
      <c r="R507" s="13">
        <f t="shared" si="5"/>
        <v>0.0007479685853</v>
      </c>
      <c r="S507" s="14">
        <f t="shared" si="6"/>
        <v>0.8466189679</v>
      </c>
      <c r="T507" s="14">
        <f t="shared" si="7"/>
        <v>1.005664197</v>
      </c>
      <c r="U507" s="14">
        <f t="shared" si="8"/>
        <v>0.8935195631</v>
      </c>
    </row>
    <row r="508" ht="15.75" customHeight="1">
      <c r="A508" s="9">
        <v>45813.2186552546</v>
      </c>
      <c r="B508" s="10">
        <v>5.0</v>
      </c>
      <c r="C508" s="10" t="s">
        <v>84</v>
      </c>
      <c r="D508" s="10" t="s">
        <v>1516</v>
      </c>
      <c r="E508" s="12" t="s">
        <v>62</v>
      </c>
      <c r="F508" s="11">
        <v>708513.0</v>
      </c>
      <c r="G508" s="11">
        <v>76722.0</v>
      </c>
      <c r="H508" s="11">
        <v>76823.0</v>
      </c>
      <c r="I508" s="11">
        <v>0.0</v>
      </c>
      <c r="J508" s="11">
        <v>289.0</v>
      </c>
      <c r="K508" s="11">
        <v>11.0</v>
      </c>
      <c r="L508" s="11">
        <v>16.0</v>
      </c>
      <c r="M508" s="13">
        <f t="shared" ref="M508:O508" si="510">IFERROR(G508/F508,"")</f>
        <v>0.1082859454</v>
      </c>
      <c r="N508" s="13">
        <f t="shared" si="510"/>
        <v>1.001316441</v>
      </c>
      <c r="O508" s="14">
        <f t="shared" si="510"/>
        <v>0</v>
      </c>
      <c r="P508" s="13">
        <f t="shared" si="3"/>
        <v>0.003761894224</v>
      </c>
      <c r="Q508" s="13">
        <f t="shared" si="4"/>
        <v>0.0001431862854</v>
      </c>
      <c r="R508" s="13">
        <f t="shared" si="5"/>
        <v>0.0002082709605</v>
      </c>
      <c r="S508" s="14">
        <f t="shared" si="6"/>
        <v>0.960048472</v>
      </c>
      <c r="T508" s="14">
        <f t="shared" si="7"/>
        <v>0.9963605682</v>
      </c>
      <c r="U508" s="14">
        <f t="shared" si="8"/>
        <v>0.6212584447</v>
      </c>
    </row>
    <row r="509" ht="15.75" customHeight="1">
      <c r="A509" s="9">
        <v>45818.850993912</v>
      </c>
      <c r="B509" s="10">
        <v>20.0</v>
      </c>
      <c r="C509" s="10" t="s">
        <v>59</v>
      </c>
      <c r="D509" s="10" t="s">
        <v>1518</v>
      </c>
      <c r="E509" s="12" t="s">
        <v>62</v>
      </c>
      <c r="F509" s="11">
        <v>402804.0</v>
      </c>
      <c r="G509" s="11">
        <v>56293.0</v>
      </c>
      <c r="H509" s="11">
        <v>56573.0</v>
      </c>
      <c r="I509" s="11">
        <v>0.0</v>
      </c>
      <c r="J509" s="11">
        <v>149.0</v>
      </c>
      <c r="K509" s="11">
        <v>15.0</v>
      </c>
      <c r="L509" s="11">
        <v>23.0</v>
      </c>
      <c r="M509" s="13">
        <f t="shared" ref="M509:O509" si="511">IFERROR(G509/F509,"")</f>
        <v>0.1397528326</v>
      </c>
      <c r="N509" s="13">
        <f t="shared" si="511"/>
        <v>1.004973975</v>
      </c>
      <c r="O509" s="14">
        <f t="shared" si="511"/>
        <v>0</v>
      </c>
      <c r="P509" s="13">
        <f t="shared" si="3"/>
        <v>0.002633765224</v>
      </c>
      <c r="Q509" s="13">
        <f t="shared" si="4"/>
        <v>0.00026514415</v>
      </c>
      <c r="R509" s="13">
        <f t="shared" si="5"/>
        <v>0.0004065543634</v>
      </c>
      <c r="S509" s="14">
        <f t="shared" si="6"/>
        <v>1.216698464</v>
      </c>
      <c r="T509" s="14">
        <f t="shared" si="7"/>
        <v>0.9995394639</v>
      </c>
      <c r="U509" s="14">
        <f t="shared" si="8"/>
        <v>1.155869147</v>
      </c>
    </row>
    <row r="510" ht="15.75" customHeight="1">
      <c r="A510" s="9">
        <v>45820.2949081019</v>
      </c>
      <c r="B510" s="10">
        <v>7.0</v>
      </c>
      <c r="C510" s="10" t="s">
        <v>84</v>
      </c>
      <c r="D510" s="10" t="s">
        <v>1520</v>
      </c>
      <c r="E510" s="12" t="s">
        <v>62</v>
      </c>
      <c r="F510" s="11">
        <v>202606.0</v>
      </c>
      <c r="G510" s="11">
        <v>18633.0</v>
      </c>
      <c r="H510" s="11">
        <v>18833.0</v>
      </c>
      <c r="I510" s="11">
        <v>0.0</v>
      </c>
      <c r="J510" s="11">
        <v>90.0</v>
      </c>
      <c r="K510" s="11">
        <v>9.0</v>
      </c>
      <c r="L510" s="11">
        <v>14.0</v>
      </c>
      <c r="M510" s="13">
        <f t="shared" ref="M510:O510" si="512">IFERROR(G510/F510,"")</f>
        <v>0.09196667423</v>
      </c>
      <c r="N510" s="13">
        <f t="shared" si="512"/>
        <v>1.010733645</v>
      </c>
      <c r="O510" s="14">
        <f t="shared" si="512"/>
        <v>0</v>
      </c>
      <c r="P510" s="13">
        <f t="shared" si="3"/>
        <v>0.004778845643</v>
      </c>
      <c r="Q510" s="13">
        <f t="shared" si="4"/>
        <v>0.0004778845643</v>
      </c>
      <c r="R510" s="13">
        <f t="shared" si="5"/>
        <v>0.000743375989</v>
      </c>
      <c r="S510" s="14">
        <f t="shared" si="6"/>
        <v>0.8153640326</v>
      </c>
      <c r="T510" s="14">
        <f t="shared" si="7"/>
        <v>1.004805238</v>
      </c>
      <c r="U510" s="14">
        <f t="shared" si="8"/>
        <v>2.09322128</v>
      </c>
    </row>
    <row r="511" ht="15.75" customHeight="1">
      <c r="A511" s="9">
        <v>45825.2651439468</v>
      </c>
      <c r="B511" s="10">
        <v>6.0</v>
      </c>
      <c r="C511" s="10" t="s">
        <v>59</v>
      </c>
      <c r="D511" s="10" t="s">
        <v>1522</v>
      </c>
      <c r="E511" s="12" t="s">
        <v>62</v>
      </c>
      <c r="F511" s="11">
        <v>893609.0</v>
      </c>
      <c r="G511" s="11">
        <v>138582.0</v>
      </c>
      <c r="H511" s="11">
        <v>138989.0</v>
      </c>
      <c r="I511" s="11">
        <v>0.0</v>
      </c>
      <c r="J511" s="11">
        <v>325.0</v>
      </c>
      <c r="K511" s="11">
        <v>10.0</v>
      </c>
      <c r="L511" s="11">
        <v>31.0</v>
      </c>
      <c r="M511" s="13">
        <f t="shared" ref="M511:O511" si="513">IFERROR(G511/F511,"")</f>
        <v>0.1550812492</v>
      </c>
      <c r="N511" s="13">
        <f t="shared" si="513"/>
        <v>1.002936889</v>
      </c>
      <c r="O511" s="14">
        <f t="shared" si="513"/>
        <v>0</v>
      </c>
      <c r="P511" s="13">
        <f t="shared" si="3"/>
        <v>0.002338314543</v>
      </c>
      <c r="Q511" s="13">
        <f t="shared" si="4"/>
        <v>0.00007194813978</v>
      </c>
      <c r="R511" s="13">
        <f t="shared" si="5"/>
        <v>0.0002230392333</v>
      </c>
      <c r="S511" s="14">
        <f t="shared" si="6"/>
        <v>1.374929275</v>
      </c>
      <c r="T511" s="14">
        <f t="shared" si="7"/>
        <v>0.9970542142</v>
      </c>
      <c r="U511" s="14">
        <f t="shared" si="8"/>
        <v>0.3151459337</v>
      </c>
    </row>
    <row r="512" ht="15.75" customHeight="1">
      <c r="A512" s="9">
        <v>45827.0218930787</v>
      </c>
      <c r="B512" s="10">
        <v>0.0</v>
      </c>
      <c r="C512" s="10" t="s">
        <v>84</v>
      </c>
      <c r="D512" s="10" t="s">
        <v>1524</v>
      </c>
      <c r="E512" s="12" t="s">
        <v>62</v>
      </c>
      <c r="F512" s="11">
        <v>534369.0</v>
      </c>
      <c r="G512" s="11">
        <v>53216.0</v>
      </c>
      <c r="H512" s="11">
        <v>53674.0</v>
      </c>
      <c r="I512" s="11">
        <v>0.0</v>
      </c>
      <c r="J512" s="11">
        <v>125.0</v>
      </c>
      <c r="K512" s="11">
        <v>3.0</v>
      </c>
      <c r="L512" s="11">
        <v>27.0</v>
      </c>
      <c r="M512" s="13">
        <f t="shared" ref="M512:O512" si="514">IFERROR(G512/F512,"")</f>
        <v>0.09958661524</v>
      </c>
      <c r="N512" s="13">
        <f t="shared" si="514"/>
        <v>1.008606434</v>
      </c>
      <c r="O512" s="14">
        <f t="shared" si="514"/>
        <v>0</v>
      </c>
      <c r="P512" s="13">
        <f t="shared" si="3"/>
        <v>0.002328874315</v>
      </c>
      <c r="Q512" s="13">
        <f t="shared" si="4"/>
        <v>0.00005589298357</v>
      </c>
      <c r="R512" s="13">
        <f t="shared" si="5"/>
        <v>0.0005030368521</v>
      </c>
      <c r="S512" s="14">
        <f t="shared" si="6"/>
        <v>0.8829213938</v>
      </c>
      <c r="T512" s="14">
        <f t="shared" si="7"/>
        <v>1.002690505</v>
      </c>
      <c r="U512" s="14">
        <f t="shared" si="8"/>
        <v>0.2448214304</v>
      </c>
    </row>
    <row r="513" ht="15.75" customHeight="1">
      <c r="A513" s="9">
        <v>45832.2000222685</v>
      </c>
      <c r="B513" s="10">
        <v>4.0</v>
      </c>
      <c r="C513" s="10" t="s">
        <v>59</v>
      </c>
      <c r="D513" s="10" t="s">
        <v>1526</v>
      </c>
      <c r="E513" s="12" t="s">
        <v>62</v>
      </c>
      <c r="F513" s="11">
        <v>735568.0</v>
      </c>
      <c r="G513" s="11">
        <v>75762.0</v>
      </c>
      <c r="H513" s="11">
        <v>76209.0</v>
      </c>
      <c r="I513" s="11">
        <v>0.0</v>
      </c>
      <c r="J513" s="11">
        <v>199.0</v>
      </c>
      <c r="K513" s="11">
        <v>7.0</v>
      </c>
      <c r="L513" s="11">
        <v>32.0</v>
      </c>
      <c r="M513" s="13">
        <f t="shared" ref="M513:O513" si="515">IFERROR(G513/F513,"")</f>
        <v>0.1029979553</v>
      </c>
      <c r="N513" s="13">
        <f t="shared" si="515"/>
        <v>1.005900055</v>
      </c>
      <c r="O513" s="14">
        <f t="shared" si="515"/>
        <v>0</v>
      </c>
      <c r="P513" s="13">
        <f t="shared" si="3"/>
        <v>0.002611240142</v>
      </c>
      <c r="Q513" s="13">
        <f t="shared" si="4"/>
        <v>0.00009185266832</v>
      </c>
      <c r="R513" s="13">
        <f t="shared" si="5"/>
        <v>0.0004198979123</v>
      </c>
      <c r="S513" s="14">
        <f t="shared" si="6"/>
        <v>0.9215684676</v>
      </c>
      <c r="T513" s="14">
        <f t="shared" si="7"/>
        <v>0.9997311707</v>
      </c>
      <c r="U513" s="14">
        <f t="shared" si="8"/>
        <v>0.4004224319</v>
      </c>
    </row>
    <row r="514" ht="15.75" customHeight="1">
      <c r="A514" s="9">
        <v>45858.5708864931</v>
      </c>
      <c r="B514" s="10">
        <v>13.0</v>
      </c>
      <c r="C514" s="10" t="s">
        <v>77</v>
      </c>
      <c r="D514" s="10" t="s">
        <v>1528</v>
      </c>
      <c r="E514" s="12" t="s">
        <v>62</v>
      </c>
      <c r="F514" s="11">
        <v>433815.0</v>
      </c>
      <c r="G514" s="11">
        <v>83038.0</v>
      </c>
      <c r="H514" s="11">
        <v>71116.0</v>
      </c>
      <c r="I514" s="11">
        <v>0.0</v>
      </c>
      <c r="J514" s="11">
        <v>210.0</v>
      </c>
      <c r="K514" s="11">
        <v>26.0</v>
      </c>
      <c r="L514" s="11">
        <v>24.0</v>
      </c>
      <c r="M514" s="13">
        <f t="shared" ref="M514:O514" si="516">IFERROR(G514/F514,"")</f>
        <v>0.1914133905</v>
      </c>
      <c r="N514" s="13">
        <f t="shared" si="516"/>
        <v>0.8564271779</v>
      </c>
      <c r="O514" s="14">
        <f t="shared" si="516"/>
        <v>0</v>
      </c>
      <c r="P514" s="13">
        <f t="shared" si="3"/>
        <v>0.002952921987</v>
      </c>
      <c r="Q514" s="13">
        <f t="shared" si="4"/>
        <v>0.000365599865</v>
      </c>
      <c r="R514" s="13">
        <f t="shared" si="5"/>
        <v>0.0003374767985</v>
      </c>
      <c r="S514" s="14">
        <f t="shared" si="6"/>
        <v>1.712660649</v>
      </c>
      <c r="T514" s="14">
        <f t="shared" si="7"/>
        <v>0.8502601306</v>
      </c>
      <c r="U514" s="14">
        <f t="shared" si="8"/>
        <v>1.593795692</v>
      </c>
    </row>
    <row r="515" ht="15.75" customHeight="1">
      <c r="A515" s="9">
        <v>45860.483085463</v>
      </c>
      <c r="B515" s="10">
        <v>11.0</v>
      </c>
      <c r="C515" s="10" t="s">
        <v>59</v>
      </c>
      <c r="D515" s="10" t="s">
        <v>1530</v>
      </c>
      <c r="E515" s="12" t="s">
        <v>62</v>
      </c>
      <c r="F515" s="11">
        <v>345886.0</v>
      </c>
      <c r="G515" s="11">
        <v>58770.0</v>
      </c>
      <c r="H515" s="11">
        <v>48182.0</v>
      </c>
      <c r="I515" s="11">
        <v>0.0</v>
      </c>
      <c r="J515" s="11">
        <v>143.0</v>
      </c>
      <c r="K515" s="11">
        <v>11.0</v>
      </c>
      <c r="L515" s="11">
        <v>33.0</v>
      </c>
      <c r="M515" s="13">
        <f t="shared" ref="M515:O515" si="517">IFERROR(G515/F515,"")</f>
        <v>0.1699114737</v>
      </c>
      <c r="N515" s="13">
        <f t="shared" si="517"/>
        <v>0.8198400544</v>
      </c>
      <c r="O515" s="14">
        <f t="shared" si="517"/>
        <v>0</v>
      </c>
      <c r="P515" s="13">
        <f t="shared" si="3"/>
        <v>0.002967913329</v>
      </c>
      <c r="Q515" s="13">
        <f t="shared" si="4"/>
        <v>0.0002283010253</v>
      </c>
      <c r="R515" s="13">
        <f t="shared" si="5"/>
        <v>0.0006849030758</v>
      </c>
      <c r="S515" s="14">
        <f t="shared" si="6"/>
        <v>1.520273446</v>
      </c>
      <c r="T515" s="14">
        <f t="shared" si="7"/>
        <v>0.8139364674</v>
      </c>
      <c r="U515" s="14">
        <f t="shared" si="8"/>
        <v>0.9952552649</v>
      </c>
    </row>
    <row r="516" ht="15.75" customHeight="1">
      <c r="A516" s="9">
        <v>45867.7204780787</v>
      </c>
      <c r="B516" s="10">
        <v>17.0</v>
      </c>
      <c r="C516" s="10" t="s">
        <v>59</v>
      </c>
      <c r="D516" s="10" t="s">
        <v>1532</v>
      </c>
      <c r="E516" s="12" t="s">
        <v>62</v>
      </c>
      <c r="F516" s="11">
        <v>273091.0</v>
      </c>
      <c r="G516" s="11">
        <v>37571.0</v>
      </c>
      <c r="H516" s="11">
        <v>37515.0</v>
      </c>
      <c r="I516" s="11">
        <v>0.0</v>
      </c>
      <c r="J516" s="11">
        <v>133.0</v>
      </c>
      <c r="K516" s="11">
        <v>29.0</v>
      </c>
      <c r="L516" s="11">
        <v>16.0</v>
      </c>
      <c r="M516" s="13">
        <f t="shared" ref="M516:O516" si="518">IFERROR(G516/F516,"")</f>
        <v>0.1375768517</v>
      </c>
      <c r="N516" s="13">
        <f t="shared" si="518"/>
        <v>0.9985094887</v>
      </c>
      <c r="O516" s="14">
        <f t="shared" si="518"/>
        <v>0</v>
      </c>
      <c r="P516" s="13">
        <f t="shared" si="3"/>
        <v>0.003545248567</v>
      </c>
      <c r="Q516" s="13">
        <f t="shared" si="4"/>
        <v>0.0007730241237</v>
      </c>
      <c r="R516" s="13">
        <f t="shared" si="5"/>
        <v>0.0004264960682</v>
      </c>
      <c r="S516" s="14">
        <f t="shared" si="6"/>
        <v>1.203395337</v>
      </c>
      <c r="T516" s="14">
        <f t="shared" si="7"/>
        <v>0.990520713</v>
      </c>
      <c r="U516" s="14">
        <f t="shared" si="8"/>
        <v>3.789493092</v>
      </c>
    </row>
    <row r="517" ht="15.75" customHeight="1">
      <c r="A517" s="9">
        <v>45869.2153190741</v>
      </c>
      <c r="B517" s="10">
        <v>5.0</v>
      </c>
      <c r="C517" s="10" t="s">
        <v>84</v>
      </c>
      <c r="D517" s="10" t="s">
        <v>1534</v>
      </c>
      <c r="E517" s="12" t="s">
        <v>62</v>
      </c>
      <c r="F517" s="11">
        <v>72108.0</v>
      </c>
      <c r="G517" s="11">
        <v>3677.0</v>
      </c>
      <c r="H517" s="11">
        <v>5917.0</v>
      </c>
      <c r="I517" s="11">
        <v>0.0</v>
      </c>
      <c r="J517" s="11">
        <v>74.0</v>
      </c>
      <c r="K517" s="11">
        <v>24.0</v>
      </c>
      <c r="L517" s="11">
        <v>13.0</v>
      </c>
      <c r="M517" s="13">
        <f t="shared" ref="M517:O517" si="519">IFERROR(G517/F517,"")</f>
        <v>0.05099295501</v>
      </c>
      <c r="N517" s="13">
        <f t="shared" si="519"/>
        <v>1.609192276</v>
      </c>
      <c r="O517" s="14">
        <f t="shared" si="519"/>
        <v>0</v>
      </c>
      <c r="P517" s="13">
        <f t="shared" si="3"/>
        <v>0.01250633767</v>
      </c>
      <c r="Q517" s="13">
        <f t="shared" si="4"/>
        <v>0.004056109515</v>
      </c>
      <c r="R517" s="13">
        <f t="shared" si="5"/>
        <v>0.002197059321</v>
      </c>
      <c r="S517" s="14">
        <f t="shared" si="6"/>
        <v>0.446039312</v>
      </c>
      <c r="T517" s="14">
        <f t="shared" si="7"/>
        <v>1.59631761</v>
      </c>
      <c r="U517" s="14">
        <f t="shared" si="8"/>
        <v>17.76649715</v>
      </c>
    </row>
    <row r="518" ht="15.75" customHeight="1">
      <c r="A518" s="9">
        <v>45895.2670527778</v>
      </c>
      <c r="B518" s="10">
        <v>6.0</v>
      </c>
      <c r="C518" s="10" t="s">
        <v>59</v>
      </c>
      <c r="D518" s="10" t="s">
        <v>1536</v>
      </c>
      <c r="E518" s="12" t="s">
        <v>62</v>
      </c>
      <c r="F518" s="11">
        <v>541483.0</v>
      </c>
      <c r="G518" s="11">
        <v>54649.0</v>
      </c>
      <c r="H518" s="11">
        <v>79705.0</v>
      </c>
      <c r="I518" s="11">
        <v>0.0</v>
      </c>
      <c r="J518" s="11">
        <v>162.0</v>
      </c>
      <c r="K518" s="11">
        <v>9.0</v>
      </c>
      <c r="L518" s="11">
        <v>24.0</v>
      </c>
      <c r="M518" s="13">
        <f t="shared" ref="M518:O518" si="520">IFERROR(G518/F518,"")</f>
        <v>0.1009246828</v>
      </c>
      <c r="N518" s="13">
        <f t="shared" si="520"/>
        <v>1.458489634</v>
      </c>
      <c r="O518" s="14">
        <f t="shared" si="520"/>
        <v>0</v>
      </c>
      <c r="P518" s="13">
        <f t="shared" si="3"/>
        <v>0.002032494825</v>
      </c>
      <c r="Q518" s="13">
        <f t="shared" si="4"/>
        <v>0.0001129163791</v>
      </c>
      <c r="R518" s="13">
        <f t="shared" si="5"/>
        <v>0.0003011103444</v>
      </c>
      <c r="S518" s="14">
        <f t="shared" si="6"/>
        <v>0.7226274618</v>
      </c>
      <c r="T518" s="14">
        <f t="shared" si="7"/>
        <v>1.452743406</v>
      </c>
      <c r="U518" s="14">
        <f t="shared" si="8"/>
        <v>0.5788387563</v>
      </c>
    </row>
    <row r="519" ht="15.75" customHeight="1">
      <c r="A519" s="9">
        <v>45897.2791428241</v>
      </c>
      <c r="B519" s="10">
        <v>6.0</v>
      </c>
      <c r="C519" s="10" t="s">
        <v>84</v>
      </c>
      <c r="D519" s="10" t="s">
        <v>1538</v>
      </c>
      <c r="E519" s="12" t="s">
        <v>62</v>
      </c>
      <c r="F519" s="11">
        <v>613577.0</v>
      </c>
      <c r="G519" s="11">
        <v>90506.0</v>
      </c>
      <c r="H519" s="11">
        <v>91321.0</v>
      </c>
      <c r="I519" s="11">
        <v>0.0</v>
      </c>
      <c r="J519" s="11">
        <v>196.0</v>
      </c>
      <c r="K519" s="11">
        <v>17.0</v>
      </c>
      <c r="L519" s="11">
        <v>31.0</v>
      </c>
      <c r="M519" s="13">
        <f t="shared" ref="M519:O519" si="521">IFERROR(G519/F519,"")</f>
        <v>0.1475055291</v>
      </c>
      <c r="N519" s="13">
        <f t="shared" si="521"/>
        <v>1.009004928</v>
      </c>
      <c r="O519" s="14">
        <f t="shared" si="521"/>
        <v>0</v>
      </c>
      <c r="P519" s="13">
        <f t="shared" si="3"/>
        <v>0.002146275227</v>
      </c>
      <c r="Q519" s="13">
        <f t="shared" si="4"/>
        <v>0.0001861565248</v>
      </c>
      <c r="R519" s="13">
        <f t="shared" si="5"/>
        <v>0.0003394618981</v>
      </c>
      <c r="S519" s="14">
        <f t="shared" si="6"/>
        <v>1.055474342</v>
      </c>
      <c r="T519" s="14">
        <f t="shared" si="7"/>
        <v>1.00605027</v>
      </c>
      <c r="U519" s="14">
        <f t="shared" si="8"/>
        <v>1</v>
      </c>
    </row>
    <row r="520" ht="15.75" customHeight="1">
      <c r="A520" s="9">
        <v>45902.4592928588</v>
      </c>
      <c r="B520" s="10">
        <v>11.0</v>
      </c>
      <c r="C520" s="10" t="s">
        <v>59</v>
      </c>
      <c r="D520" s="10" t="s">
        <v>1541</v>
      </c>
      <c r="E520" s="12" t="s">
        <v>62</v>
      </c>
      <c r="F520" s="11">
        <v>1340692.0</v>
      </c>
      <c r="G520" s="11">
        <v>148462.0</v>
      </c>
      <c r="H520" s="11">
        <v>180712.0</v>
      </c>
      <c r="I520" s="11">
        <v>0.0</v>
      </c>
      <c r="J520" s="11">
        <v>307.0</v>
      </c>
      <c r="K520" s="11">
        <v>47.0</v>
      </c>
      <c r="L520" s="11">
        <v>54.0</v>
      </c>
      <c r="M520" s="13">
        <f t="shared" ref="M520:O520" si="522">IFERROR(G520/F520,"")</f>
        <v>0.1107353516</v>
      </c>
      <c r="N520" s="13">
        <f t="shared" si="522"/>
        <v>1.217227304</v>
      </c>
      <c r="O520" s="14">
        <f t="shared" si="522"/>
        <v>0</v>
      </c>
      <c r="P520" s="13">
        <f t="shared" si="3"/>
        <v>0.001698835716</v>
      </c>
      <c r="Q520" s="13">
        <f t="shared" si="4"/>
        <v>0.000260082341</v>
      </c>
      <c r="R520" s="13">
        <f t="shared" si="5"/>
        <v>0.0002988180088</v>
      </c>
      <c r="S520" s="14">
        <f t="shared" si="6"/>
        <v>0.7507200056</v>
      </c>
      <c r="T520" s="14">
        <f t="shared" si="7"/>
        <v>1.21366291</v>
      </c>
      <c r="U520" s="14">
        <f t="shared" si="8"/>
        <v>1.274966982</v>
      </c>
    </row>
    <row r="521" ht="15.75" customHeight="1">
      <c r="A521" s="9">
        <v>45909.495396875</v>
      </c>
      <c r="B521" s="10">
        <v>11.0</v>
      </c>
      <c r="C521" s="10" t="s">
        <v>59</v>
      </c>
      <c r="D521" s="10" t="s">
        <v>1543</v>
      </c>
      <c r="E521" s="12" t="s">
        <v>62</v>
      </c>
      <c r="F521" s="11">
        <v>174334.0</v>
      </c>
      <c r="G521" s="11">
        <v>8002.0</v>
      </c>
      <c r="H521" s="11">
        <v>17942.0</v>
      </c>
      <c r="I521" s="11">
        <v>0.0</v>
      </c>
      <c r="J521" s="11">
        <v>95.0</v>
      </c>
      <c r="K521" s="11">
        <v>3.0</v>
      </c>
      <c r="L521" s="11">
        <v>13.0</v>
      </c>
      <c r="M521" s="13">
        <f t="shared" ref="M521:O521" si="523">IFERROR(G521/F521,"")</f>
        <v>0.04590039809</v>
      </c>
      <c r="N521" s="13">
        <f t="shared" si="523"/>
        <v>2.242189453</v>
      </c>
      <c r="O521" s="14">
        <f t="shared" si="523"/>
        <v>0</v>
      </c>
      <c r="P521" s="13">
        <f t="shared" si="3"/>
        <v>0.005294838925</v>
      </c>
      <c r="Q521" s="13">
        <f t="shared" si="4"/>
        <v>0.0001672054398</v>
      </c>
      <c r="R521" s="13">
        <f t="shared" si="5"/>
        <v>0.0007245569056</v>
      </c>
      <c r="S521" s="14">
        <f t="shared" si="6"/>
        <v>0.2773906672</v>
      </c>
      <c r="T521" s="14">
        <f t="shared" si="7"/>
        <v>2.244711474</v>
      </c>
      <c r="U521" s="14">
        <f t="shared" si="8"/>
        <v>0.6847302808</v>
      </c>
    </row>
    <row r="522" ht="15.75" customHeight="1">
      <c r="A522" s="9">
        <v>45918.2509981019</v>
      </c>
      <c r="B522" s="10">
        <v>6.0</v>
      </c>
      <c r="C522" s="10" t="s">
        <v>84</v>
      </c>
      <c r="D522" s="10" t="s">
        <v>1545</v>
      </c>
      <c r="E522" s="12" t="s">
        <v>62</v>
      </c>
      <c r="F522" s="11">
        <v>120368.0</v>
      </c>
      <c r="G522" s="11">
        <v>10420.0</v>
      </c>
      <c r="H522" s="11">
        <v>12724.0</v>
      </c>
      <c r="I522" s="11">
        <v>0.0</v>
      </c>
      <c r="J522" s="11">
        <v>229.0</v>
      </c>
      <c r="K522" s="11">
        <v>16.0</v>
      </c>
      <c r="L522" s="11">
        <v>21.0</v>
      </c>
      <c r="M522" s="13">
        <f t="shared" ref="M522:O522" si="524">IFERROR(G522/F522,"")</f>
        <v>0.08656785857</v>
      </c>
      <c r="N522" s="13">
        <f t="shared" si="524"/>
        <v>1.221113244</v>
      </c>
      <c r="O522" s="14">
        <f t="shared" si="524"/>
        <v>0</v>
      </c>
      <c r="P522" s="13">
        <f t="shared" si="3"/>
        <v>0.01799748507</v>
      </c>
      <c r="Q522" s="13">
        <f t="shared" si="4"/>
        <v>0.001257466206</v>
      </c>
      <c r="R522" s="13">
        <f t="shared" si="5"/>
        <v>0.001650424395</v>
      </c>
      <c r="S522" s="14">
        <f t="shared" si="6"/>
        <v>0.4573873256</v>
      </c>
      <c r="T522" s="14">
        <f t="shared" si="7"/>
        <v>1.422914136</v>
      </c>
      <c r="U522" s="14">
        <f t="shared" si="8"/>
        <v>4.645080163</v>
      </c>
    </row>
    <row r="523" ht="15.75" customHeight="1">
      <c r="A523" s="9">
        <v>45944.2917668287</v>
      </c>
      <c r="B523" s="10">
        <v>7.0</v>
      </c>
      <c r="C523" s="10" t="s">
        <v>59</v>
      </c>
      <c r="D523" s="10" t="s">
        <v>1547</v>
      </c>
      <c r="E523" s="12" t="s">
        <v>62</v>
      </c>
      <c r="F523" s="11">
        <v>763104.0</v>
      </c>
      <c r="G523" s="11">
        <v>33366.0</v>
      </c>
      <c r="H523" s="11">
        <v>79909.0</v>
      </c>
      <c r="I523" s="11">
        <v>0.0</v>
      </c>
      <c r="J523" s="11">
        <v>87.0</v>
      </c>
      <c r="K523" s="11">
        <v>3.0</v>
      </c>
      <c r="L523" s="11">
        <v>12.0</v>
      </c>
      <c r="M523" s="13">
        <f t="shared" ref="M523:O523" si="525">IFERROR(G523/F523,"")</f>
        <v>0.04372405334</v>
      </c>
      <c r="N523" s="13">
        <f t="shared" si="525"/>
        <v>2.394922975</v>
      </c>
      <c r="O523" s="14">
        <f t="shared" si="525"/>
        <v>0</v>
      </c>
      <c r="P523" s="13">
        <f t="shared" si="3"/>
        <v>0.00108873844</v>
      </c>
      <c r="Q523" s="13">
        <f t="shared" si="4"/>
        <v>0.00003754270483</v>
      </c>
      <c r="R523" s="13">
        <f t="shared" si="5"/>
        <v>0.0001501708193</v>
      </c>
      <c r="S523" s="14">
        <f t="shared" si="6"/>
        <v>0.1507776366</v>
      </c>
      <c r="T523" s="14">
        <f t="shared" si="7"/>
        <v>3.406823559</v>
      </c>
      <c r="U523" s="14">
        <f t="shared" si="8"/>
        <v>0.141459303</v>
      </c>
    </row>
    <row r="524" ht="15.75" customHeight="1">
      <c r="A524" s="9">
        <v>45950.8495133218</v>
      </c>
      <c r="B524" s="10">
        <v>20.0</v>
      </c>
      <c r="C524" s="10" t="s">
        <v>71</v>
      </c>
      <c r="D524" s="10"/>
      <c r="E524" s="12" t="s">
        <v>62</v>
      </c>
      <c r="F524" s="11">
        <v>826230.0</v>
      </c>
      <c r="G524" s="11">
        <v>64297.0</v>
      </c>
      <c r="H524" s="11">
        <v>147076.0</v>
      </c>
      <c r="I524" s="11">
        <v>0.0</v>
      </c>
      <c r="J524" s="11">
        <v>82.0</v>
      </c>
      <c r="K524" s="11">
        <v>21.0</v>
      </c>
      <c r="L524" s="11">
        <v>6.0</v>
      </c>
      <c r="M524" s="13">
        <f t="shared" ref="M524:O524" si="526">IFERROR(G524/F524,"")</f>
        <v>0.07781973542</v>
      </c>
      <c r="N524" s="13">
        <f t="shared" si="526"/>
        <v>2.287447315</v>
      </c>
      <c r="O524" s="14">
        <f t="shared" si="526"/>
        <v>0</v>
      </c>
      <c r="P524" s="13">
        <f t="shared" si="3"/>
        <v>0.0005575348799</v>
      </c>
      <c r="Q524" s="13">
        <f t="shared" si="4"/>
        <v>0.0001427833229</v>
      </c>
      <c r="R524" s="13">
        <f t="shared" si="5"/>
        <v>0.00004079523512</v>
      </c>
      <c r="S524" s="14">
        <f t="shared" si="6"/>
        <v>0.2456311229</v>
      </c>
      <c r="T524" s="14">
        <f t="shared" si="7"/>
        <v>3.347917234</v>
      </c>
      <c r="U524" s="14">
        <f t="shared" si="8"/>
        <v>0.6098929005</v>
      </c>
    </row>
    <row r="525" ht="15.75" customHeight="1">
      <c r="A525" s="9">
        <v>45952.688450382</v>
      </c>
      <c r="B525" s="10">
        <v>16.0</v>
      </c>
      <c r="C525" s="10" t="s">
        <v>80</v>
      </c>
      <c r="D525" s="10"/>
      <c r="E525" s="12" t="s">
        <v>62</v>
      </c>
      <c r="F525" s="11">
        <v>732454.0</v>
      </c>
      <c r="G525" s="11">
        <v>83737.0</v>
      </c>
      <c r="H525" s="11">
        <v>118787.0</v>
      </c>
      <c r="I525" s="11">
        <v>0.0</v>
      </c>
      <c r="J525" s="11">
        <v>91.0</v>
      </c>
      <c r="K525" s="11">
        <v>2.0</v>
      </c>
      <c r="L525" s="11">
        <v>9.0</v>
      </c>
      <c r="M525" s="13">
        <f t="shared" ref="M525:O525" si="527">IFERROR(G525/F525,"")</f>
        <v>0.1143239029</v>
      </c>
      <c r="N525" s="13">
        <f t="shared" si="527"/>
        <v>1.418572435</v>
      </c>
      <c r="O525" s="14">
        <f t="shared" si="527"/>
        <v>0</v>
      </c>
      <c r="P525" s="13">
        <f t="shared" si="3"/>
        <v>0.000766077096</v>
      </c>
      <c r="Q525" s="13">
        <f t="shared" si="4"/>
        <v>0.00001683685925</v>
      </c>
      <c r="R525" s="13">
        <f t="shared" si="5"/>
        <v>0.00007576586664</v>
      </c>
      <c r="S525" s="14">
        <f t="shared" si="6"/>
        <v>0.358130239</v>
      </c>
      <c r="T525" s="14">
        <f t="shared" si="7"/>
        <v>2.086216814</v>
      </c>
      <c r="U525" s="14">
        <f t="shared" si="8"/>
        <v>0.07017602936</v>
      </c>
    </row>
    <row r="526" ht="15.75" customHeight="1">
      <c r="A526" s="9">
        <v>45955.0416653472</v>
      </c>
      <c r="B526" s="10">
        <v>0.0</v>
      </c>
      <c r="C526" s="10" t="s">
        <v>69</v>
      </c>
      <c r="D526" s="10"/>
      <c r="E526" s="12" t="s">
        <v>62</v>
      </c>
      <c r="F526" s="11">
        <v>28656.0</v>
      </c>
      <c r="G526" s="11">
        <v>10621.0</v>
      </c>
      <c r="H526" s="11">
        <v>7222.0</v>
      </c>
      <c r="I526" s="11">
        <v>0.0</v>
      </c>
      <c r="J526" s="11">
        <v>63.0</v>
      </c>
      <c r="K526" s="11">
        <v>1.0</v>
      </c>
      <c r="L526" s="11">
        <v>6.0</v>
      </c>
      <c r="M526" s="13">
        <f t="shared" ref="M526:O526" si="528">IFERROR(G526/F526,"")</f>
        <v>0.3706379118</v>
      </c>
      <c r="N526" s="13">
        <f t="shared" si="528"/>
        <v>0.6799736371</v>
      </c>
      <c r="O526" s="14">
        <f t="shared" si="528"/>
        <v>0</v>
      </c>
      <c r="P526" s="13">
        <f t="shared" si="3"/>
        <v>0.008723345334</v>
      </c>
      <c r="Q526" s="13">
        <f t="shared" si="4"/>
        <v>0.0001384657989</v>
      </c>
      <c r="R526" s="13">
        <f t="shared" si="5"/>
        <v>0.0008307947937</v>
      </c>
      <c r="S526" s="14">
        <f t="shared" si="6"/>
        <v>1.147929387</v>
      </c>
      <c r="T526" s="14">
        <f t="shared" si="7"/>
        <v>1.001542512</v>
      </c>
      <c r="U526" s="14">
        <f t="shared" si="8"/>
        <v>0.5914507802</v>
      </c>
    </row>
    <row r="527" ht="15.75" customHeight="1">
      <c r="A527" s="9">
        <v>45955.2916348843</v>
      </c>
      <c r="B527" s="10">
        <v>6.0</v>
      </c>
      <c r="C527" s="10" t="s">
        <v>69</v>
      </c>
      <c r="D527" s="10"/>
      <c r="E527" s="12" t="s">
        <v>62</v>
      </c>
      <c r="F527" s="11">
        <v>300089.0</v>
      </c>
      <c r="G527" s="11">
        <v>98844.0</v>
      </c>
      <c r="H527" s="11">
        <v>67858.0</v>
      </c>
      <c r="I527" s="11">
        <v>0.0</v>
      </c>
      <c r="J527" s="11">
        <v>160.0</v>
      </c>
      <c r="K527" s="11">
        <v>26.0</v>
      </c>
      <c r="L527" s="11">
        <v>22.0</v>
      </c>
      <c r="M527" s="13">
        <f t="shared" ref="M527:O527" si="529">IFERROR(G527/F527,"")</f>
        <v>0.3293822833</v>
      </c>
      <c r="N527" s="13">
        <f t="shared" si="529"/>
        <v>0.6865161264</v>
      </c>
      <c r="O527" s="14">
        <f t="shared" si="529"/>
        <v>0</v>
      </c>
      <c r="P527" s="13">
        <f t="shared" si="3"/>
        <v>0.002357864953</v>
      </c>
      <c r="Q527" s="13">
        <f t="shared" si="4"/>
        <v>0.0003831530549</v>
      </c>
      <c r="R527" s="13">
        <f t="shared" si="5"/>
        <v>0.0003242064311</v>
      </c>
      <c r="S527" s="14">
        <f t="shared" si="6"/>
        <v>1.020153607</v>
      </c>
      <c r="T527" s="14">
        <f t="shared" si="7"/>
        <v>1.011179034</v>
      </c>
      <c r="U527" s="14">
        <f t="shared" si="8"/>
        <v>1.636622003</v>
      </c>
    </row>
    <row r="528" ht="15.75" customHeight="1">
      <c r="A528" s="9">
        <v>45957.8147027778</v>
      </c>
      <c r="B528" s="10">
        <v>19.0</v>
      </c>
      <c r="C528" s="10" t="s">
        <v>71</v>
      </c>
      <c r="D528" s="10"/>
      <c r="E528" s="12" t="s">
        <v>62</v>
      </c>
      <c r="F528" s="11">
        <v>31285.0</v>
      </c>
      <c r="G528" s="11">
        <v>8923.0</v>
      </c>
      <c r="H528" s="11">
        <v>4473.0</v>
      </c>
      <c r="I528" s="11">
        <v>0.0</v>
      </c>
      <c r="J528" s="11">
        <v>40.0</v>
      </c>
      <c r="K528" s="11">
        <v>3.0</v>
      </c>
      <c r="L528" s="11">
        <v>2.0</v>
      </c>
      <c r="M528" s="13">
        <f t="shared" ref="M528:O528" si="530">IFERROR(G528/F528,"")</f>
        <v>0.2852165575</v>
      </c>
      <c r="N528" s="13">
        <f t="shared" si="530"/>
        <v>0.5012888042</v>
      </c>
      <c r="O528" s="14">
        <f t="shared" si="530"/>
        <v>0</v>
      </c>
      <c r="P528" s="13">
        <f t="shared" si="3"/>
        <v>0.008942544154</v>
      </c>
      <c r="Q528" s="13">
        <f t="shared" si="4"/>
        <v>0.0006706908115</v>
      </c>
      <c r="R528" s="13">
        <f t="shared" si="5"/>
        <v>0.0004471272077</v>
      </c>
      <c r="S528" s="14">
        <f t="shared" si="6"/>
        <v>0.8934673439</v>
      </c>
      <c r="T528" s="14">
        <f t="shared" si="7"/>
        <v>0.7372179991</v>
      </c>
      <c r="U528" s="14">
        <f t="shared" si="8"/>
        <v>3.602832682</v>
      </c>
    </row>
    <row r="529" ht="15.75" customHeight="1">
      <c r="A529" s="9">
        <v>45959.7018093287</v>
      </c>
      <c r="B529" s="10">
        <v>16.0</v>
      </c>
      <c r="C529" s="10" t="s">
        <v>80</v>
      </c>
      <c r="D529" s="10"/>
      <c r="E529" s="12" t="s">
        <v>62</v>
      </c>
      <c r="F529" s="11">
        <v>10485.0</v>
      </c>
      <c r="G529" s="11">
        <v>414.0</v>
      </c>
      <c r="H529" s="11">
        <v>1566.0</v>
      </c>
      <c r="I529" s="11">
        <v>0.0</v>
      </c>
      <c r="J529" s="11">
        <v>21.0</v>
      </c>
      <c r="K529" s="11">
        <v>2.0</v>
      </c>
      <c r="L529" s="11">
        <v>5.0</v>
      </c>
      <c r="M529" s="13">
        <f t="shared" ref="M529:O529" si="531">IFERROR(G529/F529,"")</f>
        <v>0.03948497854</v>
      </c>
      <c r="N529" s="13">
        <f t="shared" si="531"/>
        <v>3.782608696</v>
      </c>
      <c r="O529" s="14">
        <f t="shared" si="531"/>
        <v>0</v>
      </c>
      <c r="P529" s="13">
        <f t="shared" si="3"/>
        <v>0.01340996169</v>
      </c>
      <c r="Q529" s="13">
        <f t="shared" si="4"/>
        <v>0.001277139208</v>
      </c>
      <c r="R529" s="13">
        <f t="shared" si="5"/>
        <v>0.00319284802</v>
      </c>
      <c r="S529" s="14">
        <f t="shared" si="6"/>
        <v>0.1209244588</v>
      </c>
      <c r="T529" s="14">
        <f t="shared" si="7"/>
        <v>5.580063627</v>
      </c>
      <c r="U529" s="14">
        <f t="shared" si="8"/>
        <v>6.860566449</v>
      </c>
    </row>
    <row r="530" ht="15.75" customHeight="1">
      <c r="A530" s="9">
        <v>45961.5962129977</v>
      </c>
      <c r="B530" s="10">
        <v>14.0</v>
      </c>
      <c r="C530" s="10" t="s">
        <v>60</v>
      </c>
      <c r="D530" s="10"/>
      <c r="E530" s="12" t="s">
        <v>62</v>
      </c>
      <c r="F530" s="11">
        <v>8908.0</v>
      </c>
      <c r="G530" s="11">
        <v>771.0</v>
      </c>
      <c r="H530" s="11">
        <v>1370.0</v>
      </c>
      <c r="I530" s="11">
        <v>0.0</v>
      </c>
      <c r="J530" s="11">
        <v>28.0</v>
      </c>
      <c r="K530" s="11">
        <v>4.0</v>
      </c>
      <c r="L530" s="11">
        <v>6.0</v>
      </c>
      <c r="M530" s="13">
        <f t="shared" ref="M530:O530" si="532">IFERROR(G530/F530,"")</f>
        <v>0.08655141446</v>
      </c>
      <c r="N530" s="13">
        <f t="shared" si="532"/>
        <v>1.7769131</v>
      </c>
      <c r="O530" s="14">
        <f t="shared" si="532"/>
        <v>0</v>
      </c>
      <c r="P530" s="13">
        <f t="shared" si="3"/>
        <v>0.0204379562</v>
      </c>
      <c r="Q530" s="13">
        <f t="shared" si="4"/>
        <v>0.002919708029</v>
      </c>
      <c r="R530" s="13">
        <f t="shared" si="5"/>
        <v>0.004379562044</v>
      </c>
      <c r="S530" s="14">
        <f t="shared" si="6"/>
        <v>0.2680646231</v>
      </c>
      <c r="T530" s="14">
        <f t="shared" si="7"/>
        <v>2.671303472</v>
      </c>
      <c r="U530" s="14">
        <f t="shared" si="8"/>
        <v>15.70191204</v>
      </c>
    </row>
    <row r="531" ht="15.75" customHeight="1">
      <c r="A531" s="9">
        <v>45962.7755677778</v>
      </c>
      <c r="B531" s="10">
        <v>18.0</v>
      </c>
      <c r="C531" s="10" t="s">
        <v>69</v>
      </c>
      <c r="D531" s="10"/>
      <c r="E531" s="12" t="s">
        <v>62</v>
      </c>
      <c r="F531" s="11">
        <v>22236.0</v>
      </c>
      <c r="G531" s="11">
        <v>7856.0</v>
      </c>
      <c r="H531" s="11">
        <v>4883.0</v>
      </c>
      <c r="I531" s="11">
        <v>0.0</v>
      </c>
      <c r="J531" s="11">
        <v>84.0</v>
      </c>
      <c r="K531" s="11">
        <v>6.0</v>
      </c>
      <c r="L531" s="11">
        <v>6.0</v>
      </c>
      <c r="M531" s="13">
        <f t="shared" ref="M531:O531" si="533">IFERROR(G531/F531,"")</f>
        <v>0.3533009534</v>
      </c>
      <c r="N531" s="13">
        <f t="shared" si="533"/>
        <v>0.6215631365</v>
      </c>
      <c r="O531" s="14">
        <f t="shared" si="533"/>
        <v>0</v>
      </c>
      <c r="P531" s="13">
        <f t="shared" si="3"/>
        <v>0.01720253942</v>
      </c>
      <c r="Q531" s="13">
        <f t="shared" si="4"/>
        <v>0.001228752816</v>
      </c>
      <c r="R531" s="13">
        <f t="shared" si="5"/>
        <v>0.001228752816</v>
      </c>
      <c r="S531" s="14">
        <f t="shared" si="6"/>
        <v>1.081999489</v>
      </c>
      <c r="T531" s="14">
        <f t="shared" si="7"/>
        <v>0.9525982213</v>
      </c>
      <c r="U531" s="14">
        <f t="shared" si="8"/>
        <v>6.600643288</v>
      </c>
    </row>
    <row r="532" ht="15.75" customHeight="1">
      <c r="A532" s="9">
        <v>45964.8309921991</v>
      </c>
      <c r="B532" s="10">
        <v>19.0</v>
      </c>
      <c r="C532" s="10" t="s">
        <v>71</v>
      </c>
      <c r="D532" s="10"/>
      <c r="E532" s="12" t="s">
        <v>62</v>
      </c>
      <c r="F532" s="11">
        <v>9681.0</v>
      </c>
      <c r="G532" s="11">
        <v>3508.0</v>
      </c>
      <c r="H532" s="11">
        <v>2378.0</v>
      </c>
      <c r="I532" s="11">
        <v>0.0</v>
      </c>
      <c r="J532" s="11">
        <v>51.0</v>
      </c>
      <c r="K532" s="11">
        <v>2.0</v>
      </c>
      <c r="L532" s="11">
        <v>2.0</v>
      </c>
      <c r="M532" s="13">
        <f t="shared" ref="M532:O532" si="534">IFERROR(G532/F532,"")</f>
        <v>0.3623592604</v>
      </c>
      <c r="N532" s="13">
        <f t="shared" si="534"/>
        <v>0.6778791334</v>
      </c>
      <c r="O532" s="14">
        <f t="shared" si="534"/>
        <v>0</v>
      </c>
      <c r="P532" s="13">
        <f t="shared" si="3"/>
        <v>0.02144659378</v>
      </c>
      <c r="Q532" s="13">
        <f t="shared" si="4"/>
        <v>0.0008410428932</v>
      </c>
      <c r="R532" s="13">
        <f t="shared" si="5"/>
        <v>0.0008410428932</v>
      </c>
      <c r="S532" s="14">
        <f t="shared" si="6"/>
        <v>1.10490834</v>
      </c>
      <c r="T532" s="14">
        <f t="shared" si="7"/>
        <v>1.04142583</v>
      </c>
      <c r="U532" s="14">
        <f t="shared" si="8"/>
        <v>3.947819132</v>
      </c>
    </row>
    <row r="533" ht="15.75" customHeight="1">
      <c r="A533" s="9">
        <v>45966.9602461921</v>
      </c>
      <c r="B533" s="10">
        <v>23.0</v>
      </c>
      <c r="C533" s="10" t="s">
        <v>80</v>
      </c>
      <c r="D533" s="10"/>
      <c r="E533" s="12" t="s">
        <v>62</v>
      </c>
      <c r="F533" s="11">
        <v>22179.0</v>
      </c>
      <c r="G533" s="11">
        <v>8162.0</v>
      </c>
      <c r="H533" s="11">
        <v>5299.0</v>
      </c>
      <c r="I533" s="11">
        <v>0.0</v>
      </c>
      <c r="J533" s="11">
        <v>45.0</v>
      </c>
      <c r="K533" s="11">
        <v>0.0</v>
      </c>
      <c r="L533" s="11">
        <v>3.0</v>
      </c>
      <c r="M533" s="13">
        <f t="shared" ref="M533:O533" si="535">IFERROR(G533/F533,"")</f>
        <v>0.3680057712</v>
      </c>
      <c r="N533" s="13">
        <f t="shared" si="535"/>
        <v>0.6492281304</v>
      </c>
      <c r="O533" s="14">
        <f t="shared" si="535"/>
        <v>0</v>
      </c>
      <c r="P533" s="13">
        <f t="shared" si="3"/>
        <v>0.008492168334</v>
      </c>
      <c r="Q533" s="13">
        <f t="shared" si="4"/>
        <v>0</v>
      </c>
      <c r="R533" s="13">
        <f t="shared" si="5"/>
        <v>0.0005661445556</v>
      </c>
      <c r="S533" s="14">
        <f t="shared" si="6"/>
        <v>1.117260369</v>
      </c>
      <c r="T533" s="14">
        <f t="shared" si="7"/>
        <v>0.9998331313</v>
      </c>
      <c r="U533" s="14">
        <f t="shared" si="8"/>
        <v>0</v>
      </c>
    </row>
    <row r="534" ht="15.75" customHeight="1">
      <c r="A534" s="9">
        <v>45967.2083202778</v>
      </c>
      <c r="B534" s="10">
        <v>4.0</v>
      </c>
      <c r="C534" s="10" t="s">
        <v>84</v>
      </c>
      <c r="D534" s="10" t="s">
        <v>1561</v>
      </c>
      <c r="E534" s="12" t="s">
        <v>62</v>
      </c>
      <c r="F534" s="11">
        <v>12676.0</v>
      </c>
      <c r="G534" s="11">
        <v>908.0</v>
      </c>
      <c r="H534" s="11">
        <v>1711.0</v>
      </c>
      <c r="I534" s="11">
        <v>0.0</v>
      </c>
      <c r="J534" s="11">
        <v>29.0</v>
      </c>
      <c r="K534" s="11">
        <v>4.0</v>
      </c>
      <c r="L534" s="11">
        <v>1.0</v>
      </c>
      <c r="M534" s="13">
        <f t="shared" ref="M534:O534" si="536">IFERROR(G534/F534,"")</f>
        <v>0.07163142947</v>
      </c>
      <c r="N534" s="13">
        <f t="shared" si="536"/>
        <v>1.884361233</v>
      </c>
      <c r="O534" s="14">
        <f t="shared" si="536"/>
        <v>0</v>
      </c>
      <c r="P534" s="13">
        <f t="shared" si="3"/>
        <v>0.01694915254</v>
      </c>
      <c r="Q534" s="13">
        <f t="shared" si="4"/>
        <v>0.002337814144</v>
      </c>
      <c r="R534" s="13">
        <f t="shared" si="5"/>
        <v>0.0005844535359</v>
      </c>
      <c r="S534" s="14">
        <f t="shared" si="6"/>
        <v>0.2174720169</v>
      </c>
      <c r="T534" s="14">
        <f t="shared" si="7"/>
        <v>2.901979604</v>
      </c>
      <c r="U534" s="14">
        <f t="shared" si="8"/>
        <v>9.744009351</v>
      </c>
    </row>
    <row r="535" ht="15.75" customHeight="1">
      <c r="A535" s="9">
        <v>45968.0547241898</v>
      </c>
      <c r="B535" s="10">
        <v>1.0</v>
      </c>
      <c r="C535" s="10" t="s">
        <v>60</v>
      </c>
      <c r="D535" s="10"/>
      <c r="E535" s="12" t="s">
        <v>62</v>
      </c>
      <c r="F535" s="11">
        <v>29858.0</v>
      </c>
      <c r="G535" s="11">
        <v>12203.0</v>
      </c>
      <c r="H535" s="11">
        <v>7825.0</v>
      </c>
      <c r="I535" s="11">
        <v>0.0</v>
      </c>
      <c r="J535" s="11">
        <v>57.0</v>
      </c>
      <c r="K535" s="11">
        <v>1.0</v>
      </c>
      <c r="L535" s="11">
        <v>7.0</v>
      </c>
      <c r="M535" s="13">
        <f t="shared" ref="M535:O535" si="537">IFERROR(G535/F535,"")</f>
        <v>0.4087011856</v>
      </c>
      <c r="N535" s="13">
        <f t="shared" si="537"/>
        <v>0.6412357617</v>
      </c>
      <c r="O535" s="14">
        <f t="shared" si="537"/>
        <v>0</v>
      </c>
      <c r="P535" s="13">
        <f t="shared" si="3"/>
        <v>0.007284345048</v>
      </c>
      <c r="Q535" s="13">
        <f t="shared" si="4"/>
        <v>0.0001277955272</v>
      </c>
      <c r="R535" s="13">
        <f t="shared" si="5"/>
        <v>0.0008945686901</v>
      </c>
      <c r="S535" s="14">
        <f t="shared" si="6"/>
        <v>1.246214456</v>
      </c>
      <c r="T535" s="14">
        <f t="shared" si="7"/>
        <v>0.9851306119</v>
      </c>
      <c r="U535" s="14">
        <f t="shared" si="8"/>
        <v>0.5289926062</v>
      </c>
    </row>
    <row r="536" ht="15.75" customHeight="1">
      <c r="A536" s="9">
        <v>45968.7392546644</v>
      </c>
      <c r="B536" s="10">
        <v>17.0</v>
      </c>
      <c r="C536" s="10" t="s">
        <v>60</v>
      </c>
      <c r="D536" s="10"/>
      <c r="E536" s="12" t="s">
        <v>62</v>
      </c>
      <c r="F536" s="11">
        <v>818946.0</v>
      </c>
      <c r="G536" s="11">
        <v>131877.0</v>
      </c>
      <c r="H536" s="11">
        <v>147798.0</v>
      </c>
      <c r="I536" s="11">
        <v>0.0</v>
      </c>
      <c r="J536" s="11">
        <v>194.0</v>
      </c>
      <c r="K536" s="11">
        <v>14.0</v>
      </c>
      <c r="L536" s="11">
        <v>18.0</v>
      </c>
      <c r="M536" s="13">
        <f t="shared" ref="M536:O536" si="538">IFERROR(G536/F536,"")</f>
        <v>0.1610325956</v>
      </c>
      <c r="N536" s="13">
        <f t="shared" si="538"/>
        <v>1.120726131</v>
      </c>
      <c r="O536" s="14">
        <f t="shared" si="538"/>
        <v>0</v>
      </c>
      <c r="P536" s="13">
        <f t="shared" si="3"/>
        <v>0.001312602336</v>
      </c>
      <c r="Q536" s="13">
        <f t="shared" si="4"/>
        <v>0.00009472387989</v>
      </c>
      <c r="R536" s="13">
        <f t="shared" si="5"/>
        <v>0.0001217878456</v>
      </c>
      <c r="S536" s="14">
        <f t="shared" si="6"/>
        <v>0.491021694</v>
      </c>
      <c r="T536" s="14">
        <f t="shared" si="7"/>
        <v>1.72177175</v>
      </c>
      <c r="U536" s="14">
        <f t="shared" si="8"/>
        <v>0.3920969161</v>
      </c>
    </row>
    <row r="537" ht="15.75" customHeight="1">
      <c r="A537" s="9">
        <v>45970.0288403009</v>
      </c>
      <c r="B537" s="10">
        <v>0.0</v>
      </c>
      <c r="C537" s="10" t="s">
        <v>77</v>
      </c>
      <c r="D537" s="10"/>
      <c r="E537" s="12" t="s">
        <v>62</v>
      </c>
      <c r="F537" s="11">
        <v>686473.0</v>
      </c>
      <c r="G537" s="11">
        <v>132176.0</v>
      </c>
      <c r="H537" s="11">
        <v>132076.0</v>
      </c>
      <c r="I537" s="11">
        <v>0.0</v>
      </c>
      <c r="J537" s="11">
        <v>157.0</v>
      </c>
      <c r="K537" s="11">
        <v>3.0</v>
      </c>
      <c r="L537" s="11">
        <v>32.0</v>
      </c>
      <c r="M537" s="13">
        <f t="shared" ref="M537:O537" si="539">IFERROR(G537/F537,"")</f>
        <v>0.1925436252</v>
      </c>
      <c r="N537" s="13">
        <f t="shared" si="539"/>
        <v>0.999243433</v>
      </c>
      <c r="O537" s="14">
        <f t="shared" si="539"/>
        <v>0</v>
      </c>
      <c r="P537" s="13">
        <f t="shared" si="3"/>
        <v>0.001188709531</v>
      </c>
      <c r="Q537" s="13">
        <f t="shared" si="4"/>
        <v>0.00002271419486</v>
      </c>
      <c r="R537" s="13">
        <f t="shared" si="5"/>
        <v>0.0002422847451</v>
      </c>
      <c r="S537" s="14">
        <f t="shared" si="6"/>
        <v>0.58455975</v>
      </c>
      <c r="T537" s="14">
        <f t="shared" si="7"/>
        <v>1.538868456</v>
      </c>
      <c r="U537" s="14">
        <f t="shared" si="8"/>
        <v>0.09338089433</v>
      </c>
    </row>
    <row r="538" ht="15.75" customHeight="1">
      <c r="A538" s="9">
        <v>45971.6114042824</v>
      </c>
      <c r="B538" s="10">
        <v>14.0</v>
      </c>
      <c r="C538" s="10" t="s">
        <v>71</v>
      </c>
      <c r="D538" s="10"/>
      <c r="E538" s="12" t="s">
        <v>62</v>
      </c>
      <c r="F538" s="11">
        <v>406356.0</v>
      </c>
      <c r="G538" s="11">
        <v>104758.0</v>
      </c>
      <c r="H538" s="11">
        <v>74258.0</v>
      </c>
      <c r="I538" s="11">
        <v>0.0</v>
      </c>
      <c r="J538" s="11">
        <v>113.0</v>
      </c>
      <c r="K538" s="11">
        <v>5.0</v>
      </c>
      <c r="L538" s="11">
        <v>9.0</v>
      </c>
      <c r="M538" s="13">
        <f t="shared" ref="M538:O538" si="540">IFERROR(G538/F538,"")</f>
        <v>0.2577985806</v>
      </c>
      <c r="N538" s="13">
        <f t="shared" si="540"/>
        <v>0.7088527845</v>
      </c>
      <c r="O538" s="14">
        <f t="shared" si="540"/>
        <v>0</v>
      </c>
      <c r="P538" s="13">
        <f t="shared" si="3"/>
        <v>0.001521721565</v>
      </c>
      <c r="Q538" s="13">
        <f t="shared" si="4"/>
        <v>0.00006733281263</v>
      </c>
      <c r="R538" s="13">
        <f t="shared" si="5"/>
        <v>0.0001211990627</v>
      </c>
      <c r="S538" s="14">
        <f t="shared" si="6"/>
        <v>0.775874544</v>
      </c>
      <c r="T538" s="14">
        <f t="shared" si="7"/>
        <v>1.089010656</v>
      </c>
      <c r="U538" s="14">
        <f t="shared" si="8"/>
        <v>0.2675521558</v>
      </c>
    </row>
    <row r="539" ht="15.75" customHeight="1">
      <c r="A539" s="9">
        <v>45973.6221804398</v>
      </c>
      <c r="B539" s="10">
        <v>14.0</v>
      </c>
      <c r="C539" s="10" t="s">
        <v>80</v>
      </c>
      <c r="D539" s="10"/>
      <c r="E539" s="12" t="s">
        <v>62</v>
      </c>
      <c r="F539" s="11">
        <v>76801.0</v>
      </c>
      <c r="G539" s="11">
        <v>40007.0</v>
      </c>
      <c r="H539" s="11">
        <v>20573.0</v>
      </c>
      <c r="I539" s="11">
        <v>0.0</v>
      </c>
      <c r="J539" s="11">
        <v>100.0</v>
      </c>
      <c r="K539" s="11">
        <v>3.0</v>
      </c>
      <c r="L539" s="11">
        <v>8.0</v>
      </c>
      <c r="M539" s="13">
        <f t="shared" ref="M539:O539" si="541">IFERROR(G539/F539,"")</f>
        <v>0.5209176964</v>
      </c>
      <c r="N539" s="13">
        <f t="shared" si="541"/>
        <v>0.5142350089</v>
      </c>
      <c r="O539" s="14">
        <f t="shared" si="541"/>
        <v>0</v>
      </c>
      <c r="P539" s="13">
        <f t="shared" si="3"/>
        <v>0.004860739805</v>
      </c>
      <c r="Q539" s="13">
        <f t="shared" si="4"/>
        <v>0.0001458221941</v>
      </c>
      <c r="R539" s="13">
        <f t="shared" si="5"/>
        <v>0.0003888591844</v>
      </c>
      <c r="S539" s="14">
        <f t="shared" si="6"/>
        <v>1.554261457</v>
      </c>
      <c r="T539" s="14">
        <f t="shared" si="7"/>
        <v>0.7881087633</v>
      </c>
      <c r="U539" s="14">
        <f t="shared" si="8"/>
        <v>0.5606770287</v>
      </c>
    </row>
    <row r="540" ht="15.75" customHeight="1">
      <c r="A540" s="9">
        <v>45975.978641088</v>
      </c>
      <c r="B540" s="10">
        <v>23.0</v>
      </c>
      <c r="C540" s="10" t="s">
        <v>60</v>
      </c>
      <c r="D540" s="10"/>
      <c r="E540" s="12" t="s">
        <v>62</v>
      </c>
      <c r="F540" s="11">
        <v>15007.0</v>
      </c>
      <c r="G540" s="11">
        <v>5482.0</v>
      </c>
      <c r="H540" s="11">
        <v>2203.0</v>
      </c>
      <c r="I540" s="11">
        <v>0.0</v>
      </c>
      <c r="J540" s="11">
        <v>69.0</v>
      </c>
      <c r="K540" s="11">
        <v>2.0</v>
      </c>
      <c r="L540" s="11">
        <v>2.0</v>
      </c>
      <c r="M540" s="13">
        <f t="shared" ref="M540:O540" si="542">IFERROR(G540/F540,"")</f>
        <v>0.3652961951</v>
      </c>
      <c r="N540" s="13">
        <f t="shared" si="542"/>
        <v>0.4018606348</v>
      </c>
      <c r="O540" s="14">
        <f t="shared" si="542"/>
        <v>0</v>
      </c>
      <c r="P540" s="13">
        <f t="shared" si="3"/>
        <v>0.03132092601</v>
      </c>
      <c r="Q540" s="13">
        <f t="shared" si="4"/>
        <v>0.0009078529278</v>
      </c>
      <c r="R540" s="13">
        <f t="shared" si="5"/>
        <v>0.0009078529278</v>
      </c>
      <c r="S540" s="14">
        <f t="shared" si="6"/>
        <v>1.099401006</v>
      </c>
      <c r="T540" s="14">
        <f t="shared" si="7"/>
        <v>0.6041329253</v>
      </c>
      <c r="U540" s="14">
        <f t="shared" si="8"/>
        <v>3.607424055</v>
      </c>
    </row>
    <row r="541" ht="15.75" customHeight="1">
      <c r="A541" s="9">
        <v>45976.5671262153</v>
      </c>
      <c r="B541" s="10">
        <v>13.0</v>
      </c>
      <c r="C541" s="10" t="s">
        <v>69</v>
      </c>
      <c r="D541" s="10"/>
      <c r="E541" s="12" t="s">
        <v>62</v>
      </c>
      <c r="F541" s="11">
        <v>7839.0</v>
      </c>
      <c r="G541" s="11">
        <v>248.0</v>
      </c>
      <c r="H541" s="11">
        <v>1081.0</v>
      </c>
      <c r="I541" s="11">
        <v>0.0</v>
      </c>
      <c r="J541" s="11">
        <v>33.0</v>
      </c>
      <c r="K541" s="11">
        <v>2.0</v>
      </c>
      <c r="L541" s="11">
        <v>4.0</v>
      </c>
      <c r="M541" s="13">
        <f t="shared" ref="M541:O541" si="543">IFERROR(G541/F541,"")</f>
        <v>0.03163668835</v>
      </c>
      <c r="N541" s="13">
        <f t="shared" si="543"/>
        <v>4.358870968</v>
      </c>
      <c r="O541" s="14">
        <f t="shared" si="543"/>
        <v>0</v>
      </c>
      <c r="P541" s="13">
        <f t="shared" si="3"/>
        <v>0.03052728955</v>
      </c>
      <c r="Q541" s="13">
        <f t="shared" si="4"/>
        <v>0.00185013876</v>
      </c>
      <c r="R541" s="13">
        <f t="shared" si="5"/>
        <v>0.003700277521</v>
      </c>
      <c r="S541" s="14">
        <f t="shared" si="6"/>
        <v>0.09604854287</v>
      </c>
      <c r="T541" s="14">
        <f t="shared" si="7"/>
        <v>6.430159527</v>
      </c>
      <c r="U541" s="14">
        <f t="shared" si="8"/>
        <v>7.11366544</v>
      </c>
    </row>
    <row r="542" ht="15.75" customHeight="1">
      <c r="A542" s="9">
        <v>45978.426450463</v>
      </c>
      <c r="B542" s="10">
        <v>10.0</v>
      </c>
      <c r="C542" s="10" t="s">
        <v>71</v>
      </c>
      <c r="D542" s="10"/>
      <c r="E542" s="12" t="s">
        <v>62</v>
      </c>
      <c r="F542" s="11">
        <v>58442.0</v>
      </c>
      <c r="G542" s="11">
        <v>26348.0</v>
      </c>
      <c r="H542" s="11">
        <v>11047.0</v>
      </c>
      <c r="I542" s="11">
        <v>0.0</v>
      </c>
      <c r="J542" s="11">
        <v>72.0</v>
      </c>
      <c r="K542" s="11">
        <v>0.0</v>
      </c>
      <c r="L542" s="11">
        <v>10.0</v>
      </c>
      <c r="M542" s="13">
        <f t="shared" ref="M542:O542" si="544">IFERROR(G542/F542,"")</f>
        <v>0.4508401492</v>
      </c>
      <c r="N542" s="13">
        <f t="shared" si="544"/>
        <v>0.4192728101</v>
      </c>
      <c r="O542" s="14">
        <f t="shared" si="544"/>
        <v>0</v>
      </c>
      <c r="P542" s="13">
        <f t="shared" si="3"/>
        <v>0.00651760659</v>
      </c>
      <c r="Q542" s="13">
        <f t="shared" si="4"/>
        <v>0</v>
      </c>
      <c r="R542" s="13">
        <f t="shared" si="5"/>
        <v>0.0009052231375</v>
      </c>
      <c r="S542" s="14">
        <f t="shared" si="6"/>
        <v>1.356855396</v>
      </c>
      <c r="T542" s="14">
        <f t="shared" si="7"/>
        <v>0.6303093344</v>
      </c>
      <c r="U542" s="14">
        <f t="shared" si="8"/>
        <v>0</v>
      </c>
    </row>
    <row r="543" ht="15.75" customHeight="1">
      <c r="A543" s="9">
        <v>45982.8816892477</v>
      </c>
      <c r="B543" s="10">
        <v>21.0</v>
      </c>
      <c r="C543" s="10" t="s">
        <v>60</v>
      </c>
      <c r="D543" s="10"/>
      <c r="E543" s="12" t="s">
        <v>62</v>
      </c>
      <c r="F543" s="11">
        <v>9743.0</v>
      </c>
      <c r="G543" s="11">
        <v>2486.0</v>
      </c>
      <c r="H543" s="11">
        <v>1733.0</v>
      </c>
      <c r="I543" s="11">
        <v>0.0</v>
      </c>
      <c r="J543" s="11">
        <v>49.0</v>
      </c>
      <c r="K543" s="11">
        <v>0.0</v>
      </c>
      <c r="L543" s="11">
        <v>0.0</v>
      </c>
      <c r="M543" s="13">
        <f t="shared" ref="M543:O543" si="545">IFERROR(G543/F543,"")</f>
        <v>0.255157549</v>
      </c>
      <c r="N543" s="13">
        <f t="shared" si="545"/>
        <v>0.6971037812</v>
      </c>
      <c r="O543" s="14">
        <f t="shared" si="545"/>
        <v>0</v>
      </c>
      <c r="P543" s="13">
        <f t="shared" si="3"/>
        <v>0.02827466821</v>
      </c>
      <c r="Q543" s="13">
        <f t="shared" si="4"/>
        <v>0</v>
      </c>
      <c r="R543" s="13">
        <f t="shared" si="5"/>
        <v>0</v>
      </c>
      <c r="S543" s="14">
        <f t="shared" si="6"/>
        <v>0.7537398114</v>
      </c>
      <c r="T543" s="14">
        <f t="shared" si="7"/>
        <v>1.07096066</v>
      </c>
      <c r="U543" s="14">
        <f t="shared" si="8"/>
        <v>0</v>
      </c>
    </row>
    <row r="544" ht="15.75" customHeight="1">
      <c r="A544" s="9">
        <v>45983.7514997454</v>
      </c>
      <c r="B544" s="10">
        <v>18.0</v>
      </c>
      <c r="C544" s="10" t="s">
        <v>69</v>
      </c>
      <c r="D544" s="10"/>
      <c r="E544" s="12" t="s">
        <v>62</v>
      </c>
      <c r="F544" s="11">
        <v>15470.0</v>
      </c>
      <c r="G544" s="11">
        <v>4560.0</v>
      </c>
      <c r="H544" s="11">
        <v>3694.0</v>
      </c>
      <c r="I544" s="11">
        <v>0.0</v>
      </c>
      <c r="J544" s="11">
        <v>61.0</v>
      </c>
      <c r="K544" s="11">
        <v>1.0</v>
      </c>
      <c r="L544" s="11">
        <v>5.0</v>
      </c>
      <c r="M544" s="13">
        <f t="shared" ref="M544:O544" si="546">IFERROR(G544/F544,"")</f>
        <v>0.2947640595</v>
      </c>
      <c r="N544" s="13">
        <f t="shared" si="546"/>
        <v>0.8100877193</v>
      </c>
      <c r="O544" s="14">
        <f t="shared" si="546"/>
        <v>0</v>
      </c>
      <c r="P544" s="13">
        <f t="shared" si="3"/>
        <v>0.01651326475</v>
      </c>
      <c r="Q544" s="13">
        <f t="shared" si="4"/>
        <v>0.0002707092583</v>
      </c>
      <c r="R544" s="13">
        <f t="shared" si="5"/>
        <v>0.001353546291</v>
      </c>
      <c r="S544" s="14">
        <f t="shared" si="6"/>
        <v>0.8621614665</v>
      </c>
      <c r="T544" s="14">
        <f t="shared" si="7"/>
        <v>1.247562302</v>
      </c>
      <c r="U544" s="14">
        <f t="shared" si="8"/>
        <v>1.040859819</v>
      </c>
    </row>
    <row r="545" ht="15.75" customHeight="1">
      <c r="A545" s="9">
        <v>45987.6829792824</v>
      </c>
      <c r="B545" s="10">
        <v>16.0</v>
      </c>
      <c r="C545" s="10" t="s">
        <v>80</v>
      </c>
      <c r="D545" s="10"/>
      <c r="E545" s="12" t="s">
        <v>62</v>
      </c>
      <c r="F545" s="11">
        <v>13678.0</v>
      </c>
      <c r="G545" s="11">
        <v>5501.0</v>
      </c>
      <c r="H545" s="11">
        <v>3572.0</v>
      </c>
      <c r="I545" s="11">
        <v>0.0</v>
      </c>
      <c r="J545" s="11">
        <v>84.0</v>
      </c>
      <c r="K545" s="11">
        <v>0.0</v>
      </c>
      <c r="L545" s="11">
        <v>1.0</v>
      </c>
      <c r="M545" s="13">
        <f t="shared" ref="M545:O545" si="547">IFERROR(G545/F545,"")</f>
        <v>0.4021786811</v>
      </c>
      <c r="N545" s="13">
        <f t="shared" si="547"/>
        <v>0.6493364843</v>
      </c>
      <c r="O545" s="14">
        <f t="shared" si="547"/>
        <v>0</v>
      </c>
      <c r="P545" s="13">
        <f t="shared" si="3"/>
        <v>0.0235162374</v>
      </c>
      <c r="Q545" s="13">
        <f t="shared" si="4"/>
        <v>0</v>
      </c>
      <c r="R545" s="13">
        <f t="shared" si="5"/>
        <v>0.0002799552072</v>
      </c>
      <c r="S545" s="14">
        <f t="shared" si="6"/>
        <v>1.114983803</v>
      </c>
      <c r="T545" s="14">
        <f t="shared" si="7"/>
        <v>1.003622268</v>
      </c>
      <c r="U545" s="14">
        <f t="shared" si="8"/>
        <v>0</v>
      </c>
    </row>
    <row r="546" ht="15.75" customHeight="1">
      <c r="A546" s="9">
        <v>45989.705164456</v>
      </c>
      <c r="B546" s="10">
        <v>16.0</v>
      </c>
      <c r="C546" s="10" t="s">
        <v>60</v>
      </c>
      <c r="D546" s="10"/>
      <c r="E546" s="12" t="s">
        <v>62</v>
      </c>
      <c r="F546" s="11">
        <v>5442.0</v>
      </c>
      <c r="G546" s="11">
        <v>527.0</v>
      </c>
      <c r="H546" s="11">
        <v>682.0</v>
      </c>
      <c r="I546" s="11">
        <v>0.0</v>
      </c>
      <c r="J546" s="11">
        <v>66.0</v>
      </c>
      <c r="K546" s="11">
        <v>2.0</v>
      </c>
      <c r="L546" s="11">
        <v>0.0</v>
      </c>
      <c r="M546" s="13">
        <f t="shared" ref="M546:O546" si="548">IFERROR(G546/F546,"")</f>
        <v>0.09683939728</v>
      </c>
      <c r="N546" s="13">
        <f t="shared" si="548"/>
        <v>1.294117647</v>
      </c>
      <c r="O546" s="14">
        <f t="shared" si="548"/>
        <v>0</v>
      </c>
      <c r="P546" s="13">
        <f t="shared" si="3"/>
        <v>0.09677419355</v>
      </c>
      <c r="Q546" s="13">
        <f t="shared" si="4"/>
        <v>0.00293255132</v>
      </c>
      <c r="R546" s="13">
        <f t="shared" si="5"/>
        <v>0</v>
      </c>
      <c r="S546" s="14">
        <f t="shared" si="6"/>
        <v>0.2672469228</v>
      </c>
      <c r="T546" s="14">
        <f t="shared" si="7"/>
        <v>2.018162</v>
      </c>
      <c r="U546" s="14">
        <f t="shared" si="8"/>
        <v>10.45102639</v>
      </c>
    </row>
    <row r="547" ht="15.75" customHeight="1">
      <c r="A547" s="9">
        <v>45990.6985394792</v>
      </c>
      <c r="B547" s="10">
        <v>16.0</v>
      </c>
      <c r="C547" s="10" t="s">
        <v>69</v>
      </c>
      <c r="D547" s="10"/>
      <c r="E547" s="12" t="s">
        <v>62</v>
      </c>
      <c r="F547" s="11">
        <v>70747.0</v>
      </c>
      <c r="G547" s="11">
        <v>13390.0</v>
      </c>
      <c r="H547" s="11">
        <v>11491.0</v>
      </c>
      <c r="I547" s="11">
        <v>0.0</v>
      </c>
      <c r="J547" s="11">
        <v>107.0</v>
      </c>
      <c r="K547" s="11">
        <v>8.0</v>
      </c>
      <c r="L547" s="11">
        <v>8.0</v>
      </c>
      <c r="M547" s="13">
        <f t="shared" ref="M547:O547" si="549">IFERROR(G547/F547,"")</f>
        <v>0.1892659759</v>
      </c>
      <c r="N547" s="13">
        <f t="shared" si="549"/>
        <v>0.8581777446</v>
      </c>
      <c r="O547" s="14">
        <f t="shared" si="549"/>
        <v>0</v>
      </c>
      <c r="P547" s="13">
        <f t="shared" si="3"/>
        <v>0.009311635193</v>
      </c>
      <c r="Q547" s="13">
        <f t="shared" si="4"/>
        <v>0.0006961970238</v>
      </c>
      <c r="R547" s="13">
        <f t="shared" si="5"/>
        <v>0.0006961970238</v>
      </c>
      <c r="S547" s="14">
        <f t="shared" si="6"/>
        <v>0.5216968643</v>
      </c>
      <c r="T547" s="14">
        <f t="shared" si="7"/>
        <v>1.380676707</v>
      </c>
      <c r="U547" s="14">
        <f t="shared" si="8"/>
        <v>2.481106953</v>
      </c>
    </row>
    <row r="548" ht="15.75" customHeight="1">
      <c r="A548" s="9">
        <v>45992.6806003588</v>
      </c>
      <c r="B548" s="10">
        <v>16.0</v>
      </c>
      <c r="C548" s="10" t="s">
        <v>71</v>
      </c>
      <c r="D548" s="10"/>
      <c r="E548" s="12" t="s">
        <v>62</v>
      </c>
      <c r="F548" s="11">
        <v>39883.0</v>
      </c>
      <c r="G548" s="11">
        <v>20701.0</v>
      </c>
      <c r="H548" s="11">
        <v>7546.0</v>
      </c>
      <c r="I548" s="11">
        <v>0.0</v>
      </c>
      <c r="J548" s="11">
        <v>111.0</v>
      </c>
      <c r="K548" s="11">
        <v>4.0</v>
      </c>
      <c r="L548" s="11">
        <v>2.0</v>
      </c>
      <c r="M548" s="13">
        <f t="shared" ref="M548:O548" si="550">IFERROR(G548/F548,"")</f>
        <v>0.5190432014</v>
      </c>
      <c r="N548" s="13">
        <f t="shared" si="550"/>
        <v>0.364523453</v>
      </c>
      <c r="O548" s="14">
        <f t="shared" si="550"/>
        <v>0</v>
      </c>
      <c r="P548" s="13">
        <f t="shared" si="3"/>
        <v>0.01470978002</v>
      </c>
      <c r="Q548" s="13">
        <f t="shared" si="4"/>
        <v>0.0005300821627</v>
      </c>
      <c r="R548" s="13">
        <f t="shared" si="5"/>
        <v>0.0002650410814</v>
      </c>
      <c r="S548" s="14">
        <f t="shared" si="6"/>
        <v>1.430702001</v>
      </c>
      <c r="T548" s="14">
        <f t="shared" si="7"/>
        <v>0.5864624711</v>
      </c>
      <c r="U548" s="14">
        <f t="shared" si="8"/>
        <v>1.889106812</v>
      </c>
    </row>
    <row r="549" ht="15.75" customHeight="1">
      <c r="A549" s="9">
        <v>45994.5296535185</v>
      </c>
      <c r="B549" s="10">
        <v>12.0</v>
      </c>
      <c r="C549" s="10" t="s">
        <v>80</v>
      </c>
      <c r="D549" s="10"/>
      <c r="E549" s="12" t="s">
        <v>62</v>
      </c>
      <c r="F549" s="11">
        <v>372264.0</v>
      </c>
      <c r="G549" s="11">
        <v>154063.0</v>
      </c>
      <c r="H549" s="11">
        <v>91188.0</v>
      </c>
      <c r="I549" s="11">
        <v>0.0</v>
      </c>
      <c r="J549" s="11">
        <v>242.0</v>
      </c>
      <c r="K549" s="11">
        <v>4.0</v>
      </c>
      <c r="L549" s="11">
        <v>21.0</v>
      </c>
      <c r="M549" s="13">
        <f t="shared" ref="M549:O549" si="551">IFERROR(G549/F549,"")</f>
        <v>0.4138541465</v>
      </c>
      <c r="N549" s="13">
        <f t="shared" si="551"/>
        <v>0.5918877342</v>
      </c>
      <c r="O549" s="14">
        <f t="shared" si="551"/>
        <v>0</v>
      </c>
      <c r="P549" s="13">
        <f t="shared" si="3"/>
        <v>0.002653857964</v>
      </c>
      <c r="Q549" s="13">
        <f t="shared" si="4"/>
        <v>0.00004386542089</v>
      </c>
      <c r="R549" s="13">
        <f t="shared" si="5"/>
        <v>0.0002302934597</v>
      </c>
      <c r="S549" s="14">
        <f t="shared" si="6"/>
        <v>1.141432913</v>
      </c>
      <c r="T549" s="14">
        <f t="shared" si="7"/>
        <v>0.9374219998</v>
      </c>
      <c r="U549" s="14">
        <f t="shared" si="8"/>
        <v>0.1519813969</v>
      </c>
    </row>
    <row r="550" ht="15.75" customHeight="1">
      <c r="A550" s="9">
        <v>45996.5222477894</v>
      </c>
      <c r="B550" s="10">
        <v>12.0</v>
      </c>
      <c r="C550" s="10" t="s">
        <v>60</v>
      </c>
      <c r="D550" s="10"/>
      <c r="E550" s="12" t="s">
        <v>62</v>
      </c>
      <c r="F550" s="11">
        <v>254.0</v>
      </c>
      <c r="G550" s="11">
        <v>5.0</v>
      </c>
      <c r="H550" s="11">
        <v>49.0</v>
      </c>
      <c r="I550" s="11">
        <v>0.0</v>
      </c>
      <c r="J550" s="11">
        <v>2.0</v>
      </c>
      <c r="K550" s="11">
        <v>1.0</v>
      </c>
      <c r="L550" s="11">
        <v>1.0</v>
      </c>
      <c r="M550" s="13">
        <f t="shared" ref="M550:O550" si="552">IFERROR(G550/F550,"")</f>
        <v>0.01968503937</v>
      </c>
      <c r="N550" s="13">
        <f t="shared" si="552"/>
        <v>9.8</v>
      </c>
      <c r="O550" s="14">
        <f t="shared" si="552"/>
        <v>0</v>
      </c>
      <c r="P550" s="13">
        <f t="shared" si="3"/>
        <v>0.04081632653</v>
      </c>
      <c r="Q550" s="13">
        <f t="shared" si="4"/>
        <v>0.02040816327</v>
      </c>
      <c r="R550" s="13">
        <f t="shared" si="5"/>
        <v>0.02040816327</v>
      </c>
      <c r="S550" s="14">
        <f t="shared" si="6"/>
        <v>0.05444903955</v>
      </c>
      <c r="T550" s="14">
        <f t="shared" si="7"/>
        <v>15.44597651</v>
      </c>
      <c r="U550" s="14">
        <f t="shared" si="8"/>
        <v>72.99842709</v>
      </c>
    </row>
    <row r="551" ht="15.75" customHeight="1">
      <c r="A551" s="9">
        <v>45996.7582393171</v>
      </c>
      <c r="B551" s="10">
        <v>18.0</v>
      </c>
      <c r="C551" s="10" t="s">
        <v>60</v>
      </c>
      <c r="D551" s="10"/>
      <c r="E551" s="12" t="s">
        <v>62</v>
      </c>
      <c r="F551" s="11">
        <v>16312.0</v>
      </c>
      <c r="G551" s="11">
        <v>7373.0</v>
      </c>
      <c r="H551" s="11">
        <v>4205.0</v>
      </c>
      <c r="I551" s="11">
        <v>0.0</v>
      </c>
      <c r="J551" s="11">
        <v>129.0</v>
      </c>
      <c r="K551" s="11">
        <v>5.0</v>
      </c>
      <c r="L551" s="11">
        <v>3.0</v>
      </c>
      <c r="M551" s="13">
        <f t="shared" ref="M551:O551" si="553">IFERROR(G551/F551,"")</f>
        <v>0.4519985287</v>
      </c>
      <c r="N551" s="13">
        <f t="shared" si="553"/>
        <v>0.5703241557</v>
      </c>
      <c r="O551" s="14">
        <f t="shared" si="553"/>
        <v>0</v>
      </c>
      <c r="P551" s="13">
        <f t="shared" si="3"/>
        <v>0.03067776457</v>
      </c>
      <c r="Q551" s="13">
        <f t="shared" si="4"/>
        <v>0.001189060642</v>
      </c>
      <c r="R551" s="13">
        <f t="shared" si="5"/>
        <v>0.0007134363853</v>
      </c>
      <c r="S551" s="14">
        <f t="shared" si="6"/>
        <v>1.247376783</v>
      </c>
      <c r="T551" s="14">
        <f t="shared" si="7"/>
        <v>0.9085890238</v>
      </c>
      <c r="U551" s="14">
        <f t="shared" si="8"/>
        <v>4.237574316</v>
      </c>
    </row>
    <row r="552" ht="15.75" customHeight="1">
      <c r="A552" s="9">
        <v>45997.4632827083</v>
      </c>
      <c r="B552" s="10">
        <v>11.0</v>
      </c>
      <c r="C552" s="10" t="s">
        <v>69</v>
      </c>
      <c r="D552" s="10"/>
      <c r="E552" s="12" t="s">
        <v>62</v>
      </c>
      <c r="F552" s="11">
        <v>40788.0</v>
      </c>
      <c r="G552" s="11">
        <v>27162.0</v>
      </c>
      <c r="H552" s="11">
        <v>9949.0</v>
      </c>
      <c r="I552" s="11">
        <v>0.0</v>
      </c>
      <c r="J552" s="11">
        <v>172.0</v>
      </c>
      <c r="K552" s="11">
        <v>1.0</v>
      </c>
      <c r="L552" s="11">
        <v>4.0</v>
      </c>
      <c r="M552" s="13">
        <f t="shared" ref="M552:O552" si="554">IFERROR(G552/F552,"")</f>
        <v>0.6659311562</v>
      </c>
      <c r="N552" s="13">
        <f t="shared" si="554"/>
        <v>0.3662837788</v>
      </c>
      <c r="O552" s="14">
        <f t="shared" si="554"/>
        <v>0</v>
      </c>
      <c r="P552" s="13">
        <f t="shared" si="3"/>
        <v>0.01728816967</v>
      </c>
      <c r="Q552" s="13">
        <f t="shared" si="4"/>
        <v>0.0001005126143</v>
      </c>
      <c r="R552" s="13">
        <f t="shared" si="5"/>
        <v>0.0004020504573</v>
      </c>
      <c r="S552" s="14">
        <f t="shared" si="6"/>
        <v>1.837764972</v>
      </c>
      <c r="T552" s="14">
        <f t="shared" si="7"/>
        <v>0.5835302918</v>
      </c>
      <c r="U552" s="14">
        <f t="shared" si="8"/>
        <v>0.358206855</v>
      </c>
    </row>
    <row r="553" ht="15.75" customHeight="1">
      <c r="A553" s="9">
        <v>45999.5197037153</v>
      </c>
      <c r="B553" s="10">
        <v>12.0</v>
      </c>
      <c r="C553" s="10" t="s">
        <v>71</v>
      </c>
      <c r="D553" s="10"/>
      <c r="E553" s="12" t="s">
        <v>62</v>
      </c>
      <c r="F553" s="11">
        <v>77764.0</v>
      </c>
      <c r="G553" s="11">
        <v>30351.0</v>
      </c>
      <c r="H553" s="11">
        <v>11192.0</v>
      </c>
      <c r="I553" s="11">
        <v>0.0</v>
      </c>
      <c r="J553" s="11">
        <v>156.0</v>
      </c>
      <c r="K553" s="11">
        <v>4.0</v>
      </c>
      <c r="L553" s="11">
        <v>2.0</v>
      </c>
      <c r="M553" s="13">
        <f t="shared" ref="M553:O553" si="555">IFERROR(G553/F553,"")</f>
        <v>0.3902962811</v>
      </c>
      <c r="N553" s="13">
        <f t="shared" si="555"/>
        <v>0.3687522652</v>
      </c>
      <c r="O553" s="14">
        <f t="shared" si="555"/>
        <v>0</v>
      </c>
      <c r="P553" s="13">
        <f t="shared" si="3"/>
        <v>0.01393852752</v>
      </c>
      <c r="Q553" s="13">
        <f t="shared" si="4"/>
        <v>0.0003573981415</v>
      </c>
      <c r="R553" s="13">
        <f t="shared" si="5"/>
        <v>0.0001786990708</v>
      </c>
      <c r="S553" s="14">
        <f t="shared" si="6"/>
        <v>1.076459001</v>
      </c>
      <c r="T553" s="14">
        <f t="shared" si="7"/>
        <v>0.5903501616</v>
      </c>
      <c r="U553" s="14">
        <f t="shared" si="8"/>
        <v>1.238284455</v>
      </c>
    </row>
    <row r="554" ht="15.75" customHeight="1">
      <c r="A554" s="9">
        <v>46001.5140921065</v>
      </c>
      <c r="B554" s="10">
        <v>12.0</v>
      </c>
      <c r="C554" s="10" t="s">
        <v>80</v>
      </c>
      <c r="D554" s="10" t="s">
        <v>1562</v>
      </c>
      <c r="E554" s="12" t="s">
        <v>62</v>
      </c>
      <c r="F554" s="11">
        <v>38620.0</v>
      </c>
      <c r="G554" s="11">
        <v>4947.0</v>
      </c>
      <c r="H554" s="11">
        <v>5451.0</v>
      </c>
      <c r="I554" s="11">
        <v>0.0</v>
      </c>
      <c r="J554" s="11">
        <v>106.0</v>
      </c>
      <c r="K554" s="11">
        <v>6.0</v>
      </c>
      <c r="L554" s="11">
        <v>4.0</v>
      </c>
      <c r="M554" s="13">
        <f t="shared" ref="M554:O554" si="556">IFERROR(G554/F554,"")</f>
        <v>0.1280942517</v>
      </c>
      <c r="N554" s="13">
        <f t="shared" si="556"/>
        <v>1.101879927</v>
      </c>
      <c r="O554" s="14">
        <f t="shared" si="556"/>
        <v>0</v>
      </c>
      <c r="P554" s="13">
        <f t="shared" si="3"/>
        <v>0.01944597322</v>
      </c>
      <c r="Q554" s="13">
        <f t="shared" si="4"/>
        <v>0.001100715465</v>
      </c>
      <c r="R554" s="13">
        <f t="shared" si="5"/>
        <v>0.00073381031</v>
      </c>
      <c r="S554" s="14">
        <f t="shared" si="6"/>
        <v>0.3532911197</v>
      </c>
      <c r="T554" s="14">
        <f t="shared" si="7"/>
        <v>1.764043382</v>
      </c>
      <c r="U554" s="14">
        <f t="shared" si="8"/>
        <v>3.813670782</v>
      </c>
    </row>
    <row r="555" ht="15.75" customHeight="1">
      <c r="A555" s="9">
        <v>46002.507814132</v>
      </c>
      <c r="B555" s="10">
        <v>12.0</v>
      </c>
      <c r="C555" s="10" t="s">
        <v>84</v>
      </c>
      <c r="D555" s="10"/>
      <c r="E555" s="12" t="s">
        <v>62</v>
      </c>
      <c r="F555" s="11">
        <v>5460.0</v>
      </c>
      <c r="G555" s="11">
        <v>2081.0</v>
      </c>
      <c r="H555" s="11">
        <v>1073.0</v>
      </c>
      <c r="I555" s="11">
        <v>0.0</v>
      </c>
      <c r="J555" s="11">
        <v>87.0</v>
      </c>
      <c r="K555" s="11">
        <v>0.0</v>
      </c>
      <c r="L555" s="11">
        <v>2.0</v>
      </c>
      <c r="M555" s="13">
        <f t="shared" ref="M555:O555" si="557">IFERROR(G555/F555,"")</f>
        <v>0.3811355311</v>
      </c>
      <c r="N555" s="13">
        <f t="shared" si="557"/>
        <v>0.5156174916</v>
      </c>
      <c r="O555" s="14">
        <f t="shared" si="557"/>
        <v>0</v>
      </c>
      <c r="P555" s="13">
        <f t="shared" si="3"/>
        <v>0.08108108108</v>
      </c>
      <c r="Q555" s="13">
        <f t="shared" si="4"/>
        <v>0</v>
      </c>
      <c r="R555" s="13">
        <f t="shared" si="5"/>
        <v>0.001863932898</v>
      </c>
      <c r="S555" s="14">
        <f t="shared" si="6"/>
        <v>1.051816727</v>
      </c>
      <c r="T555" s="14">
        <f t="shared" si="7"/>
        <v>0.8214352989</v>
      </c>
      <c r="U555" s="14">
        <f t="shared" si="8"/>
        <v>0</v>
      </c>
    </row>
    <row r="556" ht="15.75" customHeight="1">
      <c r="A556" s="9">
        <v>46003.5488072222</v>
      </c>
      <c r="B556" s="10">
        <v>13.0</v>
      </c>
      <c r="C556" s="10" t="s">
        <v>60</v>
      </c>
      <c r="D556" s="10"/>
      <c r="E556" s="12" t="s">
        <v>62</v>
      </c>
      <c r="F556" s="11">
        <v>3066.0</v>
      </c>
      <c r="G556" s="11">
        <v>209.0</v>
      </c>
      <c r="H556" s="11">
        <v>390.0</v>
      </c>
      <c r="I556" s="11">
        <v>0.0</v>
      </c>
      <c r="J556" s="11">
        <v>53.0</v>
      </c>
      <c r="K556" s="11">
        <v>2.0</v>
      </c>
      <c r="L556" s="11">
        <v>0.0</v>
      </c>
      <c r="M556" s="13">
        <f t="shared" ref="M556:O556" si="558">IFERROR(G556/F556,"")</f>
        <v>0.06816699282</v>
      </c>
      <c r="N556" s="13">
        <f t="shared" si="558"/>
        <v>1.866028708</v>
      </c>
      <c r="O556" s="14">
        <f t="shared" si="558"/>
        <v>0</v>
      </c>
      <c r="P556" s="13">
        <f t="shared" si="3"/>
        <v>0.1358974359</v>
      </c>
      <c r="Q556" s="13">
        <f t="shared" si="4"/>
        <v>0.005128205128</v>
      </c>
      <c r="R556" s="13">
        <f t="shared" si="5"/>
        <v>0</v>
      </c>
      <c r="S556" s="14">
        <f t="shared" si="6"/>
        <v>0.1880083837</v>
      </c>
      <c r="T556" s="14">
        <f t="shared" si="7"/>
        <v>2.987399546</v>
      </c>
      <c r="U556" s="14">
        <f t="shared" si="8"/>
        <v>16.93395272</v>
      </c>
    </row>
    <row r="557" ht="15.75" customHeight="1">
      <c r="A557" s="9">
        <v>46004.5379732523</v>
      </c>
      <c r="B557" s="10">
        <v>12.0</v>
      </c>
      <c r="C557" s="10" t="s">
        <v>69</v>
      </c>
      <c r="D557" s="10"/>
      <c r="E557" s="12" t="s">
        <v>62</v>
      </c>
      <c r="F557" s="11">
        <v>3121.0</v>
      </c>
      <c r="G557" s="11">
        <v>195.0</v>
      </c>
      <c r="H557" s="11">
        <v>399.0</v>
      </c>
      <c r="I557" s="11">
        <v>0.0</v>
      </c>
      <c r="J557" s="11">
        <v>44.0</v>
      </c>
      <c r="K557" s="11">
        <v>3.0</v>
      </c>
      <c r="L557" s="11">
        <v>0.0</v>
      </c>
      <c r="M557" s="13">
        <f t="shared" ref="M557:O557" si="559">IFERROR(G557/F557,"")</f>
        <v>0.06247997437</v>
      </c>
      <c r="N557" s="13">
        <f t="shared" si="559"/>
        <v>2.046153846</v>
      </c>
      <c r="O557" s="14">
        <f t="shared" si="559"/>
        <v>0</v>
      </c>
      <c r="P557" s="13">
        <f t="shared" si="3"/>
        <v>0.1102756892</v>
      </c>
      <c r="Q557" s="13">
        <f t="shared" si="4"/>
        <v>0.007518796992</v>
      </c>
      <c r="R557" s="13">
        <f t="shared" si="5"/>
        <v>0</v>
      </c>
      <c r="S557" s="14">
        <f t="shared" si="6"/>
        <v>0.1722211641</v>
      </c>
      <c r="T557" s="14">
        <f t="shared" si="7"/>
        <v>3.291948518</v>
      </c>
      <c r="U557" s="14">
        <f t="shared" si="8"/>
        <v>25.34586466</v>
      </c>
    </row>
    <row r="558" ht="15.75" customHeight="1">
      <c r="A558" s="9">
        <v>46006.5913912616</v>
      </c>
      <c r="B558" s="10">
        <v>14.0</v>
      </c>
      <c r="C558" s="10" t="s">
        <v>71</v>
      </c>
      <c r="D558" s="10"/>
      <c r="E558" s="12" t="s">
        <v>62</v>
      </c>
      <c r="F558" s="11">
        <v>113533.0</v>
      </c>
      <c r="G558" s="11">
        <v>44635.0</v>
      </c>
      <c r="H558" s="11">
        <v>29124.0</v>
      </c>
      <c r="I558" s="11">
        <v>0.0</v>
      </c>
      <c r="J558" s="11">
        <v>87.0</v>
      </c>
      <c r="K558" s="11">
        <v>9.0</v>
      </c>
      <c r="L558" s="11">
        <v>20.0</v>
      </c>
      <c r="M558" s="13">
        <f t="shared" ref="M558:O558" si="560">IFERROR(G558/F558,"")</f>
        <v>0.3931456052</v>
      </c>
      <c r="N558" s="13">
        <f t="shared" si="560"/>
        <v>0.6524924387</v>
      </c>
      <c r="O558" s="14">
        <f t="shared" si="560"/>
        <v>0</v>
      </c>
      <c r="P558" s="13">
        <f t="shared" si="3"/>
        <v>0.002987227029</v>
      </c>
      <c r="Q558" s="13">
        <f t="shared" si="4"/>
        <v>0.0003090234858</v>
      </c>
      <c r="R558" s="13">
        <f t="shared" si="5"/>
        <v>0.0006867188573</v>
      </c>
      <c r="S558" s="14">
        <f t="shared" si="6"/>
        <v>1.076237887</v>
      </c>
      <c r="T558" s="14">
        <f t="shared" si="7"/>
        <v>1.046208635</v>
      </c>
      <c r="U558" s="14">
        <f t="shared" si="8"/>
        <v>1</v>
      </c>
    </row>
    <row r="559" ht="15.75" customHeight="1">
      <c r="A559" s="9">
        <v>46008.5358749421</v>
      </c>
      <c r="B559" s="10">
        <v>12.0</v>
      </c>
      <c r="C559" s="10" t="s">
        <v>80</v>
      </c>
      <c r="D559" s="10"/>
      <c r="E559" s="12" t="s">
        <v>62</v>
      </c>
      <c r="F559" s="11">
        <v>31228.0</v>
      </c>
      <c r="G559" s="11">
        <v>19203.0</v>
      </c>
      <c r="H559" s="11">
        <v>5923.0</v>
      </c>
      <c r="I559" s="11">
        <v>0.0</v>
      </c>
      <c r="J559" s="11">
        <v>67.0</v>
      </c>
      <c r="K559" s="11">
        <v>1.0</v>
      </c>
      <c r="L559" s="11">
        <v>1.0</v>
      </c>
      <c r="M559" s="13">
        <f t="shared" ref="M559:O559" si="561">IFERROR(G559/F559,"")</f>
        <v>0.61492891</v>
      </c>
      <c r="N559" s="13">
        <f t="shared" si="561"/>
        <v>0.3084413894</v>
      </c>
      <c r="O559" s="14">
        <f t="shared" si="561"/>
        <v>0</v>
      </c>
      <c r="P559" s="13">
        <f t="shared" si="3"/>
        <v>0.01131183522</v>
      </c>
      <c r="Q559" s="13">
        <f t="shared" si="4"/>
        <v>0.0001688333615</v>
      </c>
      <c r="R559" s="13">
        <f t="shared" si="5"/>
        <v>0.0001688333615</v>
      </c>
      <c r="S559" s="14">
        <f t="shared" si="6"/>
        <v>1.683370695</v>
      </c>
      <c r="T559" s="14">
        <f t="shared" si="7"/>
        <v>0.4945559916</v>
      </c>
      <c r="U559" s="14">
        <f t="shared" si="8"/>
        <v>0.5197957116</v>
      </c>
    </row>
    <row r="560" ht="15.75" customHeight="1">
      <c r="A560" s="9">
        <v>46009.9881653241</v>
      </c>
      <c r="B560" s="10">
        <v>23.0</v>
      </c>
      <c r="C560" s="10" t="s">
        <v>84</v>
      </c>
      <c r="D560" s="10"/>
      <c r="E560" s="12" t="s">
        <v>62</v>
      </c>
      <c r="F560" s="11">
        <v>117738.0</v>
      </c>
      <c r="G560" s="11">
        <v>83384.0</v>
      </c>
      <c r="H560" s="11">
        <v>17322.0</v>
      </c>
      <c r="I560" s="11">
        <v>0.0</v>
      </c>
      <c r="J560" s="11">
        <v>119.0</v>
      </c>
      <c r="K560" s="11">
        <v>8.0</v>
      </c>
      <c r="L560" s="11">
        <v>8.0</v>
      </c>
      <c r="M560" s="13">
        <f t="shared" ref="M560:O560" si="562">IFERROR(G560/F560,"")</f>
        <v>0.7082165486</v>
      </c>
      <c r="N560" s="13">
        <f t="shared" si="562"/>
        <v>0.2077376955</v>
      </c>
      <c r="O560" s="14">
        <f t="shared" si="562"/>
        <v>0</v>
      </c>
      <c r="P560" s="13">
        <f t="shared" si="3"/>
        <v>0.006869876458</v>
      </c>
      <c r="Q560" s="13">
        <f t="shared" si="4"/>
        <v>0.0004618404341</v>
      </c>
      <c r="R560" s="13">
        <f t="shared" si="5"/>
        <v>0.0004618404341</v>
      </c>
      <c r="S560" s="14">
        <f t="shared" si="6"/>
        <v>1.92447131</v>
      </c>
      <c r="T560" s="14">
        <f t="shared" si="7"/>
        <v>0.3342181724</v>
      </c>
      <c r="U560" s="14">
        <f t="shared" si="8"/>
        <v>1.421891237</v>
      </c>
    </row>
    <row r="561" ht="15.75" customHeight="1">
      <c r="A561" s="9">
        <v>46010.5486133102</v>
      </c>
      <c r="B561" s="10">
        <v>13.0</v>
      </c>
      <c r="C561" s="10" t="s">
        <v>60</v>
      </c>
      <c r="D561" s="10"/>
      <c r="E561" s="12" t="s">
        <v>62</v>
      </c>
      <c r="F561" s="11">
        <v>202212.0</v>
      </c>
      <c r="G561" s="11">
        <v>64551.0</v>
      </c>
      <c r="H561" s="11">
        <v>50843.0</v>
      </c>
      <c r="I561" s="11">
        <v>0.0</v>
      </c>
      <c r="J561" s="11">
        <v>107.0</v>
      </c>
      <c r="K561" s="11">
        <v>3.0</v>
      </c>
      <c r="L561" s="11">
        <v>21.0</v>
      </c>
      <c r="M561" s="13">
        <f t="shared" ref="M561:O561" si="563">IFERROR(G561/F561,"")</f>
        <v>0.3192243784</v>
      </c>
      <c r="N561" s="13">
        <f t="shared" si="563"/>
        <v>0.7876407802</v>
      </c>
      <c r="O561" s="14">
        <f t="shared" si="563"/>
        <v>0</v>
      </c>
      <c r="P561" s="13">
        <f t="shared" si="3"/>
        <v>0.002104517829</v>
      </c>
      <c r="Q561" s="13">
        <f t="shared" si="4"/>
        <v>0.00005900517279</v>
      </c>
      <c r="R561" s="13">
        <f t="shared" si="5"/>
        <v>0.0004130362095</v>
      </c>
      <c r="S561" s="14">
        <f t="shared" si="6"/>
        <v>0.8643528286</v>
      </c>
      <c r="T561" s="14">
        <f t="shared" si="7"/>
        <v>1.275313336</v>
      </c>
      <c r="U561" s="14">
        <f t="shared" si="8"/>
        <v>0.180362201</v>
      </c>
    </row>
    <row r="562" ht="15.75" customHeight="1">
      <c r="A562" s="9">
        <v>46011.6588358912</v>
      </c>
      <c r="B562" s="10">
        <v>15.0</v>
      </c>
      <c r="C562" s="10" t="s">
        <v>69</v>
      </c>
      <c r="D562" s="10"/>
      <c r="E562" s="12" t="s">
        <v>62</v>
      </c>
      <c r="F562" s="11">
        <v>101675.0</v>
      </c>
      <c r="G562" s="11">
        <v>40137.0</v>
      </c>
      <c r="H562" s="11">
        <v>24630.0</v>
      </c>
      <c r="I562" s="11">
        <v>0.0</v>
      </c>
      <c r="J562" s="11">
        <v>125.0</v>
      </c>
      <c r="K562" s="11">
        <v>8.0</v>
      </c>
      <c r="L562" s="11">
        <v>15.0</v>
      </c>
      <c r="M562" s="13">
        <f t="shared" ref="M562:O562" si="564">IFERROR(G562/F562,"")</f>
        <v>0.3947578067</v>
      </c>
      <c r="N562" s="13">
        <f t="shared" si="564"/>
        <v>0.6136482547</v>
      </c>
      <c r="O562" s="14">
        <f t="shared" si="564"/>
        <v>0</v>
      </c>
      <c r="P562" s="13">
        <f t="shared" si="3"/>
        <v>0.005075111652</v>
      </c>
      <c r="Q562" s="13">
        <f t="shared" si="4"/>
        <v>0.0003248071458</v>
      </c>
      <c r="R562" s="13">
        <f t="shared" si="5"/>
        <v>0.0006090133983</v>
      </c>
      <c r="S562" s="14">
        <f t="shared" si="6"/>
        <v>1.065076707</v>
      </c>
      <c r="T562" s="14">
        <f t="shared" si="7"/>
        <v>1</v>
      </c>
      <c r="U562" s="14">
        <f t="shared" si="8"/>
        <v>0.9857896874</v>
      </c>
    </row>
    <row r="563" ht="15.75" customHeight="1">
      <c r="A563" s="9">
        <v>46013.6224629514</v>
      </c>
      <c r="B563" s="10">
        <v>14.0</v>
      </c>
      <c r="C563" s="10" t="s">
        <v>71</v>
      </c>
      <c r="D563" s="10"/>
      <c r="E563" s="12" t="s">
        <v>62</v>
      </c>
      <c r="F563" s="11">
        <v>19849.0</v>
      </c>
      <c r="G563" s="11">
        <v>12348.0</v>
      </c>
      <c r="H563" s="11">
        <v>5161.0</v>
      </c>
      <c r="I563" s="11">
        <v>0.0</v>
      </c>
      <c r="J563" s="11">
        <v>44.0</v>
      </c>
      <c r="K563" s="11">
        <v>2.0</v>
      </c>
      <c r="L563" s="11">
        <v>2.0</v>
      </c>
      <c r="M563" s="13">
        <f t="shared" ref="M563:O563" si="565">IFERROR(G563/F563,"")</f>
        <v>0.6220968311</v>
      </c>
      <c r="N563" s="13">
        <f t="shared" si="565"/>
        <v>0.4179624231</v>
      </c>
      <c r="O563" s="14">
        <f t="shared" si="565"/>
        <v>0</v>
      </c>
      <c r="P563" s="13">
        <f t="shared" si="3"/>
        <v>0.008525479558</v>
      </c>
      <c r="Q563" s="13">
        <f t="shared" si="4"/>
        <v>0.0003875217981</v>
      </c>
      <c r="R563" s="13">
        <f t="shared" si="5"/>
        <v>0.0003875217981</v>
      </c>
      <c r="S563" s="14">
        <f t="shared" si="6"/>
        <v>1.665398633</v>
      </c>
      <c r="T563" s="14">
        <f t="shared" si="7"/>
        <v>0.683666211</v>
      </c>
      <c r="U563" s="14">
        <f t="shared" si="8"/>
        <v>1.184545035</v>
      </c>
    </row>
    <row r="564" ht="15.75" customHeight="1">
      <c r="A564" s="9">
        <v>46015.4228896875</v>
      </c>
      <c r="B564" s="10">
        <v>10.0</v>
      </c>
      <c r="C564" s="10" t="s">
        <v>80</v>
      </c>
      <c r="D564" s="10"/>
      <c r="E564" s="12" t="s">
        <v>62</v>
      </c>
      <c r="F564" s="11">
        <v>44213.0</v>
      </c>
      <c r="G564" s="11">
        <v>29755.0</v>
      </c>
      <c r="H564" s="11">
        <v>7542.0</v>
      </c>
      <c r="I564" s="11">
        <v>0.0</v>
      </c>
      <c r="J564" s="11">
        <v>53.0</v>
      </c>
      <c r="K564" s="11">
        <v>0.0</v>
      </c>
      <c r="L564" s="11">
        <v>6.0</v>
      </c>
      <c r="M564" s="13">
        <f t="shared" ref="M564:O564" si="566">IFERROR(G564/F564,"")</f>
        <v>0.6729921064</v>
      </c>
      <c r="N564" s="13">
        <f t="shared" si="566"/>
        <v>0.253470005</v>
      </c>
      <c r="O564" s="14">
        <f t="shared" si="566"/>
        <v>0</v>
      </c>
      <c r="P564" s="13">
        <f t="shared" si="3"/>
        <v>0.00702731371</v>
      </c>
      <c r="Q564" s="13">
        <f t="shared" si="4"/>
        <v>0</v>
      </c>
      <c r="R564" s="13">
        <f t="shared" si="5"/>
        <v>0.0007955449483</v>
      </c>
      <c r="S564" s="14">
        <f t="shared" si="6"/>
        <v>1.787748804</v>
      </c>
      <c r="T564" s="14">
        <f t="shared" si="7"/>
        <v>0.4161653771</v>
      </c>
      <c r="U564" s="14">
        <f t="shared" si="8"/>
        <v>0</v>
      </c>
    </row>
    <row r="565" ht="15.75" customHeight="1">
      <c r="A565" s="9">
        <v>46015.5733481134</v>
      </c>
      <c r="B565" s="10">
        <v>13.0</v>
      </c>
      <c r="C565" s="10" t="s">
        <v>80</v>
      </c>
      <c r="D565" s="10"/>
      <c r="E565" s="12" t="s">
        <v>62</v>
      </c>
      <c r="F565" s="11">
        <v>124142.0</v>
      </c>
      <c r="G565" s="11">
        <v>51848.0</v>
      </c>
      <c r="H565" s="11">
        <v>29312.0</v>
      </c>
      <c r="I565" s="11">
        <v>0.0</v>
      </c>
      <c r="J565" s="11">
        <v>86.0</v>
      </c>
      <c r="K565" s="11">
        <v>1.0</v>
      </c>
      <c r="L565" s="11">
        <v>4.0</v>
      </c>
      <c r="M565" s="13">
        <f t="shared" ref="M565:O565" si="567">IFERROR(G565/F565,"")</f>
        <v>0.4176507548</v>
      </c>
      <c r="N565" s="13">
        <f t="shared" si="567"/>
        <v>0.5653448542</v>
      </c>
      <c r="O565" s="14">
        <f t="shared" si="567"/>
        <v>0</v>
      </c>
      <c r="P565" s="13">
        <f t="shared" si="3"/>
        <v>0.002933951965</v>
      </c>
      <c r="Q565" s="13">
        <f t="shared" si="4"/>
        <v>0.00003411572052</v>
      </c>
      <c r="R565" s="13">
        <f t="shared" si="5"/>
        <v>0.0001364628821</v>
      </c>
      <c r="S565" s="14">
        <f t="shared" si="6"/>
        <v>1.118081561</v>
      </c>
      <c r="T565" s="14">
        <f t="shared" si="7"/>
        <v>0.9247414434</v>
      </c>
      <c r="U565" s="14">
        <f t="shared" si="8"/>
        <v>0.1034729354</v>
      </c>
    </row>
    <row r="566" ht="15.75" customHeight="1">
      <c r="A566" s="9">
        <v>46017.3992100116</v>
      </c>
      <c r="B566" s="10">
        <v>9.0</v>
      </c>
      <c r="C566" s="10" t="s">
        <v>60</v>
      </c>
      <c r="D566" s="10"/>
      <c r="E566" s="12" t="s">
        <v>62</v>
      </c>
      <c r="F566" s="11">
        <v>53302.0</v>
      </c>
      <c r="G566" s="11">
        <v>26568.0</v>
      </c>
      <c r="H566" s="11">
        <v>14668.0</v>
      </c>
      <c r="I566" s="11">
        <v>0.0</v>
      </c>
      <c r="J566" s="11">
        <v>55.0</v>
      </c>
      <c r="K566" s="11">
        <v>1.0</v>
      </c>
      <c r="L566" s="11">
        <v>1.0</v>
      </c>
      <c r="M566" s="13">
        <f t="shared" ref="M566:O566" si="568">IFERROR(G566/F566,"")</f>
        <v>0.4984428352</v>
      </c>
      <c r="N566" s="13">
        <f t="shared" si="568"/>
        <v>0.5520927431</v>
      </c>
      <c r="O566" s="14">
        <f t="shared" si="568"/>
        <v>0</v>
      </c>
      <c r="P566" s="13">
        <f t="shared" si="3"/>
        <v>0.003749659122</v>
      </c>
      <c r="Q566" s="13">
        <f t="shared" si="4"/>
        <v>0.0000681756204</v>
      </c>
      <c r="R566" s="13">
        <f t="shared" si="5"/>
        <v>0.0000681756204</v>
      </c>
      <c r="S566" s="14">
        <f t="shared" si="6"/>
        <v>1.324072859</v>
      </c>
      <c r="T566" s="14">
        <f t="shared" si="7"/>
        <v>0.9064657754</v>
      </c>
      <c r="U566" s="14">
        <f t="shared" si="8"/>
        <v>0.2066403054</v>
      </c>
    </row>
    <row r="567" ht="15.75" customHeight="1">
      <c r="A567" s="9">
        <v>46018.4843956134</v>
      </c>
      <c r="B567" s="10">
        <v>11.0</v>
      </c>
      <c r="C567" s="10" t="s">
        <v>69</v>
      </c>
      <c r="D567" s="10"/>
      <c r="E567" s="12" t="s">
        <v>62</v>
      </c>
      <c r="F567" s="11">
        <v>16078.0</v>
      </c>
      <c r="G567" s="11">
        <v>7608.0</v>
      </c>
      <c r="H567" s="11">
        <v>3707.0</v>
      </c>
      <c r="I567" s="11">
        <v>0.0</v>
      </c>
      <c r="J567" s="11">
        <v>54.0</v>
      </c>
      <c r="K567" s="11">
        <v>4.0</v>
      </c>
      <c r="L567" s="11">
        <v>1.0</v>
      </c>
      <c r="M567" s="13">
        <f t="shared" ref="M567:O567" si="569">IFERROR(G567/F567,"")</f>
        <v>0.4731931832</v>
      </c>
      <c r="N567" s="13">
        <f t="shared" si="569"/>
        <v>0.4872502629</v>
      </c>
      <c r="O567" s="14">
        <f t="shared" si="569"/>
        <v>0</v>
      </c>
      <c r="P567" s="13">
        <f t="shared" si="3"/>
        <v>0.01456703534</v>
      </c>
      <c r="Q567" s="13">
        <f t="shared" si="4"/>
        <v>0.001079039655</v>
      </c>
      <c r="R567" s="13">
        <f t="shared" si="5"/>
        <v>0.0002697599137</v>
      </c>
      <c r="S567" s="14">
        <f t="shared" si="6"/>
        <v>1.249219358</v>
      </c>
      <c r="T567" s="14">
        <f t="shared" si="7"/>
        <v>0.8037218425</v>
      </c>
      <c r="U567" s="14">
        <f t="shared" si="8"/>
        <v>3.22220689</v>
      </c>
    </row>
    <row r="568" ht="15.75" customHeight="1">
      <c r="A568" s="9">
        <v>46020.5093552894</v>
      </c>
      <c r="B568" s="10">
        <v>12.0</v>
      </c>
      <c r="C568" s="10" t="s">
        <v>71</v>
      </c>
      <c r="D568" s="10"/>
      <c r="E568" s="12" t="s">
        <v>62</v>
      </c>
      <c r="F568" s="11">
        <v>57389.0</v>
      </c>
      <c r="G568" s="11">
        <v>18739.0</v>
      </c>
      <c r="H568" s="11">
        <v>12124.0</v>
      </c>
      <c r="I568" s="11">
        <v>0.0</v>
      </c>
      <c r="J568" s="11">
        <v>89.0</v>
      </c>
      <c r="K568" s="11">
        <v>4.0</v>
      </c>
      <c r="L568" s="11">
        <v>2.0</v>
      </c>
      <c r="M568" s="13">
        <f t="shared" ref="M568:O568" si="570">IFERROR(G568/F568,"")</f>
        <v>0.3265259893</v>
      </c>
      <c r="N568" s="13">
        <f t="shared" si="570"/>
        <v>0.6469929025</v>
      </c>
      <c r="O568" s="14">
        <f t="shared" si="570"/>
        <v>0</v>
      </c>
      <c r="P568" s="13">
        <f t="shared" si="3"/>
        <v>0.007340811613</v>
      </c>
      <c r="Q568" s="13">
        <f t="shared" si="4"/>
        <v>0.0003299241175</v>
      </c>
      <c r="R568" s="13">
        <f t="shared" si="5"/>
        <v>0.0001649620587</v>
      </c>
      <c r="S568" s="14">
        <f t="shared" si="6"/>
        <v>0.8530760552</v>
      </c>
      <c r="T568" s="14">
        <f t="shared" si="7"/>
        <v>1.067218157</v>
      </c>
      <c r="U568" s="14">
        <f t="shared" si="8"/>
        <v>0.9852128787</v>
      </c>
    </row>
    <row r="569" ht="15.75" customHeight="1">
      <c r="A569" s="9">
        <v>46022.6279231482</v>
      </c>
      <c r="B569" s="10">
        <v>15.0</v>
      </c>
      <c r="C569" s="10" t="s">
        <v>80</v>
      </c>
      <c r="D569" s="10"/>
      <c r="E569" s="12" t="s">
        <v>62</v>
      </c>
      <c r="F569" s="11">
        <v>72147.0</v>
      </c>
      <c r="G569" s="11">
        <v>35765.0</v>
      </c>
      <c r="H569" s="11">
        <v>12825.0</v>
      </c>
      <c r="I569" s="11">
        <v>0.0</v>
      </c>
      <c r="J569" s="11">
        <v>75.0</v>
      </c>
      <c r="K569" s="11">
        <v>1.0</v>
      </c>
      <c r="L569" s="11">
        <v>2.0</v>
      </c>
      <c r="M569" s="13">
        <f t="shared" ref="M569:O569" si="571">IFERROR(G569/F569,"")</f>
        <v>0.4957240079</v>
      </c>
      <c r="N569" s="13">
        <f t="shared" si="571"/>
        <v>0.3585908011</v>
      </c>
      <c r="O569" s="14">
        <f t="shared" si="571"/>
        <v>0</v>
      </c>
      <c r="P569" s="13">
        <f t="shared" si="3"/>
        <v>0.005847953216</v>
      </c>
      <c r="Q569" s="13">
        <f t="shared" si="4"/>
        <v>0.00007797270955</v>
      </c>
      <c r="R569" s="13">
        <f t="shared" si="5"/>
        <v>0.0001559454191</v>
      </c>
      <c r="S569" s="14">
        <f t="shared" si="6"/>
        <v>1.295119822</v>
      </c>
      <c r="T569" s="14">
        <f t="shared" si="7"/>
        <v>0.5914973911</v>
      </c>
      <c r="U569" s="14">
        <f t="shared" si="8"/>
        <v>0.2328405642</v>
      </c>
    </row>
    <row r="570" ht="15.75" customHeight="1">
      <c r="A570" s="9">
        <v>46024.5765165046</v>
      </c>
      <c r="B570" s="10">
        <v>13.0</v>
      </c>
      <c r="C570" s="10" t="s">
        <v>60</v>
      </c>
      <c r="D570" s="10"/>
      <c r="E570" s="12" t="s">
        <v>62</v>
      </c>
      <c r="F570" s="11">
        <v>5375.0</v>
      </c>
      <c r="G570" s="11">
        <v>1248.0</v>
      </c>
      <c r="H570" s="11">
        <v>1085.0</v>
      </c>
      <c r="I570" s="11">
        <v>0.0</v>
      </c>
      <c r="J570" s="11">
        <v>25.0</v>
      </c>
      <c r="K570" s="11">
        <v>0.0</v>
      </c>
      <c r="L570" s="11">
        <v>2.0</v>
      </c>
      <c r="M570" s="13">
        <f t="shared" ref="M570:O570" si="572">IFERROR(G570/F570,"")</f>
        <v>0.2321860465</v>
      </c>
      <c r="N570" s="13">
        <f t="shared" si="572"/>
        <v>0.8693910256</v>
      </c>
      <c r="O570" s="14">
        <f t="shared" si="572"/>
        <v>0</v>
      </c>
      <c r="P570" s="13">
        <f t="shared" si="3"/>
        <v>0.02304147465</v>
      </c>
      <c r="Q570" s="13">
        <f t="shared" si="4"/>
        <v>0</v>
      </c>
      <c r="R570" s="13">
        <f t="shared" si="5"/>
        <v>0.001843317972</v>
      </c>
      <c r="S570" s="14">
        <f t="shared" si="6"/>
        <v>0.6040368059</v>
      </c>
      <c r="T570" s="14">
        <f t="shared" si="7"/>
        <v>1.440762992</v>
      </c>
      <c r="U570" s="14">
        <f t="shared" si="8"/>
        <v>0</v>
      </c>
    </row>
    <row r="571" ht="15.75" customHeight="1">
      <c r="A571" s="9">
        <v>46034.4823982176</v>
      </c>
      <c r="B571" s="10">
        <v>11.0</v>
      </c>
      <c r="C571" s="10" t="s">
        <v>71</v>
      </c>
      <c r="D571" s="10"/>
      <c r="E571" s="12" t="s">
        <v>62</v>
      </c>
      <c r="F571" s="11">
        <v>51286.0</v>
      </c>
      <c r="G571" s="11">
        <v>20533.0</v>
      </c>
      <c r="H571" s="11">
        <v>8828.0</v>
      </c>
      <c r="I571" s="11">
        <v>0.0</v>
      </c>
      <c r="J571" s="11">
        <v>49.0</v>
      </c>
      <c r="K571" s="11">
        <v>3.0</v>
      </c>
      <c r="L571" s="11">
        <v>5.0</v>
      </c>
      <c r="M571" s="13">
        <f t="shared" ref="M571:O571" si="573">IFERROR(G571/F571,"")</f>
        <v>0.4003626721</v>
      </c>
      <c r="N571" s="13">
        <f t="shared" si="573"/>
        <v>0.4299420445</v>
      </c>
      <c r="O571" s="14">
        <f t="shared" si="573"/>
        <v>0</v>
      </c>
      <c r="P571" s="13">
        <f t="shared" si="3"/>
        <v>0.005550521069</v>
      </c>
      <c r="Q571" s="13">
        <f t="shared" si="4"/>
        <v>0.0003398278206</v>
      </c>
      <c r="R571" s="13">
        <f t="shared" si="5"/>
        <v>0.000566379701</v>
      </c>
      <c r="S571" s="14">
        <f t="shared" si="6"/>
        <v>1.02648896</v>
      </c>
      <c r="T571" s="14">
        <f t="shared" si="7"/>
        <v>0.7281538925</v>
      </c>
      <c r="U571" s="14">
        <f t="shared" si="8"/>
        <v>0.9899184413</v>
      </c>
    </row>
    <row r="572" ht="15.75" customHeight="1">
      <c r="A572" s="9">
        <v>46035.6235733333</v>
      </c>
      <c r="B572" s="10">
        <v>14.0</v>
      </c>
      <c r="C572" s="10" t="s">
        <v>59</v>
      </c>
      <c r="D572" s="10" t="s">
        <v>1563</v>
      </c>
      <c r="E572" s="12" t="s">
        <v>62</v>
      </c>
      <c r="F572" s="11">
        <v>3929.0</v>
      </c>
      <c r="G572" s="11">
        <v>466.0</v>
      </c>
      <c r="H572" s="11">
        <v>416.0</v>
      </c>
      <c r="I572" s="11">
        <v>0.0</v>
      </c>
      <c r="J572" s="11">
        <v>23.0</v>
      </c>
      <c r="K572" s="11">
        <v>0.0</v>
      </c>
      <c r="L572" s="11">
        <v>1.0</v>
      </c>
      <c r="M572" s="13">
        <f t="shared" ref="M572:O572" si="574">IFERROR(G572/F572,"")</f>
        <v>0.1186052431</v>
      </c>
      <c r="N572" s="13">
        <f t="shared" si="574"/>
        <v>0.8927038627</v>
      </c>
      <c r="O572" s="14">
        <f t="shared" si="574"/>
        <v>0</v>
      </c>
      <c r="P572" s="13">
        <f t="shared" si="3"/>
        <v>0.05528846154</v>
      </c>
      <c r="Q572" s="13">
        <f t="shared" si="4"/>
        <v>0</v>
      </c>
      <c r="R572" s="13">
        <f t="shared" si="5"/>
        <v>0.002403846154</v>
      </c>
      <c r="S572" s="14">
        <f t="shared" si="6"/>
        <v>0.3047497056</v>
      </c>
      <c r="T572" s="14">
        <f t="shared" si="7"/>
        <v>1.532739978</v>
      </c>
      <c r="U572" s="14">
        <f t="shared" si="8"/>
        <v>0</v>
      </c>
    </row>
    <row r="573" ht="15.75" customHeight="1">
      <c r="A573" s="9">
        <v>46035.624596412</v>
      </c>
      <c r="B573" s="10">
        <v>14.0</v>
      </c>
      <c r="C573" s="10" t="s">
        <v>59</v>
      </c>
      <c r="D573" s="10"/>
      <c r="E573" s="12" t="s">
        <v>62</v>
      </c>
      <c r="F573" s="11">
        <v>168253.0</v>
      </c>
      <c r="G573" s="11">
        <v>42418.0</v>
      </c>
      <c r="H573" s="11">
        <v>33011.0</v>
      </c>
      <c r="I573" s="11">
        <v>0.0</v>
      </c>
      <c r="J573" s="11">
        <v>80.0</v>
      </c>
      <c r="K573" s="11">
        <v>1.0</v>
      </c>
      <c r="L573" s="11">
        <v>2.0</v>
      </c>
      <c r="M573" s="13">
        <f t="shared" ref="M573:O573" si="575">IFERROR(G573/F573,"")</f>
        <v>0.2521084319</v>
      </c>
      <c r="N573" s="13">
        <f t="shared" si="575"/>
        <v>0.7782309397</v>
      </c>
      <c r="O573" s="14">
        <f t="shared" si="575"/>
        <v>0</v>
      </c>
      <c r="P573" s="13">
        <f t="shared" si="3"/>
        <v>0.002423434613</v>
      </c>
      <c r="Q573" s="13">
        <f t="shared" si="4"/>
        <v>0.00003029293266</v>
      </c>
      <c r="R573" s="13">
        <f t="shared" si="5"/>
        <v>0.00006058586532</v>
      </c>
      <c r="S573" s="14">
        <f t="shared" si="6"/>
        <v>0.6477788707</v>
      </c>
      <c r="T573" s="14">
        <f t="shared" si="7"/>
        <v>1.336194144</v>
      </c>
      <c r="U573" s="14">
        <f t="shared" si="8"/>
        <v>0.08696798723</v>
      </c>
    </row>
    <row r="574" ht="15.75" customHeight="1">
      <c r="A574" s="9">
        <v>46036.5943944444</v>
      </c>
      <c r="B574" s="10">
        <v>14.0</v>
      </c>
      <c r="C574" s="10" t="s">
        <v>80</v>
      </c>
      <c r="D574" s="10"/>
      <c r="E574" s="12" t="s">
        <v>62</v>
      </c>
      <c r="F574" s="11">
        <v>31848.0</v>
      </c>
      <c r="G574" s="11">
        <v>10674.0</v>
      </c>
      <c r="H574" s="11">
        <v>5560.0</v>
      </c>
      <c r="I574" s="11">
        <v>0.0</v>
      </c>
      <c r="J574" s="11">
        <v>44.0</v>
      </c>
      <c r="K574" s="11">
        <v>0.0</v>
      </c>
      <c r="L574" s="11">
        <v>3.0</v>
      </c>
      <c r="M574" s="13">
        <f t="shared" ref="M574:O574" si="576">IFERROR(G574/F574,"")</f>
        <v>0.3351544838</v>
      </c>
      <c r="N574" s="13">
        <f t="shared" si="576"/>
        <v>0.5208918868</v>
      </c>
      <c r="O574" s="14">
        <f t="shared" si="576"/>
        <v>0</v>
      </c>
      <c r="P574" s="13">
        <f t="shared" si="3"/>
        <v>0.007913669065</v>
      </c>
      <c r="Q574" s="13">
        <f t="shared" si="4"/>
        <v>0</v>
      </c>
      <c r="R574" s="13">
        <f t="shared" si="5"/>
        <v>0.0005395683453</v>
      </c>
      <c r="S574" s="14">
        <f t="shared" si="6"/>
        <v>0.8611611731</v>
      </c>
      <c r="T574" s="14">
        <f t="shared" si="7"/>
        <v>0.8943523742</v>
      </c>
      <c r="U574" s="14">
        <f t="shared" si="8"/>
        <v>0</v>
      </c>
    </row>
    <row r="575" ht="15.75" customHeight="1">
      <c r="A575" s="9">
        <v>46038.5424059838</v>
      </c>
      <c r="B575" s="10">
        <v>13.0</v>
      </c>
      <c r="C575" s="10" t="s">
        <v>60</v>
      </c>
      <c r="D575" s="10"/>
      <c r="E575" s="12" t="s">
        <v>62</v>
      </c>
      <c r="F575" s="11">
        <v>167910.0</v>
      </c>
      <c r="G575" s="11">
        <v>52792.0</v>
      </c>
      <c r="H575" s="11">
        <v>29176.0</v>
      </c>
      <c r="I575" s="11">
        <v>0.0</v>
      </c>
      <c r="J575" s="11">
        <v>78.0</v>
      </c>
      <c r="K575" s="11">
        <v>7.0</v>
      </c>
      <c r="L575" s="11">
        <v>7.0</v>
      </c>
      <c r="M575" s="13">
        <f t="shared" ref="M575:O575" si="577">IFERROR(G575/F575,"")</f>
        <v>0.3144065273</v>
      </c>
      <c r="N575" s="13">
        <f t="shared" si="577"/>
        <v>0.5526594939</v>
      </c>
      <c r="O575" s="14">
        <f t="shared" si="577"/>
        <v>0</v>
      </c>
      <c r="P575" s="13">
        <f t="shared" si="3"/>
        <v>0.002673430217</v>
      </c>
      <c r="Q575" s="13">
        <f t="shared" si="4"/>
        <v>0.0002399232246</v>
      </c>
      <c r="R575" s="13">
        <f t="shared" si="5"/>
        <v>0.0002399232246</v>
      </c>
      <c r="S575" s="14">
        <f t="shared" si="6"/>
        <v>0.8096022327</v>
      </c>
      <c r="T575" s="14">
        <f t="shared" si="7"/>
        <v>0.9621640118</v>
      </c>
      <c r="U575" s="14">
        <f t="shared" si="8"/>
        <v>0.6789827255</v>
      </c>
    </row>
    <row r="576" ht="15.75" customHeight="1">
      <c r="A576" s="9">
        <v>46039.5356407176</v>
      </c>
      <c r="B576" s="10">
        <v>12.0</v>
      </c>
      <c r="C576" s="10" t="s">
        <v>69</v>
      </c>
      <c r="D576" s="10"/>
      <c r="E576" s="12" t="s">
        <v>62</v>
      </c>
      <c r="F576" s="11">
        <v>21149.0</v>
      </c>
      <c r="G576" s="11">
        <v>12819.0</v>
      </c>
      <c r="H576" s="11">
        <v>5508.0</v>
      </c>
      <c r="I576" s="11">
        <v>0.0</v>
      </c>
      <c r="J576" s="11">
        <v>63.0</v>
      </c>
      <c r="K576" s="11">
        <v>1.0</v>
      </c>
      <c r="L576" s="11">
        <v>2.0</v>
      </c>
      <c r="M576" s="13">
        <f t="shared" ref="M576:O576" si="578">IFERROR(G576/F576,"")</f>
        <v>0.6061279493</v>
      </c>
      <c r="N576" s="13">
        <f t="shared" si="578"/>
        <v>0.4296747016</v>
      </c>
      <c r="O576" s="14">
        <f t="shared" si="578"/>
        <v>0</v>
      </c>
      <c r="P576" s="13">
        <f t="shared" si="3"/>
        <v>0.0114379085</v>
      </c>
      <c r="Q576" s="13">
        <f t="shared" si="4"/>
        <v>0.0001815541031</v>
      </c>
      <c r="R576" s="13">
        <f t="shared" si="5"/>
        <v>0.0003631082062</v>
      </c>
      <c r="S576" s="14">
        <f t="shared" si="6"/>
        <v>1.560789928</v>
      </c>
      <c r="T576" s="14">
        <f t="shared" si="7"/>
        <v>0.7480510862</v>
      </c>
      <c r="U576" s="14">
        <f t="shared" si="8"/>
        <v>0.5137981118</v>
      </c>
    </row>
    <row r="577" ht="15.75" customHeight="1">
      <c r="A577" s="9">
        <v>46041.6299981019</v>
      </c>
      <c r="B577" s="10">
        <v>15.0</v>
      </c>
      <c r="C577" s="10" t="s">
        <v>71</v>
      </c>
      <c r="D577" s="10"/>
      <c r="E577" s="12" t="s">
        <v>62</v>
      </c>
      <c r="F577" s="11">
        <v>15248.0</v>
      </c>
      <c r="G577" s="11">
        <v>9526.0</v>
      </c>
      <c r="H577" s="11">
        <v>3371.0</v>
      </c>
      <c r="I577" s="11">
        <v>0.0</v>
      </c>
      <c r="J577" s="11">
        <v>20.0</v>
      </c>
      <c r="K577" s="11">
        <v>1.0</v>
      </c>
      <c r="L577" s="11">
        <v>1.0</v>
      </c>
      <c r="M577" s="13">
        <f t="shared" ref="M577:O577" si="579">IFERROR(G577/F577,"")</f>
        <v>0.6247376705</v>
      </c>
      <c r="N577" s="13">
        <f t="shared" si="579"/>
        <v>0.3538736091</v>
      </c>
      <c r="O577" s="14">
        <f t="shared" si="579"/>
        <v>0</v>
      </c>
      <c r="P577" s="13">
        <f t="shared" si="3"/>
        <v>0.005932957579</v>
      </c>
      <c r="Q577" s="13">
        <f t="shared" si="4"/>
        <v>0.000296647879</v>
      </c>
      <c r="R577" s="13">
        <f t="shared" si="5"/>
        <v>0.000296647879</v>
      </c>
      <c r="S577" s="14">
        <f t="shared" si="6"/>
        <v>1.601219292</v>
      </c>
      <c r="T577" s="14">
        <f t="shared" si="7"/>
        <v>0.619494111</v>
      </c>
      <c r="U577" s="14">
        <f t="shared" si="8"/>
        <v>0.8191420857</v>
      </c>
    </row>
    <row r="578" ht="15.75" customHeight="1">
      <c r="A578" s="9">
        <v>46043.5519273843</v>
      </c>
      <c r="B578" s="10">
        <v>13.0</v>
      </c>
      <c r="C578" s="10" t="s">
        <v>80</v>
      </c>
      <c r="D578" s="10"/>
      <c r="E578" s="12" t="s">
        <v>62</v>
      </c>
      <c r="F578" s="11">
        <v>21193.0</v>
      </c>
      <c r="G578" s="11">
        <v>10711.0</v>
      </c>
      <c r="H578" s="11">
        <v>5384.0</v>
      </c>
      <c r="I578" s="11">
        <v>0.0</v>
      </c>
      <c r="J578" s="11">
        <v>38.0</v>
      </c>
      <c r="K578" s="11">
        <v>1.0</v>
      </c>
      <c r="L578" s="11">
        <v>3.0</v>
      </c>
      <c r="M578" s="13">
        <f t="shared" ref="M578:O578" si="580">IFERROR(G578/F578,"")</f>
        <v>0.5054027273</v>
      </c>
      <c r="N578" s="13">
        <f t="shared" si="580"/>
        <v>0.502660816</v>
      </c>
      <c r="O578" s="14">
        <f t="shared" si="580"/>
        <v>0</v>
      </c>
      <c r="P578" s="13">
        <f t="shared" si="3"/>
        <v>0.00705794948</v>
      </c>
      <c r="Q578" s="13">
        <f t="shared" si="4"/>
        <v>0.0001857355126</v>
      </c>
      <c r="R578" s="13">
        <f t="shared" si="5"/>
        <v>0.0005572065379</v>
      </c>
      <c r="S578" s="14">
        <f t="shared" si="6"/>
        <v>1.290211147</v>
      </c>
      <c r="T578" s="14">
        <f t="shared" si="7"/>
        <v>0.8852241482</v>
      </c>
      <c r="U578" s="14">
        <f t="shared" si="8"/>
        <v>0.5052315316</v>
      </c>
    </row>
    <row r="579" ht="15.75" customHeight="1">
      <c r="A579" s="9">
        <v>46045.6001312384</v>
      </c>
      <c r="B579" s="10">
        <v>14.0</v>
      </c>
      <c r="C579" s="10" t="s">
        <v>60</v>
      </c>
      <c r="D579" s="10"/>
      <c r="E579" s="12" t="s">
        <v>62</v>
      </c>
      <c r="F579" s="11">
        <v>370205.0</v>
      </c>
      <c r="G579" s="11">
        <v>54565.0</v>
      </c>
      <c r="H579" s="11">
        <v>61140.0</v>
      </c>
      <c r="I579" s="11">
        <v>0.0</v>
      </c>
      <c r="J579" s="11">
        <v>102.0</v>
      </c>
      <c r="K579" s="11">
        <v>4.0</v>
      </c>
      <c r="L579" s="11">
        <v>15.0</v>
      </c>
      <c r="M579" s="13">
        <f t="shared" ref="M579:O579" si="581">IFERROR(G579/F579,"")</f>
        <v>0.1473913102</v>
      </c>
      <c r="N579" s="13">
        <f t="shared" si="581"/>
        <v>1.120498488</v>
      </c>
      <c r="O579" s="14">
        <f t="shared" si="581"/>
        <v>0</v>
      </c>
      <c r="P579" s="13">
        <f t="shared" si="3"/>
        <v>0.001668302257</v>
      </c>
      <c r="Q579" s="13">
        <f t="shared" si="4"/>
        <v>0.00006542361793</v>
      </c>
      <c r="R579" s="13">
        <f t="shared" si="5"/>
        <v>0.0002453385672</v>
      </c>
      <c r="S579" s="14">
        <f t="shared" si="6"/>
        <v>0.374135479</v>
      </c>
      <c r="T579" s="14">
        <f t="shared" si="7"/>
        <v>2.004461772</v>
      </c>
      <c r="U579" s="14">
        <f t="shared" si="8"/>
        <v>0.1728210987</v>
      </c>
    </row>
    <row r="580" ht="15.75" customHeight="1">
      <c r="A580" s="9">
        <v>46046.683948912</v>
      </c>
      <c r="B580" s="10">
        <v>16.0</v>
      </c>
      <c r="C580" s="10" t="s">
        <v>69</v>
      </c>
      <c r="D580" s="10"/>
      <c r="E580" s="12" t="s">
        <v>62</v>
      </c>
      <c r="F580" s="11">
        <v>171910.0</v>
      </c>
      <c r="G580" s="11">
        <v>40973.0</v>
      </c>
      <c r="H580" s="11">
        <v>29535.0</v>
      </c>
      <c r="I580" s="11">
        <v>0.0</v>
      </c>
      <c r="J580" s="11">
        <v>70.0</v>
      </c>
      <c r="K580" s="11">
        <v>2.0</v>
      </c>
      <c r="L580" s="11">
        <v>4.0</v>
      </c>
      <c r="M580" s="13">
        <f t="shared" ref="M580:O580" si="582">IFERROR(G580/F580,"")</f>
        <v>0.238339829</v>
      </c>
      <c r="N580" s="13">
        <f t="shared" si="582"/>
        <v>0.7208405535</v>
      </c>
      <c r="O580" s="14">
        <f t="shared" si="582"/>
        <v>0</v>
      </c>
      <c r="P580" s="13">
        <f t="shared" si="3"/>
        <v>0.002370069409</v>
      </c>
      <c r="Q580" s="13">
        <f t="shared" si="4"/>
        <v>0.00006771626883</v>
      </c>
      <c r="R580" s="13">
        <f t="shared" si="5"/>
        <v>0.0001354325377</v>
      </c>
      <c r="S580" s="14">
        <f t="shared" si="6"/>
        <v>0.6062380599</v>
      </c>
      <c r="T580" s="14">
        <f t="shared" si="7"/>
        <v>1.27504575</v>
      </c>
      <c r="U580" s="14">
        <f t="shared" si="8"/>
        <v>0.1789837723</v>
      </c>
    </row>
    <row r="581" ht="15.75" customHeight="1">
      <c r="A581" s="9">
        <v>46048.6945242477</v>
      </c>
      <c r="B581" s="10">
        <v>16.0</v>
      </c>
      <c r="C581" s="10" t="s">
        <v>71</v>
      </c>
      <c r="D581" s="10"/>
      <c r="E581" s="12" t="s">
        <v>62</v>
      </c>
      <c r="F581" s="11">
        <v>26105.0</v>
      </c>
      <c r="G581" s="11">
        <v>14238.0</v>
      </c>
      <c r="H581" s="11">
        <v>5660.0</v>
      </c>
      <c r="I581" s="11">
        <v>0.0</v>
      </c>
      <c r="J581" s="11">
        <v>24.0</v>
      </c>
      <c r="K581" s="11">
        <v>2.0</v>
      </c>
      <c r="L581" s="11">
        <v>6.0</v>
      </c>
      <c r="M581" s="13">
        <f t="shared" ref="M581:O581" si="583">IFERROR(G581/F581,"")</f>
        <v>0.5454127562</v>
      </c>
      <c r="N581" s="13">
        <f t="shared" si="583"/>
        <v>0.3975277427</v>
      </c>
      <c r="O581" s="14">
        <f t="shared" si="583"/>
        <v>0</v>
      </c>
      <c r="P581" s="13">
        <f t="shared" si="3"/>
        <v>0.004240282686</v>
      </c>
      <c r="Q581" s="13">
        <f t="shared" si="4"/>
        <v>0.0003533568905</v>
      </c>
      <c r="R581" s="13">
        <f t="shared" si="5"/>
        <v>0.001060070671</v>
      </c>
      <c r="S581" s="14">
        <f t="shared" si="6"/>
        <v>1.387304726</v>
      </c>
      <c r="T581" s="14">
        <f t="shared" si="7"/>
        <v>0.7031597435</v>
      </c>
      <c r="U581" s="14">
        <f t="shared" si="8"/>
        <v>0.9592756184</v>
      </c>
    </row>
    <row r="582" ht="15.75" customHeight="1">
      <c r="A582" s="9">
        <v>46050.6319343287</v>
      </c>
      <c r="B582" s="10">
        <v>15.0</v>
      </c>
      <c r="C582" s="10" t="s">
        <v>80</v>
      </c>
      <c r="D582" s="10"/>
      <c r="E582" s="12" t="s">
        <v>62</v>
      </c>
      <c r="F582" s="11">
        <v>224089.0</v>
      </c>
      <c r="G582" s="11">
        <v>63946.0</v>
      </c>
      <c r="H582" s="11">
        <v>38947.0</v>
      </c>
      <c r="I582" s="11">
        <v>0.0</v>
      </c>
      <c r="J582" s="11">
        <v>68.0</v>
      </c>
      <c r="K582" s="11">
        <v>4.0</v>
      </c>
      <c r="L582" s="11">
        <v>19.0</v>
      </c>
      <c r="M582" s="13">
        <f t="shared" ref="M582:O582" si="584">IFERROR(G582/F582,"")</f>
        <v>0.2853598347</v>
      </c>
      <c r="N582" s="13">
        <f t="shared" si="584"/>
        <v>0.60906077</v>
      </c>
      <c r="O582" s="14">
        <f t="shared" si="584"/>
        <v>0</v>
      </c>
      <c r="P582" s="13">
        <f t="shared" si="3"/>
        <v>0.001745962462</v>
      </c>
      <c r="Q582" s="13">
        <f t="shared" si="4"/>
        <v>0.0001027036742</v>
      </c>
      <c r="R582" s="13">
        <f t="shared" si="5"/>
        <v>0.0004878424526</v>
      </c>
      <c r="S582" s="14">
        <f t="shared" si="6"/>
        <v>0.7228731892</v>
      </c>
      <c r="T582" s="14">
        <f t="shared" si="7"/>
        <v>1.077326105</v>
      </c>
      <c r="U582" s="14">
        <f t="shared" si="8"/>
        <v>0.2788147996</v>
      </c>
    </row>
    <row r="583" ht="15.75" customHeight="1">
      <c r="A583" s="9">
        <v>46052.6340510417</v>
      </c>
      <c r="B583" s="10">
        <v>15.0</v>
      </c>
      <c r="C583" s="10" t="s">
        <v>60</v>
      </c>
      <c r="D583" s="10"/>
      <c r="E583" s="12" t="s">
        <v>62</v>
      </c>
      <c r="F583" s="11">
        <v>171262.0</v>
      </c>
      <c r="G583" s="11">
        <v>62132.0</v>
      </c>
      <c r="H583" s="11">
        <v>32889.0</v>
      </c>
      <c r="I583" s="11">
        <v>0.0</v>
      </c>
      <c r="J583" s="11">
        <v>53.0</v>
      </c>
      <c r="K583" s="11">
        <v>8.0</v>
      </c>
      <c r="L583" s="11">
        <v>7.0</v>
      </c>
      <c r="M583" s="13">
        <f t="shared" ref="M583:O583" si="585">IFERROR(G583/F583,"")</f>
        <v>0.3627891768</v>
      </c>
      <c r="N583" s="13">
        <f t="shared" si="585"/>
        <v>0.5293407584</v>
      </c>
      <c r="O583" s="14">
        <f t="shared" si="585"/>
        <v>0</v>
      </c>
      <c r="P583" s="13">
        <f t="shared" si="3"/>
        <v>0.001611481042</v>
      </c>
      <c r="Q583" s="13">
        <f t="shared" si="4"/>
        <v>0.0002432424215</v>
      </c>
      <c r="R583" s="13">
        <f t="shared" si="5"/>
        <v>0.0002128371188</v>
      </c>
      <c r="S583" s="14">
        <f t="shared" si="6"/>
        <v>0.9143032301</v>
      </c>
      <c r="T583" s="14">
        <f t="shared" si="7"/>
        <v>0.9578063243</v>
      </c>
      <c r="U583" s="14">
        <f t="shared" si="8"/>
        <v>0.6603423637</v>
      </c>
    </row>
    <row r="584" ht="15.75" customHeight="1">
      <c r="A584" s="9">
        <v>46053.5661951157</v>
      </c>
      <c r="B584" s="10">
        <v>13.0</v>
      </c>
      <c r="C584" s="10" t="s">
        <v>69</v>
      </c>
      <c r="D584" s="10"/>
      <c r="E584" s="12" t="s">
        <v>62</v>
      </c>
      <c r="F584" s="11">
        <v>46077.0</v>
      </c>
      <c r="G584" s="11">
        <v>24620.0</v>
      </c>
      <c r="H584" s="11">
        <v>14537.0</v>
      </c>
      <c r="I584" s="11">
        <v>0.0</v>
      </c>
      <c r="J584" s="11">
        <v>58.0</v>
      </c>
      <c r="K584" s="11">
        <v>4.0</v>
      </c>
      <c r="L584" s="11">
        <v>7.0</v>
      </c>
      <c r="M584" s="13">
        <f t="shared" ref="M584:O584" si="586">IFERROR(G584/F584,"")</f>
        <v>0.5343229811</v>
      </c>
      <c r="N584" s="13">
        <f t="shared" si="586"/>
        <v>0.5904549147</v>
      </c>
      <c r="O584" s="14">
        <f t="shared" si="586"/>
        <v>0</v>
      </c>
      <c r="P584" s="13">
        <f t="shared" si="3"/>
        <v>0.003989819082</v>
      </c>
      <c r="Q584" s="13">
        <f t="shared" si="4"/>
        <v>0.0002751599367</v>
      </c>
      <c r="R584" s="13">
        <f t="shared" si="5"/>
        <v>0.0004815298892</v>
      </c>
      <c r="S584" s="14">
        <f t="shared" si="6"/>
        <v>1.346603644</v>
      </c>
      <c r="T584" s="14">
        <f t="shared" si="7"/>
        <v>1.068388259</v>
      </c>
      <c r="U584" s="14">
        <f t="shared" si="8"/>
        <v>0.7499772416</v>
      </c>
    </row>
    <row r="585" ht="15.75" customHeight="1">
      <c r="A585" s="9">
        <v>46055.5806668634</v>
      </c>
      <c r="B585" s="10">
        <v>13.0</v>
      </c>
      <c r="C585" s="10" t="s">
        <v>71</v>
      </c>
      <c r="D585" s="10"/>
      <c r="E585" s="12" t="s">
        <v>62</v>
      </c>
      <c r="F585" s="11">
        <v>312273.0</v>
      </c>
      <c r="G585" s="11">
        <v>69206.0</v>
      </c>
      <c r="H585" s="11">
        <v>53844.0</v>
      </c>
      <c r="I585" s="11">
        <v>0.0</v>
      </c>
      <c r="J585" s="11">
        <v>106.0</v>
      </c>
      <c r="K585" s="11">
        <v>12.0</v>
      </c>
      <c r="L585" s="11">
        <v>26.0</v>
      </c>
      <c r="M585" s="13">
        <f t="shared" ref="M585:O585" si="587">IFERROR(G585/F585,"")</f>
        <v>0.2216201849</v>
      </c>
      <c r="N585" s="13">
        <f t="shared" si="587"/>
        <v>0.7780250267</v>
      </c>
      <c r="O585" s="14">
        <f t="shared" si="587"/>
        <v>0</v>
      </c>
      <c r="P585" s="13">
        <f t="shared" si="3"/>
        <v>0.001968650175</v>
      </c>
      <c r="Q585" s="13">
        <f t="shared" si="4"/>
        <v>0.0002228660575</v>
      </c>
      <c r="R585" s="13">
        <f t="shared" si="5"/>
        <v>0.0004828764579</v>
      </c>
      <c r="S585" s="14">
        <f t="shared" si="6"/>
        <v>0.5560273253</v>
      </c>
      <c r="T585" s="14">
        <f t="shared" si="7"/>
        <v>1.408505909</v>
      </c>
      <c r="U585" s="14">
        <f t="shared" si="8"/>
        <v>0.6154062783</v>
      </c>
    </row>
    <row r="586" ht="15.75" customHeight="1">
      <c r="A586" s="9">
        <v>46056.4653805903</v>
      </c>
      <c r="B586" s="10">
        <v>11.0</v>
      </c>
      <c r="C586" s="10" t="s">
        <v>59</v>
      </c>
      <c r="D586" s="10"/>
      <c r="E586" s="12" t="s">
        <v>62</v>
      </c>
      <c r="F586" s="11">
        <v>18248.0</v>
      </c>
      <c r="G586" s="11">
        <v>9110.0</v>
      </c>
      <c r="H586" s="11">
        <v>4264.0</v>
      </c>
      <c r="I586" s="11">
        <v>0.0</v>
      </c>
      <c r="J586" s="11">
        <v>62.0</v>
      </c>
      <c r="K586" s="11">
        <v>8.0</v>
      </c>
      <c r="L586" s="11">
        <v>10.0</v>
      </c>
      <c r="M586" s="13">
        <f t="shared" ref="M586:O586" si="588">IFERROR(G586/F586,"")</f>
        <v>0.4992327926</v>
      </c>
      <c r="N586" s="13">
        <f t="shared" si="588"/>
        <v>0.4680570801</v>
      </c>
      <c r="O586" s="14">
        <f t="shared" si="588"/>
        <v>0</v>
      </c>
      <c r="P586" s="13">
        <f t="shared" si="3"/>
        <v>0.01454033771</v>
      </c>
      <c r="Q586" s="13">
        <f t="shared" si="4"/>
        <v>0.001876172608</v>
      </c>
      <c r="R586" s="13">
        <f t="shared" si="5"/>
        <v>0.00234521576</v>
      </c>
      <c r="S586" s="14">
        <f t="shared" si="6"/>
        <v>1.252535163</v>
      </c>
      <c r="T586" s="14">
        <f t="shared" si="7"/>
        <v>0.8473521292</v>
      </c>
      <c r="U586" s="14">
        <f t="shared" si="8"/>
        <v>5.1807279</v>
      </c>
    </row>
    <row r="587" ht="15.75" customHeight="1">
      <c r="A587" s="9">
        <v>46056.5340847685</v>
      </c>
      <c r="B587" s="10">
        <v>12.0</v>
      </c>
      <c r="C587" s="10" t="s">
        <v>59</v>
      </c>
      <c r="D587" s="10"/>
      <c r="E587" s="12" t="s">
        <v>62</v>
      </c>
      <c r="F587" s="11">
        <v>20755.0</v>
      </c>
      <c r="G587" s="11">
        <v>9444.0</v>
      </c>
      <c r="H587" s="11">
        <v>4469.0</v>
      </c>
      <c r="I587" s="11">
        <v>0.0</v>
      </c>
      <c r="J587" s="11">
        <v>42.0</v>
      </c>
      <c r="K587" s="11">
        <v>3.0</v>
      </c>
      <c r="L587" s="11">
        <v>5.0</v>
      </c>
      <c r="M587" s="13">
        <f t="shared" ref="M587:O587" si="589">IFERROR(G587/F587,"")</f>
        <v>0.4550228861</v>
      </c>
      <c r="N587" s="13">
        <f t="shared" si="589"/>
        <v>0.473210504</v>
      </c>
      <c r="O587" s="14">
        <f t="shared" si="589"/>
        <v>0</v>
      </c>
      <c r="P587" s="13">
        <f t="shared" si="3"/>
        <v>0.009398075632</v>
      </c>
      <c r="Q587" s="13">
        <f t="shared" si="4"/>
        <v>0.0006712911166</v>
      </c>
      <c r="R587" s="13">
        <f t="shared" si="5"/>
        <v>0.001118818528</v>
      </c>
      <c r="S587" s="14">
        <f t="shared" si="6"/>
        <v>1.141616042</v>
      </c>
      <c r="T587" s="14">
        <f t="shared" si="7"/>
        <v>0.8566816851</v>
      </c>
      <c r="U587" s="14">
        <f t="shared" si="8"/>
        <v>1.853654937</v>
      </c>
    </row>
    <row r="588" ht="15.75" customHeight="1">
      <c r="A588" s="9">
        <v>46057.5950779745</v>
      </c>
      <c r="B588" s="10">
        <v>14.0</v>
      </c>
      <c r="C588" s="10" t="s">
        <v>80</v>
      </c>
      <c r="D588" s="10"/>
      <c r="E588" s="12" t="s">
        <v>62</v>
      </c>
      <c r="F588" s="11">
        <v>3741.0</v>
      </c>
      <c r="G588" s="11">
        <v>232.0</v>
      </c>
      <c r="H588" s="11">
        <v>501.0</v>
      </c>
      <c r="I588" s="11">
        <v>0.0</v>
      </c>
      <c r="J588" s="11">
        <v>18.0</v>
      </c>
      <c r="K588" s="11">
        <v>3.0</v>
      </c>
      <c r="L588" s="11">
        <v>4.0</v>
      </c>
      <c r="M588" s="13">
        <f t="shared" ref="M588:O588" si="590">IFERROR(G588/F588,"")</f>
        <v>0.06201550388</v>
      </c>
      <c r="N588" s="13">
        <f t="shared" si="590"/>
        <v>2.159482759</v>
      </c>
      <c r="O588" s="14">
        <f t="shared" si="590"/>
        <v>0</v>
      </c>
      <c r="P588" s="13">
        <f t="shared" si="3"/>
        <v>0.03592814371</v>
      </c>
      <c r="Q588" s="13">
        <f t="shared" si="4"/>
        <v>0.005988023952</v>
      </c>
      <c r="R588" s="13">
        <f t="shared" si="5"/>
        <v>0.007984031936</v>
      </c>
      <c r="S588" s="14">
        <f t="shared" si="6"/>
        <v>0.1548983165</v>
      </c>
      <c r="T588" s="14">
        <f t="shared" si="7"/>
        <v>3.911449273</v>
      </c>
      <c r="U588" s="14">
        <f t="shared" si="8"/>
        <v>16.32098677</v>
      </c>
    </row>
    <row r="589" ht="15.75" customHeight="1">
      <c r="A589" s="9">
        <v>46059.5891727431</v>
      </c>
      <c r="B589" s="10">
        <v>14.0</v>
      </c>
      <c r="C589" s="10" t="s">
        <v>60</v>
      </c>
      <c r="D589" s="10"/>
      <c r="E589" s="12" t="s">
        <v>62</v>
      </c>
      <c r="F589" s="11">
        <v>11455.0</v>
      </c>
      <c r="G589" s="11">
        <v>6109.0</v>
      </c>
      <c r="H589" s="11">
        <v>2456.0</v>
      </c>
      <c r="I589" s="11">
        <v>0.0</v>
      </c>
      <c r="J589" s="11">
        <v>28.0</v>
      </c>
      <c r="K589" s="11">
        <v>1.0</v>
      </c>
      <c r="L589" s="11">
        <v>1.0</v>
      </c>
      <c r="M589" s="13">
        <f t="shared" ref="M589:O589" si="591">IFERROR(G589/F589,"")</f>
        <v>0.533304234</v>
      </c>
      <c r="N589" s="13">
        <f t="shared" si="591"/>
        <v>0.4020297921</v>
      </c>
      <c r="O589" s="14">
        <f t="shared" si="591"/>
        <v>0</v>
      </c>
      <c r="P589" s="13">
        <f t="shared" si="3"/>
        <v>0.01140065147</v>
      </c>
      <c r="Q589" s="13">
        <f t="shared" si="4"/>
        <v>0.0004071661238</v>
      </c>
      <c r="R589" s="13">
        <f t="shared" si="5"/>
        <v>0.0004071661238</v>
      </c>
      <c r="S589" s="14">
        <f t="shared" si="6"/>
        <v>1.338017685</v>
      </c>
      <c r="T589" s="14">
        <f t="shared" si="7"/>
        <v>0.7288697653</v>
      </c>
      <c r="U589" s="14">
        <f t="shared" si="8"/>
        <v>1.124319206</v>
      </c>
    </row>
    <row r="590" ht="15.75" customHeight="1">
      <c r="A590" s="9">
        <v>46060.753829213</v>
      </c>
      <c r="B590" s="10">
        <v>18.0</v>
      </c>
      <c r="C590" s="10" t="s">
        <v>69</v>
      </c>
      <c r="D590" s="10"/>
      <c r="E590" s="12" t="s">
        <v>62</v>
      </c>
      <c r="F590" s="11">
        <v>15217.0</v>
      </c>
      <c r="G590" s="11">
        <v>6038.0</v>
      </c>
      <c r="H590" s="11">
        <v>4170.0</v>
      </c>
      <c r="I590" s="11">
        <v>0.0</v>
      </c>
      <c r="J590" s="11">
        <v>52.0</v>
      </c>
      <c r="K590" s="11">
        <v>3.0</v>
      </c>
      <c r="L590" s="11">
        <v>1.0</v>
      </c>
      <c r="M590" s="13">
        <f t="shared" ref="M590:O590" si="592">IFERROR(G590/F590,"")</f>
        <v>0.3967930604</v>
      </c>
      <c r="N590" s="13">
        <f t="shared" si="592"/>
        <v>0.6906260351</v>
      </c>
      <c r="O590" s="14">
        <f t="shared" si="592"/>
        <v>0</v>
      </c>
      <c r="P590" s="13">
        <f t="shared" si="3"/>
        <v>0.01247002398</v>
      </c>
      <c r="Q590" s="13">
        <f t="shared" si="4"/>
        <v>0.0007194244604</v>
      </c>
      <c r="R590" s="13">
        <f t="shared" si="5"/>
        <v>0.0002398081535</v>
      </c>
      <c r="S590" s="14">
        <f t="shared" si="6"/>
        <v>0.9910840547</v>
      </c>
      <c r="T590" s="14">
        <f t="shared" si="7"/>
        <v>1.253253011</v>
      </c>
      <c r="U590" s="14">
        <f t="shared" si="8"/>
        <v>1.960866756</v>
      </c>
    </row>
    <row r="591" ht="15.75" customHeight="1">
      <c r="A591" s="9">
        <v>46062.6443106482</v>
      </c>
      <c r="B591" s="10">
        <v>15.0</v>
      </c>
      <c r="C591" s="10" t="s">
        <v>71</v>
      </c>
      <c r="D591" s="10"/>
      <c r="E591" s="12" t="s">
        <v>62</v>
      </c>
      <c r="F591" s="11">
        <v>10129.0</v>
      </c>
      <c r="G591" s="11">
        <v>3463.0</v>
      </c>
      <c r="H591" s="11">
        <v>2418.0</v>
      </c>
      <c r="I591" s="11">
        <v>0.0</v>
      </c>
      <c r="J591" s="11">
        <v>38.0</v>
      </c>
      <c r="K591" s="11">
        <v>3.0</v>
      </c>
      <c r="L591" s="11">
        <v>0.0</v>
      </c>
      <c r="M591" s="13">
        <f t="shared" ref="M591:O591" si="593">IFERROR(G591/F591,"")</f>
        <v>0.3418896239</v>
      </c>
      <c r="N591" s="13">
        <f t="shared" si="593"/>
        <v>0.6982385215</v>
      </c>
      <c r="O591" s="14">
        <f t="shared" si="593"/>
        <v>0</v>
      </c>
      <c r="P591" s="13">
        <f t="shared" si="3"/>
        <v>0.01571546733</v>
      </c>
      <c r="Q591" s="13">
        <f t="shared" si="4"/>
        <v>0.001240694789</v>
      </c>
      <c r="R591" s="13">
        <f t="shared" si="5"/>
        <v>0</v>
      </c>
      <c r="S591" s="14">
        <f t="shared" si="6"/>
        <v>0.852017463</v>
      </c>
      <c r="T591" s="14">
        <f t="shared" si="7"/>
        <v>1.277486077</v>
      </c>
      <c r="U591" s="14">
        <f t="shared" si="8"/>
        <v>3.374896484</v>
      </c>
    </row>
    <row r="592" ht="15.75" customHeight="1">
      <c r="A592" s="9">
        <v>46064.5361509144</v>
      </c>
      <c r="B592" s="10">
        <v>12.0</v>
      </c>
      <c r="C592" s="10" t="s">
        <v>80</v>
      </c>
      <c r="D592" s="10"/>
      <c r="E592" s="12" t="s">
        <v>62</v>
      </c>
      <c r="F592" s="11">
        <v>1577630.0</v>
      </c>
      <c r="G592" s="11">
        <v>245360.0</v>
      </c>
      <c r="H592" s="11">
        <v>422052.0</v>
      </c>
      <c r="I592" s="11">
        <v>0.0</v>
      </c>
      <c r="J592" s="11">
        <v>507.0</v>
      </c>
      <c r="K592" s="11">
        <v>63.0</v>
      </c>
      <c r="L592" s="11">
        <v>82.0</v>
      </c>
      <c r="M592" s="13">
        <f t="shared" ref="M592:O592" si="594">IFERROR(G592/F592,"")</f>
        <v>0.1555244259</v>
      </c>
      <c r="N592" s="13">
        <f t="shared" si="594"/>
        <v>1.720133681</v>
      </c>
      <c r="O592" s="14">
        <f t="shared" si="594"/>
        <v>0</v>
      </c>
      <c r="P592" s="13">
        <f t="shared" si="3"/>
        <v>0.001201273777</v>
      </c>
      <c r="Q592" s="13">
        <f t="shared" si="4"/>
        <v>0.000149270706</v>
      </c>
      <c r="R592" s="13">
        <f t="shared" si="5"/>
        <v>0.0001942888554</v>
      </c>
      <c r="S592" s="14">
        <f t="shared" si="6"/>
        <v>0.3867047986</v>
      </c>
      <c r="T592" s="14">
        <f t="shared" si="7"/>
        <v>3.173222293</v>
      </c>
      <c r="U592" s="14">
        <f t="shared" si="8"/>
        <v>0.4052326491</v>
      </c>
    </row>
    <row r="593" ht="15.75" customHeight="1">
      <c r="A593" s="9">
        <v>46066.5113327894</v>
      </c>
      <c r="B593" s="10">
        <v>12.0</v>
      </c>
      <c r="C593" s="10" t="s">
        <v>60</v>
      </c>
      <c r="D593" s="10"/>
      <c r="E593" s="12" t="s">
        <v>62</v>
      </c>
      <c r="F593" s="11">
        <v>109798.0</v>
      </c>
      <c r="G593" s="11">
        <v>33601.0</v>
      </c>
      <c r="H593" s="11">
        <v>25131.0</v>
      </c>
      <c r="I593" s="11">
        <v>0.0</v>
      </c>
      <c r="J593" s="11">
        <v>64.0</v>
      </c>
      <c r="K593" s="11">
        <v>7.0</v>
      </c>
      <c r="L593" s="11">
        <v>5.0</v>
      </c>
      <c r="M593" s="13">
        <f t="shared" ref="M593:O593" si="595">IFERROR(G593/F593,"")</f>
        <v>0.3060256107</v>
      </c>
      <c r="N593" s="13">
        <f t="shared" si="595"/>
        <v>0.7479241689</v>
      </c>
      <c r="O593" s="14">
        <f t="shared" si="595"/>
        <v>0</v>
      </c>
      <c r="P593" s="13">
        <f t="shared" si="3"/>
        <v>0.002546655525</v>
      </c>
      <c r="Q593" s="13">
        <f t="shared" si="4"/>
        <v>0.0002785404481</v>
      </c>
      <c r="R593" s="13">
        <f t="shared" si="5"/>
        <v>0.0001989574629</v>
      </c>
      <c r="S593" s="14">
        <f t="shared" si="6"/>
        <v>0.7643709866</v>
      </c>
      <c r="T593" s="14">
        <f t="shared" si="7"/>
        <v>1.379735583</v>
      </c>
      <c r="U593" s="14">
        <f t="shared" si="8"/>
        <v>0.7561676813</v>
      </c>
    </row>
    <row r="594" ht="15.75" customHeight="1">
      <c r="A594" s="9">
        <v>46067.4349585532</v>
      </c>
      <c r="B594" s="10">
        <v>10.0</v>
      </c>
      <c r="C594" s="10" t="s">
        <v>69</v>
      </c>
      <c r="D594" s="10"/>
      <c r="E594" s="12" t="s">
        <v>62</v>
      </c>
      <c r="F594" s="11">
        <v>40204.0</v>
      </c>
      <c r="G594" s="11">
        <v>25612.0</v>
      </c>
      <c r="H594" s="11">
        <v>10859.0</v>
      </c>
      <c r="I594" s="11">
        <v>0.0</v>
      </c>
      <c r="J594" s="11">
        <v>39.0</v>
      </c>
      <c r="K594" s="11">
        <v>4.0</v>
      </c>
      <c r="L594" s="11">
        <v>5.0</v>
      </c>
      <c r="M594" s="13">
        <f t="shared" ref="M594:O594" si="596">IFERROR(G594/F594,"")</f>
        <v>0.6370510397</v>
      </c>
      <c r="N594" s="13">
        <f t="shared" si="596"/>
        <v>0.4239809464</v>
      </c>
      <c r="O594" s="14">
        <f t="shared" si="596"/>
        <v>0</v>
      </c>
      <c r="P594" s="13">
        <f t="shared" si="3"/>
        <v>0.003591490929</v>
      </c>
      <c r="Q594" s="13">
        <f t="shared" si="4"/>
        <v>0.000368358044</v>
      </c>
      <c r="R594" s="13">
        <f t="shared" si="5"/>
        <v>0.000460447555</v>
      </c>
      <c r="S594" s="14">
        <f t="shared" si="6"/>
        <v>1.587584334</v>
      </c>
      <c r="T594" s="14">
        <f t="shared" si="7"/>
        <v>0.7757087862</v>
      </c>
      <c r="U594" s="14">
        <f t="shared" si="8"/>
        <v>1.001995236</v>
      </c>
    </row>
    <row r="595" ht="15.75" customHeight="1">
      <c r="A595" s="9">
        <v>46069.5787181019</v>
      </c>
      <c r="B595" s="10">
        <v>13.0</v>
      </c>
      <c r="C595" s="10" t="s">
        <v>71</v>
      </c>
      <c r="D595" s="10"/>
      <c r="E595" s="12" t="s">
        <v>62</v>
      </c>
      <c r="F595" s="11">
        <v>237728.0</v>
      </c>
      <c r="G595" s="11">
        <v>83235.0</v>
      </c>
      <c r="H595" s="11">
        <v>50226.0</v>
      </c>
      <c r="I595" s="11">
        <v>0.0</v>
      </c>
      <c r="J595" s="11">
        <v>101.0</v>
      </c>
      <c r="K595" s="11">
        <v>4.0</v>
      </c>
      <c r="L595" s="11">
        <v>19.0</v>
      </c>
      <c r="M595" s="13">
        <f t="shared" ref="M595:O595" si="597">IFERROR(G595/F595,"")</f>
        <v>0.3501270359</v>
      </c>
      <c r="N595" s="13">
        <f t="shared" si="597"/>
        <v>0.6034240404</v>
      </c>
      <c r="O595" s="14">
        <f t="shared" si="597"/>
        <v>0</v>
      </c>
      <c r="P595" s="13">
        <f t="shared" si="3"/>
        <v>0.002010910684</v>
      </c>
      <c r="Q595" s="13">
        <f t="shared" si="4"/>
        <v>0.00007964002708</v>
      </c>
      <c r="R595" s="13">
        <f t="shared" si="5"/>
        <v>0.0003782901286</v>
      </c>
      <c r="S595" s="14">
        <f t="shared" si="6"/>
        <v>0.8705758221</v>
      </c>
      <c r="T595" s="14">
        <f t="shared" si="7"/>
        <v>1.113168493</v>
      </c>
      <c r="U595" s="14">
        <f t="shared" si="8"/>
        <v>0.2170672393</v>
      </c>
    </row>
    <row r="596" ht="15.75" customHeight="1">
      <c r="A596" s="9">
        <v>46071.5440239236</v>
      </c>
      <c r="B596" s="10">
        <v>13.0</v>
      </c>
      <c r="C596" s="10" t="s">
        <v>80</v>
      </c>
      <c r="D596" s="10"/>
      <c r="E596" s="12" t="s">
        <v>62</v>
      </c>
      <c r="F596" s="11">
        <v>25967.0</v>
      </c>
      <c r="G596" s="11">
        <v>14988.0</v>
      </c>
      <c r="H596" s="11">
        <v>6593.0</v>
      </c>
      <c r="I596" s="11">
        <v>0.0</v>
      </c>
      <c r="J596" s="11">
        <v>22.0</v>
      </c>
      <c r="K596" s="11">
        <v>3.0</v>
      </c>
      <c r="L596" s="11">
        <v>2.0</v>
      </c>
      <c r="M596" s="13">
        <f t="shared" ref="M596:O596" si="598">IFERROR(G596/F596,"")</f>
        <v>0.577194131</v>
      </c>
      <c r="N596" s="13">
        <f t="shared" si="598"/>
        <v>0.4398852415</v>
      </c>
      <c r="O596" s="14">
        <f t="shared" si="598"/>
        <v>0</v>
      </c>
      <c r="P596" s="13">
        <f t="shared" si="3"/>
        <v>0.00333687244</v>
      </c>
      <c r="Q596" s="13">
        <f t="shared" si="4"/>
        <v>0.0004550280601</v>
      </c>
      <c r="R596" s="13">
        <f t="shared" si="5"/>
        <v>0.00030335204</v>
      </c>
      <c r="S596" s="14">
        <f t="shared" si="6"/>
        <v>1.435168392</v>
      </c>
      <c r="T596" s="14">
        <f t="shared" si="7"/>
        <v>0.8114797531</v>
      </c>
      <c r="U596" s="14">
        <f t="shared" si="8"/>
        <v>1.24022666</v>
      </c>
    </row>
    <row r="597" ht="15.75" customHeight="1">
      <c r="A597" s="9">
        <v>46073.5433737153</v>
      </c>
      <c r="B597" s="10">
        <v>13.0</v>
      </c>
      <c r="C597" s="10" t="s">
        <v>60</v>
      </c>
      <c r="D597" s="10"/>
      <c r="E597" s="12" t="s">
        <v>62</v>
      </c>
      <c r="F597" s="11">
        <v>55428.0</v>
      </c>
      <c r="G597" s="11">
        <v>21306.0</v>
      </c>
      <c r="H597" s="11">
        <v>12238.0</v>
      </c>
      <c r="I597" s="11">
        <v>0.0</v>
      </c>
      <c r="J597" s="11">
        <v>47.0</v>
      </c>
      <c r="K597" s="11">
        <v>1.0</v>
      </c>
      <c r="L597" s="11">
        <v>2.0</v>
      </c>
      <c r="M597" s="13">
        <f t="shared" ref="M597:O597" si="599">IFERROR(G597/F597,"")</f>
        <v>0.3843905607</v>
      </c>
      <c r="N597" s="13">
        <f t="shared" si="599"/>
        <v>0.57439219</v>
      </c>
      <c r="O597" s="14">
        <f t="shared" si="599"/>
        <v>0</v>
      </c>
      <c r="P597" s="13">
        <f t="shared" si="3"/>
        <v>0.003840496813</v>
      </c>
      <c r="Q597" s="13">
        <f t="shared" si="4"/>
        <v>0.00008171269815</v>
      </c>
      <c r="R597" s="13">
        <f t="shared" si="5"/>
        <v>0.0001634253963</v>
      </c>
      <c r="S597" s="14">
        <f t="shared" si="6"/>
        <v>0.9579333431</v>
      </c>
      <c r="T597" s="14">
        <f t="shared" si="7"/>
        <v>1.050898802</v>
      </c>
      <c r="U597" s="14">
        <f t="shared" si="8"/>
        <v>0.2222721496</v>
      </c>
    </row>
    <row r="598" ht="15.75" customHeight="1">
      <c r="A598" s="9">
        <v>46074.6400140046</v>
      </c>
      <c r="B598" s="10">
        <v>15.0</v>
      </c>
      <c r="C598" s="10" t="s">
        <v>69</v>
      </c>
      <c r="D598" s="10"/>
      <c r="E598" s="12" t="s">
        <v>62</v>
      </c>
      <c r="F598" s="11">
        <v>12302.0</v>
      </c>
      <c r="G598" s="11">
        <v>5208.0</v>
      </c>
      <c r="H598" s="11">
        <v>2640.0</v>
      </c>
      <c r="I598" s="11">
        <v>0.0</v>
      </c>
      <c r="J598" s="11">
        <v>21.0</v>
      </c>
      <c r="K598" s="11">
        <v>1.0</v>
      </c>
      <c r="L598" s="11">
        <v>0.0</v>
      </c>
      <c r="M598" s="13">
        <f t="shared" ref="M598:O598" si="600">IFERROR(G598/F598,"")</f>
        <v>0.4233457974</v>
      </c>
      <c r="N598" s="13">
        <f t="shared" si="600"/>
        <v>0.5069124424</v>
      </c>
      <c r="O598" s="14">
        <f t="shared" si="600"/>
        <v>0</v>
      </c>
      <c r="P598" s="13">
        <f t="shared" si="3"/>
        <v>0.007954545455</v>
      </c>
      <c r="Q598" s="13">
        <f t="shared" si="4"/>
        <v>0.0003787878788</v>
      </c>
      <c r="R598" s="13">
        <f t="shared" si="5"/>
        <v>0</v>
      </c>
      <c r="S598" s="14">
        <f t="shared" si="6"/>
        <v>1.052631125</v>
      </c>
      <c r="T598" s="14">
        <f t="shared" si="7"/>
        <v>0.9351284035</v>
      </c>
      <c r="U598" s="14">
        <f t="shared" si="8"/>
        <v>1.028314394</v>
      </c>
    </row>
    <row r="599" ht="15.75" customHeight="1">
      <c r="A599" s="9">
        <v>46076.6254192593</v>
      </c>
      <c r="B599" s="10">
        <v>15.0</v>
      </c>
      <c r="C599" s="10" t="s">
        <v>71</v>
      </c>
      <c r="D599" s="10" t="s">
        <v>1564</v>
      </c>
      <c r="E599" s="12" t="s">
        <v>62</v>
      </c>
      <c r="F599" s="11">
        <v>14383.0</v>
      </c>
      <c r="G599" s="11">
        <v>5188.0</v>
      </c>
      <c r="H599" s="11">
        <v>3922.0</v>
      </c>
      <c r="I599" s="11">
        <v>0.0</v>
      </c>
      <c r="J599" s="11">
        <v>38.0</v>
      </c>
      <c r="K599" s="11">
        <v>8.0</v>
      </c>
      <c r="L599" s="11">
        <v>1.0</v>
      </c>
      <c r="M599" s="13">
        <f t="shared" ref="M599:O599" si="601">IFERROR(G599/F599,"")</f>
        <v>0.3607036084</v>
      </c>
      <c r="N599" s="13">
        <f t="shared" si="601"/>
        <v>0.7559753277</v>
      </c>
      <c r="O599" s="14">
        <f t="shared" si="601"/>
        <v>0</v>
      </c>
      <c r="P599" s="13">
        <f t="shared" si="3"/>
        <v>0.009688934217</v>
      </c>
      <c r="Q599" s="13">
        <f t="shared" si="4"/>
        <v>0.002039775625</v>
      </c>
      <c r="R599" s="13">
        <f t="shared" si="5"/>
        <v>0.0002549719531</v>
      </c>
      <c r="S599" s="14">
        <f t="shared" si="6"/>
        <v>0.8968740149</v>
      </c>
      <c r="T599" s="14">
        <f t="shared" si="7"/>
        <v>1.394587984</v>
      </c>
      <c r="U599" s="14">
        <f t="shared" si="8"/>
        <v>5.537480877</v>
      </c>
    </row>
    <row r="600" ht="15.75" customHeight="1">
      <c r="A600" s="9">
        <v>46076.6266904167</v>
      </c>
      <c r="B600" s="10">
        <v>15.0</v>
      </c>
      <c r="C600" s="10" t="s">
        <v>71</v>
      </c>
      <c r="D600" s="10"/>
      <c r="E600" s="12" t="s">
        <v>62</v>
      </c>
      <c r="F600" s="11">
        <v>13580.0</v>
      </c>
      <c r="G600" s="11">
        <v>7005.0</v>
      </c>
      <c r="H600" s="11">
        <v>3081.0</v>
      </c>
      <c r="I600" s="11">
        <v>0.0</v>
      </c>
      <c r="J600" s="11">
        <v>29.0</v>
      </c>
      <c r="K600" s="11">
        <v>2.0</v>
      </c>
      <c r="L600" s="11">
        <v>4.0</v>
      </c>
      <c r="M600" s="13">
        <f t="shared" ref="M600:O600" si="602">IFERROR(G600/F600,"")</f>
        <v>0.515832106</v>
      </c>
      <c r="N600" s="13">
        <f t="shared" si="602"/>
        <v>0.4398286938</v>
      </c>
      <c r="O600" s="14">
        <f t="shared" si="602"/>
        <v>0</v>
      </c>
      <c r="P600" s="13">
        <f t="shared" si="3"/>
        <v>0.0094125284</v>
      </c>
      <c r="Q600" s="13">
        <f t="shared" si="4"/>
        <v>0.0006491398896</v>
      </c>
      <c r="R600" s="13">
        <f t="shared" si="5"/>
        <v>0.001298279779</v>
      </c>
      <c r="S600" s="14">
        <f t="shared" si="6"/>
        <v>1.282594355</v>
      </c>
      <c r="T600" s="14">
        <f t="shared" si="7"/>
        <v>0.8113754365</v>
      </c>
      <c r="U600" s="14">
        <f t="shared" si="8"/>
        <v>1.762252515</v>
      </c>
    </row>
    <row r="601" ht="15.75" customHeight="1">
      <c r="A601" s="9">
        <v>46077.6463959144</v>
      </c>
      <c r="B601" s="10">
        <v>15.0</v>
      </c>
      <c r="C601" s="10" t="s">
        <v>59</v>
      </c>
      <c r="D601" s="10" t="s">
        <v>1565</v>
      </c>
      <c r="E601" s="12" t="s">
        <v>62</v>
      </c>
      <c r="F601" s="11">
        <v>17495.0</v>
      </c>
      <c r="G601" s="11">
        <v>8933.0</v>
      </c>
      <c r="H601" s="11">
        <v>4257.0</v>
      </c>
      <c r="I601" s="11">
        <v>0.0</v>
      </c>
      <c r="J601" s="11">
        <v>64.0</v>
      </c>
      <c r="K601" s="11">
        <v>2.0</v>
      </c>
      <c r="L601" s="11">
        <v>4.0</v>
      </c>
      <c r="M601" s="13">
        <f t="shared" ref="M601:O601" si="603">IFERROR(G601/F601,"")</f>
        <v>0.5106030294</v>
      </c>
      <c r="N601" s="13">
        <f t="shared" si="603"/>
        <v>0.4765476324</v>
      </c>
      <c r="O601" s="14">
        <f t="shared" si="603"/>
        <v>0</v>
      </c>
      <c r="P601" s="13">
        <f t="shared" si="3"/>
        <v>0.01503406155</v>
      </c>
      <c r="Q601" s="13">
        <f t="shared" si="4"/>
        <v>0.0004698144233</v>
      </c>
      <c r="R601" s="13">
        <f t="shared" si="5"/>
        <v>0.0009396288466</v>
      </c>
      <c r="S601" s="14">
        <f t="shared" si="6"/>
        <v>1.269592481</v>
      </c>
      <c r="T601" s="14">
        <f t="shared" si="7"/>
        <v>0.8791128198</v>
      </c>
      <c r="U601" s="14">
        <f t="shared" si="8"/>
        <v>1.275428706</v>
      </c>
    </row>
    <row r="602" ht="15.75" customHeight="1">
      <c r="A602" s="9">
        <v>46077.7605473727</v>
      </c>
      <c r="B602" s="10">
        <v>18.0</v>
      </c>
      <c r="C602" s="10" t="s">
        <v>59</v>
      </c>
      <c r="D602" s="10"/>
      <c r="E602" s="12" t="s">
        <v>62</v>
      </c>
      <c r="F602" s="11">
        <v>62873.0</v>
      </c>
      <c r="G602" s="11">
        <v>33066.0</v>
      </c>
      <c r="H602" s="11">
        <v>17819.0</v>
      </c>
      <c r="I602" s="11">
        <v>0.0</v>
      </c>
      <c r="J602" s="11">
        <v>68.0</v>
      </c>
      <c r="K602" s="11">
        <v>5.0</v>
      </c>
      <c r="L602" s="11">
        <v>3.0</v>
      </c>
      <c r="M602" s="13">
        <f t="shared" ref="M602:O602" si="604">IFERROR(G602/F602,"")</f>
        <v>0.5259173254</v>
      </c>
      <c r="N602" s="13">
        <f t="shared" si="604"/>
        <v>0.5388919131</v>
      </c>
      <c r="O602" s="14">
        <f t="shared" si="604"/>
        <v>0</v>
      </c>
      <c r="P602" s="13">
        <f t="shared" si="3"/>
        <v>0.003816151299</v>
      </c>
      <c r="Q602" s="13">
        <f t="shared" si="4"/>
        <v>0.0002805993602</v>
      </c>
      <c r="R602" s="13">
        <f t="shared" si="5"/>
        <v>0.0001683596161</v>
      </c>
      <c r="S602" s="14">
        <f t="shared" si="6"/>
        <v>1.304967771</v>
      </c>
      <c r="T602" s="14">
        <f t="shared" si="7"/>
        <v>0.9953472532</v>
      </c>
      <c r="U602" s="14">
        <f t="shared" si="8"/>
        <v>0.7515763851</v>
      </c>
    </row>
    <row r="603" ht="15.75" customHeight="1">
      <c r="A603" s="9">
        <v>46078.5262651852</v>
      </c>
      <c r="B603" s="10">
        <v>12.0</v>
      </c>
      <c r="C603" s="10" t="s">
        <v>80</v>
      </c>
      <c r="D603" s="10"/>
      <c r="E603" s="12" t="s">
        <v>62</v>
      </c>
      <c r="F603" s="11">
        <v>8853.0</v>
      </c>
      <c r="G603" s="11">
        <v>3784.0</v>
      </c>
      <c r="H603" s="11">
        <v>1707.0</v>
      </c>
      <c r="I603" s="11">
        <v>0.0</v>
      </c>
      <c r="J603" s="11">
        <v>15.0</v>
      </c>
      <c r="K603" s="11">
        <v>1.0</v>
      </c>
      <c r="L603" s="11">
        <v>1.0</v>
      </c>
      <c r="M603" s="13">
        <f t="shared" ref="M603:O603" si="605">IFERROR(G603/F603,"")</f>
        <v>0.4274257314</v>
      </c>
      <c r="N603" s="13">
        <f t="shared" si="605"/>
        <v>0.4511099366</v>
      </c>
      <c r="O603" s="14">
        <f t="shared" si="605"/>
        <v>0</v>
      </c>
      <c r="P603" s="13">
        <f t="shared" si="3"/>
        <v>0.008787346221</v>
      </c>
      <c r="Q603" s="13">
        <f t="shared" si="4"/>
        <v>0.0005858230814</v>
      </c>
      <c r="R603" s="13">
        <f t="shared" si="5"/>
        <v>0.0005858230814</v>
      </c>
      <c r="S603" s="14">
        <f t="shared" si="6"/>
        <v>1.060578872</v>
      </c>
      <c r="T603" s="14">
        <f t="shared" si="7"/>
        <v>0.8332116799</v>
      </c>
      <c r="U603" s="14">
        <f t="shared" si="8"/>
        <v>1.569108331</v>
      </c>
    </row>
    <row r="604" ht="15.75" customHeight="1">
      <c r="A604" s="9">
        <v>46078.7058641782</v>
      </c>
      <c r="B604" s="10">
        <v>16.0</v>
      </c>
      <c r="C604" s="10" t="s">
        <v>80</v>
      </c>
      <c r="D604" s="10" t="s">
        <v>1566</v>
      </c>
      <c r="E604" s="12" t="s">
        <v>62</v>
      </c>
      <c r="F604" s="11">
        <v>222359.0</v>
      </c>
      <c r="G604" s="11">
        <v>51383.0</v>
      </c>
      <c r="H604" s="11">
        <v>37004.0</v>
      </c>
      <c r="I604" s="11">
        <v>0.0</v>
      </c>
      <c r="J604" s="11">
        <v>157.0</v>
      </c>
      <c r="K604" s="11">
        <v>14.0</v>
      </c>
      <c r="L604" s="11">
        <v>23.0</v>
      </c>
      <c r="M604" s="13">
        <f t="shared" ref="M604:O604" si="606">IFERROR(G604/F604,"")</f>
        <v>0.2310812695</v>
      </c>
      <c r="N604" s="13">
        <f t="shared" si="606"/>
        <v>0.7201603643</v>
      </c>
      <c r="O604" s="14">
        <f t="shared" si="606"/>
        <v>0</v>
      </c>
      <c r="P604" s="13">
        <f t="shared" si="3"/>
        <v>0.004242784564</v>
      </c>
      <c r="Q604" s="13">
        <f t="shared" si="4"/>
        <v>0.000378337477</v>
      </c>
      <c r="R604" s="13">
        <f t="shared" si="5"/>
        <v>0.0006215544265</v>
      </c>
      <c r="S604" s="14">
        <f t="shared" si="6"/>
        <v>0.5733859574</v>
      </c>
      <c r="T604" s="14">
        <f t="shared" si="7"/>
        <v>1.330154755</v>
      </c>
      <c r="U604" s="14">
        <f t="shared" si="8"/>
        <v>1.013364796</v>
      </c>
    </row>
    <row r="605" ht="15.75" customHeight="1">
      <c r="A605" s="9">
        <v>46079.3065996644</v>
      </c>
      <c r="B605" s="10">
        <v>7.0</v>
      </c>
      <c r="C605" s="10" t="s">
        <v>84</v>
      </c>
      <c r="D605" s="10" t="s">
        <v>1567</v>
      </c>
      <c r="E605" s="12" t="s">
        <v>62</v>
      </c>
      <c r="F605" s="11">
        <v>11319.0</v>
      </c>
      <c r="G605" s="11">
        <v>4261.0</v>
      </c>
      <c r="H605" s="11">
        <v>1848.0</v>
      </c>
      <c r="I605" s="11">
        <v>0.0</v>
      </c>
      <c r="J605" s="11">
        <v>26.0</v>
      </c>
      <c r="K605" s="11">
        <v>8.0</v>
      </c>
      <c r="L605" s="11">
        <v>1.0</v>
      </c>
      <c r="M605" s="13">
        <f t="shared" ref="M605:O605" si="607">IFERROR(G605/F605,"")</f>
        <v>0.3764466826</v>
      </c>
      <c r="N605" s="13">
        <f t="shared" si="607"/>
        <v>0.4337010092</v>
      </c>
      <c r="O605" s="14">
        <f t="shared" si="607"/>
        <v>0</v>
      </c>
      <c r="P605" s="13">
        <f t="shared" si="3"/>
        <v>0.01406926407</v>
      </c>
      <c r="Q605" s="13">
        <f t="shared" si="4"/>
        <v>0.004329004329</v>
      </c>
      <c r="R605" s="13">
        <f t="shared" si="5"/>
        <v>0.0005411255411</v>
      </c>
      <c r="S605" s="14">
        <f t="shared" si="6"/>
        <v>0.9340836753</v>
      </c>
      <c r="T605" s="14">
        <f t="shared" si="7"/>
        <v>0.8010569423</v>
      </c>
      <c r="U605" s="14">
        <f t="shared" si="8"/>
        <v>11.59509923</v>
      </c>
    </row>
    <row r="606" ht="15.75" customHeight="1">
      <c r="A606" s="9">
        <v>46080.2982621181</v>
      </c>
      <c r="B606" s="10">
        <v>7.0</v>
      </c>
      <c r="C606" s="10" t="s">
        <v>60</v>
      </c>
      <c r="D606" s="10" t="s">
        <v>1568</v>
      </c>
      <c r="E606" s="12" t="s">
        <v>62</v>
      </c>
      <c r="F606" s="11">
        <v>84530.0</v>
      </c>
      <c r="G606" s="11">
        <v>34137.0</v>
      </c>
      <c r="H606" s="11">
        <v>19531.0</v>
      </c>
      <c r="I606" s="11">
        <v>0.0</v>
      </c>
      <c r="J606" s="11">
        <v>104.0</v>
      </c>
      <c r="K606" s="11">
        <v>10.0</v>
      </c>
      <c r="L606" s="11">
        <v>24.0</v>
      </c>
      <c r="M606" s="13">
        <f t="shared" ref="M606:O606" si="608">IFERROR(G606/F606,"")</f>
        <v>0.4038447888</v>
      </c>
      <c r="N606" s="13">
        <f t="shared" si="608"/>
        <v>0.5721358057</v>
      </c>
      <c r="O606" s="14">
        <f t="shared" si="608"/>
        <v>0</v>
      </c>
      <c r="P606" s="13">
        <f t="shared" si="3"/>
        <v>0.005324868158</v>
      </c>
      <c r="Q606" s="13">
        <f t="shared" si="4"/>
        <v>0.0005120065537</v>
      </c>
      <c r="R606" s="13">
        <f t="shared" si="5"/>
        <v>0.001228815729</v>
      </c>
      <c r="S606" s="14">
        <f t="shared" si="6"/>
        <v>1</v>
      </c>
      <c r="T606" s="14">
        <f t="shared" si="7"/>
        <v>1.058052948</v>
      </c>
      <c r="U606" s="14">
        <f t="shared" si="8"/>
        <v>1.353306465</v>
      </c>
    </row>
    <row r="607" ht="15.75" customHeight="1">
      <c r="A607" s="9">
        <v>46080.6566917708</v>
      </c>
      <c r="B607" s="10">
        <v>15.0</v>
      </c>
      <c r="C607" s="10" t="s">
        <v>60</v>
      </c>
      <c r="D607" s="10"/>
      <c r="E607" s="12" t="s">
        <v>62</v>
      </c>
      <c r="F607" s="11">
        <v>16689.0</v>
      </c>
      <c r="G607" s="11">
        <v>7296.0</v>
      </c>
      <c r="H607" s="11">
        <v>3869.0</v>
      </c>
      <c r="I607" s="11">
        <v>0.0</v>
      </c>
      <c r="J607" s="11">
        <v>37.0</v>
      </c>
      <c r="K607" s="11">
        <v>0.0</v>
      </c>
      <c r="L607" s="11">
        <v>1.0</v>
      </c>
      <c r="M607" s="13">
        <f t="shared" ref="M607:O607" si="609">IFERROR(G607/F607,"")</f>
        <v>0.4371741866</v>
      </c>
      <c r="N607" s="13">
        <f t="shared" si="609"/>
        <v>0.5302905702</v>
      </c>
      <c r="O607" s="14">
        <f t="shared" si="609"/>
        <v>0</v>
      </c>
      <c r="P607" s="13">
        <f t="shared" si="3"/>
        <v>0.009563194624</v>
      </c>
      <c r="Q607" s="13">
        <f t="shared" si="4"/>
        <v>0</v>
      </c>
      <c r="R607" s="13">
        <f t="shared" si="5"/>
        <v>0.0002584647196</v>
      </c>
      <c r="S607" s="14">
        <f t="shared" si="6"/>
        <v>1.082530216</v>
      </c>
      <c r="T607" s="14">
        <f t="shared" si="7"/>
        <v>0.9806683927</v>
      </c>
      <c r="U607" s="14">
        <f t="shared" si="8"/>
        <v>0</v>
      </c>
    </row>
    <row r="608" ht="15.75" customHeight="1">
      <c r="A608" s="9">
        <v>46081.5084992245</v>
      </c>
      <c r="B608" s="10">
        <v>12.0</v>
      </c>
      <c r="C608" s="10" t="s">
        <v>69</v>
      </c>
      <c r="D608" s="10"/>
      <c r="E608" s="12" t="s">
        <v>62</v>
      </c>
      <c r="F608" s="11">
        <v>130465.0</v>
      </c>
      <c r="G608" s="11">
        <v>40393.0</v>
      </c>
      <c r="H608" s="11">
        <v>31952.0</v>
      </c>
      <c r="I608" s="11">
        <v>0.0</v>
      </c>
      <c r="J608" s="11">
        <v>88.0</v>
      </c>
      <c r="K608" s="11">
        <v>6.0</v>
      </c>
      <c r="L608" s="11">
        <v>11.0</v>
      </c>
      <c r="M608" s="13">
        <f t="shared" ref="M608:O608" si="610">IFERROR(G608/F608,"")</f>
        <v>0.3096079408</v>
      </c>
      <c r="N608" s="13">
        <f t="shared" si="610"/>
        <v>0.7910281484</v>
      </c>
      <c r="O608" s="14">
        <f t="shared" si="610"/>
        <v>0</v>
      </c>
      <c r="P608" s="13">
        <f t="shared" si="3"/>
        <v>0.002754131197</v>
      </c>
      <c r="Q608" s="13">
        <f t="shared" si="4"/>
        <v>0.0001877816725</v>
      </c>
      <c r="R608" s="13">
        <f t="shared" si="5"/>
        <v>0.0003442663996</v>
      </c>
      <c r="S608" s="14">
        <f t="shared" si="6"/>
        <v>0.7632840743</v>
      </c>
      <c r="T608" s="14">
        <f t="shared" si="7"/>
        <v>1.465360911</v>
      </c>
      <c r="U608" s="14">
        <f t="shared" si="8"/>
        <v>0.502967186</v>
      </c>
    </row>
    <row r="609" ht="15.75" customHeight="1">
      <c r="A609" s="9">
        <v>46084.4487182639</v>
      </c>
      <c r="B609" s="10">
        <v>10.0</v>
      </c>
      <c r="C609" s="10" t="s">
        <v>59</v>
      </c>
      <c r="D609" s="10"/>
      <c r="E609" s="12" t="s">
        <v>62</v>
      </c>
      <c r="F609" s="11">
        <v>14745.0</v>
      </c>
      <c r="G609" s="11">
        <v>4689.0</v>
      </c>
      <c r="H609" s="11">
        <v>3861.0</v>
      </c>
      <c r="I609" s="11">
        <v>0.0</v>
      </c>
      <c r="J609" s="11">
        <v>29.0</v>
      </c>
      <c r="K609" s="11">
        <v>5.0</v>
      </c>
      <c r="L609" s="11">
        <v>2.0</v>
      </c>
      <c r="M609" s="13">
        <f t="shared" ref="M609:O609" si="611">IFERROR(G609/F609,"")</f>
        <v>0.3180061038</v>
      </c>
      <c r="N609" s="13">
        <f t="shared" si="611"/>
        <v>0.8234165067</v>
      </c>
      <c r="O609" s="14">
        <f t="shared" si="611"/>
        <v>0</v>
      </c>
      <c r="P609" s="13">
        <f t="shared" si="3"/>
        <v>0.007511007511</v>
      </c>
      <c r="Q609" s="13">
        <f t="shared" si="4"/>
        <v>0.001295001295</v>
      </c>
      <c r="R609" s="13">
        <f t="shared" si="5"/>
        <v>0.000518000518</v>
      </c>
      <c r="S609" s="14">
        <f t="shared" si="6"/>
        <v>0.7805604365</v>
      </c>
      <c r="T609" s="14">
        <f t="shared" si="7"/>
        <v>1.527980819</v>
      </c>
      <c r="U609" s="14">
        <f t="shared" si="8"/>
        <v>3.515604766</v>
      </c>
    </row>
    <row r="610" ht="15.75" customHeight="1">
      <c r="A610" s="9">
        <v>46084.5845280671</v>
      </c>
      <c r="B610" s="10">
        <v>14.0</v>
      </c>
      <c r="C610" s="10" t="s">
        <v>59</v>
      </c>
      <c r="D610" s="10" t="s">
        <v>1569</v>
      </c>
      <c r="E610" s="12" t="s">
        <v>62</v>
      </c>
      <c r="F610" s="11">
        <v>3477.0</v>
      </c>
      <c r="G610" s="11">
        <v>491.0</v>
      </c>
      <c r="H610" s="11">
        <v>443.0</v>
      </c>
      <c r="I610" s="11">
        <v>0.0</v>
      </c>
      <c r="J610" s="11">
        <v>7.0</v>
      </c>
      <c r="K610" s="11">
        <v>0.0</v>
      </c>
      <c r="L610" s="11">
        <v>1.0</v>
      </c>
      <c r="M610" s="13">
        <f t="shared" ref="M610:O610" si="612">IFERROR(G610/F610,"")</f>
        <v>0.14121369</v>
      </c>
      <c r="N610" s="13">
        <f t="shared" si="612"/>
        <v>0.9022403259</v>
      </c>
      <c r="O610" s="14">
        <f t="shared" si="612"/>
        <v>0</v>
      </c>
      <c r="P610" s="13">
        <f t="shared" si="3"/>
        <v>0.0158013544</v>
      </c>
      <c r="Q610" s="13">
        <f t="shared" si="4"/>
        <v>0</v>
      </c>
      <c r="R610" s="13">
        <f t="shared" si="5"/>
        <v>0.002257336343</v>
      </c>
      <c r="S610" s="14">
        <f t="shared" si="6"/>
        <v>0.3481375844</v>
      </c>
      <c r="T610" s="14">
        <f t="shared" si="7"/>
        <v>1.671378836</v>
      </c>
      <c r="U610" s="14">
        <f t="shared" si="8"/>
        <v>0</v>
      </c>
    </row>
    <row r="611" ht="15.75" customHeight="1">
      <c r="A611" s="9">
        <v>46085.5622784375</v>
      </c>
      <c r="B611" s="10">
        <v>13.0</v>
      </c>
      <c r="C611" s="10" t="s">
        <v>80</v>
      </c>
      <c r="D611" s="10"/>
      <c r="E611" s="12" t="s">
        <v>62</v>
      </c>
      <c r="F611" s="11">
        <v>145177.0</v>
      </c>
      <c r="G611" s="11">
        <v>48139.0</v>
      </c>
      <c r="H611" s="11">
        <v>30217.0</v>
      </c>
      <c r="I611" s="11">
        <v>0.0</v>
      </c>
      <c r="J611" s="11">
        <v>94.0</v>
      </c>
      <c r="K611" s="11">
        <v>6.0</v>
      </c>
      <c r="L611" s="11">
        <v>15.0</v>
      </c>
      <c r="M611" s="13">
        <f t="shared" ref="M611:O611" si="613">IFERROR(G611/F611,"")</f>
        <v>0.331588337</v>
      </c>
      <c r="N611" s="13">
        <f t="shared" si="613"/>
        <v>0.6277031097</v>
      </c>
      <c r="O611" s="14">
        <f t="shared" si="613"/>
        <v>0</v>
      </c>
      <c r="P611" s="13">
        <f t="shared" si="3"/>
        <v>0.003110831651</v>
      </c>
      <c r="Q611" s="13">
        <f t="shared" si="4"/>
        <v>0.0001985637224</v>
      </c>
      <c r="R611" s="13">
        <f t="shared" si="5"/>
        <v>0.000496409306</v>
      </c>
      <c r="S611" s="14">
        <f t="shared" si="6"/>
        <v>0.8174728858</v>
      </c>
      <c r="T611" s="14">
        <f t="shared" si="7"/>
        <v>1.162805145</v>
      </c>
      <c r="U611" s="14">
        <f t="shared" si="8"/>
        <v>0.540126399</v>
      </c>
    </row>
    <row r="612" ht="15.75" customHeight="1">
      <c r="A612" s="9">
        <v>46086.5838559375</v>
      </c>
      <c r="B612" s="10">
        <v>14.0</v>
      </c>
      <c r="C612" s="10" t="s">
        <v>84</v>
      </c>
      <c r="D612" s="10" t="s">
        <v>1570</v>
      </c>
      <c r="E612" s="12" t="s">
        <v>62</v>
      </c>
      <c r="F612" s="11">
        <v>20289.0</v>
      </c>
      <c r="G612" s="11">
        <v>11326.0</v>
      </c>
      <c r="H612" s="11">
        <v>5020.0</v>
      </c>
      <c r="I612" s="11">
        <v>0.0</v>
      </c>
      <c r="J612" s="11">
        <v>62.0</v>
      </c>
      <c r="K612" s="11">
        <v>3.0</v>
      </c>
      <c r="L612" s="11">
        <v>3.0</v>
      </c>
      <c r="M612" s="13">
        <f t="shared" ref="M612:O612" si="614">IFERROR(G612/F612,"")</f>
        <v>0.5582335256</v>
      </c>
      <c r="N612" s="13">
        <f t="shared" si="614"/>
        <v>0.443227971</v>
      </c>
      <c r="O612" s="14">
        <f t="shared" si="614"/>
        <v>0</v>
      </c>
      <c r="P612" s="13">
        <f t="shared" si="3"/>
        <v>0.01235059761</v>
      </c>
      <c r="Q612" s="13">
        <f t="shared" si="4"/>
        <v>0.0005976095618</v>
      </c>
      <c r="R612" s="13">
        <f t="shared" si="5"/>
        <v>0.0005976095618</v>
      </c>
      <c r="S612" s="14">
        <f t="shared" si="6"/>
        <v>1.382297212</v>
      </c>
      <c r="T612" s="14">
        <f t="shared" si="7"/>
        <v>0.8224802789</v>
      </c>
      <c r="U612" s="14">
        <f t="shared" si="8"/>
        <v>1.622360558</v>
      </c>
    </row>
    <row r="613" ht="15.75" customHeight="1">
      <c r="A613" s="9">
        <v>46087.4783508102</v>
      </c>
      <c r="B613" s="10">
        <v>11.0</v>
      </c>
      <c r="C613" s="10" t="s">
        <v>60</v>
      </c>
      <c r="D613" s="10"/>
      <c r="E613" s="12" t="s">
        <v>62</v>
      </c>
      <c r="F613" s="11">
        <v>402096.0</v>
      </c>
      <c r="G613" s="11">
        <v>79580.0</v>
      </c>
      <c r="H613" s="11">
        <v>82069.0</v>
      </c>
      <c r="I613" s="11">
        <v>0.0</v>
      </c>
      <c r="J613" s="11">
        <v>196.0</v>
      </c>
      <c r="K613" s="11">
        <v>22.0</v>
      </c>
      <c r="L613" s="11">
        <v>22.0</v>
      </c>
      <c r="M613" s="13">
        <f t="shared" ref="M613:O613" si="615">IFERROR(G613/F613,"")</f>
        <v>0.1979129362</v>
      </c>
      <c r="N613" s="13">
        <f t="shared" si="615"/>
        <v>1.031276703</v>
      </c>
      <c r="O613" s="14">
        <f t="shared" si="615"/>
        <v>0</v>
      </c>
      <c r="P613" s="13">
        <f t="shared" si="3"/>
        <v>0.002388234291</v>
      </c>
      <c r="Q613" s="13">
        <f t="shared" si="4"/>
        <v>0.0002680671143</v>
      </c>
      <c r="R613" s="13">
        <f t="shared" si="5"/>
        <v>0.0002680671143</v>
      </c>
      <c r="S613" s="14">
        <f t="shared" si="6"/>
        <v>0.4900717842</v>
      </c>
      <c r="T613" s="14">
        <f t="shared" si="7"/>
        <v>1.944738905</v>
      </c>
      <c r="U613" s="14">
        <f t="shared" si="8"/>
        <v>0.7306450108</v>
      </c>
    </row>
    <row r="614" ht="15.75" customHeight="1">
      <c r="A614" s="9">
        <v>46088.5871555324</v>
      </c>
      <c r="B614" s="10">
        <v>14.0</v>
      </c>
      <c r="C614" s="10" t="s">
        <v>69</v>
      </c>
      <c r="D614" s="10"/>
      <c r="E614" s="12" t="s">
        <v>62</v>
      </c>
      <c r="F614" s="11">
        <v>20865.0</v>
      </c>
      <c r="G614" s="11">
        <v>8138.0</v>
      </c>
      <c r="H614" s="11">
        <v>4050.0</v>
      </c>
      <c r="I614" s="11">
        <v>0.0</v>
      </c>
      <c r="J614" s="11">
        <v>45.0</v>
      </c>
      <c r="K614" s="11">
        <v>2.0</v>
      </c>
      <c r="L614" s="11">
        <v>1.0</v>
      </c>
      <c r="M614" s="13">
        <f t="shared" ref="M614:O614" si="616">IFERROR(G614/F614,"")</f>
        <v>0.3900311526</v>
      </c>
      <c r="N614" s="13">
        <f t="shared" si="616"/>
        <v>0.497665274</v>
      </c>
      <c r="O614" s="14">
        <f t="shared" si="616"/>
        <v>0</v>
      </c>
      <c r="P614" s="13">
        <f t="shared" si="3"/>
        <v>0.01111111111</v>
      </c>
      <c r="Q614" s="13">
        <f t="shared" si="4"/>
        <v>0.0004938271605</v>
      </c>
      <c r="R614" s="13">
        <f t="shared" si="5"/>
        <v>0.0002469135802</v>
      </c>
      <c r="S614" s="14">
        <f t="shared" si="6"/>
        <v>0.9741945987</v>
      </c>
      <c r="T614" s="14">
        <f t="shared" si="7"/>
        <v>0.9234973877</v>
      </c>
      <c r="U614" s="14">
        <f t="shared" si="8"/>
        <v>1.345977674</v>
      </c>
    </row>
    <row r="615" ht="15.75" customHeight="1">
      <c r="A615" s="9">
        <v>46091.5656491435</v>
      </c>
      <c r="B615" s="10">
        <v>13.0</v>
      </c>
      <c r="C615" s="10" t="s">
        <v>59</v>
      </c>
      <c r="D615" s="10" t="s">
        <v>1400</v>
      </c>
      <c r="E615" s="12" t="s">
        <v>62</v>
      </c>
      <c r="F615" s="11">
        <v>1887542.0</v>
      </c>
      <c r="G615" s="11">
        <v>377093.0</v>
      </c>
      <c r="H615" s="11">
        <v>455176.0</v>
      </c>
      <c r="I615" s="11">
        <v>0.0</v>
      </c>
      <c r="J615" s="11">
        <v>1335.0</v>
      </c>
      <c r="K615" s="11">
        <v>167.0</v>
      </c>
      <c r="L615" s="11">
        <v>240.0</v>
      </c>
      <c r="M615" s="13">
        <f t="shared" ref="M615:O615" si="617">IFERROR(G615/F615,"")</f>
        <v>0.1997799254</v>
      </c>
      <c r="N615" s="13">
        <f t="shared" si="617"/>
        <v>1.207065631</v>
      </c>
      <c r="O615" s="14">
        <f t="shared" si="617"/>
        <v>0</v>
      </c>
      <c r="P615" s="13">
        <f t="shared" si="3"/>
        <v>0.002932931438</v>
      </c>
      <c r="Q615" s="13">
        <f t="shared" si="4"/>
        <v>0.0003668910487</v>
      </c>
      <c r="R615" s="13">
        <f t="shared" si="5"/>
        <v>0.000527268573</v>
      </c>
      <c r="S615" s="14">
        <f t="shared" si="6"/>
        <v>0.5012318605</v>
      </c>
      <c r="T615" s="14">
        <f t="shared" si="7"/>
        <v>2.229481332</v>
      </c>
      <c r="U615" s="14">
        <f t="shared" si="8"/>
        <v>0.9827059046</v>
      </c>
    </row>
    <row r="616" ht="15.75" customHeight="1">
      <c r="A616" s="9">
        <v>46092.5357265972</v>
      </c>
      <c r="B616" s="10">
        <v>12.0</v>
      </c>
      <c r="C616" s="10" t="s">
        <v>80</v>
      </c>
      <c r="D616" s="10"/>
      <c r="E616" s="12" t="s">
        <v>62</v>
      </c>
      <c r="F616" s="11">
        <v>22181.0</v>
      </c>
      <c r="G616" s="11">
        <v>11015.0</v>
      </c>
      <c r="H616" s="11">
        <v>6070.0</v>
      </c>
      <c r="I616" s="11">
        <v>0.0</v>
      </c>
      <c r="J616" s="11">
        <v>47.0</v>
      </c>
      <c r="K616" s="11">
        <v>2.0</v>
      </c>
      <c r="L616" s="11">
        <v>8.0</v>
      </c>
      <c r="M616" s="13">
        <f t="shared" ref="M616:O616" si="618">IFERROR(G616/F616,"")</f>
        <v>0.4965961859</v>
      </c>
      <c r="N616" s="13">
        <f t="shared" si="618"/>
        <v>0.5510667272</v>
      </c>
      <c r="O616" s="14">
        <f t="shared" si="618"/>
        <v>0</v>
      </c>
      <c r="P616" s="13">
        <f t="shared" si="3"/>
        <v>0.007742998353</v>
      </c>
      <c r="Q616" s="13">
        <f t="shared" si="4"/>
        <v>0.0003294892916</v>
      </c>
      <c r="R616" s="13">
        <f t="shared" si="5"/>
        <v>0.001317957166</v>
      </c>
      <c r="S616" s="14">
        <f t="shared" si="6"/>
        <v>1.24036585</v>
      </c>
      <c r="T616" s="14">
        <f t="shared" si="7"/>
        <v>1.01908982</v>
      </c>
      <c r="U616" s="14">
        <f t="shared" si="8"/>
        <v>0.8944810544</v>
      </c>
    </row>
    <row r="617" ht="15.75" customHeight="1">
      <c r="A617" s="9">
        <v>46093.5676879051</v>
      </c>
      <c r="B617" s="10">
        <v>13.0</v>
      </c>
      <c r="C617" s="10" t="s">
        <v>84</v>
      </c>
      <c r="D617" s="10" t="s">
        <v>1571</v>
      </c>
      <c r="E617" s="12" t="s">
        <v>62</v>
      </c>
      <c r="F617" s="11">
        <v>56390.0</v>
      </c>
      <c r="G617" s="11">
        <v>27381.0</v>
      </c>
      <c r="H617" s="11">
        <v>10115.0</v>
      </c>
      <c r="I617" s="11">
        <v>0.0</v>
      </c>
      <c r="J617" s="11">
        <v>53.0</v>
      </c>
      <c r="K617" s="11">
        <v>1.0</v>
      </c>
      <c r="L617" s="11">
        <v>0.0</v>
      </c>
      <c r="M617" s="13">
        <f t="shared" ref="M617:O617" si="619">IFERROR(G617/F617,"")</f>
        <v>0.4855648165</v>
      </c>
      <c r="N617" s="13">
        <f t="shared" si="619"/>
        <v>0.3694167488</v>
      </c>
      <c r="O617" s="14">
        <f t="shared" si="619"/>
        <v>0</v>
      </c>
      <c r="P617" s="13">
        <f t="shared" si="3"/>
        <v>0.005239742956</v>
      </c>
      <c r="Q617" s="13">
        <f t="shared" si="4"/>
        <v>0.00009886307464</v>
      </c>
      <c r="R617" s="13">
        <f t="shared" si="5"/>
        <v>0</v>
      </c>
      <c r="S617" s="14">
        <f t="shared" si="6"/>
        <v>1.207561084</v>
      </c>
      <c r="T617" s="14">
        <f t="shared" si="7"/>
        <v>0.6823222566</v>
      </c>
      <c r="U617" s="14">
        <f t="shared" si="8"/>
        <v>0.264801574</v>
      </c>
    </row>
    <row r="618" ht="15.75" customHeight="1">
      <c r="A618" s="9">
        <v>46094.5979453472</v>
      </c>
      <c r="B618" s="10">
        <v>14.0</v>
      </c>
      <c r="C618" s="10" t="s">
        <v>60</v>
      </c>
      <c r="D618" s="10"/>
      <c r="E618" s="12" t="s">
        <v>62</v>
      </c>
      <c r="F618" s="11">
        <v>9783.0</v>
      </c>
      <c r="G618" s="11">
        <v>4274.0</v>
      </c>
      <c r="H618" s="11">
        <v>3615.0</v>
      </c>
      <c r="I618" s="11">
        <v>0.0</v>
      </c>
      <c r="J618" s="11">
        <v>16.0</v>
      </c>
      <c r="K618" s="11">
        <v>2.0</v>
      </c>
      <c r="L618" s="11">
        <v>0.0</v>
      </c>
      <c r="M618" s="13">
        <f t="shared" ref="M618:O618" si="620">IFERROR(G618/F618,"")</f>
        <v>0.4368803026</v>
      </c>
      <c r="N618" s="13">
        <f t="shared" si="620"/>
        <v>0.8458118858</v>
      </c>
      <c r="O618" s="14">
        <f t="shared" si="620"/>
        <v>0</v>
      </c>
      <c r="P618" s="13">
        <f t="shared" si="3"/>
        <v>0.004426002766</v>
      </c>
      <c r="Q618" s="13">
        <f t="shared" si="4"/>
        <v>0.0005532503458</v>
      </c>
      <c r="R618" s="13">
        <f t="shared" si="5"/>
        <v>0</v>
      </c>
      <c r="S618" s="14">
        <f t="shared" si="6"/>
        <v>1.081802501</v>
      </c>
      <c r="T618" s="14">
        <f t="shared" si="7"/>
        <v>1.564163176</v>
      </c>
      <c r="U618" s="14">
        <f t="shared" si="8"/>
        <v>1.501936376</v>
      </c>
    </row>
    <row r="619" ht="15.75" customHeight="1">
      <c r="A619" s="9">
        <v>46095.582983507</v>
      </c>
      <c r="B619" s="10">
        <v>13.0</v>
      </c>
      <c r="C619" s="10" t="s">
        <v>69</v>
      </c>
      <c r="D619" s="10"/>
      <c r="E619" s="12" t="s">
        <v>62</v>
      </c>
      <c r="F619" s="11">
        <v>63845.0</v>
      </c>
      <c r="G619" s="11">
        <v>32695.0</v>
      </c>
      <c r="H619" s="11">
        <v>20391.0</v>
      </c>
      <c r="I619" s="11">
        <v>0.0</v>
      </c>
      <c r="J619" s="11">
        <v>86.0</v>
      </c>
      <c r="K619" s="11">
        <v>7.0</v>
      </c>
      <c r="L619" s="11">
        <v>9.0</v>
      </c>
      <c r="M619" s="13">
        <f t="shared" ref="M619:O619" si="621">IFERROR(G619/F619,"")</f>
        <v>0.5120996163</v>
      </c>
      <c r="N619" s="13">
        <f t="shared" si="621"/>
        <v>0.6236733445</v>
      </c>
      <c r="O619" s="14">
        <f t="shared" si="621"/>
        <v>0</v>
      </c>
      <c r="P619" s="13">
        <f t="shared" si="3"/>
        <v>0.004217546957</v>
      </c>
      <c r="Q619" s="13">
        <f t="shared" si="4"/>
        <v>0.0003432887058</v>
      </c>
      <c r="R619" s="13">
        <f t="shared" si="5"/>
        <v>0.0004413711932</v>
      </c>
      <c r="S619" s="14">
        <f t="shared" si="6"/>
        <v>1.268060479</v>
      </c>
      <c r="T619" s="14">
        <f t="shared" si="7"/>
        <v>1.153361517</v>
      </c>
      <c r="U619" s="14">
        <f t="shared" si="8"/>
        <v>0.9319430141</v>
      </c>
    </row>
    <row r="620" ht="15.75" customHeight="1">
      <c r="A620" s="9">
        <v>46097.5399837616</v>
      </c>
      <c r="B620" s="10">
        <v>12.0</v>
      </c>
      <c r="C620" s="10" t="s">
        <v>71</v>
      </c>
      <c r="D620" s="10"/>
      <c r="E620" s="12" t="s">
        <v>62</v>
      </c>
      <c r="F620" s="11">
        <v>3522.0</v>
      </c>
      <c r="G620" s="11">
        <v>404.0</v>
      </c>
      <c r="H620" s="11">
        <v>579.0</v>
      </c>
      <c r="I620" s="11">
        <v>0.0</v>
      </c>
      <c r="J620" s="11">
        <v>8.0</v>
      </c>
      <c r="K620" s="11">
        <v>1.0</v>
      </c>
      <c r="L620" s="11">
        <v>0.0</v>
      </c>
      <c r="M620" s="13">
        <f t="shared" ref="M620:O620" si="622">IFERROR(G620/F620,"")</f>
        <v>0.1147075525</v>
      </c>
      <c r="N620" s="13">
        <f t="shared" si="622"/>
        <v>1.433168317</v>
      </c>
      <c r="O620" s="14">
        <f t="shared" si="622"/>
        <v>0</v>
      </c>
      <c r="P620" s="13">
        <f t="shared" si="3"/>
        <v>0.01381692573</v>
      </c>
      <c r="Q620" s="13">
        <f t="shared" si="4"/>
        <v>0.001727115717</v>
      </c>
      <c r="R620" s="13">
        <f t="shared" si="5"/>
        <v>0</v>
      </c>
      <c r="S620" s="14">
        <f t="shared" si="6"/>
        <v>0.2840387092</v>
      </c>
      <c r="T620" s="14">
        <f t="shared" si="7"/>
        <v>2.659472673</v>
      </c>
      <c r="U620" s="14">
        <f t="shared" si="8"/>
        <v>4.688687392</v>
      </c>
    </row>
    <row r="621" ht="15.75" customHeight="1">
      <c r="A621" s="9">
        <v>46098.5840053935</v>
      </c>
      <c r="B621" s="10">
        <v>14.0</v>
      </c>
      <c r="C621" s="10" t="s">
        <v>59</v>
      </c>
      <c r="D621" s="10" t="s">
        <v>730</v>
      </c>
      <c r="E621" s="12" t="s">
        <v>62</v>
      </c>
      <c r="F621" s="11">
        <v>18217.0</v>
      </c>
      <c r="G621" s="11">
        <v>9032.0</v>
      </c>
      <c r="H621" s="11">
        <v>4884.0</v>
      </c>
      <c r="I621" s="11">
        <v>0.0</v>
      </c>
      <c r="J621" s="11">
        <v>90.0</v>
      </c>
      <c r="K621" s="11">
        <v>2.0</v>
      </c>
      <c r="L621" s="11">
        <v>7.0</v>
      </c>
      <c r="M621" s="13">
        <f t="shared" ref="M621:O621" si="623">IFERROR(G621/F621,"")</f>
        <v>0.4958006258</v>
      </c>
      <c r="N621" s="13">
        <f t="shared" si="623"/>
        <v>0.5407440213</v>
      </c>
      <c r="O621" s="14">
        <f t="shared" si="623"/>
        <v>0</v>
      </c>
      <c r="P621" s="13">
        <f t="shared" si="3"/>
        <v>0.01842751843</v>
      </c>
      <c r="Q621" s="13">
        <f t="shared" si="4"/>
        <v>0.0004095004095</v>
      </c>
      <c r="R621" s="13">
        <f t="shared" si="5"/>
        <v>0.001433251433</v>
      </c>
      <c r="S621" s="14">
        <f t="shared" si="6"/>
        <v>1.227700937</v>
      </c>
      <c r="T621" s="14">
        <f t="shared" si="7"/>
        <v>1.003436882</v>
      </c>
      <c r="U621" s="14">
        <f t="shared" si="8"/>
        <v>1.082368082</v>
      </c>
    </row>
    <row r="622" ht="15.75" customHeight="1">
      <c r="A622" s="9">
        <v>46099.5742427315</v>
      </c>
      <c r="B622" s="10">
        <v>13.0</v>
      </c>
      <c r="C622" s="10" t="s">
        <v>80</v>
      </c>
      <c r="D622" s="10"/>
      <c r="E622" s="12" t="s">
        <v>62</v>
      </c>
      <c r="F622" s="11">
        <v>19789.0</v>
      </c>
      <c r="G622" s="11">
        <v>11999.0</v>
      </c>
      <c r="H622" s="11">
        <v>6159.0</v>
      </c>
      <c r="I622" s="11">
        <v>0.0</v>
      </c>
      <c r="J622" s="11">
        <v>50.0</v>
      </c>
      <c r="K622" s="11">
        <v>2.0</v>
      </c>
      <c r="L622" s="11">
        <v>3.0</v>
      </c>
      <c r="M622" s="13">
        <f t="shared" ref="M622:O622" si="624">IFERROR(G622/F622,"")</f>
        <v>0.6063469604</v>
      </c>
      <c r="N622" s="13">
        <f t="shared" si="624"/>
        <v>0.5132927744</v>
      </c>
      <c r="O622" s="14">
        <f t="shared" si="624"/>
        <v>0</v>
      </c>
      <c r="P622" s="13">
        <f t="shared" si="3"/>
        <v>0.008118201007</v>
      </c>
      <c r="Q622" s="13">
        <f t="shared" si="4"/>
        <v>0.0003247280403</v>
      </c>
      <c r="R622" s="13">
        <f t="shared" si="5"/>
        <v>0.0004870920604</v>
      </c>
      <c r="S622" s="14">
        <f t="shared" si="6"/>
        <v>1.494842081</v>
      </c>
      <c r="T622" s="14">
        <f t="shared" si="7"/>
        <v>0.9601593412</v>
      </c>
      <c r="U622" s="14">
        <f t="shared" si="8"/>
        <v>0.8577920097</v>
      </c>
    </row>
    <row r="623" ht="15.75" customHeight="1">
      <c r="A623" s="9">
        <v>46100.5446606713</v>
      </c>
      <c r="B623" s="10">
        <v>13.0</v>
      </c>
      <c r="C623" s="10" t="s">
        <v>84</v>
      </c>
      <c r="D623" s="10" t="s">
        <v>1572</v>
      </c>
      <c r="E623" s="12" t="s">
        <v>62</v>
      </c>
      <c r="F623" s="11">
        <v>25006.0</v>
      </c>
      <c r="G623" s="11">
        <v>13912.0</v>
      </c>
      <c r="H623" s="11">
        <v>5678.0</v>
      </c>
      <c r="I623" s="11">
        <v>0.0</v>
      </c>
      <c r="J623" s="11">
        <v>36.0</v>
      </c>
      <c r="K623" s="11">
        <v>3.0</v>
      </c>
      <c r="L623" s="11">
        <v>1.0</v>
      </c>
      <c r="M623" s="13">
        <f t="shared" ref="M623:O623" si="625">IFERROR(G623/F623,"")</f>
        <v>0.5563464768</v>
      </c>
      <c r="N623" s="13">
        <f t="shared" si="625"/>
        <v>0.4081368603</v>
      </c>
      <c r="O623" s="14">
        <f t="shared" si="625"/>
        <v>0</v>
      </c>
      <c r="P623" s="13">
        <f t="shared" si="3"/>
        <v>0.006340260655</v>
      </c>
      <c r="Q623" s="13">
        <f t="shared" si="4"/>
        <v>0.0005283550546</v>
      </c>
      <c r="R623" s="13">
        <f t="shared" si="5"/>
        <v>0.0001761183515</v>
      </c>
      <c r="S623" s="14">
        <f t="shared" si="6"/>
        <v>1.377624504</v>
      </c>
      <c r="T623" s="14">
        <f t="shared" si="7"/>
        <v>0.7573631192</v>
      </c>
      <c r="U623" s="14">
        <f t="shared" si="8"/>
        <v>1.394857344</v>
      </c>
    </row>
    <row r="624" ht="15.75" customHeight="1">
      <c r="A624" s="9">
        <v>46101.5644589468</v>
      </c>
      <c r="B624" s="10">
        <v>13.0</v>
      </c>
      <c r="C624" s="10" t="s">
        <v>60</v>
      </c>
      <c r="D624" s="10"/>
      <c r="E624" s="12" t="s">
        <v>62</v>
      </c>
      <c r="F624" s="11">
        <v>9763.0</v>
      </c>
      <c r="G624" s="11">
        <v>4218.0</v>
      </c>
      <c r="H624" s="11">
        <v>1849.0</v>
      </c>
      <c r="I624" s="11">
        <v>0.0</v>
      </c>
      <c r="J624" s="11">
        <v>22.0</v>
      </c>
      <c r="K624" s="11">
        <v>1.0</v>
      </c>
      <c r="L624" s="11">
        <v>1.0</v>
      </c>
      <c r="M624" s="13">
        <f t="shared" ref="M624:O624" si="626">IFERROR(G624/F624,"")</f>
        <v>0.4320393322</v>
      </c>
      <c r="N624" s="13">
        <f t="shared" si="626"/>
        <v>0.438359412</v>
      </c>
      <c r="O624" s="14">
        <f t="shared" si="626"/>
        <v>0</v>
      </c>
      <c r="P624" s="13">
        <f t="shared" si="3"/>
        <v>0.01189832342</v>
      </c>
      <c r="Q624" s="13">
        <f t="shared" si="4"/>
        <v>0.0005408328826</v>
      </c>
      <c r="R624" s="13">
        <f t="shared" si="5"/>
        <v>0.0005408328826</v>
      </c>
      <c r="S624" s="14">
        <f t="shared" si="6"/>
        <v>1.074447461</v>
      </c>
      <c r="T624" s="14">
        <f t="shared" si="7"/>
        <v>0.8120504294</v>
      </c>
      <c r="U624" s="14">
        <f t="shared" si="8"/>
        <v>1.428648185</v>
      </c>
    </row>
    <row r="625" ht="15.75" customHeight="1">
      <c r="A625" s="9">
        <v>46102.4802409838</v>
      </c>
      <c r="B625" s="10">
        <v>11.0</v>
      </c>
      <c r="C625" s="10" t="s">
        <v>69</v>
      </c>
      <c r="D625" s="10"/>
      <c r="E625" s="12" t="s">
        <v>62</v>
      </c>
      <c r="F625" s="11">
        <v>146348.0</v>
      </c>
      <c r="G625" s="11">
        <v>62515.0</v>
      </c>
      <c r="H625" s="11">
        <v>33888.0</v>
      </c>
      <c r="I625" s="11">
        <v>0.0</v>
      </c>
      <c r="J625" s="11">
        <v>51.0</v>
      </c>
      <c r="K625" s="11">
        <v>3.0</v>
      </c>
      <c r="L625" s="11">
        <v>7.0</v>
      </c>
      <c r="M625" s="13">
        <f t="shared" ref="M625:O625" si="627">IFERROR(G625/F625,"")</f>
        <v>0.4271667532</v>
      </c>
      <c r="N625" s="13">
        <f t="shared" si="627"/>
        <v>0.5420779013</v>
      </c>
      <c r="O625" s="14">
        <f t="shared" si="627"/>
        <v>0</v>
      </c>
      <c r="P625" s="13">
        <f t="shared" si="3"/>
        <v>0.001504957507</v>
      </c>
      <c r="Q625" s="13">
        <f t="shared" si="4"/>
        <v>0.00008852691218</v>
      </c>
      <c r="R625" s="13">
        <f t="shared" si="5"/>
        <v>0.0002065627951</v>
      </c>
      <c r="S625" s="14">
        <f t="shared" si="6"/>
        <v>1.057749821</v>
      </c>
      <c r="T625" s="14">
        <f t="shared" si="7"/>
        <v>1.00591211</v>
      </c>
      <c r="U625" s="14">
        <f t="shared" si="8"/>
        <v>0.2337110482</v>
      </c>
    </row>
    <row r="626" ht="15.75" customHeight="1">
      <c r="A626" s="9">
        <v>46104.5682557639</v>
      </c>
      <c r="B626" s="10">
        <v>13.0</v>
      </c>
      <c r="C626" s="10" t="s">
        <v>71</v>
      </c>
      <c r="D626" s="10"/>
      <c r="E626" s="12" t="s">
        <v>62</v>
      </c>
      <c r="F626" s="11">
        <v>33382.0</v>
      </c>
      <c r="G626" s="11">
        <v>19729.0</v>
      </c>
      <c r="H626" s="11">
        <v>8734.0</v>
      </c>
      <c r="I626" s="11">
        <v>0.0</v>
      </c>
      <c r="J626" s="11">
        <v>51.0</v>
      </c>
      <c r="K626" s="11">
        <v>6.0</v>
      </c>
      <c r="L626" s="11">
        <v>7.0</v>
      </c>
      <c r="M626" s="13">
        <f t="shared" ref="M626:O626" si="628">IFERROR(G626/F626,"")</f>
        <v>0.5910071296</v>
      </c>
      <c r="N626" s="13">
        <f t="shared" si="628"/>
        <v>0.4426985656</v>
      </c>
      <c r="O626" s="14">
        <f t="shared" si="628"/>
        <v>0</v>
      </c>
      <c r="P626" s="13">
        <f t="shared" si="3"/>
        <v>0.005839248912</v>
      </c>
      <c r="Q626" s="13">
        <f t="shared" si="4"/>
        <v>0.0006869704603</v>
      </c>
      <c r="R626" s="13">
        <f t="shared" si="5"/>
        <v>0.000801465537</v>
      </c>
      <c r="S626" s="14">
        <f t="shared" si="6"/>
        <v>1.457024418</v>
      </c>
      <c r="T626" s="14">
        <f t="shared" si="7"/>
        <v>0.8281066562</v>
      </c>
      <c r="U626" s="14">
        <f t="shared" si="8"/>
        <v>1.792931712</v>
      </c>
    </row>
    <row r="627" ht="15.75" customHeight="1">
      <c r="A627" s="9">
        <v>46105.5345308681</v>
      </c>
      <c r="B627" s="10">
        <v>12.0</v>
      </c>
      <c r="C627" s="10" t="s">
        <v>59</v>
      </c>
      <c r="D627" s="10" t="s">
        <v>1573</v>
      </c>
      <c r="E627" s="12" t="s">
        <v>62</v>
      </c>
      <c r="F627" s="11">
        <v>269489.0</v>
      </c>
      <c r="G627" s="11">
        <v>56408.0</v>
      </c>
      <c r="H627" s="11">
        <v>49227.0</v>
      </c>
      <c r="I627" s="11">
        <v>0.0</v>
      </c>
      <c r="J627" s="11">
        <v>160.0</v>
      </c>
      <c r="K627" s="11">
        <v>72.0</v>
      </c>
      <c r="L627" s="11">
        <v>27.0</v>
      </c>
      <c r="M627" s="13">
        <f t="shared" ref="M627:O627" si="629">IFERROR(G627/F627,"")</f>
        <v>0.2093146659</v>
      </c>
      <c r="N627" s="13">
        <f t="shared" si="629"/>
        <v>0.8726953624</v>
      </c>
      <c r="O627" s="14">
        <f t="shared" si="629"/>
        <v>0</v>
      </c>
      <c r="P627" s="13">
        <f t="shared" si="3"/>
        <v>0.003250248847</v>
      </c>
      <c r="Q627" s="13">
        <f t="shared" si="4"/>
        <v>0.001462611981</v>
      </c>
      <c r="R627" s="13">
        <f t="shared" si="5"/>
        <v>0.000548479493</v>
      </c>
      <c r="S627" s="14">
        <f t="shared" si="6"/>
        <v>0.5183047341</v>
      </c>
      <c r="T627" s="14">
        <f t="shared" si="7"/>
        <v>1.619425605</v>
      </c>
      <c r="U627" s="14">
        <f t="shared" si="8"/>
        <v>3.86129563</v>
      </c>
    </row>
    <row r="628" ht="15.75" customHeight="1">
      <c r="A628" s="9">
        <v>46106.7571258218</v>
      </c>
      <c r="B628" s="10">
        <v>18.0</v>
      </c>
      <c r="C628" s="10" t="s">
        <v>80</v>
      </c>
      <c r="D628" s="10"/>
      <c r="E628" s="12" t="s">
        <v>62</v>
      </c>
      <c r="F628" s="11">
        <v>22975.0</v>
      </c>
      <c r="G628" s="11">
        <v>12612.0</v>
      </c>
      <c r="H628" s="11">
        <v>6065.0</v>
      </c>
      <c r="I628" s="11">
        <v>0.0</v>
      </c>
      <c r="J628" s="11">
        <v>37.0</v>
      </c>
      <c r="K628" s="11">
        <v>3.0</v>
      </c>
      <c r="L628" s="11">
        <v>4.0</v>
      </c>
      <c r="M628" s="13">
        <f t="shared" ref="M628:O628" si="630">IFERROR(G628/F628,"")</f>
        <v>0.5489445049</v>
      </c>
      <c r="N628" s="13">
        <f t="shared" si="630"/>
        <v>0.4808912147</v>
      </c>
      <c r="O628" s="14">
        <f t="shared" si="630"/>
        <v>0</v>
      </c>
      <c r="P628" s="13">
        <f t="shared" si="3"/>
        <v>0.006100577082</v>
      </c>
      <c r="Q628" s="13">
        <f t="shared" si="4"/>
        <v>0.000494641385</v>
      </c>
      <c r="R628" s="13">
        <f t="shared" si="5"/>
        <v>0.0006595218467</v>
      </c>
      <c r="S628" s="14">
        <f t="shared" si="6"/>
        <v>1.365181328</v>
      </c>
      <c r="T628" s="14">
        <f t="shared" si="7"/>
        <v>0.8908395866</v>
      </c>
      <c r="U628" s="14">
        <f t="shared" si="8"/>
        <v>1.274188531</v>
      </c>
    </row>
    <row r="629" ht="15.75" customHeight="1">
      <c r="A629" s="9">
        <v>46107.5240140278</v>
      </c>
      <c r="B629" s="10">
        <v>12.0</v>
      </c>
      <c r="C629" s="10" t="s">
        <v>84</v>
      </c>
      <c r="D629" s="10" t="s">
        <v>1574</v>
      </c>
      <c r="E629" s="12" t="s">
        <v>62</v>
      </c>
      <c r="F629" s="11">
        <v>35599.0</v>
      </c>
      <c r="G629" s="11">
        <v>21394.0</v>
      </c>
      <c r="H629" s="11">
        <v>5908.0</v>
      </c>
      <c r="I629" s="11">
        <v>0.0</v>
      </c>
      <c r="J629" s="11">
        <v>36.0</v>
      </c>
      <c r="K629" s="11">
        <v>9.0</v>
      </c>
      <c r="L629" s="11">
        <v>3.0</v>
      </c>
      <c r="M629" s="13">
        <f t="shared" ref="M629:O629" si="631">IFERROR(G629/F629,"")</f>
        <v>0.6009719374</v>
      </c>
      <c r="N629" s="13">
        <f t="shared" si="631"/>
        <v>0.2761521922</v>
      </c>
      <c r="O629" s="14">
        <f t="shared" si="631"/>
        <v>0</v>
      </c>
      <c r="P629" s="13">
        <f t="shared" si="3"/>
        <v>0.006093432634</v>
      </c>
      <c r="Q629" s="13">
        <f t="shared" si="4"/>
        <v>0.001523358158</v>
      </c>
      <c r="R629" s="13">
        <f t="shared" si="5"/>
        <v>0.0005077860528</v>
      </c>
      <c r="S629" s="14">
        <f t="shared" si="6"/>
        <v>1.501068854</v>
      </c>
      <c r="T629" s="14">
        <f t="shared" si="7"/>
        <v>0.5124444911</v>
      </c>
      <c r="U629" s="14">
        <f t="shared" si="8"/>
        <v>3.831245768</v>
      </c>
    </row>
    <row r="630" ht="15.75" customHeight="1">
      <c r="A630" s="9">
        <v>46108.5357498611</v>
      </c>
      <c r="B630" s="10">
        <v>12.0</v>
      </c>
      <c r="C630" s="10" t="s">
        <v>60</v>
      </c>
      <c r="D630" s="10"/>
      <c r="E630" s="12" t="s">
        <v>62</v>
      </c>
      <c r="F630" s="11">
        <v>21378.0</v>
      </c>
      <c r="G630" s="11">
        <v>11347.0</v>
      </c>
      <c r="H630" s="11">
        <v>3036.0</v>
      </c>
      <c r="I630" s="11">
        <v>0.0</v>
      </c>
      <c r="J630" s="11">
        <v>31.0</v>
      </c>
      <c r="K630" s="11">
        <v>5.0</v>
      </c>
      <c r="L630" s="11">
        <v>0.0</v>
      </c>
      <c r="M630" s="13">
        <f t="shared" ref="M630:O630" si="632">IFERROR(G630/F630,"")</f>
        <v>0.5307793058</v>
      </c>
      <c r="N630" s="13">
        <f t="shared" si="632"/>
        <v>0.2675597074</v>
      </c>
      <c r="O630" s="14">
        <f t="shared" si="632"/>
        <v>0</v>
      </c>
      <c r="P630" s="13">
        <f t="shared" si="3"/>
        <v>0.01021080369</v>
      </c>
      <c r="Q630" s="13">
        <f t="shared" si="4"/>
        <v>0.001646903821</v>
      </c>
      <c r="R630" s="13">
        <f t="shared" si="5"/>
        <v>0</v>
      </c>
      <c r="S630" s="14">
        <f t="shared" si="6"/>
        <v>1.331682842</v>
      </c>
      <c r="T630" s="14">
        <f t="shared" si="7"/>
        <v>0.5004939972</v>
      </c>
      <c r="U630" s="14">
        <f t="shared" si="8"/>
        <v>4.092802815</v>
      </c>
    </row>
    <row r="631" ht="15.75" customHeight="1">
      <c r="A631" s="9">
        <v>46109.5090721644</v>
      </c>
      <c r="B631" s="10">
        <v>12.0</v>
      </c>
      <c r="C631" s="10" t="s">
        <v>69</v>
      </c>
      <c r="D631" s="10"/>
      <c r="E631" s="12" t="s">
        <v>62</v>
      </c>
      <c r="F631" s="11">
        <v>291013.0</v>
      </c>
      <c r="G631" s="11">
        <v>113014.0</v>
      </c>
      <c r="H631" s="11">
        <v>74438.0</v>
      </c>
      <c r="I631" s="11">
        <v>0.0</v>
      </c>
      <c r="J631" s="11">
        <v>89.0</v>
      </c>
      <c r="K631" s="11">
        <v>14.0</v>
      </c>
      <c r="L631" s="11">
        <v>14.0</v>
      </c>
      <c r="M631" s="13">
        <f t="shared" ref="M631:O631" si="633">IFERROR(G631/F631,"")</f>
        <v>0.3883469123</v>
      </c>
      <c r="N631" s="13">
        <f t="shared" si="633"/>
        <v>0.6586617587</v>
      </c>
      <c r="O631" s="14">
        <f t="shared" si="633"/>
        <v>0</v>
      </c>
      <c r="P631" s="13">
        <f t="shared" si="3"/>
        <v>0.00119562589</v>
      </c>
      <c r="Q631" s="13">
        <f t="shared" si="4"/>
        <v>0.0001880759827</v>
      </c>
      <c r="R631" s="13">
        <f t="shared" si="5"/>
        <v>0.0001880759827</v>
      </c>
      <c r="S631" s="14">
        <f t="shared" si="6"/>
        <v>0.9743313546</v>
      </c>
      <c r="T631" s="14">
        <f t="shared" si="7"/>
        <v>1.232084829</v>
      </c>
      <c r="U631" s="14">
        <f t="shared" si="8"/>
        <v>0.4673970038</v>
      </c>
    </row>
    <row r="632" ht="15.75" customHeight="1">
      <c r="A632" s="9">
        <v>46111.7477661111</v>
      </c>
      <c r="B632" s="10">
        <v>17.0</v>
      </c>
      <c r="C632" s="10" t="s">
        <v>71</v>
      </c>
      <c r="D632" s="10"/>
      <c r="E632" s="12" t="s">
        <v>62</v>
      </c>
      <c r="F632" s="11">
        <v>27533.0</v>
      </c>
      <c r="G632" s="11">
        <v>18392.0</v>
      </c>
      <c r="H632" s="11">
        <v>6802.0</v>
      </c>
      <c r="I632" s="11">
        <v>0.0</v>
      </c>
      <c r="J632" s="11">
        <v>23.0</v>
      </c>
      <c r="K632" s="11">
        <v>6.0</v>
      </c>
      <c r="L632" s="11">
        <v>3.0</v>
      </c>
      <c r="M632" s="13">
        <f t="shared" ref="M632:O632" si="634">IFERROR(G632/F632,"")</f>
        <v>0.6679984019</v>
      </c>
      <c r="N632" s="13">
        <f t="shared" si="634"/>
        <v>0.3698347107</v>
      </c>
      <c r="O632" s="14">
        <f t="shared" si="634"/>
        <v>0</v>
      </c>
      <c r="P632" s="13">
        <f t="shared" si="3"/>
        <v>0.003381358424</v>
      </c>
      <c r="Q632" s="13">
        <f t="shared" si="4"/>
        <v>0.0008820935019</v>
      </c>
      <c r="R632" s="13">
        <f t="shared" si="5"/>
        <v>0.000441046751</v>
      </c>
      <c r="S632" s="14">
        <f t="shared" si="6"/>
        <v>1.712679609</v>
      </c>
      <c r="T632" s="14">
        <f t="shared" si="7"/>
        <v>0.6839367542</v>
      </c>
      <c r="U632" s="14">
        <f t="shared" si="8"/>
        <v>2.218465157</v>
      </c>
    </row>
    <row r="633" ht="15.75" customHeight="1">
      <c r="A633" s="9">
        <v>46112.4811384954</v>
      </c>
      <c r="B633" s="10">
        <v>11.0</v>
      </c>
      <c r="C633" s="10" t="s">
        <v>59</v>
      </c>
      <c r="D633" s="10" t="s">
        <v>1575</v>
      </c>
      <c r="E633" s="12" t="s">
        <v>62</v>
      </c>
      <c r="F633" s="11">
        <v>373940.0</v>
      </c>
      <c r="G633" s="11">
        <v>115170.0</v>
      </c>
      <c r="H633" s="11">
        <v>87121.0</v>
      </c>
      <c r="I633" s="11">
        <v>0.0</v>
      </c>
      <c r="J633" s="11">
        <v>248.0</v>
      </c>
      <c r="K633" s="11">
        <v>27.0</v>
      </c>
      <c r="L633" s="11">
        <v>34.0</v>
      </c>
      <c r="M633" s="13">
        <f t="shared" ref="M633:O633" si="635">IFERROR(G633/F633,"")</f>
        <v>0.3079905867</v>
      </c>
      <c r="N633" s="13">
        <f t="shared" si="635"/>
        <v>0.7564556742</v>
      </c>
      <c r="O633" s="14">
        <f t="shared" si="635"/>
        <v>0</v>
      </c>
      <c r="P633" s="13">
        <f t="shared" si="3"/>
        <v>0.002846615627</v>
      </c>
      <c r="Q633" s="13">
        <f t="shared" si="4"/>
        <v>0.0003099137981</v>
      </c>
      <c r="R633" s="13">
        <f t="shared" si="5"/>
        <v>0.0003902618198</v>
      </c>
      <c r="S633" s="14">
        <f t="shared" si="6"/>
        <v>0.7896563765</v>
      </c>
      <c r="T633" s="14">
        <f t="shared" si="7"/>
        <v>1.39891639</v>
      </c>
      <c r="U633" s="14">
        <f t="shared" si="8"/>
        <v>0.7794332021</v>
      </c>
    </row>
    <row r="634" ht="15.75" customHeight="1">
      <c r="A634" s="9">
        <v>46113.5077841551</v>
      </c>
      <c r="B634" s="10">
        <v>12.0</v>
      </c>
      <c r="C634" s="10" t="s">
        <v>80</v>
      </c>
      <c r="D634" s="10"/>
      <c r="E634" s="12" t="s">
        <v>62</v>
      </c>
      <c r="F634" s="11">
        <v>9022.0</v>
      </c>
      <c r="G634" s="11">
        <v>4047.0</v>
      </c>
      <c r="H634" s="11">
        <v>1861.0</v>
      </c>
      <c r="I634" s="11">
        <v>0.0</v>
      </c>
      <c r="J634" s="11">
        <v>27.0</v>
      </c>
      <c r="K634" s="11">
        <v>2.0</v>
      </c>
      <c r="L634" s="11">
        <v>2.0</v>
      </c>
      <c r="M634" s="13">
        <f t="shared" ref="M634:O634" si="636">IFERROR(G634/F634,"")</f>
        <v>0.4485701618</v>
      </c>
      <c r="N634" s="13">
        <f t="shared" si="636"/>
        <v>0.4598468001</v>
      </c>
      <c r="O634" s="14">
        <f t="shared" si="636"/>
        <v>0</v>
      </c>
      <c r="P634" s="13">
        <f t="shared" si="3"/>
        <v>0.01450832886</v>
      </c>
      <c r="Q634" s="13">
        <f t="shared" si="4"/>
        <v>0.001074691026</v>
      </c>
      <c r="R634" s="13">
        <f t="shared" si="5"/>
        <v>0.001074691026</v>
      </c>
      <c r="S634" s="14">
        <f t="shared" si="6"/>
        <v>1.140204265</v>
      </c>
      <c r="T634" s="14">
        <f t="shared" si="7"/>
        <v>0.8518553069</v>
      </c>
      <c r="U634" s="14">
        <f t="shared" si="8"/>
        <v>2.670768264</v>
      </c>
    </row>
    <row r="635" ht="15.75" customHeight="1">
      <c r="A635" s="9">
        <v>46114.5838678704</v>
      </c>
      <c r="B635" s="10">
        <v>14.0</v>
      </c>
      <c r="C635" s="10" t="s">
        <v>84</v>
      </c>
      <c r="D635" s="10" t="s">
        <v>1576</v>
      </c>
      <c r="E635" s="12" t="s">
        <v>62</v>
      </c>
      <c r="F635" s="11">
        <v>32095.0</v>
      </c>
      <c r="G635" s="11">
        <v>20648.0</v>
      </c>
      <c r="H635" s="11">
        <v>5990.0</v>
      </c>
      <c r="I635" s="11">
        <v>0.0</v>
      </c>
      <c r="J635" s="11">
        <v>42.0</v>
      </c>
      <c r="K635" s="11">
        <v>7.0</v>
      </c>
      <c r="L635" s="11">
        <v>4.0</v>
      </c>
      <c r="M635" s="13">
        <f t="shared" ref="M635:O635" si="637">IFERROR(G635/F635,"")</f>
        <v>0.6433400841</v>
      </c>
      <c r="N635" s="13">
        <f t="shared" si="637"/>
        <v>0.2901007361</v>
      </c>
      <c r="O635" s="14">
        <f t="shared" si="637"/>
        <v>0</v>
      </c>
      <c r="P635" s="13">
        <f t="shared" si="3"/>
        <v>0.007011686144</v>
      </c>
      <c r="Q635" s="13">
        <f t="shared" si="4"/>
        <v>0.001168614357</v>
      </c>
      <c r="R635" s="13">
        <f t="shared" si="5"/>
        <v>0.0006677796327</v>
      </c>
      <c r="S635" s="14">
        <f t="shared" si="6"/>
        <v>1.649458203</v>
      </c>
      <c r="T635" s="14">
        <f t="shared" si="7"/>
        <v>0.536484408</v>
      </c>
      <c r="U635" s="14">
        <f t="shared" si="8"/>
        <v>2.870116861</v>
      </c>
    </row>
    <row r="636" ht="15.75" customHeight="1">
      <c r="A636" s="9">
        <v>46115.5274701273</v>
      </c>
      <c r="B636" s="10">
        <v>12.0</v>
      </c>
      <c r="C636" s="10" t="s">
        <v>60</v>
      </c>
      <c r="D636" s="10"/>
      <c r="E636" s="12" t="s">
        <v>62</v>
      </c>
      <c r="F636" s="11">
        <v>8532.0</v>
      </c>
      <c r="G636" s="11">
        <v>3476.0</v>
      </c>
      <c r="H636" s="11">
        <v>1038.0</v>
      </c>
      <c r="I636" s="11">
        <v>0.0</v>
      </c>
      <c r="J636" s="11">
        <v>29.0</v>
      </c>
      <c r="K636" s="11">
        <v>0.0</v>
      </c>
      <c r="L636" s="11">
        <v>4.0</v>
      </c>
      <c r="M636" s="13">
        <f t="shared" ref="M636:O636" si="638">IFERROR(G636/F636,"")</f>
        <v>0.4074074074</v>
      </c>
      <c r="N636" s="13">
        <f t="shared" si="638"/>
        <v>0.2986191024</v>
      </c>
      <c r="O636" s="14">
        <f t="shared" si="638"/>
        <v>0</v>
      </c>
      <c r="P636" s="13">
        <f t="shared" si="3"/>
        <v>0.02793834297</v>
      </c>
      <c r="Q636" s="13">
        <f t="shared" si="4"/>
        <v>0</v>
      </c>
      <c r="R636" s="13">
        <f t="shared" si="5"/>
        <v>0.003853564547</v>
      </c>
      <c r="S636" s="14">
        <f t="shared" si="6"/>
        <v>1.044550941</v>
      </c>
      <c r="T636" s="14">
        <f t="shared" si="7"/>
        <v>0.5522374556</v>
      </c>
      <c r="U636" s="14">
        <f t="shared" si="8"/>
        <v>0</v>
      </c>
    </row>
    <row r="637" ht="15.75" customHeight="1">
      <c r="A637" s="9">
        <v>46116.5211243171</v>
      </c>
      <c r="B637" s="10">
        <v>12.0</v>
      </c>
      <c r="C637" s="10" t="s">
        <v>69</v>
      </c>
      <c r="D637" s="10"/>
      <c r="E637" s="12" t="s">
        <v>62</v>
      </c>
      <c r="F637" s="11">
        <v>15413.0</v>
      </c>
      <c r="G637" s="11">
        <v>6867.0</v>
      </c>
      <c r="H637" s="11">
        <v>3385.0</v>
      </c>
      <c r="I637" s="11">
        <v>0.0</v>
      </c>
      <c r="J637" s="11">
        <v>28.0</v>
      </c>
      <c r="K637" s="11">
        <v>2.0</v>
      </c>
      <c r="L637" s="11">
        <v>2.0</v>
      </c>
      <c r="M637" s="13">
        <f t="shared" ref="M637:O637" si="639">IFERROR(G637/F637,"")</f>
        <v>0.4455329916</v>
      </c>
      <c r="N637" s="13">
        <f t="shared" si="639"/>
        <v>0.4929372361</v>
      </c>
      <c r="O637" s="14">
        <f t="shared" si="639"/>
        <v>0</v>
      </c>
      <c r="P637" s="13">
        <f t="shared" si="3"/>
        <v>0.008271787297</v>
      </c>
      <c r="Q637" s="13">
        <f t="shared" si="4"/>
        <v>0.0005908419498</v>
      </c>
      <c r="R637" s="13">
        <f t="shared" si="5"/>
        <v>0.0005908419498</v>
      </c>
      <c r="S637" s="14">
        <f t="shared" si="6"/>
        <v>1.142301041</v>
      </c>
      <c r="T637" s="14">
        <f t="shared" si="7"/>
        <v>0.9115907281</v>
      </c>
      <c r="U637" s="14">
        <f t="shared" si="8"/>
        <v>1.451107829</v>
      </c>
    </row>
    <row r="638" ht="15.75" customHeight="1">
      <c r="A638" s="9">
        <v>46118.6000659607</v>
      </c>
      <c r="B638" s="10">
        <v>14.0</v>
      </c>
      <c r="C638" s="10" t="s">
        <v>71</v>
      </c>
      <c r="D638" s="10"/>
      <c r="E638" s="12" t="s">
        <v>62</v>
      </c>
      <c r="F638" s="11">
        <v>80114.0</v>
      </c>
      <c r="G638" s="11">
        <v>44586.0</v>
      </c>
      <c r="H638" s="11">
        <v>11687.0</v>
      </c>
      <c r="I638" s="11">
        <v>0.0</v>
      </c>
      <c r="J638" s="11">
        <v>44.0</v>
      </c>
      <c r="K638" s="11">
        <v>9.0</v>
      </c>
      <c r="L638" s="11">
        <v>1.0</v>
      </c>
      <c r="M638" s="13">
        <f t="shared" ref="M638:O638" si="640">IFERROR(G638/F638,"")</f>
        <v>0.556531942</v>
      </c>
      <c r="N638" s="13">
        <f t="shared" si="640"/>
        <v>0.2621226394</v>
      </c>
      <c r="O638" s="14">
        <f t="shared" si="640"/>
        <v>0</v>
      </c>
      <c r="P638" s="13">
        <f t="shared" si="3"/>
        <v>0.003764866946</v>
      </c>
      <c r="Q638" s="13">
        <f t="shared" si="4"/>
        <v>0.0007700864208</v>
      </c>
      <c r="R638" s="13">
        <f t="shared" si="5"/>
        <v>0.00008556515787</v>
      </c>
      <c r="S638" s="14">
        <f t="shared" si="6"/>
        <v>1.426891001</v>
      </c>
      <c r="T638" s="14">
        <f t="shared" si="7"/>
        <v>0.484744406</v>
      </c>
      <c r="U638" s="14">
        <f t="shared" si="8"/>
        <v>1.89133225</v>
      </c>
    </row>
    <row r="639" ht="15.75" customHeight="1">
      <c r="A639" s="9">
        <v>46119.4935605671</v>
      </c>
      <c r="B639" s="10">
        <v>11.0</v>
      </c>
      <c r="C639" s="10" t="s">
        <v>59</v>
      </c>
      <c r="D639" s="10" t="s">
        <v>1577</v>
      </c>
      <c r="E639" s="12" t="s">
        <v>62</v>
      </c>
      <c r="F639" s="11">
        <v>11661.0</v>
      </c>
      <c r="G639" s="11">
        <v>2871.0</v>
      </c>
      <c r="H639" s="11">
        <v>2286.0</v>
      </c>
      <c r="I639" s="11">
        <v>0.0</v>
      </c>
      <c r="J639" s="11">
        <v>45.0</v>
      </c>
      <c r="K639" s="11">
        <v>4.0</v>
      </c>
      <c r="L639" s="11">
        <v>0.0</v>
      </c>
      <c r="M639" s="13">
        <f t="shared" ref="M639:O639" si="641">IFERROR(G639/F639,"")</f>
        <v>0.2462052997</v>
      </c>
      <c r="N639" s="13">
        <f t="shared" si="641"/>
        <v>0.7962382445</v>
      </c>
      <c r="O639" s="14">
        <f t="shared" si="641"/>
        <v>0</v>
      </c>
      <c r="P639" s="13">
        <f t="shared" si="3"/>
        <v>0.01968503937</v>
      </c>
      <c r="Q639" s="13">
        <f t="shared" si="4"/>
        <v>0.001749781277</v>
      </c>
      <c r="R639" s="13">
        <f t="shared" si="5"/>
        <v>0</v>
      </c>
      <c r="S639" s="14">
        <f t="shared" si="6"/>
        <v>0.6312452173</v>
      </c>
      <c r="T639" s="14">
        <f t="shared" si="7"/>
        <v>1.472486451</v>
      </c>
      <c r="U639" s="14">
        <f t="shared" si="8"/>
        <v>4.297462817</v>
      </c>
    </row>
    <row r="640" ht="15.75" customHeight="1">
      <c r="A640" s="9">
        <v>46120.5320117361</v>
      </c>
      <c r="B640" s="10">
        <v>12.0</v>
      </c>
      <c r="C640" s="10" t="s">
        <v>80</v>
      </c>
      <c r="D640" s="10"/>
      <c r="E640" s="12" t="s">
        <v>62</v>
      </c>
      <c r="F640" s="11">
        <v>81273.0</v>
      </c>
      <c r="G640" s="11">
        <v>23095.0</v>
      </c>
      <c r="H640" s="11">
        <v>14941.0</v>
      </c>
      <c r="I640" s="11">
        <v>0.0</v>
      </c>
      <c r="J640" s="11">
        <v>39.0</v>
      </c>
      <c r="K640" s="11">
        <v>2.0</v>
      </c>
      <c r="L640" s="11">
        <v>2.0</v>
      </c>
      <c r="M640" s="13">
        <f t="shared" ref="M640:O640" si="642">IFERROR(G640/F640,"")</f>
        <v>0.2841657131</v>
      </c>
      <c r="N640" s="13">
        <f t="shared" si="642"/>
        <v>0.6469365664</v>
      </c>
      <c r="O640" s="14">
        <f t="shared" si="642"/>
        <v>0</v>
      </c>
      <c r="P640" s="13">
        <f t="shared" si="3"/>
        <v>0.00261026705</v>
      </c>
      <c r="Q640" s="13">
        <f t="shared" si="4"/>
        <v>0.0001338598487</v>
      </c>
      <c r="R640" s="13">
        <f t="shared" si="5"/>
        <v>0.0001338598487</v>
      </c>
      <c r="S640" s="14">
        <f t="shared" si="6"/>
        <v>0.7285718363</v>
      </c>
      <c r="T640" s="14">
        <f t="shared" si="7"/>
        <v>1.196382282</v>
      </c>
      <c r="U640" s="14">
        <f t="shared" si="8"/>
        <v>0.3287597885</v>
      </c>
    </row>
    <row r="641" ht="15.75" customHeight="1">
      <c r="A641" s="9">
        <v>46122.778939375</v>
      </c>
      <c r="B641" s="10">
        <v>18.0</v>
      </c>
      <c r="C641" s="10" t="s">
        <v>60</v>
      </c>
      <c r="D641" s="10"/>
      <c r="E641" s="12" t="s">
        <v>62</v>
      </c>
      <c r="F641" s="11">
        <v>40463.0</v>
      </c>
      <c r="G641" s="11">
        <v>21463.0</v>
      </c>
      <c r="H641" s="11">
        <v>8581.0</v>
      </c>
      <c r="I641" s="11">
        <v>0.0</v>
      </c>
      <c r="J641" s="11">
        <v>56.0</v>
      </c>
      <c r="K641" s="11">
        <v>6.0</v>
      </c>
      <c r="L641" s="11">
        <v>2.0</v>
      </c>
      <c r="M641" s="13">
        <f t="shared" ref="M641:O641" si="643">IFERROR(G641/F641,"")</f>
        <v>0.5304352124</v>
      </c>
      <c r="N641" s="13">
        <f t="shared" si="643"/>
        <v>0.3998043144</v>
      </c>
      <c r="O641" s="14">
        <f t="shared" si="643"/>
        <v>0</v>
      </c>
      <c r="P641" s="13">
        <f t="shared" si="3"/>
        <v>0.006526045915</v>
      </c>
      <c r="Q641" s="13">
        <f t="shared" si="4"/>
        <v>0.0006992192052</v>
      </c>
      <c r="R641" s="13">
        <f t="shared" si="5"/>
        <v>0.0002330730684</v>
      </c>
      <c r="S641" s="14">
        <f t="shared" si="6"/>
        <v>1.359981655</v>
      </c>
      <c r="T641" s="14">
        <f t="shared" si="7"/>
        <v>0.7393596576</v>
      </c>
      <c r="U641" s="14">
        <f t="shared" si="8"/>
        <v>1.717282368</v>
      </c>
    </row>
    <row r="642" ht="15.75" customHeight="1">
      <c r="A642" s="9">
        <v>46125.5824495139</v>
      </c>
      <c r="B642" s="10">
        <v>13.0</v>
      </c>
      <c r="C642" s="10" t="s">
        <v>71</v>
      </c>
      <c r="D642" s="10"/>
      <c r="E642" s="12" t="s">
        <v>62</v>
      </c>
      <c r="F642" s="11">
        <v>134864.0</v>
      </c>
      <c r="G642" s="11">
        <v>47755.0</v>
      </c>
      <c r="H642" s="11">
        <v>24330.0</v>
      </c>
      <c r="I642" s="11">
        <v>0.0</v>
      </c>
      <c r="J642" s="11">
        <v>102.0</v>
      </c>
      <c r="K642" s="11">
        <v>12.0</v>
      </c>
      <c r="L642" s="11">
        <v>14.0</v>
      </c>
      <c r="M642" s="13">
        <f t="shared" ref="M642:O642" si="644">IFERROR(G642/F642,"")</f>
        <v>0.3540974611</v>
      </c>
      <c r="N642" s="13">
        <f t="shared" si="644"/>
        <v>0.5094754476</v>
      </c>
      <c r="O642" s="14">
        <f t="shared" si="644"/>
        <v>0</v>
      </c>
      <c r="P642" s="13">
        <f t="shared" si="3"/>
        <v>0.004192355117</v>
      </c>
      <c r="Q642" s="13">
        <f t="shared" si="4"/>
        <v>0.0004932182491</v>
      </c>
      <c r="R642" s="13">
        <f t="shared" si="5"/>
        <v>0.0005754212906</v>
      </c>
      <c r="S642" s="14">
        <f t="shared" si="6"/>
        <v>0.9000675253</v>
      </c>
      <c r="T642" s="14">
        <f t="shared" si="7"/>
        <v>0.943791201</v>
      </c>
      <c r="U642" s="14">
        <f t="shared" si="8"/>
        <v>1.207881624</v>
      </c>
    </row>
    <row r="643" ht="15.75" customHeight="1">
      <c r="A643" s="9">
        <v>46127.5790634607</v>
      </c>
      <c r="B643" s="10">
        <v>13.0</v>
      </c>
      <c r="C643" s="10" t="s">
        <v>80</v>
      </c>
      <c r="D643" s="10"/>
      <c r="E643" s="12" t="s">
        <v>62</v>
      </c>
      <c r="F643" s="11">
        <v>58800.0</v>
      </c>
      <c r="G643" s="11">
        <v>19786.0</v>
      </c>
      <c r="H643" s="11">
        <v>9968.0</v>
      </c>
      <c r="I643" s="11">
        <v>0.0</v>
      </c>
      <c r="J643" s="11">
        <v>33.0</v>
      </c>
      <c r="K643" s="11">
        <v>9.0</v>
      </c>
      <c r="L643" s="11">
        <v>3.0</v>
      </c>
      <c r="M643" s="13">
        <f t="shared" ref="M643:O643" si="645">IFERROR(G643/F643,"")</f>
        <v>0.3364965986</v>
      </c>
      <c r="N643" s="13">
        <f t="shared" si="645"/>
        <v>0.503790559</v>
      </c>
      <c r="O643" s="14">
        <f t="shared" si="645"/>
        <v>0</v>
      </c>
      <c r="P643" s="13">
        <f t="shared" si="3"/>
        <v>0.0033105939</v>
      </c>
      <c r="Q643" s="13">
        <f t="shared" si="4"/>
        <v>0.0009028892456</v>
      </c>
      <c r="R643" s="13">
        <f t="shared" si="5"/>
        <v>0.0003009630819</v>
      </c>
      <c r="S643" s="14">
        <f t="shared" si="6"/>
        <v>0.8480405335</v>
      </c>
      <c r="T643" s="14">
        <f t="shared" si="7"/>
        <v>0.934863832</v>
      </c>
      <c r="U643" s="14">
        <f t="shared" si="8"/>
        <v>2.080143961</v>
      </c>
    </row>
    <row r="644" ht="15.75" customHeight="1">
      <c r="A644" s="9">
        <v>46129.6509807176</v>
      </c>
      <c r="B644" s="10">
        <v>15.0</v>
      </c>
      <c r="C644" s="10" t="s">
        <v>60</v>
      </c>
      <c r="D644" s="10"/>
      <c r="E644" s="12" t="s">
        <v>62</v>
      </c>
      <c r="F644" s="11">
        <v>26453.0</v>
      </c>
      <c r="G644" s="11">
        <v>15805.0</v>
      </c>
      <c r="H644" s="11">
        <v>6156.0</v>
      </c>
      <c r="I644" s="11">
        <v>0.0</v>
      </c>
      <c r="J644" s="11">
        <v>46.0</v>
      </c>
      <c r="K644" s="11">
        <v>7.0</v>
      </c>
      <c r="L644" s="11">
        <v>4.0</v>
      </c>
      <c r="M644" s="13">
        <f t="shared" ref="M644:O644" si="646">IFERROR(G644/F644,"")</f>
        <v>0.5974747666</v>
      </c>
      <c r="N644" s="13">
        <f t="shared" si="646"/>
        <v>0.3894969946</v>
      </c>
      <c r="O644" s="14">
        <f t="shared" si="646"/>
        <v>0</v>
      </c>
      <c r="P644" s="13">
        <f t="shared" si="3"/>
        <v>0.007472384665</v>
      </c>
      <c r="Q644" s="13">
        <f t="shared" si="4"/>
        <v>0.001137102014</v>
      </c>
      <c r="R644" s="13">
        <f t="shared" si="5"/>
        <v>0.0006497725796</v>
      </c>
      <c r="S644" s="14">
        <f t="shared" si="6"/>
        <v>1.479466327</v>
      </c>
      <c r="T644" s="14">
        <f t="shared" si="7"/>
        <v>0.7227738719</v>
      </c>
      <c r="U644" s="14">
        <f t="shared" si="8"/>
        <v>2.498971193</v>
      </c>
    </row>
    <row r="645" ht="15.75" customHeight="1">
      <c r="A645" s="9">
        <v>46130.5507096065</v>
      </c>
      <c r="B645" s="10">
        <v>13.0</v>
      </c>
      <c r="C645" s="10" t="s">
        <v>69</v>
      </c>
      <c r="D645" s="10"/>
      <c r="E645" s="12" t="s">
        <v>62</v>
      </c>
      <c r="F645" s="11">
        <v>15844.0</v>
      </c>
      <c r="G645" s="11">
        <v>6843.0</v>
      </c>
      <c r="H645" s="11">
        <v>3070.0</v>
      </c>
      <c r="I645" s="11">
        <v>0.0</v>
      </c>
      <c r="J645" s="11">
        <v>33.0</v>
      </c>
      <c r="K645" s="11">
        <v>5.0</v>
      </c>
      <c r="L645" s="11">
        <v>4.0</v>
      </c>
      <c r="M645" s="13">
        <f t="shared" ref="M645:O645" si="647">IFERROR(G645/F645,"")</f>
        <v>0.4318985105</v>
      </c>
      <c r="N645" s="13">
        <f t="shared" si="647"/>
        <v>0.4486336402</v>
      </c>
      <c r="O645" s="14">
        <f t="shared" si="647"/>
        <v>0</v>
      </c>
      <c r="P645" s="13">
        <f t="shared" si="3"/>
        <v>0.01074918567</v>
      </c>
      <c r="Q645" s="13">
        <f t="shared" si="4"/>
        <v>0.001628664495</v>
      </c>
      <c r="R645" s="13">
        <f t="shared" si="5"/>
        <v>0.001302931596</v>
      </c>
      <c r="S645" s="14">
        <f t="shared" si="6"/>
        <v>1.069466593</v>
      </c>
      <c r="T645" s="14">
        <f t="shared" si="7"/>
        <v>0.8325113613</v>
      </c>
      <c r="U645" s="14">
        <f t="shared" si="8"/>
        <v>3.579261672</v>
      </c>
    </row>
    <row r="646" ht="15.75" customHeight="1">
      <c r="A646" s="9">
        <v>46133.0303028472</v>
      </c>
      <c r="B646" s="10">
        <v>0.0</v>
      </c>
      <c r="C646" s="10" t="s">
        <v>59</v>
      </c>
      <c r="D646" s="10"/>
      <c r="E646" s="12" t="s">
        <v>62</v>
      </c>
      <c r="F646" s="11">
        <v>11376.0</v>
      </c>
      <c r="G646" s="11">
        <v>5248.0</v>
      </c>
      <c r="H646" s="11">
        <v>2411.0</v>
      </c>
      <c r="I646" s="11">
        <v>0.0</v>
      </c>
      <c r="J646" s="11">
        <v>24.0</v>
      </c>
      <c r="K646" s="11">
        <v>5.0</v>
      </c>
      <c r="L646" s="11">
        <v>2.0</v>
      </c>
      <c r="M646" s="13">
        <f t="shared" ref="M646:O646" si="648">IFERROR(G646/F646,"")</f>
        <v>0.4613220816</v>
      </c>
      <c r="N646" s="13">
        <f t="shared" si="648"/>
        <v>0.4594131098</v>
      </c>
      <c r="O646" s="14">
        <f t="shared" si="648"/>
        <v>0</v>
      </c>
      <c r="P646" s="13">
        <f t="shared" si="3"/>
        <v>0.009954375778</v>
      </c>
      <c r="Q646" s="13">
        <f t="shared" si="4"/>
        <v>0.002073828287</v>
      </c>
      <c r="R646" s="13">
        <f t="shared" si="5"/>
        <v>0.0008295313148</v>
      </c>
      <c r="S646" s="14">
        <f t="shared" si="6"/>
        <v>1.152386393</v>
      </c>
      <c r="T646" s="14">
        <f t="shared" si="7"/>
        <v>0.8510519058</v>
      </c>
      <c r="U646" s="14">
        <f t="shared" si="8"/>
        <v>4.484716748</v>
      </c>
    </row>
    <row r="647" ht="15.75" customHeight="1">
      <c r="A647" s="9">
        <v>46133.8036569213</v>
      </c>
      <c r="B647" s="10">
        <v>19.0</v>
      </c>
      <c r="C647" s="10" t="s">
        <v>59</v>
      </c>
      <c r="D647" s="10" t="s">
        <v>1578</v>
      </c>
      <c r="E647" s="12" t="s">
        <v>62</v>
      </c>
      <c r="F647" s="11">
        <v>3948.0</v>
      </c>
      <c r="G647" s="11">
        <v>672.0</v>
      </c>
      <c r="H647" s="11">
        <v>690.0</v>
      </c>
      <c r="I647" s="11">
        <v>0.0</v>
      </c>
      <c r="J647" s="11">
        <v>26.0</v>
      </c>
      <c r="K647" s="11">
        <v>3.0</v>
      </c>
      <c r="L647" s="11">
        <v>1.0</v>
      </c>
      <c r="M647" s="13">
        <f t="shared" ref="M647:O647" si="649">IFERROR(G647/F647,"")</f>
        <v>0.170212766</v>
      </c>
      <c r="N647" s="13">
        <f t="shared" si="649"/>
        <v>1.026785714</v>
      </c>
      <c r="O647" s="14">
        <f t="shared" si="649"/>
        <v>0</v>
      </c>
      <c r="P647" s="13">
        <f t="shared" si="3"/>
        <v>0.03768115942</v>
      </c>
      <c r="Q647" s="13">
        <f t="shared" si="4"/>
        <v>0.004347826087</v>
      </c>
      <c r="R647" s="13">
        <f t="shared" si="5"/>
        <v>0.001449275362</v>
      </c>
      <c r="S647" s="14">
        <f t="shared" si="6"/>
        <v>0.4289711261</v>
      </c>
      <c r="T647" s="14">
        <f t="shared" si="7"/>
        <v>1.898838774</v>
      </c>
      <c r="U647" s="14">
        <f t="shared" si="8"/>
        <v>9.254347826</v>
      </c>
    </row>
    <row r="648" ht="15.75" customHeight="1">
      <c r="A648" s="9">
        <v>46134.5725354167</v>
      </c>
      <c r="B648" s="10">
        <v>13.0</v>
      </c>
      <c r="C648" s="10" t="s">
        <v>80</v>
      </c>
      <c r="D648" s="10"/>
      <c r="E648" s="12" t="s">
        <v>62</v>
      </c>
      <c r="F648" s="11">
        <v>38844.0</v>
      </c>
      <c r="G648" s="11">
        <v>19525.0</v>
      </c>
      <c r="H648" s="11">
        <v>6940.0</v>
      </c>
      <c r="I648" s="11">
        <v>0.0</v>
      </c>
      <c r="J648" s="11">
        <v>35.0</v>
      </c>
      <c r="K648" s="11">
        <v>5.0</v>
      </c>
      <c r="L648" s="11">
        <v>7.0</v>
      </c>
      <c r="M648" s="13">
        <f t="shared" ref="M648:O648" si="650">IFERROR(G648/F648,"")</f>
        <v>0.5026516322</v>
      </c>
      <c r="N648" s="13">
        <f t="shared" si="650"/>
        <v>0.3554417414</v>
      </c>
      <c r="O648" s="14">
        <f t="shared" si="650"/>
        <v>0</v>
      </c>
      <c r="P648" s="13">
        <f t="shared" si="3"/>
        <v>0.005043227666</v>
      </c>
      <c r="Q648" s="13">
        <f t="shared" si="4"/>
        <v>0.0007204610951</v>
      </c>
      <c r="R648" s="13">
        <f t="shared" si="5"/>
        <v>0.001008645533</v>
      </c>
      <c r="S648" s="14">
        <f t="shared" si="6"/>
        <v>1.266785341</v>
      </c>
      <c r="T648" s="14">
        <f t="shared" si="7"/>
        <v>0.6573197805</v>
      </c>
      <c r="U648" s="14">
        <f t="shared" si="8"/>
        <v>1.533501441</v>
      </c>
    </row>
    <row r="649" ht="15.75" customHeight="1">
      <c r="A649" s="9">
        <v>46136.6230063426</v>
      </c>
      <c r="B649" s="10">
        <v>14.0</v>
      </c>
      <c r="C649" s="10" t="s">
        <v>60</v>
      </c>
      <c r="D649" s="10"/>
      <c r="E649" s="12" t="s">
        <v>62</v>
      </c>
      <c r="F649" s="11">
        <v>66914.0</v>
      </c>
      <c r="G649" s="11">
        <v>19825.0</v>
      </c>
      <c r="H649" s="11">
        <v>13109.0</v>
      </c>
      <c r="I649" s="11">
        <v>0.0</v>
      </c>
      <c r="J649" s="11">
        <v>39.0</v>
      </c>
      <c r="K649" s="11">
        <v>3.0</v>
      </c>
      <c r="L649" s="11">
        <v>5.0</v>
      </c>
      <c r="M649" s="13">
        <f t="shared" ref="M649:O649" si="651">IFERROR(G649/F649,"")</f>
        <v>0.2962758167</v>
      </c>
      <c r="N649" s="13">
        <f t="shared" si="651"/>
        <v>0.6612358134</v>
      </c>
      <c r="O649" s="14">
        <f t="shared" si="651"/>
        <v>0</v>
      </c>
      <c r="P649" s="13">
        <f t="shared" si="3"/>
        <v>0.002975055306</v>
      </c>
      <c r="Q649" s="13">
        <f t="shared" si="4"/>
        <v>0.0002288504081</v>
      </c>
      <c r="R649" s="13">
        <f t="shared" si="5"/>
        <v>0.0003814173469</v>
      </c>
      <c r="S649" s="14">
        <f t="shared" si="6"/>
        <v>0.7596209039</v>
      </c>
      <c r="T649" s="14">
        <f t="shared" si="7"/>
        <v>1.222825935</v>
      </c>
      <c r="U649" s="14">
        <f t="shared" si="8"/>
        <v>0.4639942025</v>
      </c>
    </row>
    <row r="650" ht="15.75" customHeight="1">
      <c r="A650" s="9">
        <v>46137.5940739352</v>
      </c>
      <c r="B650" s="10">
        <v>14.0</v>
      </c>
      <c r="C650" s="10" t="s">
        <v>69</v>
      </c>
      <c r="D650" s="10"/>
      <c r="E650" s="12" t="s">
        <v>62</v>
      </c>
      <c r="F650" s="11">
        <v>101934.0</v>
      </c>
      <c r="G650" s="11">
        <v>29409.0</v>
      </c>
      <c r="H650" s="11">
        <v>21386.0</v>
      </c>
      <c r="I650" s="11">
        <v>0.0</v>
      </c>
      <c r="J650" s="11">
        <v>62.0</v>
      </c>
      <c r="K650" s="11">
        <v>7.0</v>
      </c>
      <c r="L650" s="11">
        <v>6.0</v>
      </c>
      <c r="M650" s="13">
        <f t="shared" ref="M650:O650" si="652">IFERROR(G650/F650,"")</f>
        <v>0.2885102125</v>
      </c>
      <c r="N650" s="13">
        <f t="shared" si="652"/>
        <v>0.7271923561</v>
      </c>
      <c r="O650" s="14">
        <f t="shared" si="652"/>
        <v>0</v>
      </c>
      <c r="P650" s="13">
        <f t="shared" si="3"/>
        <v>0.002899092864</v>
      </c>
      <c r="Q650" s="13">
        <f t="shared" si="4"/>
        <v>0.0003273169363</v>
      </c>
      <c r="R650" s="13">
        <f t="shared" si="5"/>
        <v>0.000280557374</v>
      </c>
      <c r="S650" s="14">
        <f t="shared" si="6"/>
        <v>0.7333536709</v>
      </c>
      <c r="T650" s="14">
        <f t="shared" si="7"/>
        <v>1.347106618</v>
      </c>
      <c r="U650" s="14">
        <f t="shared" si="8"/>
        <v>0.6632256898</v>
      </c>
    </row>
    <row r="651" ht="15.75" customHeight="1">
      <c r="A651" s="9">
        <v>46139.4336485648</v>
      </c>
      <c r="B651" s="10">
        <v>10.0</v>
      </c>
      <c r="C651" s="10" t="s">
        <v>71</v>
      </c>
      <c r="D651" s="10"/>
      <c r="E651" s="12" t="s">
        <v>62</v>
      </c>
      <c r="F651" s="11">
        <v>95612.0</v>
      </c>
      <c r="G651" s="11">
        <v>46116.0</v>
      </c>
      <c r="H651" s="11">
        <v>18431.0</v>
      </c>
      <c r="I651" s="11">
        <v>0.0</v>
      </c>
      <c r="J651" s="11">
        <v>72.0</v>
      </c>
      <c r="K651" s="11">
        <v>8.0</v>
      </c>
      <c r="L651" s="11">
        <v>4.0</v>
      </c>
      <c r="M651" s="13">
        <f t="shared" ref="M651:O651" si="653">IFERROR(G651/F651,"")</f>
        <v>0.4823243944</v>
      </c>
      <c r="N651" s="13">
        <f t="shared" si="653"/>
        <v>0.3996660595</v>
      </c>
      <c r="O651" s="14">
        <f t="shared" si="653"/>
        <v>0</v>
      </c>
      <c r="P651" s="13">
        <f t="shared" si="3"/>
        <v>0.003906461939</v>
      </c>
      <c r="Q651" s="13">
        <f t="shared" si="4"/>
        <v>0.0004340513266</v>
      </c>
      <c r="R651" s="13">
        <f t="shared" si="5"/>
        <v>0.0002170256633</v>
      </c>
      <c r="S651" s="14">
        <f t="shared" si="6"/>
        <v>1.215556527</v>
      </c>
      <c r="T651" s="14">
        <f t="shared" si="7"/>
        <v>0.7416441957</v>
      </c>
      <c r="U651" s="14">
        <f t="shared" si="8"/>
        <v>0.8789539363</v>
      </c>
    </row>
    <row r="652" ht="15.75" customHeight="1">
      <c r="A652" s="9">
        <v>46141.534527338</v>
      </c>
      <c r="B652" s="10">
        <v>12.0</v>
      </c>
      <c r="C652" s="10" t="s">
        <v>80</v>
      </c>
      <c r="D652" s="10"/>
      <c r="E652" s="12" t="s">
        <v>62</v>
      </c>
      <c r="F652" s="11">
        <v>26067.0</v>
      </c>
      <c r="G652" s="11">
        <v>11534.0</v>
      </c>
      <c r="H652" s="11">
        <v>3590.0</v>
      </c>
      <c r="I652" s="11">
        <v>0.0</v>
      </c>
      <c r="J652" s="11">
        <v>24.0</v>
      </c>
      <c r="K652" s="11">
        <v>3.0</v>
      </c>
      <c r="L652" s="11">
        <v>1.0</v>
      </c>
      <c r="M652" s="13">
        <f t="shared" ref="M652:O652" si="654">IFERROR(G652/F652,"")</f>
        <v>0.4424751602</v>
      </c>
      <c r="N652" s="13">
        <f t="shared" si="654"/>
        <v>0.3112536848</v>
      </c>
      <c r="O652" s="14">
        <f t="shared" si="654"/>
        <v>0</v>
      </c>
      <c r="P652" s="13">
        <f t="shared" si="3"/>
        <v>0.006685236769</v>
      </c>
      <c r="Q652" s="13">
        <f t="shared" si="4"/>
        <v>0.0008356545961</v>
      </c>
      <c r="R652" s="13">
        <f t="shared" si="5"/>
        <v>0.000278551532</v>
      </c>
      <c r="S652" s="14">
        <f t="shared" si="6"/>
        <v>1.124711601</v>
      </c>
      <c r="T652" s="14">
        <f t="shared" si="7"/>
        <v>0.5765900797</v>
      </c>
      <c r="U652" s="14">
        <f t="shared" si="8"/>
        <v>1.690806652</v>
      </c>
    </row>
    <row r="653" ht="15.75" customHeight="1">
      <c r="A653" s="9">
        <v>46143.4349117593</v>
      </c>
      <c r="B653" s="10">
        <v>10.0</v>
      </c>
      <c r="C653" s="10" t="s">
        <v>60</v>
      </c>
      <c r="D653" s="10"/>
      <c r="E653" s="12" t="s">
        <v>62</v>
      </c>
      <c r="F653" s="11">
        <v>3701.0</v>
      </c>
      <c r="G653" s="11">
        <v>357.0</v>
      </c>
      <c r="H653" s="11">
        <v>533.0</v>
      </c>
      <c r="I653" s="11">
        <v>0.0</v>
      </c>
      <c r="J653" s="11">
        <v>18.0</v>
      </c>
      <c r="K653" s="11">
        <v>0.0</v>
      </c>
      <c r="L653" s="11">
        <v>0.0</v>
      </c>
      <c r="M653" s="13">
        <f t="shared" ref="M653:O653" si="655">IFERROR(G653/F653,"")</f>
        <v>0.0964604161</v>
      </c>
      <c r="N653" s="13">
        <f t="shared" si="655"/>
        <v>1.492997199</v>
      </c>
      <c r="O653" s="14">
        <f t="shared" si="655"/>
        <v>0</v>
      </c>
      <c r="P653" s="13">
        <f t="shared" si="3"/>
        <v>0.03377110694</v>
      </c>
      <c r="Q653" s="13">
        <f t="shared" si="4"/>
        <v>0</v>
      </c>
      <c r="R653" s="13">
        <f t="shared" si="5"/>
        <v>0</v>
      </c>
      <c r="S653" s="14">
        <f t="shared" si="6"/>
        <v>0.2431000583</v>
      </c>
      <c r="T653" s="14">
        <f t="shared" si="7"/>
        <v>2.770494718</v>
      </c>
      <c r="U653" s="14">
        <f t="shared" si="8"/>
        <v>0</v>
      </c>
    </row>
    <row r="654" ht="15.75" customHeight="1">
      <c r="A654" s="9">
        <v>46146.5636105671</v>
      </c>
      <c r="B654" s="10">
        <v>13.0</v>
      </c>
      <c r="C654" s="10" t="s">
        <v>71</v>
      </c>
      <c r="D654" s="10"/>
      <c r="E654" s="12" t="s">
        <v>62</v>
      </c>
      <c r="F654" s="11">
        <v>17766.0</v>
      </c>
      <c r="G654" s="11">
        <v>3591.0</v>
      </c>
      <c r="H654" s="11">
        <v>2515.0</v>
      </c>
      <c r="I654" s="11">
        <v>0.0</v>
      </c>
      <c r="J654" s="11">
        <v>26.0</v>
      </c>
      <c r="K654" s="11">
        <v>1.0</v>
      </c>
      <c r="L654" s="11">
        <v>2.0</v>
      </c>
      <c r="M654" s="13">
        <f t="shared" ref="M654:O654" si="656">IFERROR(G654/F654,"")</f>
        <v>0.2021276596</v>
      </c>
      <c r="N654" s="13">
        <f t="shared" si="656"/>
        <v>0.7003620162</v>
      </c>
      <c r="O654" s="14">
        <f t="shared" si="656"/>
        <v>0</v>
      </c>
      <c r="P654" s="13">
        <f t="shared" si="3"/>
        <v>0.01033797217</v>
      </c>
      <c r="Q654" s="13">
        <f t="shared" si="4"/>
        <v>0.0003976143141</v>
      </c>
      <c r="R654" s="13">
        <f t="shared" si="5"/>
        <v>0.0007952286282</v>
      </c>
      <c r="S654" s="14">
        <f t="shared" si="6"/>
        <v>0.5094032123</v>
      </c>
      <c r="T654" s="14">
        <f t="shared" si="7"/>
        <v>1.299633561</v>
      </c>
      <c r="U654" s="14">
        <f t="shared" si="8"/>
        <v>0.7765805169</v>
      </c>
    </row>
    <row r="655" ht="15.75" customHeight="1">
      <c r="A655" s="9">
        <v>46147.7070143056</v>
      </c>
      <c r="B655" s="10">
        <v>16.0</v>
      </c>
      <c r="C655" s="10" t="s">
        <v>59</v>
      </c>
      <c r="D655" s="10" t="s">
        <v>1579</v>
      </c>
      <c r="E655" s="12" t="s">
        <v>62</v>
      </c>
      <c r="F655" s="11">
        <v>198087.0</v>
      </c>
      <c r="G655" s="11">
        <v>61762.0</v>
      </c>
      <c r="H655" s="11">
        <v>44529.0</v>
      </c>
      <c r="I655" s="11">
        <v>0.0</v>
      </c>
      <c r="J655" s="11">
        <v>295.0</v>
      </c>
      <c r="K655" s="11">
        <v>12.0</v>
      </c>
      <c r="L655" s="11">
        <v>73.0</v>
      </c>
      <c r="M655" s="13">
        <f t="shared" ref="M655:O655" si="657">IFERROR(G655/F655,"")</f>
        <v>0.3117922933</v>
      </c>
      <c r="N655" s="13">
        <f t="shared" si="657"/>
        <v>0.7209773</v>
      </c>
      <c r="O655" s="14">
        <f t="shared" si="657"/>
        <v>0</v>
      </c>
      <c r="P655" s="13">
        <f t="shared" si="3"/>
        <v>0.006624896135</v>
      </c>
      <c r="Q655" s="13">
        <f t="shared" si="4"/>
        <v>0.0002694873004</v>
      </c>
      <c r="R655" s="13">
        <f t="shared" si="5"/>
        <v>0.001639381078</v>
      </c>
      <c r="S655" s="14">
        <f t="shared" si="6"/>
        <v>0.7925335497</v>
      </c>
      <c r="T655" s="14">
        <f t="shared" si="7"/>
        <v>1.335593374</v>
      </c>
      <c r="U655" s="14">
        <f t="shared" si="8"/>
        <v>0.5354151934</v>
      </c>
    </row>
    <row r="656" ht="15.75" customHeight="1">
      <c r="A656" s="9">
        <v>46154.5875682639</v>
      </c>
      <c r="B656" s="10">
        <v>14.0</v>
      </c>
      <c r="C656" s="10" t="s">
        <v>59</v>
      </c>
      <c r="D656" s="10" t="s">
        <v>1580</v>
      </c>
      <c r="E656" s="12" t="s">
        <v>62</v>
      </c>
      <c r="F656" s="11">
        <v>55207.0</v>
      </c>
      <c r="G656" s="11">
        <v>15702.0</v>
      </c>
      <c r="H656" s="11">
        <v>7156.0</v>
      </c>
      <c r="I656" s="11">
        <v>0.0</v>
      </c>
      <c r="J656" s="11">
        <v>37.0</v>
      </c>
      <c r="K656" s="11">
        <v>1.0</v>
      </c>
      <c r="L656" s="11">
        <v>6.0</v>
      </c>
      <c r="M656" s="13">
        <f t="shared" ref="M656:O656" si="658">IFERROR(G656/F656,"")</f>
        <v>0.2844204539</v>
      </c>
      <c r="N656" s="13">
        <f t="shared" si="658"/>
        <v>0.4557381225</v>
      </c>
      <c r="O656" s="14">
        <f t="shared" si="658"/>
        <v>0</v>
      </c>
      <c r="P656" s="13">
        <f t="shared" si="3"/>
        <v>0.005170486305</v>
      </c>
      <c r="Q656" s="13">
        <f t="shared" si="4"/>
        <v>0.0001397428731</v>
      </c>
      <c r="R656" s="13">
        <f t="shared" si="5"/>
        <v>0.0008384572387</v>
      </c>
      <c r="S656" s="14">
        <f t="shared" si="6"/>
        <v>0.7165362724</v>
      </c>
      <c r="T656" s="14">
        <f t="shared" si="7"/>
        <v>0.8524982959</v>
      </c>
      <c r="U656" s="14">
        <f t="shared" si="8"/>
        <v>0.2827462214</v>
      </c>
    </row>
    <row r="657" ht="15.75" customHeight="1">
      <c r="A657" s="9">
        <v>46177.6025891898</v>
      </c>
      <c r="B657" s="10">
        <v>14.0</v>
      </c>
      <c r="C657" s="10" t="s">
        <v>84</v>
      </c>
      <c r="D657" s="10" t="s">
        <v>1581</v>
      </c>
      <c r="E657" s="12" t="s">
        <v>62</v>
      </c>
      <c r="F657" s="11">
        <v>936091.0</v>
      </c>
      <c r="G657" s="11">
        <v>196361.0</v>
      </c>
      <c r="H657" s="11">
        <v>206905.0</v>
      </c>
      <c r="I657" s="11">
        <v>0.0</v>
      </c>
      <c r="J657" s="11">
        <v>988.0</v>
      </c>
      <c r="K657" s="11">
        <v>36.0</v>
      </c>
      <c r="L657" s="11">
        <v>16.0</v>
      </c>
      <c r="M657" s="13">
        <f t="shared" ref="M657:O657" si="659">IFERROR(G657/F657,"")</f>
        <v>0.2097669991</v>
      </c>
      <c r="N657" s="13">
        <f t="shared" si="659"/>
        <v>1.053697017</v>
      </c>
      <c r="O657" s="14">
        <f t="shared" si="659"/>
        <v>0</v>
      </c>
      <c r="P657" s="13">
        <f t="shared" si="3"/>
        <v>0.004775138349</v>
      </c>
      <c r="Q657" s="13">
        <f t="shared" si="4"/>
        <v>0.0001739928953</v>
      </c>
      <c r="R657" s="13">
        <f t="shared" si="5"/>
        <v>0.00007733017568</v>
      </c>
      <c r="S657" s="14">
        <f t="shared" si="6"/>
        <v>0.5148826343</v>
      </c>
      <c r="T657" s="14">
        <f t="shared" si="7"/>
        <v>2.052818722</v>
      </c>
      <c r="U657" s="14">
        <f t="shared" si="8"/>
        <v>0.3144921582</v>
      </c>
    </row>
    <row r="658" ht="15.75" customHeight="1">
      <c r="A658" s="9">
        <v>46178.5202184375</v>
      </c>
      <c r="B658" s="10">
        <v>12.0</v>
      </c>
      <c r="C658" s="10" t="s">
        <v>60</v>
      </c>
      <c r="D658" s="10" t="s">
        <v>1582</v>
      </c>
      <c r="E658" s="12" t="s">
        <v>62</v>
      </c>
      <c r="F658" s="11">
        <v>200689.0</v>
      </c>
      <c r="G658" s="11">
        <v>40806.0</v>
      </c>
      <c r="H658" s="11">
        <v>29735.0</v>
      </c>
      <c r="I658" s="11">
        <v>0.0</v>
      </c>
      <c r="J658" s="11">
        <v>72.0</v>
      </c>
      <c r="K658" s="11">
        <v>35.0</v>
      </c>
      <c r="L658" s="11">
        <v>7.0</v>
      </c>
      <c r="M658" s="13">
        <f t="shared" ref="M658:O658" si="660">IFERROR(G658/F658,"")</f>
        <v>0.2033295298</v>
      </c>
      <c r="N658" s="13">
        <f t="shared" si="660"/>
        <v>0.728691859</v>
      </c>
      <c r="O658" s="14">
        <f t="shared" si="660"/>
        <v>0</v>
      </c>
      <c r="P658" s="13">
        <f t="shared" si="3"/>
        <v>0.002421388936</v>
      </c>
      <c r="Q658" s="13">
        <f t="shared" si="4"/>
        <v>0.001177064066</v>
      </c>
      <c r="R658" s="13">
        <f t="shared" si="5"/>
        <v>0.0002354128132</v>
      </c>
      <c r="S658" s="14">
        <f t="shared" si="6"/>
        <v>0.4990815731</v>
      </c>
      <c r="T658" s="14">
        <f t="shared" si="7"/>
        <v>1.419641763</v>
      </c>
      <c r="U658" s="14">
        <f t="shared" si="8"/>
        <v>2.127543299</v>
      </c>
    </row>
    <row r="659" ht="15.75" customHeight="1">
      <c r="A659" s="9">
        <v>46179.8428254745</v>
      </c>
      <c r="B659" s="10">
        <v>20.0</v>
      </c>
      <c r="C659" s="10" t="s">
        <v>69</v>
      </c>
      <c r="D659" s="10" t="s">
        <v>1583</v>
      </c>
      <c r="E659" s="12" t="s">
        <v>62</v>
      </c>
      <c r="F659" s="11">
        <v>26852.0</v>
      </c>
      <c r="G659" s="11">
        <v>4623.0</v>
      </c>
      <c r="H659" s="11">
        <v>3307.0</v>
      </c>
      <c r="I659" s="11">
        <v>0.0</v>
      </c>
      <c r="J659" s="11">
        <v>67.0</v>
      </c>
      <c r="K659" s="11">
        <v>17.0</v>
      </c>
      <c r="L659" s="11">
        <v>33.0</v>
      </c>
      <c r="M659" s="13">
        <f t="shared" ref="M659:O659" si="661">IFERROR(G659/F659,"")</f>
        <v>0.1721659467</v>
      </c>
      <c r="N659" s="13">
        <f t="shared" si="661"/>
        <v>0.7153363617</v>
      </c>
      <c r="O659" s="14">
        <f t="shared" si="661"/>
        <v>0</v>
      </c>
      <c r="P659" s="13">
        <f t="shared" si="3"/>
        <v>0.02026005443</v>
      </c>
      <c r="Q659" s="13">
        <f t="shared" si="4"/>
        <v>0.005140610826</v>
      </c>
      <c r="R659" s="13">
        <f t="shared" si="5"/>
        <v>0.009978832779</v>
      </c>
      <c r="S659" s="14">
        <f t="shared" si="6"/>
        <v>0.4125839375</v>
      </c>
      <c r="T659" s="14">
        <f t="shared" si="7"/>
        <v>1.398823988</v>
      </c>
      <c r="U659" s="14">
        <f t="shared" si="8"/>
        <v>8.986356862</v>
      </c>
    </row>
    <row r="660" ht="15.75" customHeight="1">
      <c r="A660" s="9">
        <v>46185.8078625926</v>
      </c>
      <c r="B660" s="10">
        <v>19.0</v>
      </c>
      <c r="C660" s="10" t="s">
        <v>60</v>
      </c>
      <c r="D660" s="10" t="s">
        <v>1584</v>
      </c>
      <c r="E660" s="12" t="s">
        <v>62</v>
      </c>
      <c r="F660" s="11">
        <v>119079.0</v>
      </c>
      <c r="G660" s="11">
        <v>32644.0</v>
      </c>
      <c r="H660" s="11">
        <v>17144.0</v>
      </c>
      <c r="I660" s="11">
        <v>0.0</v>
      </c>
      <c r="J660" s="11">
        <v>47.0</v>
      </c>
      <c r="K660" s="11">
        <v>11.0</v>
      </c>
      <c r="L660" s="11">
        <v>5.0</v>
      </c>
      <c r="M660" s="13">
        <f t="shared" ref="M660:O660" si="662">IFERROR(G660/F660,"")</f>
        <v>0.2741373374</v>
      </c>
      <c r="N660" s="13">
        <f t="shared" si="662"/>
        <v>0.5251807377</v>
      </c>
      <c r="O660" s="14">
        <f t="shared" si="662"/>
        <v>0</v>
      </c>
      <c r="P660" s="13">
        <f t="shared" si="3"/>
        <v>0.002741483901</v>
      </c>
      <c r="Q660" s="13">
        <f t="shared" si="4"/>
        <v>0.0006416238917</v>
      </c>
      <c r="R660" s="13">
        <f t="shared" si="5"/>
        <v>0.0002916472235</v>
      </c>
      <c r="S660" s="14">
        <f t="shared" si="6"/>
        <v>0.6728825554</v>
      </c>
      <c r="T660" s="14">
        <f t="shared" si="7"/>
        <v>1.030826392</v>
      </c>
      <c r="U660" s="14">
        <f t="shared" si="8"/>
        <v>0.9932337844</v>
      </c>
    </row>
    <row r="661" ht="15.75" customHeight="1">
      <c r="A661" s="9">
        <v>46187.5602794676</v>
      </c>
      <c r="B661" s="10">
        <v>13.0</v>
      </c>
      <c r="C661" s="10" t="s">
        <v>77</v>
      </c>
      <c r="D661" s="10" t="s">
        <v>1585</v>
      </c>
      <c r="E661" s="12" t="s">
        <v>62</v>
      </c>
      <c r="F661" s="11">
        <v>7088.0</v>
      </c>
      <c r="G661" s="11">
        <v>491.0</v>
      </c>
      <c r="H661" s="11">
        <v>822.0</v>
      </c>
      <c r="I661" s="11">
        <v>0.0</v>
      </c>
      <c r="J661" s="11">
        <v>21.0</v>
      </c>
      <c r="K661" s="11">
        <v>20.0</v>
      </c>
      <c r="L661" s="11">
        <v>2.0</v>
      </c>
      <c r="M661" s="13">
        <f t="shared" ref="M661:O661" si="663">IFERROR(G661/F661,"")</f>
        <v>0.06927200903</v>
      </c>
      <c r="N661" s="13">
        <f t="shared" si="663"/>
        <v>1.67413442</v>
      </c>
      <c r="O661" s="14">
        <f t="shared" si="663"/>
        <v>0</v>
      </c>
      <c r="P661" s="13">
        <f t="shared" si="3"/>
        <v>0.02554744526</v>
      </c>
      <c r="Q661" s="13">
        <f t="shared" si="4"/>
        <v>0.02433090024</v>
      </c>
      <c r="R661" s="13">
        <f t="shared" si="5"/>
        <v>0.002433090024</v>
      </c>
      <c r="S661" s="14">
        <f t="shared" si="6"/>
        <v>0.17410401</v>
      </c>
      <c r="T661" s="14">
        <f t="shared" si="7"/>
        <v>3.30443222</v>
      </c>
      <c r="U661" s="14">
        <f t="shared" si="8"/>
        <v>36.50642726</v>
      </c>
    </row>
    <row r="662" ht="15.75" customHeight="1">
      <c r="A662" s="9">
        <v>46189.4711212616</v>
      </c>
      <c r="B662" s="10">
        <v>11.0</v>
      </c>
      <c r="C662" s="10" t="s">
        <v>59</v>
      </c>
      <c r="D662" s="10" t="s">
        <v>1586</v>
      </c>
      <c r="E662" s="12" t="s">
        <v>62</v>
      </c>
      <c r="F662" s="11">
        <v>39031.0</v>
      </c>
      <c r="G662" s="11">
        <v>26906.0</v>
      </c>
      <c r="H662" s="11">
        <v>12384.0</v>
      </c>
      <c r="I662" s="11">
        <v>0.0</v>
      </c>
      <c r="J662" s="11">
        <v>101.0</v>
      </c>
      <c r="K662" s="11">
        <v>8.0</v>
      </c>
      <c r="L662" s="11">
        <v>12.0</v>
      </c>
      <c r="M662" s="13">
        <f t="shared" ref="M662:O662" si="664">IFERROR(G662/F662,"")</f>
        <v>0.6893494914</v>
      </c>
      <c r="N662" s="13">
        <f t="shared" si="664"/>
        <v>0.460269085</v>
      </c>
      <c r="O662" s="14">
        <f t="shared" si="664"/>
        <v>0</v>
      </c>
      <c r="P662" s="13">
        <f t="shared" si="3"/>
        <v>0.008155684755</v>
      </c>
      <c r="Q662" s="13">
        <f t="shared" si="4"/>
        <v>0.000645994832</v>
      </c>
      <c r="R662" s="13">
        <f t="shared" si="5"/>
        <v>0.0009689922481</v>
      </c>
      <c r="S662" s="14">
        <f t="shared" si="6"/>
        <v>1.692039661</v>
      </c>
      <c r="T662" s="14">
        <f t="shared" si="7"/>
        <v>0.9136119698</v>
      </c>
      <c r="U662" s="14">
        <f t="shared" si="8"/>
        <v>1</v>
      </c>
    </row>
    <row r="663" ht="15.75" customHeight="1">
      <c r="A663" s="9">
        <v>46199.5128555208</v>
      </c>
      <c r="B663" s="10">
        <v>12.0</v>
      </c>
      <c r="C663" s="10" t="s">
        <v>60</v>
      </c>
      <c r="D663" s="10" t="s">
        <v>1587</v>
      </c>
      <c r="E663" s="12" t="s">
        <v>62</v>
      </c>
      <c r="F663" s="11">
        <v>2433228.0</v>
      </c>
      <c r="G663" s="11">
        <v>328732.0</v>
      </c>
      <c r="H663" s="11">
        <v>559000.0</v>
      </c>
      <c r="I663" s="11">
        <v>0.0</v>
      </c>
      <c r="J663" s="11">
        <v>338.0</v>
      </c>
      <c r="K663" s="11">
        <v>559.0</v>
      </c>
      <c r="L663" s="11">
        <v>43.0</v>
      </c>
      <c r="M663" s="13">
        <f t="shared" ref="M663:O663" si="665">IFERROR(G663/F663,"")</f>
        <v>0.1351011907</v>
      </c>
      <c r="N663" s="13">
        <f t="shared" si="665"/>
        <v>1.700473334</v>
      </c>
      <c r="O663" s="14">
        <f t="shared" si="665"/>
        <v>0</v>
      </c>
      <c r="P663" s="13">
        <f t="shared" si="3"/>
        <v>0.0006046511628</v>
      </c>
      <c r="Q663" s="13">
        <f t="shared" si="4"/>
        <v>0.001</v>
      </c>
      <c r="R663" s="13">
        <f t="shared" si="5"/>
        <v>0.00007692307692</v>
      </c>
      <c r="S663" s="14">
        <f t="shared" si="6"/>
        <v>0.4333050996</v>
      </c>
      <c r="T663" s="14">
        <f t="shared" si="7"/>
        <v>3.337694372</v>
      </c>
      <c r="U663" s="14">
        <f t="shared" si="8"/>
        <v>1.430166667</v>
      </c>
    </row>
    <row r="664" ht="15.75" customHeight="1">
      <c r="A664" s="9">
        <v>46201.7176149769</v>
      </c>
      <c r="B664" s="10">
        <v>17.0</v>
      </c>
      <c r="C664" s="10" t="s">
        <v>77</v>
      </c>
      <c r="D664" s="10" t="s">
        <v>1588</v>
      </c>
      <c r="E664" s="12" t="s">
        <v>62</v>
      </c>
      <c r="F664" s="11">
        <v>450116.0</v>
      </c>
      <c r="G664" s="11">
        <v>51133.0</v>
      </c>
      <c r="H664" s="11">
        <v>70969.0</v>
      </c>
      <c r="I664" s="11">
        <v>0.0</v>
      </c>
      <c r="J664" s="11">
        <v>35.0</v>
      </c>
      <c r="K664" s="11">
        <v>13.0</v>
      </c>
      <c r="L664" s="11">
        <v>4.0</v>
      </c>
      <c r="M664" s="13">
        <f t="shared" ref="M664:O664" si="666">IFERROR(G664/F664,"")</f>
        <v>0.1135996054</v>
      </c>
      <c r="N664" s="13">
        <f t="shared" si="666"/>
        <v>1.387929517</v>
      </c>
      <c r="O664" s="14">
        <f t="shared" si="666"/>
        <v>0</v>
      </c>
      <c r="P664" s="13">
        <f t="shared" si="3"/>
        <v>0.0004931730756</v>
      </c>
      <c r="Q664" s="13">
        <f t="shared" si="4"/>
        <v>0.0001831785709</v>
      </c>
      <c r="R664" s="13">
        <f t="shared" si="5"/>
        <v>0.00005636263721</v>
      </c>
      <c r="S664" s="14">
        <f t="shared" si="6"/>
        <v>0.3643438529</v>
      </c>
      <c r="T664" s="14">
        <f t="shared" si="7"/>
        <v>2.724232392</v>
      </c>
      <c r="U664" s="14">
        <f t="shared" si="8"/>
        <v>0.2619758862</v>
      </c>
    </row>
    <row r="665" ht="15.75" customHeight="1">
      <c r="A665" s="9">
        <v>46225.9621196181</v>
      </c>
      <c r="B665" s="10">
        <v>23.0</v>
      </c>
      <c r="C665" s="10" t="s">
        <v>80</v>
      </c>
      <c r="D665" s="10" t="s">
        <v>1589</v>
      </c>
      <c r="E665" s="12" t="s">
        <v>62</v>
      </c>
      <c r="F665" s="11">
        <v>29421.0</v>
      </c>
      <c r="G665" s="11">
        <v>7797.0</v>
      </c>
      <c r="H665" s="11">
        <v>3453.0</v>
      </c>
      <c r="I665" s="11">
        <v>0.0</v>
      </c>
      <c r="J665" s="11">
        <v>11.0</v>
      </c>
      <c r="K665" s="11">
        <v>15.0</v>
      </c>
      <c r="L665" s="11">
        <v>1.0</v>
      </c>
      <c r="M665" s="13">
        <f t="shared" ref="M665:O665" si="667">IFERROR(G665/F665,"")</f>
        <v>0.2650147854</v>
      </c>
      <c r="N665" s="13">
        <f t="shared" si="667"/>
        <v>0.4428626395</v>
      </c>
      <c r="O665" s="14">
        <f t="shared" si="667"/>
        <v>0</v>
      </c>
      <c r="P665" s="13">
        <f t="shared" si="3"/>
        <v>0.003185635679</v>
      </c>
      <c r="Q665" s="13">
        <f t="shared" si="4"/>
        <v>0.004344048653</v>
      </c>
      <c r="R665" s="13">
        <f t="shared" si="5"/>
        <v>0.0002896032436</v>
      </c>
      <c r="S665" s="14">
        <f t="shared" si="6"/>
        <v>0.983079818</v>
      </c>
      <c r="T665" s="14">
        <f t="shared" si="7"/>
        <v>0.6256454714</v>
      </c>
      <c r="U665" s="14">
        <f t="shared" si="8"/>
        <v>8.076877815</v>
      </c>
    </row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U$665"/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  <hyperlink r:id="rId16" ref="E20"/>
    <hyperlink r:id="rId17" ref="E21"/>
    <hyperlink r:id="rId18" ref="E22"/>
    <hyperlink r:id="rId19" ref="E23"/>
    <hyperlink r:id="rId20" ref="E24"/>
    <hyperlink r:id="rId21" ref="E25"/>
    <hyperlink r:id="rId22" ref="E26"/>
    <hyperlink r:id="rId23" ref="E27"/>
    <hyperlink r:id="rId24" ref="E28"/>
    <hyperlink r:id="rId25" ref="E29"/>
    <hyperlink r:id="rId26" ref="E30"/>
    <hyperlink r:id="rId27" ref="E31"/>
    <hyperlink r:id="rId28" ref="E32"/>
    <hyperlink r:id="rId29" ref="E33"/>
    <hyperlink r:id="rId30" ref="E34"/>
    <hyperlink r:id="rId31" ref="E35"/>
    <hyperlink r:id="rId32" ref="E36"/>
    <hyperlink r:id="rId33" ref="E37"/>
    <hyperlink r:id="rId34" ref="E38"/>
    <hyperlink r:id="rId35" ref="E39"/>
    <hyperlink r:id="rId36" ref="E40"/>
    <hyperlink r:id="rId37" ref="E41"/>
    <hyperlink r:id="rId38" ref="E42"/>
    <hyperlink r:id="rId39" ref="E43"/>
    <hyperlink r:id="rId40" ref="E44"/>
    <hyperlink r:id="rId41" ref="E45"/>
    <hyperlink r:id="rId42" ref="E46"/>
    <hyperlink r:id="rId43" ref="E47"/>
    <hyperlink r:id="rId44" ref="E48"/>
    <hyperlink r:id="rId45" ref="E49"/>
    <hyperlink r:id="rId46" ref="E50"/>
    <hyperlink r:id="rId47" ref="E51"/>
    <hyperlink r:id="rId48" ref="E52"/>
    <hyperlink r:id="rId49" ref="E53"/>
    <hyperlink r:id="rId50" ref="E54"/>
    <hyperlink r:id="rId51" ref="E55"/>
    <hyperlink r:id="rId52" ref="E56"/>
    <hyperlink r:id="rId53" ref="E57"/>
    <hyperlink r:id="rId54" ref="E58"/>
    <hyperlink r:id="rId55" ref="E59"/>
    <hyperlink r:id="rId56" ref="E60"/>
    <hyperlink r:id="rId57" ref="E61"/>
    <hyperlink r:id="rId58" ref="E62"/>
    <hyperlink r:id="rId59" ref="E63"/>
    <hyperlink r:id="rId60" ref="E64"/>
    <hyperlink r:id="rId61" ref="E65"/>
    <hyperlink r:id="rId62" ref="E66"/>
    <hyperlink r:id="rId63" ref="E67"/>
    <hyperlink r:id="rId64" ref="E68"/>
    <hyperlink r:id="rId65" ref="E69"/>
    <hyperlink r:id="rId66" ref="E70"/>
    <hyperlink r:id="rId67" ref="E71"/>
    <hyperlink r:id="rId68" ref="E72"/>
    <hyperlink r:id="rId69" ref="E73"/>
    <hyperlink r:id="rId70" ref="E74"/>
    <hyperlink r:id="rId71" ref="E75"/>
    <hyperlink r:id="rId72" ref="E76"/>
    <hyperlink r:id="rId73" ref="E77"/>
    <hyperlink r:id="rId74" ref="E78"/>
    <hyperlink r:id="rId75" ref="E79"/>
    <hyperlink r:id="rId76" ref="E80"/>
    <hyperlink r:id="rId77" ref="E81"/>
    <hyperlink r:id="rId78" ref="E82"/>
    <hyperlink r:id="rId79" ref="E83"/>
    <hyperlink r:id="rId80" ref="E84"/>
    <hyperlink r:id="rId81" ref="E85"/>
    <hyperlink r:id="rId82" ref="E86"/>
    <hyperlink r:id="rId83" ref="E87"/>
    <hyperlink r:id="rId84" ref="E88"/>
    <hyperlink r:id="rId85" ref="E89"/>
    <hyperlink r:id="rId86" ref="E90"/>
    <hyperlink r:id="rId87" ref="E91"/>
    <hyperlink r:id="rId88" ref="E92"/>
    <hyperlink r:id="rId89" ref="E93"/>
    <hyperlink r:id="rId90" ref="E94"/>
    <hyperlink r:id="rId91" ref="E95"/>
    <hyperlink r:id="rId92" ref="E96"/>
    <hyperlink r:id="rId93" ref="E97"/>
    <hyperlink r:id="rId94" ref="E98"/>
    <hyperlink r:id="rId95" ref="E99"/>
    <hyperlink r:id="rId96" ref="E100"/>
    <hyperlink r:id="rId97" ref="E101"/>
    <hyperlink r:id="rId98" ref="E102"/>
    <hyperlink r:id="rId99" ref="E103"/>
    <hyperlink r:id="rId100" ref="E104"/>
    <hyperlink r:id="rId101" ref="E105"/>
    <hyperlink r:id="rId102" ref="E106"/>
    <hyperlink r:id="rId103" ref="E107"/>
    <hyperlink r:id="rId104" ref="E108"/>
    <hyperlink r:id="rId105" ref="E109"/>
    <hyperlink r:id="rId106" ref="E110"/>
    <hyperlink r:id="rId107" ref="E111"/>
    <hyperlink r:id="rId108" ref="E112"/>
    <hyperlink r:id="rId109" ref="E113"/>
    <hyperlink r:id="rId110" ref="E114"/>
    <hyperlink r:id="rId111" ref="E115"/>
    <hyperlink r:id="rId112" ref="E116"/>
    <hyperlink r:id="rId113" ref="E117"/>
    <hyperlink r:id="rId114" ref="E118"/>
    <hyperlink r:id="rId115" ref="E119"/>
    <hyperlink r:id="rId116" ref="E120"/>
    <hyperlink r:id="rId117" ref="E121"/>
    <hyperlink r:id="rId118" ref="E122"/>
    <hyperlink r:id="rId119" ref="E123"/>
    <hyperlink r:id="rId120" ref="E124"/>
    <hyperlink r:id="rId121" ref="E125"/>
    <hyperlink r:id="rId122" ref="E126"/>
    <hyperlink r:id="rId123" ref="E127"/>
    <hyperlink r:id="rId124" ref="E128"/>
    <hyperlink r:id="rId125" ref="E129"/>
    <hyperlink r:id="rId126" ref="E130"/>
    <hyperlink r:id="rId127" ref="E131"/>
    <hyperlink r:id="rId128" ref="E132"/>
    <hyperlink r:id="rId129" ref="E133"/>
    <hyperlink r:id="rId130" ref="E134"/>
    <hyperlink r:id="rId131" ref="E135"/>
    <hyperlink r:id="rId132" ref="E136"/>
    <hyperlink r:id="rId133" ref="E137"/>
    <hyperlink r:id="rId134" ref="E138"/>
    <hyperlink r:id="rId135" ref="E139"/>
    <hyperlink r:id="rId136" ref="E140"/>
    <hyperlink r:id="rId137" ref="E141"/>
    <hyperlink r:id="rId138" ref="E142"/>
    <hyperlink r:id="rId139" ref="E143"/>
    <hyperlink r:id="rId140" ref="E144"/>
    <hyperlink r:id="rId141" ref="E145"/>
    <hyperlink r:id="rId142" ref="E146"/>
    <hyperlink r:id="rId143" ref="E147"/>
    <hyperlink r:id="rId144" ref="E148"/>
    <hyperlink r:id="rId145" ref="E149"/>
    <hyperlink r:id="rId146" ref="E150"/>
    <hyperlink r:id="rId147" ref="E151"/>
    <hyperlink r:id="rId148" ref="E152"/>
    <hyperlink r:id="rId149" ref="E153"/>
    <hyperlink r:id="rId150" ref="E154"/>
    <hyperlink r:id="rId151" ref="E155"/>
    <hyperlink r:id="rId152" ref="E156"/>
    <hyperlink r:id="rId153" ref="E157"/>
    <hyperlink r:id="rId154" ref="E158"/>
    <hyperlink r:id="rId155" ref="E159"/>
    <hyperlink r:id="rId156" ref="E160"/>
    <hyperlink r:id="rId157" ref="E161"/>
    <hyperlink r:id="rId158" ref="E162"/>
    <hyperlink r:id="rId159" ref="E163"/>
    <hyperlink r:id="rId160" ref="E164"/>
    <hyperlink r:id="rId161" ref="E165"/>
    <hyperlink r:id="rId162" ref="E166"/>
    <hyperlink r:id="rId163" ref="E167"/>
    <hyperlink r:id="rId164" ref="E168"/>
    <hyperlink r:id="rId165" ref="E169"/>
    <hyperlink r:id="rId166" ref="E170"/>
    <hyperlink r:id="rId167" ref="E171"/>
    <hyperlink r:id="rId168" ref="E172"/>
    <hyperlink r:id="rId169" ref="E173"/>
    <hyperlink r:id="rId170" ref="E174"/>
    <hyperlink r:id="rId171" ref="E175"/>
    <hyperlink r:id="rId172" ref="E176"/>
    <hyperlink r:id="rId173" ref="E177"/>
    <hyperlink r:id="rId174" ref="E178"/>
    <hyperlink r:id="rId175" ref="E179"/>
    <hyperlink r:id="rId176" ref="E180"/>
    <hyperlink r:id="rId177" ref="E181"/>
    <hyperlink r:id="rId178" ref="E182"/>
    <hyperlink r:id="rId179" ref="E183"/>
    <hyperlink r:id="rId180" ref="E184"/>
    <hyperlink r:id="rId181" ref="E185"/>
    <hyperlink r:id="rId182" ref="E186"/>
    <hyperlink r:id="rId183" ref="E187"/>
    <hyperlink r:id="rId184" ref="E188"/>
    <hyperlink r:id="rId185" ref="E189"/>
    <hyperlink r:id="rId186" ref="E190"/>
    <hyperlink r:id="rId187" ref="E191"/>
    <hyperlink r:id="rId188" ref="E192"/>
    <hyperlink r:id="rId189" ref="E193"/>
    <hyperlink r:id="rId190" ref="E194"/>
    <hyperlink r:id="rId191" ref="E195"/>
    <hyperlink r:id="rId192" ref="E196"/>
    <hyperlink r:id="rId193" ref="E197"/>
    <hyperlink r:id="rId194" ref="E198"/>
    <hyperlink r:id="rId195" ref="E199"/>
    <hyperlink r:id="rId196" ref="E200"/>
    <hyperlink r:id="rId197" ref="E201"/>
    <hyperlink r:id="rId198" ref="E202"/>
    <hyperlink r:id="rId199" ref="E203"/>
    <hyperlink r:id="rId200" ref="E204"/>
    <hyperlink r:id="rId201" ref="E205"/>
    <hyperlink r:id="rId202" ref="E206"/>
    <hyperlink r:id="rId203" ref="E207"/>
    <hyperlink r:id="rId204" ref="E208"/>
    <hyperlink r:id="rId205" ref="E209"/>
    <hyperlink r:id="rId206" ref="E210"/>
    <hyperlink r:id="rId207" ref="E211"/>
    <hyperlink r:id="rId208" ref="E212"/>
    <hyperlink r:id="rId209" ref="E213"/>
    <hyperlink r:id="rId210" ref="E214"/>
    <hyperlink r:id="rId211" ref="E215"/>
    <hyperlink r:id="rId212" ref="E216"/>
    <hyperlink r:id="rId213" ref="E217"/>
    <hyperlink r:id="rId214" ref="E218"/>
    <hyperlink r:id="rId215" ref="E219"/>
    <hyperlink r:id="rId216" ref="E220"/>
    <hyperlink r:id="rId217" ref="E221"/>
    <hyperlink r:id="rId218" ref="E222"/>
    <hyperlink r:id="rId219" ref="E223"/>
    <hyperlink r:id="rId220" ref="E224"/>
    <hyperlink r:id="rId221" ref="E225"/>
    <hyperlink r:id="rId222" ref="E226"/>
    <hyperlink r:id="rId223" ref="E227"/>
    <hyperlink r:id="rId224" ref="E228"/>
    <hyperlink r:id="rId225" ref="E229"/>
    <hyperlink r:id="rId226" ref="E230"/>
    <hyperlink r:id="rId227" ref="E231"/>
    <hyperlink r:id="rId228" ref="E232"/>
    <hyperlink r:id="rId229" ref="E233"/>
    <hyperlink r:id="rId230" ref="E234"/>
    <hyperlink r:id="rId231" ref="E235"/>
    <hyperlink r:id="rId232" ref="E236"/>
    <hyperlink r:id="rId233" ref="E237"/>
    <hyperlink r:id="rId234" ref="E238"/>
    <hyperlink r:id="rId235" ref="E239"/>
    <hyperlink r:id="rId236" ref="E240"/>
    <hyperlink r:id="rId237" ref="E241"/>
    <hyperlink r:id="rId238" ref="E242"/>
    <hyperlink r:id="rId239" ref="E243"/>
    <hyperlink r:id="rId240" ref="E244"/>
    <hyperlink r:id="rId241" ref="E245"/>
    <hyperlink r:id="rId242" ref="E246"/>
    <hyperlink r:id="rId243" ref="E247"/>
    <hyperlink r:id="rId244" ref="E248"/>
    <hyperlink r:id="rId245" ref="E249"/>
    <hyperlink r:id="rId246" ref="E250"/>
    <hyperlink r:id="rId247" ref="E251"/>
    <hyperlink r:id="rId248" ref="E252"/>
    <hyperlink r:id="rId249" ref="E253"/>
    <hyperlink r:id="rId250" ref="E254"/>
    <hyperlink r:id="rId251" ref="E255"/>
    <hyperlink r:id="rId252" ref="E256"/>
    <hyperlink r:id="rId253" ref="E257"/>
    <hyperlink r:id="rId254" ref="E258"/>
    <hyperlink r:id="rId255" ref="E259"/>
    <hyperlink r:id="rId256" ref="E260"/>
    <hyperlink r:id="rId257" ref="E261"/>
    <hyperlink r:id="rId258" ref="E262"/>
    <hyperlink r:id="rId259" ref="E263"/>
    <hyperlink r:id="rId260" ref="E264"/>
    <hyperlink r:id="rId261" ref="E265"/>
    <hyperlink r:id="rId262" ref="E266"/>
    <hyperlink r:id="rId263" ref="E267"/>
    <hyperlink r:id="rId264" ref="E268"/>
    <hyperlink r:id="rId265" ref="E269"/>
    <hyperlink r:id="rId266" ref="E270"/>
    <hyperlink r:id="rId267" ref="E271"/>
    <hyperlink r:id="rId268" ref="E272"/>
    <hyperlink r:id="rId269" ref="E273"/>
    <hyperlink r:id="rId270" ref="E274"/>
    <hyperlink r:id="rId271" ref="E275"/>
    <hyperlink r:id="rId272" ref="E276"/>
    <hyperlink r:id="rId273" ref="E277"/>
    <hyperlink r:id="rId274" ref="E278"/>
    <hyperlink r:id="rId275" ref="E279"/>
    <hyperlink r:id="rId276" ref="E280"/>
    <hyperlink r:id="rId277" ref="E281"/>
    <hyperlink r:id="rId278" ref="E282"/>
    <hyperlink r:id="rId279" ref="E283"/>
    <hyperlink r:id="rId280" ref="E284"/>
    <hyperlink r:id="rId281" ref="E285"/>
    <hyperlink r:id="rId282" ref="E286"/>
    <hyperlink r:id="rId283" ref="E287"/>
    <hyperlink r:id="rId284" ref="E288"/>
    <hyperlink r:id="rId285" ref="E289"/>
    <hyperlink r:id="rId286" ref="E290"/>
    <hyperlink r:id="rId287" ref="E291"/>
    <hyperlink r:id="rId288" ref="E292"/>
    <hyperlink r:id="rId289" ref="E293"/>
    <hyperlink r:id="rId290" ref="E294"/>
    <hyperlink r:id="rId291" ref="E295"/>
    <hyperlink r:id="rId292" ref="E296"/>
    <hyperlink r:id="rId293" ref="E297"/>
    <hyperlink r:id="rId294" ref="E298"/>
    <hyperlink r:id="rId295" ref="E299"/>
    <hyperlink r:id="rId296" ref="E300"/>
    <hyperlink r:id="rId297" ref="E301"/>
    <hyperlink r:id="rId298" ref="E302"/>
    <hyperlink r:id="rId299" ref="E303"/>
    <hyperlink r:id="rId300" ref="E304"/>
    <hyperlink r:id="rId301" ref="E305"/>
    <hyperlink r:id="rId302" ref="E306"/>
    <hyperlink r:id="rId303" ref="E307"/>
    <hyperlink r:id="rId304" ref="E308"/>
    <hyperlink r:id="rId305" ref="E309"/>
    <hyperlink r:id="rId306" ref="E310"/>
    <hyperlink r:id="rId307" ref="E311"/>
    <hyperlink r:id="rId308" ref="E312"/>
    <hyperlink r:id="rId309" ref="E313"/>
    <hyperlink r:id="rId310" ref="E314"/>
    <hyperlink r:id="rId311" ref="E315"/>
    <hyperlink r:id="rId312" ref="E316"/>
    <hyperlink r:id="rId313" ref="E317"/>
    <hyperlink r:id="rId314" ref="E318"/>
    <hyperlink r:id="rId315" ref="E319"/>
    <hyperlink r:id="rId316" ref="E320"/>
    <hyperlink r:id="rId317" ref="E321"/>
    <hyperlink r:id="rId318" ref="E322"/>
    <hyperlink r:id="rId319" ref="E323"/>
    <hyperlink r:id="rId320" ref="E324"/>
    <hyperlink r:id="rId321" ref="E325"/>
    <hyperlink r:id="rId322" ref="E326"/>
    <hyperlink r:id="rId323" ref="E327"/>
    <hyperlink r:id="rId324" ref="E328"/>
    <hyperlink r:id="rId325" ref="E329"/>
    <hyperlink r:id="rId326" ref="E330"/>
    <hyperlink r:id="rId327" ref="E331"/>
    <hyperlink r:id="rId328" ref="E332"/>
    <hyperlink r:id="rId329" ref="E333"/>
    <hyperlink r:id="rId330" ref="E334"/>
    <hyperlink r:id="rId331" ref="E335"/>
    <hyperlink r:id="rId332" ref="E336"/>
    <hyperlink r:id="rId333" ref="E337"/>
    <hyperlink r:id="rId334" ref="E338"/>
    <hyperlink r:id="rId335" ref="E339"/>
    <hyperlink r:id="rId336" ref="E340"/>
    <hyperlink r:id="rId337" ref="E341"/>
    <hyperlink r:id="rId338" ref="E342"/>
    <hyperlink r:id="rId339" ref="E343"/>
    <hyperlink r:id="rId340" ref="E344"/>
    <hyperlink r:id="rId341" ref="E345"/>
    <hyperlink r:id="rId342" ref="E346"/>
    <hyperlink r:id="rId343" ref="E347"/>
    <hyperlink r:id="rId344" ref="E348"/>
    <hyperlink r:id="rId345" ref="E349"/>
    <hyperlink r:id="rId346" ref="E350"/>
    <hyperlink r:id="rId347" ref="E351"/>
    <hyperlink r:id="rId348" ref="E352"/>
    <hyperlink r:id="rId349" ref="E353"/>
    <hyperlink r:id="rId350" ref="E354"/>
    <hyperlink r:id="rId351" ref="E355"/>
    <hyperlink r:id="rId352" ref="E356"/>
    <hyperlink r:id="rId353" ref="E357"/>
    <hyperlink r:id="rId354" ref="E358"/>
    <hyperlink r:id="rId355" ref="E359"/>
    <hyperlink r:id="rId356" ref="E360"/>
    <hyperlink r:id="rId357" ref="E361"/>
    <hyperlink r:id="rId358" ref="E362"/>
    <hyperlink r:id="rId359" ref="E363"/>
    <hyperlink r:id="rId360" ref="E364"/>
    <hyperlink r:id="rId361" ref="E365"/>
    <hyperlink r:id="rId362" ref="E366"/>
    <hyperlink r:id="rId363" ref="E367"/>
    <hyperlink r:id="rId364" ref="E368"/>
    <hyperlink r:id="rId365" ref="E369"/>
    <hyperlink r:id="rId366" ref="E370"/>
    <hyperlink r:id="rId367" ref="E371"/>
    <hyperlink r:id="rId368" ref="E372"/>
    <hyperlink r:id="rId369" ref="E373"/>
    <hyperlink r:id="rId370" ref="E374"/>
    <hyperlink r:id="rId371" ref="E375"/>
    <hyperlink r:id="rId372" ref="E376"/>
    <hyperlink r:id="rId373" ref="E377"/>
    <hyperlink r:id="rId374" ref="E378"/>
    <hyperlink r:id="rId375" ref="E379"/>
    <hyperlink r:id="rId376" ref="E380"/>
    <hyperlink r:id="rId377" ref="E381"/>
    <hyperlink r:id="rId378" ref="E382"/>
    <hyperlink r:id="rId379" ref="E383"/>
    <hyperlink r:id="rId380" ref="E384"/>
    <hyperlink r:id="rId381" ref="E385"/>
    <hyperlink r:id="rId382" ref="E386"/>
    <hyperlink r:id="rId383" ref="E387"/>
    <hyperlink r:id="rId384" ref="E388"/>
    <hyperlink r:id="rId385" ref="E389"/>
    <hyperlink r:id="rId386" ref="E390"/>
    <hyperlink r:id="rId387" ref="E391"/>
    <hyperlink r:id="rId388" ref="E392"/>
    <hyperlink r:id="rId389" ref="E393"/>
    <hyperlink r:id="rId390" ref="E394"/>
    <hyperlink r:id="rId391" ref="E395"/>
    <hyperlink r:id="rId392" ref="E396"/>
    <hyperlink r:id="rId393" ref="E397"/>
    <hyperlink r:id="rId394" ref="E398"/>
    <hyperlink r:id="rId395" ref="E399"/>
    <hyperlink r:id="rId396" ref="E400"/>
    <hyperlink r:id="rId397" ref="E401"/>
    <hyperlink r:id="rId398" ref="E402"/>
    <hyperlink r:id="rId399" ref="E403"/>
    <hyperlink r:id="rId400" ref="E404"/>
    <hyperlink r:id="rId401" ref="E405"/>
    <hyperlink r:id="rId402" ref="E406"/>
    <hyperlink r:id="rId403" ref="E407"/>
    <hyperlink r:id="rId404" ref="E408"/>
    <hyperlink r:id="rId405" ref="E409"/>
    <hyperlink r:id="rId406" ref="E410"/>
    <hyperlink r:id="rId407" ref="E411"/>
    <hyperlink r:id="rId408" ref="E412"/>
    <hyperlink r:id="rId409" ref="E413"/>
    <hyperlink r:id="rId410" ref="E414"/>
    <hyperlink r:id="rId411" ref="E415"/>
    <hyperlink r:id="rId412" ref="E416"/>
    <hyperlink r:id="rId413" ref="E417"/>
    <hyperlink r:id="rId414" ref="E418"/>
    <hyperlink r:id="rId415" ref="E419"/>
    <hyperlink r:id="rId416" ref="E420"/>
    <hyperlink r:id="rId417" ref="E421"/>
    <hyperlink r:id="rId418" ref="E422"/>
    <hyperlink r:id="rId419" ref="E423"/>
    <hyperlink r:id="rId420" ref="E424"/>
    <hyperlink r:id="rId421" ref="E425"/>
    <hyperlink r:id="rId422" ref="E426"/>
    <hyperlink r:id="rId423" ref="E427"/>
    <hyperlink r:id="rId424" ref="E428"/>
    <hyperlink r:id="rId425" ref="E429"/>
    <hyperlink r:id="rId426" ref="E430"/>
    <hyperlink r:id="rId427" ref="E431"/>
    <hyperlink r:id="rId428" ref="E432"/>
    <hyperlink r:id="rId429" ref="E433"/>
    <hyperlink r:id="rId430" ref="E434"/>
    <hyperlink r:id="rId431" ref="E435"/>
    <hyperlink r:id="rId432" ref="E436"/>
    <hyperlink r:id="rId433" ref="E437"/>
    <hyperlink r:id="rId434" ref="E438"/>
    <hyperlink r:id="rId435" ref="E439"/>
    <hyperlink r:id="rId436" ref="E440"/>
    <hyperlink r:id="rId437" ref="E441"/>
    <hyperlink r:id="rId438" ref="E442"/>
    <hyperlink r:id="rId439" ref="E443"/>
    <hyperlink r:id="rId440" ref="E444"/>
    <hyperlink r:id="rId441" ref="E445"/>
    <hyperlink r:id="rId442" ref="E446"/>
    <hyperlink r:id="rId443" ref="E447"/>
    <hyperlink r:id="rId444" ref="E448"/>
    <hyperlink r:id="rId445" ref="E449"/>
    <hyperlink r:id="rId446" ref="E450"/>
    <hyperlink r:id="rId447" ref="E451"/>
    <hyperlink r:id="rId448" ref="E452"/>
    <hyperlink r:id="rId449" ref="E453"/>
    <hyperlink r:id="rId450" ref="E454"/>
    <hyperlink r:id="rId451" ref="E455"/>
    <hyperlink r:id="rId452" ref="E456"/>
    <hyperlink r:id="rId453" ref="E457"/>
    <hyperlink r:id="rId454" ref="E458"/>
    <hyperlink r:id="rId455" ref="E459"/>
    <hyperlink r:id="rId456" ref="E460"/>
    <hyperlink r:id="rId457" ref="E461"/>
    <hyperlink r:id="rId458" ref="E462"/>
    <hyperlink r:id="rId459" ref="E463"/>
    <hyperlink r:id="rId460" ref="E464"/>
    <hyperlink r:id="rId461" ref="E465"/>
    <hyperlink r:id="rId462" ref="E466"/>
    <hyperlink r:id="rId463" ref="E467"/>
    <hyperlink r:id="rId464" ref="E468"/>
    <hyperlink r:id="rId465" ref="E469"/>
    <hyperlink r:id="rId466" ref="E470"/>
    <hyperlink r:id="rId467" ref="E471"/>
    <hyperlink r:id="rId468" ref="E472"/>
    <hyperlink r:id="rId469" ref="E473"/>
    <hyperlink r:id="rId470" ref="E474"/>
    <hyperlink r:id="rId471" ref="E475"/>
    <hyperlink r:id="rId472" ref="E476"/>
    <hyperlink r:id="rId473" ref="E477"/>
    <hyperlink r:id="rId474" ref="E478"/>
    <hyperlink r:id="rId475" ref="E479"/>
    <hyperlink r:id="rId476" ref="E480"/>
    <hyperlink r:id="rId477" ref="E481"/>
    <hyperlink r:id="rId478" ref="E482"/>
    <hyperlink r:id="rId479" ref="E483"/>
    <hyperlink r:id="rId480" ref="E484"/>
    <hyperlink r:id="rId481" ref="E485"/>
    <hyperlink r:id="rId482" ref="E486"/>
    <hyperlink r:id="rId483" ref="E487"/>
    <hyperlink r:id="rId484" ref="E488"/>
    <hyperlink r:id="rId485" ref="E489"/>
    <hyperlink r:id="rId486" ref="E490"/>
    <hyperlink r:id="rId487" ref="E491"/>
    <hyperlink r:id="rId488" ref="E492"/>
    <hyperlink r:id="rId489" ref="E493"/>
    <hyperlink r:id="rId490" ref="E494"/>
    <hyperlink r:id="rId491" ref="E495"/>
    <hyperlink r:id="rId492" ref="E496"/>
    <hyperlink r:id="rId493" ref="E497"/>
    <hyperlink r:id="rId494" ref="E498"/>
    <hyperlink r:id="rId495" ref="E499"/>
    <hyperlink r:id="rId496" ref="E500"/>
    <hyperlink r:id="rId497" ref="E501"/>
    <hyperlink r:id="rId498" ref="E502"/>
    <hyperlink r:id="rId499" ref="E503"/>
    <hyperlink r:id="rId500" ref="E504"/>
    <hyperlink r:id="rId501" ref="E505"/>
    <hyperlink r:id="rId502" ref="E506"/>
    <hyperlink r:id="rId503" ref="E507"/>
    <hyperlink r:id="rId504" ref="E508"/>
    <hyperlink r:id="rId505" ref="E509"/>
    <hyperlink r:id="rId506" ref="E510"/>
    <hyperlink r:id="rId507" ref="E511"/>
    <hyperlink r:id="rId508" ref="E512"/>
    <hyperlink r:id="rId509" ref="E513"/>
    <hyperlink r:id="rId510" ref="E514"/>
    <hyperlink r:id="rId511" ref="E515"/>
    <hyperlink r:id="rId512" ref="E516"/>
    <hyperlink r:id="rId513" ref="E517"/>
    <hyperlink r:id="rId514" ref="E518"/>
    <hyperlink r:id="rId515" ref="E519"/>
    <hyperlink r:id="rId516" ref="E520"/>
    <hyperlink r:id="rId517" ref="E521"/>
    <hyperlink r:id="rId518" ref="E522"/>
    <hyperlink r:id="rId519" ref="E523"/>
    <hyperlink r:id="rId520" ref="E524"/>
    <hyperlink r:id="rId521" ref="E525"/>
    <hyperlink r:id="rId522" ref="E526"/>
    <hyperlink r:id="rId523" ref="E527"/>
    <hyperlink r:id="rId524" ref="E528"/>
    <hyperlink r:id="rId525" ref="E529"/>
    <hyperlink r:id="rId526" ref="E530"/>
    <hyperlink r:id="rId527" ref="E531"/>
    <hyperlink r:id="rId528" ref="E532"/>
    <hyperlink r:id="rId529" ref="E533"/>
    <hyperlink r:id="rId530" ref="E534"/>
    <hyperlink r:id="rId531" ref="E535"/>
    <hyperlink r:id="rId532" ref="E536"/>
    <hyperlink r:id="rId533" ref="E537"/>
    <hyperlink r:id="rId534" ref="E538"/>
    <hyperlink r:id="rId535" ref="E539"/>
    <hyperlink r:id="rId536" ref="E540"/>
    <hyperlink r:id="rId537" ref="E541"/>
    <hyperlink r:id="rId538" ref="E542"/>
    <hyperlink r:id="rId539" ref="E543"/>
    <hyperlink r:id="rId540" ref="E544"/>
    <hyperlink r:id="rId541" ref="E545"/>
    <hyperlink r:id="rId542" ref="E546"/>
    <hyperlink r:id="rId543" ref="E547"/>
    <hyperlink r:id="rId544" ref="E548"/>
    <hyperlink r:id="rId545" ref="E549"/>
    <hyperlink r:id="rId546" ref="E550"/>
    <hyperlink r:id="rId547" ref="E551"/>
    <hyperlink r:id="rId548" ref="E552"/>
    <hyperlink r:id="rId549" ref="E553"/>
    <hyperlink r:id="rId550" ref="E554"/>
    <hyperlink r:id="rId551" ref="E555"/>
    <hyperlink r:id="rId552" ref="E556"/>
    <hyperlink r:id="rId553" ref="E557"/>
    <hyperlink r:id="rId554" ref="E558"/>
    <hyperlink r:id="rId555" ref="E559"/>
    <hyperlink r:id="rId556" ref="E560"/>
    <hyperlink r:id="rId557" ref="E561"/>
    <hyperlink r:id="rId558" ref="E562"/>
    <hyperlink r:id="rId559" ref="E563"/>
    <hyperlink r:id="rId560" ref="E564"/>
    <hyperlink r:id="rId561" ref="E565"/>
    <hyperlink r:id="rId562" ref="E566"/>
    <hyperlink r:id="rId563" ref="E567"/>
    <hyperlink r:id="rId564" ref="E568"/>
    <hyperlink r:id="rId565" ref="E569"/>
    <hyperlink r:id="rId566" ref="E570"/>
    <hyperlink r:id="rId567" ref="E571"/>
    <hyperlink r:id="rId568" ref="E572"/>
    <hyperlink r:id="rId569" ref="E573"/>
    <hyperlink r:id="rId570" ref="E574"/>
    <hyperlink r:id="rId571" ref="E575"/>
    <hyperlink r:id="rId572" ref="E576"/>
    <hyperlink r:id="rId573" ref="E577"/>
    <hyperlink r:id="rId574" ref="E578"/>
    <hyperlink r:id="rId575" ref="E579"/>
    <hyperlink r:id="rId576" ref="E580"/>
    <hyperlink r:id="rId577" ref="E581"/>
    <hyperlink r:id="rId578" ref="E582"/>
    <hyperlink r:id="rId579" ref="E583"/>
    <hyperlink r:id="rId580" ref="E584"/>
    <hyperlink r:id="rId581" ref="E585"/>
    <hyperlink r:id="rId582" ref="E586"/>
    <hyperlink r:id="rId583" ref="E587"/>
    <hyperlink r:id="rId584" ref="E588"/>
    <hyperlink r:id="rId585" ref="E589"/>
    <hyperlink r:id="rId586" ref="E590"/>
    <hyperlink r:id="rId587" ref="E591"/>
    <hyperlink r:id="rId588" ref="E592"/>
    <hyperlink r:id="rId589" ref="E593"/>
    <hyperlink r:id="rId590" ref="E594"/>
    <hyperlink r:id="rId591" ref="E595"/>
    <hyperlink r:id="rId592" ref="E596"/>
    <hyperlink r:id="rId593" ref="E597"/>
    <hyperlink r:id="rId594" ref="E598"/>
    <hyperlink r:id="rId595" ref="E599"/>
    <hyperlink r:id="rId596" ref="E600"/>
    <hyperlink r:id="rId597" ref="E601"/>
    <hyperlink r:id="rId598" ref="E602"/>
    <hyperlink r:id="rId599" ref="E603"/>
    <hyperlink r:id="rId600" ref="E604"/>
    <hyperlink r:id="rId601" ref="E605"/>
    <hyperlink r:id="rId602" ref="E606"/>
    <hyperlink r:id="rId603" ref="E607"/>
    <hyperlink r:id="rId604" ref="E608"/>
    <hyperlink r:id="rId605" ref="E609"/>
    <hyperlink r:id="rId606" ref="E610"/>
    <hyperlink r:id="rId607" ref="E611"/>
    <hyperlink r:id="rId608" ref="E612"/>
    <hyperlink r:id="rId609" ref="E613"/>
    <hyperlink r:id="rId610" ref="E614"/>
    <hyperlink r:id="rId611" ref="E615"/>
    <hyperlink r:id="rId612" ref="E616"/>
    <hyperlink r:id="rId613" ref="E617"/>
    <hyperlink r:id="rId614" ref="E618"/>
    <hyperlink r:id="rId615" ref="E619"/>
    <hyperlink r:id="rId616" ref="E620"/>
    <hyperlink r:id="rId617" ref="E621"/>
    <hyperlink r:id="rId618" ref="E622"/>
    <hyperlink r:id="rId619" ref="E623"/>
    <hyperlink r:id="rId620" ref="E624"/>
    <hyperlink r:id="rId621" ref="E625"/>
    <hyperlink r:id="rId622" ref="E626"/>
    <hyperlink r:id="rId623" ref="E627"/>
    <hyperlink r:id="rId624" ref="E628"/>
    <hyperlink r:id="rId625" ref="E629"/>
    <hyperlink r:id="rId626" ref="E630"/>
    <hyperlink r:id="rId627" ref="E631"/>
    <hyperlink r:id="rId628" ref="E632"/>
    <hyperlink r:id="rId629" ref="E633"/>
    <hyperlink r:id="rId630" ref="E634"/>
    <hyperlink r:id="rId631" ref="E635"/>
    <hyperlink r:id="rId632" ref="E636"/>
    <hyperlink r:id="rId633" ref="E637"/>
    <hyperlink r:id="rId634" ref="E638"/>
    <hyperlink r:id="rId635" ref="E639"/>
    <hyperlink r:id="rId636" ref="E640"/>
    <hyperlink r:id="rId637" ref="E641"/>
    <hyperlink r:id="rId638" ref="E642"/>
    <hyperlink r:id="rId639" ref="E643"/>
    <hyperlink r:id="rId640" ref="E644"/>
    <hyperlink r:id="rId641" ref="E645"/>
    <hyperlink r:id="rId642" ref="E646"/>
    <hyperlink r:id="rId643" ref="E647"/>
    <hyperlink r:id="rId644" ref="E648"/>
    <hyperlink r:id="rId645" ref="E649"/>
    <hyperlink r:id="rId646" ref="E650"/>
    <hyperlink r:id="rId647" ref="E651"/>
    <hyperlink r:id="rId648" ref="E652"/>
    <hyperlink r:id="rId649" ref="E653"/>
    <hyperlink r:id="rId650" ref="E654"/>
    <hyperlink r:id="rId651" ref="E655"/>
    <hyperlink r:id="rId652" ref="E656"/>
    <hyperlink r:id="rId653" ref="E657"/>
    <hyperlink r:id="rId654" ref="E658"/>
    <hyperlink r:id="rId655" ref="E659"/>
    <hyperlink r:id="rId656" ref="E660"/>
    <hyperlink r:id="rId657" ref="E661"/>
    <hyperlink r:id="rId658" ref="E662"/>
    <hyperlink r:id="rId659" ref="E663"/>
    <hyperlink r:id="rId660" ref="E664"/>
    <hyperlink r:id="rId661" ref="E665"/>
  </hyperlinks>
  <printOptions/>
  <pageMargins bottom="1.0" footer="0.0" header="0.0" left="0.75" right="0.75" top="1.0"/>
  <pageSetup paperSize="9" orientation="portrait"/>
  <drawing r:id="rId66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14.0"/>
    <col customWidth="1" min="2" max="2" width="6.0"/>
    <col customWidth="1" min="3" max="3" width="11.0"/>
    <col customWidth="1" min="4" max="4" width="52.0"/>
    <col customWidth="1" min="5" max="5" width="16.0"/>
    <col customWidth="1" min="6" max="6" width="12.0"/>
    <col customWidth="1" min="7" max="7" width="11.0"/>
    <col customWidth="1" min="8" max="8" width="12.0"/>
    <col customWidth="1" min="9" max="9" width="13.0"/>
    <col customWidth="1" min="10" max="10" width="9.0"/>
    <col customWidth="1" min="11" max="11" width="12.0"/>
    <col customWidth="1" min="12" max="12" width="10.0"/>
    <col customWidth="1" min="13" max="19" width="13.0"/>
    <col customWidth="1" min="20" max="21" width="15.0"/>
    <col customWidth="1" min="22" max="26" width="8.71"/>
  </cols>
  <sheetData>
    <row r="1">
      <c r="A1" s="1" t="s">
        <v>65</v>
      </c>
    </row>
    <row r="2">
      <c r="A2" s="3" t="s">
        <v>66</v>
      </c>
    </row>
    <row r="4">
      <c r="A4" s="6" t="s">
        <v>12</v>
      </c>
      <c r="B4" s="6" t="s">
        <v>22</v>
      </c>
      <c r="C4" s="6" t="s">
        <v>25</v>
      </c>
      <c r="D4" s="6" t="s">
        <v>27</v>
      </c>
      <c r="E4" s="6" t="s">
        <v>31</v>
      </c>
      <c r="F4" s="6" t="s">
        <v>13</v>
      </c>
      <c r="G4" s="6" t="s">
        <v>15</v>
      </c>
      <c r="H4" s="6" t="s">
        <v>17</v>
      </c>
      <c r="I4" s="6" t="s">
        <v>38</v>
      </c>
      <c r="J4" s="6" t="s">
        <v>41</v>
      </c>
      <c r="K4" s="6" t="s">
        <v>44</v>
      </c>
      <c r="L4" s="6" t="s">
        <v>46</v>
      </c>
      <c r="M4" s="6" t="s">
        <v>49</v>
      </c>
      <c r="N4" s="6" t="s">
        <v>40</v>
      </c>
      <c r="O4" s="6" t="s">
        <v>52</v>
      </c>
      <c r="P4" s="6" t="s">
        <v>53</v>
      </c>
      <c r="Q4" s="6" t="s">
        <v>54</v>
      </c>
      <c r="R4" s="6" t="s">
        <v>55</v>
      </c>
      <c r="S4" s="6" t="s">
        <v>56</v>
      </c>
      <c r="T4" s="6" t="s">
        <v>57</v>
      </c>
      <c r="U4" s="6" t="s">
        <v>58</v>
      </c>
    </row>
    <row r="5">
      <c r="A5" s="9">
        <v>44977.6892022107</v>
      </c>
      <c r="B5" s="10">
        <v>16.0</v>
      </c>
      <c r="C5" s="10" t="s">
        <v>71</v>
      </c>
      <c r="D5" s="10" t="s">
        <v>72</v>
      </c>
      <c r="E5" s="12" t="s">
        <v>62</v>
      </c>
      <c r="F5" s="11">
        <v>1059.0</v>
      </c>
      <c r="G5" s="11">
        <v>157.0</v>
      </c>
      <c r="H5" s="11">
        <v>153.0</v>
      </c>
      <c r="I5" s="11">
        <v>8.0</v>
      </c>
      <c r="J5" s="11">
        <v>6.0</v>
      </c>
      <c r="K5" s="11">
        <v>0.0</v>
      </c>
      <c r="L5" s="11">
        <v>0.0</v>
      </c>
      <c r="M5" s="13">
        <f t="shared" ref="M5:O5" si="1">IFERROR(G5/F5,"")</f>
        <v>0.1482530689</v>
      </c>
      <c r="N5" s="13">
        <f t="shared" si="1"/>
        <v>0.974522293</v>
      </c>
      <c r="O5" s="14">
        <f t="shared" si="1"/>
        <v>0.0522875817</v>
      </c>
      <c r="P5" s="13">
        <f t="shared" ref="P5:P373" si="3">IFERROR(J5/H5,"")</f>
        <v>0.03921568627</v>
      </c>
      <c r="Q5" s="13">
        <f t="shared" ref="Q5:Q373" si="4">IFERROR(K5/H5,"")</f>
        <v>0</v>
      </c>
      <c r="R5" s="13">
        <f t="shared" ref="R5:R373" si="5">IFERROR(L5/H5,"")</f>
        <v>0</v>
      </c>
      <c r="S5" s="14" t="str">
        <f t="shared" ref="S5:S373" si="6">IFERROR(M5/MEDIAN(INDEX($M$5:$M$373,MATCH($A5-90,$A$5:$A$373,1)):INDEX($M$5:$M$373,MATCH($A5+90,$A$5:$A$373,1))),"")</f>
        <v/>
      </c>
      <c r="T5" s="14" t="str">
        <f t="shared" ref="T5:T373" si="7">IFERROR(N5/MEDIAN(INDEX($N$5:$N$373,MATCH($A5-90,$A$5:$A$373,1)):INDEX($N$5:$N$373,MATCH($A5+90,$A$5:$A$373,1))),"")</f>
        <v/>
      </c>
      <c r="U5" s="14" t="str">
        <f t="shared" ref="U5:U373" si="8">IFERROR(Q5/MEDIAN(INDEX($Q$5:$Q$373,MATCH($A5-90,$A$5:$A$373,1)):INDEX($Q$5:$Q$373,MATCH($A5+90,$A$5:$A$373,1))),"")</f>
        <v/>
      </c>
    </row>
    <row r="6">
      <c r="A6" s="9">
        <v>44979.6017247454</v>
      </c>
      <c r="B6" s="10">
        <v>14.0</v>
      </c>
      <c r="C6" s="10" t="s">
        <v>80</v>
      </c>
      <c r="D6" s="10" t="s">
        <v>82</v>
      </c>
      <c r="E6" s="12" t="s">
        <v>62</v>
      </c>
      <c r="F6" s="11">
        <v>1234.0</v>
      </c>
      <c r="G6" s="11">
        <v>367.0</v>
      </c>
      <c r="H6" s="11">
        <v>366.0</v>
      </c>
      <c r="I6" s="11">
        <v>24.0</v>
      </c>
      <c r="J6" s="11">
        <v>17.0</v>
      </c>
      <c r="K6" s="11">
        <v>0.0</v>
      </c>
      <c r="L6" s="11">
        <v>1.0</v>
      </c>
      <c r="M6" s="13">
        <f t="shared" ref="M6:O6" si="2">IFERROR(G6/F6,"")</f>
        <v>0.2974068071</v>
      </c>
      <c r="N6" s="13">
        <f t="shared" si="2"/>
        <v>0.9972752044</v>
      </c>
      <c r="O6" s="14">
        <f t="shared" si="2"/>
        <v>0.06557377049</v>
      </c>
      <c r="P6" s="13">
        <f t="shared" si="3"/>
        <v>0.04644808743</v>
      </c>
      <c r="Q6" s="13">
        <f t="shared" si="4"/>
        <v>0</v>
      </c>
      <c r="R6" s="13">
        <f t="shared" si="5"/>
        <v>0.002732240437</v>
      </c>
      <c r="S6" s="14" t="str">
        <f t="shared" si="6"/>
        <v/>
      </c>
      <c r="T6" s="14" t="str">
        <f t="shared" si="7"/>
        <v/>
      </c>
      <c r="U6" s="14" t="str">
        <f t="shared" si="8"/>
        <v/>
      </c>
    </row>
    <row r="7">
      <c r="A7" s="9">
        <v>44993.8512526157</v>
      </c>
      <c r="B7" s="10">
        <v>20.0</v>
      </c>
      <c r="C7" s="10" t="s">
        <v>80</v>
      </c>
      <c r="D7" s="10" t="s">
        <v>87</v>
      </c>
      <c r="E7" s="12" t="s">
        <v>62</v>
      </c>
      <c r="F7" s="11">
        <v>2405.0</v>
      </c>
      <c r="G7" s="11">
        <v>397.0</v>
      </c>
      <c r="H7" s="11">
        <v>396.0</v>
      </c>
      <c r="I7" s="11">
        <v>1.0</v>
      </c>
      <c r="J7" s="11">
        <v>19.0</v>
      </c>
      <c r="K7" s="11">
        <v>2.0</v>
      </c>
      <c r="L7" s="11">
        <v>2.0</v>
      </c>
      <c r="M7" s="13">
        <f t="shared" ref="M7:O7" si="9">IFERROR(G7/F7,"")</f>
        <v>0.1650727651</v>
      </c>
      <c r="N7" s="13">
        <f t="shared" si="9"/>
        <v>0.9974811083</v>
      </c>
      <c r="O7" s="14">
        <f t="shared" si="9"/>
        <v>0.002525252525</v>
      </c>
      <c r="P7" s="13">
        <f t="shared" si="3"/>
        <v>0.04797979798</v>
      </c>
      <c r="Q7" s="13">
        <f t="shared" si="4"/>
        <v>0.005050505051</v>
      </c>
      <c r="R7" s="13">
        <f t="shared" si="5"/>
        <v>0.005050505051</v>
      </c>
      <c r="S7" s="14" t="str">
        <f t="shared" si="6"/>
        <v/>
      </c>
      <c r="T7" s="14" t="str">
        <f t="shared" si="7"/>
        <v/>
      </c>
      <c r="U7" s="14" t="str">
        <f t="shared" si="8"/>
        <v/>
      </c>
    </row>
    <row r="8">
      <c r="A8" s="9">
        <v>45006.4473284607</v>
      </c>
      <c r="B8" s="10">
        <v>10.0</v>
      </c>
      <c r="C8" s="10" t="s">
        <v>59</v>
      </c>
      <c r="D8" s="10" t="s">
        <v>92</v>
      </c>
      <c r="E8" s="12" t="s">
        <v>62</v>
      </c>
      <c r="F8" s="11">
        <v>5493.0</v>
      </c>
      <c r="G8" s="11">
        <v>663.0</v>
      </c>
      <c r="H8" s="11">
        <v>659.0</v>
      </c>
      <c r="I8" s="11">
        <v>29.0</v>
      </c>
      <c r="J8" s="11">
        <v>42.0</v>
      </c>
      <c r="K8" s="11">
        <v>4.0</v>
      </c>
      <c r="L8" s="11">
        <v>2.0</v>
      </c>
      <c r="M8" s="13">
        <f t="shared" ref="M8:O8" si="10">IFERROR(G8/F8,"")</f>
        <v>0.1206990715</v>
      </c>
      <c r="N8" s="13">
        <f t="shared" si="10"/>
        <v>0.9939668175</v>
      </c>
      <c r="O8" s="14">
        <f t="shared" si="10"/>
        <v>0.0440060698</v>
      </c>
      <c r="P8" s="13">
        <f t="shared" si="3"/>
        <v>0.06373292868</v>
      </c>
      <c r="Q8" s="13">
        <f t="shared" si="4"/>
        <v>0.006069802731</v>
      </c>
      <c r="R8" s="13">
        <f t="shared" si="5"/>
        <v>0.003034901366</v>
      </c>
      <c r="S8" s="14" t="str">
        <f t="shared" si="6"/>
        <v/>
      </c>
      <c r="T8" s="14" t="str">
        <f t="shared" si="7"/>
        <v/>
      </c>
      <c r="U8" s="14" t="str">
        <f t="shared" si="8"/>
        <v/>
      </c>
    </row>
    <row r="9">
      <c r="A9" s="9">
        <v>45010.0189720255</v>
      </c>
      <c r="B9" s="10">
        <v>0.0</v>
      </c>
      <c r="C9" s="10" t="s">
        <v>69</v>
      </c>
      <c r="D9" s="10" t="s">
        <v>96</v>
      </c>
      <c r="E9" s="12" t="s">
        <v>62</v>
      </c>
      <c r="F9" s="11">
        <v>13661.0</v>
      </c>
      <c r="G9" s="11">
        <v>1899.0</v>
      </c>
      <c r="H9" s="11">
        <v>1896.0</v>
      </c>
      <c r="I9" s="11">
        <v>16.0</v>
      </c>
      <c r="J9" s="11">
        <v>65.0</v>
      </c>
      <c r="K9" s="11">
        <v>11.0</v>
      </c>
      <c r="L9" s="11">
        <v>0.0</v>
      </c>
      <c r="M9" s="13">
        <f t="shared" ref="M9:O9" si="11">IFERROR(G9/F9,"")</f>
        <v>0.1390088573</v>
      </c>
      <c r="N9" s="13">
        <f t="shared" si="11"/>
        <v>0.9984202212</v>
      </c>
      <c r="O9" s="14">
        <f t="shared" si="11"/>
        <v>0.008438818565</v>
      </c>
      <c r="P9" s="13">
        <f t="shared" si="3"/>
        <v>0.03428270042</v>
      </c>
      <c r="Q9" s="13">
        <f t="shared" si="4"/>
        <v>0.005801687764</v>
      </c>
      <c r="R9" s="13">
        <f t="shared" si="5"/>
        <v>0</v>
      </c>
      <c r="S9" s="14" t="str">
        <f t="shared" si="6"/>
        <v/>
      </c>
      <c r="T9" s="14" t="str">
        <f t="shared" si="7"/>
        <v/>
      </c>
      <c r="U9" s="14" t="str">
        <f t="shared" si="8"/>
        <v/>
      </c>
    </row>
    <row r="10">
      <c r="A10" s="9">
        <v>45036.2616253472</v>
      </c>
      <c r="B10" s="10">
        <v>6.0</v>
      </c>
      <c r="C10" s="10" t="s">
        <v>84</v>
      </c>
      <c r="D10" s="10" t="s">
        <v>98</v>
      </c>
      <c r="E10" s="12" t="s">
        <v>62</v>
      </c>
      <c r="F10" s="11">
        <v>7280.0</v>
      </c>
      <c r="G10" s="11">
        <v>1211.0</v>
      </c>
      <c r="H10" s="11">
        <v>1210.0</v>
      </c>
      <c r="I10" s="11">
        <v>5.0</v>
      </c>
      <c r="J10" s="11">
        <v>32.0</v>
      </c>
      <c r="K10" s="11">
        <v>3.0</v>
      </c>
      <c r="L10" s="11">
        <v>7.0</v>
      </c>
      <c r="M10" s="13">
        <f t="shared" ref="M10:O10" si="12">IFERROR(G10/F10,"")</f>
        <v>0.1663461538</v>
      </c>
      <c r="N10" s="13">
        <f t="shared" si="12"/>
        <v>0.9991742362</v>
      </c>
      <c r="O10" s="14">
        <f t="shared" si="12"/>
        <v>0.004132231405</v>
      </c>
      <c r="P10" s="13">
        <f t="shared" si="3"/>
        <v>0.02644628099</v>
      </c>
      <c r="Q10" s="13">
        <f t="shared" si="4"/>
        <v>0.002479338843</v>
      </c>
      <c r="R10" s="13">
        <f t="shared" si="5"/>
        <v>0.005785123967</v>
      </c>
      <c r="S10" s="14" t="str">
        <f t="shared" si="6"/>
        <v/>
      </c>
      <c r="T10" s="14" t="str">
        <f t="shared" si="7"/>
        <v/>
      </c>
      <c r="U10" s="14" t="str">
        <f t="shared" si="8"/>
        <v/>
      </c>
    </row>
    <row r="11">
      <c r="A11" s="9">
        <v>45037.4302567477</v>
      </c>
      <c r="B11" s="10">
        <v>10.0</v>
      </c>
      <c r="C11" s="10" t="s">
        <v>60</v>
      </c>
      <c r="D11" s="10" t="s">
        <v>101</v>
      </c>
      <c r="E11" s="12" t="s">
        <v>62</v>
      </c>
      <c r="F11" s="11">
        <v>3457.0</v>
      </c>
      <c r="G11" s="11">
        <v>313.0</v>
      </c>
      <c r="H11" s="11">
        <v>312.0</v>
      </c>
      <c r="I11" s="11">
        <v>2.0</v>
      </c>
      <c r="J11" s="11">
        <v>16.0</v>
      </c>
      <c r="K11" s="11">
        <v>2.0</v>
      </c>
      <c r="L11" s="11">
        <v>0.0</v>
      </c>
      <c r="M11" s="13">
        <f t="shared" ref="M11:O11" si="13">IFERROR(G11/F11,"")</f>
        <v>0.09054093144</v>
      </c>
      <c r="N11" s="13">
        <f t="shared" si="13"/>
        <v>0.9968051118</v>
      </c>
      <c r="O11" s="14">
        <f t="shared" si="13"/>
        <v>0.00641025641</v>
      </c>
      <c r="P11" s="13">
        <f t="shared" si="3"/>
        <v>0.05128205128</v>
      </c>
      <c r="Q11" s="13">
        <f t="shared" si="4"/>
        <v>0.00641025641</v>
      </c>
      <c r="R11" s="13">
        <f t="shared" si="5"/>
        <v>0</v>
      </c>
      <c r="S11" s="14" t="str">
        <f t="shared" si="6"/>
        <v/>
      </c>
      <c r="T11" s="14" t="str">
        <f t="shared" si="7"/>
        <v/>
      </c>
      <c r="U11" s="14" t="str">
        <f t="shared" si="8"/>
        <v/>
      </c>
    </row>
    <row r="12">
      <c r="A12" s="9">
        <v>45040.4051862037</v>
      </c>
      <c r="B12" s="10">
        <v>9.0</v>
      </c>
      <c r="C12" s="10" t="s">
        <v>71</v>
      </c>
      <c r="D12" s="10" t="s">
        <v>104</v>
      </c>
      <c r="E12" s="12" t="s">
        <v>62</v>
      </c>
      <c r="F12" s="11">
        <v>4454.0</v>
      </c>
      <c r="G12" s="11">
        <v>831.0</v>
      </c>
      <c r="H12" s="11">
        <v>830.0</v>
      </c>
      <c r="I12" s="11">
        <v>1.0</v>
      </c>
      <c r="J12" s="11">
        <v>33.0</v>
      </c>
      <c r="K12" s="11">
        <v>3.0</v>
      </c>
      <c r="L12" s="11">
        <v>0.0</v>
      </c>
      <c r="M12" s="13">
        <f t="shared" ref="M12:O12" si="14">IFERROR(G12/F12,"")</f>
        <v>0.1865738662</v>
      </c>
      <c r="N12" s="13">
        <f t="shared" si="14"/>
        <v>0.9987966306</v>
      </c>
      <c r="O12" s="14">
        <f t="shared" si="14"/>
        <v>0.001204819277</v>
      </c>
      <c r="P12" s="13">
        <f t="shared" si="3"/>
        <v>0.03975903614</v>
      </c>
      <c r="Q12" s="13">
        <f t="shared" si="4"/>
        <v>0.003614457831</v>
      </c>
      <c r="R12" s="13">
        <f t="shared" si="5"/>
        <v>0</v>
      </c>
      <c r="S12" s="14" t="str">
        <f t="shared" si="6"/>
        <v/>
      </c>
      <c r="T12" s="14" t="str">
        <f t="shared" si="7"/>
        <v/>
      </c>
      <c r="U12" s="14" t="str">
        <f t="shared" si="8"/>
        <v/>
      </c>
    </row>
    <row r="13">
      <c r="A13" s="9">
        <v>45051.3791114005</v>
      </c>
      <c r="B13" s="10">
        <v>9.0</v>
      </c>
      <c r="C13" s="10" t="s">
        <v>60</v>
      </c>
      <c r="D13" s="10" t="s">
        <v>105</v>
      </c>
      <c r="E13" s="12" t="s">
        <v>62</v>
      </c>
      <c r="F13" s="11">
        <v>4981.0</v>
      </c>
      <c r="G13" s="11">
        <v>1220.0</v>
      </c>
      <c r="H13" s="11">
        <v>1216.0</v>
      </c>
      <c r="I13" s="11">
        <v>7.0</v>
      </c>
      <c r="J13" s="11">
        <v>87.0</v>
      </c>
      <c r="K13" s="11">
        <v>8.0</v>
      </c>
      <c r="L13" s="11">
        <v>2.0</v>
      </c>
      <c r="M13" s="13">
        <f t="shared" ref="M13:O13" si="15">IFERROR(G13/F13,"")</f>
        <v>0.2449307368</v>
      </c>
      <c r="N13" s="13">
        <f t="shared" si="15"/>
        <v>0.9967213115</v>
      </c>
      <c r="O13" s="14">
        <f t="shared" si="15"/>
        <v>0.005756578947</v>
      </c>
      <c r="P13" s="13">
        <f t="shared" si="3"/>
        <v>0.07154605263</v>
      </c>
      <c r="Q13" s="13">
        <f t="shared" si="4"/>
        <v>0.006578947368</v>
      </c>
      <c r="R13" s="13">
        <f t="shared" si="5"/>
        <v>0.001644736842</v>
      </c>
      <c r="S13" s="14" t="str">
        <f t="shared" si="6"/>
        <v/>
      </c>
      <c r="T13" s="14" t="str">
        <f t="shared" si="7"/>
        <v/>
      </c>
      <c r="U13" s="14" t="str">
        <f t="shared" si="8"/>
        <v/>
      </c>
    </row>
    <row r="14">
      <c r="A14" s="9">
        <v>45076.4170614352</v>
      </c>
      <c r="B14" s="10">
        <v>10.0</v>
      </c>
      <c r="C14" s="10" t="s">
        <v>59</v>
      </c>
      <c r="D14" s="10" t="s">
        <v>110</v>
      </c>
      <c r="E14" s="12" t="s">
        <v>62</v>
      </c>
      <c r="F14" s="11">
        <v>1357.0</v>
      </c>
      <c r="G14" s="11">
        <v>534.0</v>
      </c>
      <c r="H14" s="11">
        <v>529.0</v>
      </c>
      <c r="I14" s="11">
        <v>29.0</v>
      </c>
      <c r="J14" s="11">
        <v>59.0</v>
      </c>
      <c r="K14" s="11">
        <v>49.0</v>
      </c>
      <c r="L14" s="11">
        <v>4.0</v>
      </c>
      <c r="M14" s="13">
        <f t="shared" ref="M14:O14" si="16">IFERROR(G14/F14,"")</f>
        <v>0.3935151069</v>
      </c>
      <c r="N14" s="13">
        <f t="shared" si="16"/>
        <v>0.9906367041</v>
      </c>
      <c r="O14" s="14">
        <f t="shared" si="16"/>
        <v>0.05482041588</v>
      </c>
      <c r="P14" s="13">
        <f t="shared" si="3"/>
        <v>0.1115311909</v>
      </c>
      <c r="Q14" s="13">
        <f t="shared" si="4"/>
        <v>0.09262759924</v>
      </c>
      <c r="R14" s="13">
        <f t="shared" si="5"/>
        <v>0.007561436673</v>
      </c>
      <c r="S14" s="14">
        <f t="shared" si="6"/>
        <v>1.913823987</v>
      </c>
      <c r="T14" s="14">
        <f t="shared" si="7"/>
        <v>0.9932666207</v>
      </c>
      <c r="U14" s="14">
        <f t="shared" si="8"/>
        <v>17.44464593</v>
      </c>
    </row>
    <row r="15">
      <c r="A15" s="9">
        <v>45077.3749787616</v>
      </c>
      <c r="B15" s="10">
        <v>8.0</v>
      </c>
      <c r="C15" s="10" t="s">
        <v>80</v>
      </c>
      <c r="D15" s="10" t="s">
        <v>115</v>
      </c>
      <c r="E15" s="12" t="s">
        <v>62</v>
      </c>
      <c r="F15" s="11">
        <v>1022.0</v>
      </c>
      <c r="G15" s="11">
        <v>206.0</v>
      </c>
      <c r="H15" s="11">
        <v>206.0</v>
      </c>
      <c r="I15" s="11">
        <v>2.0</v>
      </c>
      <c r="J15" s="11">
        <v>20.0</v>
      </c>
      <c r="K15" s="11">
        <v>2.0</v>
      </c>
      <c r="L15" s="11">
        <v>1.0</v>
      </c>
      <c r="M15" s="13">
        <f t="shared" ref="M15:O15" si="17">IFERROR(G15/F15,"")</f>
        <v>0.2015655577</v>
      </c>
      <c r="N15" s="13">
        <f t="shared" si="17"/>
        <v>1</v>
      </c>
      <c r="O15" s="14">
        <f t="shared" si="17"/>
        <v>0.009708737864</v>
      </c>
      <c r="P15" s="13">
        <f t="shared" si="3"/>
        <v>0.09708737864</v>
      </c>
      <c r="Q15" s="13">
        <f t="shared" si="4"/>
        <v>0.009708737864</v>
      </c>
      <c r="R15" s="13">
        <f t="shared" si="5"/>
        <v>0.004854368932</v>
      </c>
      <c r="S15" s="14">
        <f t="shared" si="6"/>
        <v>0.9684059534</v>
      </c>
      <c r="T15" s="14">
        <f t="shared" si="7"/>
        <v>1.00257732</v>
      </c>
      <c r="U15" s="14">
        <f t="shared" si="8"/>
        <v>1.822006472</v>
      </c>
    </row>
    <row r="16">
      <c r="A16" s="9">
        <v>45078.3754316898</v>
      </c>
      <c r="B16" s="10">
        <v>9.0</v>
      </c>
      <c r="C16" s="10" t="s">
        <v>84</v>
      </c>
      <c r="D16" s="10" t="s">
        <v>118</v>
      </c>
      <c r="E16" s="12" t="s">
        <v>62</v>
      </c>
      <c r="F16" s="11">
        <v>932.0</v>
      </c>
      <c r="G16" s="11">
        <v>217.0</v>
      </c>
      <c r="H16" s="11">
        <v>215.0</v>
      </c>
      <c r="I16" s="11">
        <v>7.0</v>
      </c>
      <c r="J16" s="11">
        <v>18.0</v>
      </c>
      <c r="K16" s="11">
        <v>0.0</v>
      </c>
      <c r="L16" s="11">
        <v>1.0</v>
      </c>
      <c r="M16" s="13">
        <f t="shared" ref="M16:O16" si="18">IFERROR(G16/F16,"")</f>
        <v>0.232832618</v>
      </c>
      <c r="N16" s="13">
        <f t="shared" si="18"/>
        <v>0.9907834101</v>
      </c>
      <c r="O16" s="14">
        <f t="shared" si="18"/>
        <v>0.03255813953</v>
      </c>
      <c r="P16" s="13">
        <f t="shared" si="3"/>
        <v>0.08372093023</v>
      </c>
      <c r="Q16" s="13">
        <f t="shared" si="4"/>
        <v>0</v>
      </c>
      <c r="R16" s="13">
        <f t="shared" si="5"/>
        <v>0.004651162791</v>
      </c>
      <c r="S16" s="14">
        <f t="shared" si="6"/>
        <v>1.115718879</v>
      </c>
      <c r="T16" s="14">
        <f t="shared" si="7"/>
        <v>0.9934137162</v>
      </c>
      <c r="U16" s="14">
        <f t="shared" si="8"/>
        <v>0</v>
      </c>
    </row>
    <row r="17">
      <c r="A17" s="9">
        <v>45079.3754392014</v>
      </c>
      <c r="B17" s="10">
        <v>9.0</v>
      </c>
      <c r="C17" s="10" t="s">
        <v>60</v>
      </c>
      <c r="D17" s="10" t="s">
        <v>121</v>
      </c>
      <c r="E17" s="12" t="s">
        <v>62</v>
      </c>
      <c r="F17" s="11">
        <v>890.0</v>
      </c>
      <c r="G17" s="11">
        <v>218.0</v>
      </c>
      <c r="H17" s="11">
        <v>217.0</v>
      </c>
      <c r="I17" s="11">
        <v>9.0</v>
      </c>
      <c r="J17" s="11">
        <v>17.0</v>
      </c>
      <c r="K17" s="11">
        <v>2.0</v>
      </c>
      <c r="L17" s="11">
        <v>0.0</v>
      </c>
      <c r="M17" s="13">
        <f t="shared" ref="M17:O17" si="19">IFERROR(G17/F17,"")</f>
        <v>0.2449438202</v>
      </c>
      <c r="N17" s="13">
        <f t="shared" si="19"/>
        <v>0.995412844</v>
      </c>
      <c r="O17" s="14">
        <f t="shared" si="19"/>
        <v>0.04147465438</v>
      </c>
      <c r="P17" s="13">
        <f t="shared" si="3"/>
        <v>0.07834101382</v>
      </c>
      <c r="Q17" s="13">
        <f t="shared" si="4"/>
        <v>0.009216589862</v>
      </c>
      <c r="R17" s="13">
        <f t="shared" si="5"/>
        <v>0</v>
      </c>
      <c r="S17" s="14">
        <f t="shared" si="6"/>
        <v>1.176813422</v>
      </c>
      <c r="T17" s="14">
        <f t="shared" si="7"/>
        <v>0.9981325513</v>
      </c>
      <c r="U17" s="14">
        <f t="shared" si="8"/>
        <v>1.701996928</v>
      </c>
    </row>
    <row r="18">
      <c r="A18" s="9">
        <v>45080.3750611343</v>
      </c>
      <c r="B18" s="10">
        <v>9.0</v>
      </c>
      <c r="C18" s="10" t="s">
        <v>69</v>
      </c>
      <c r="D18" s="10" t="s">
        <v>125</v>
      </c>
      <c r="E18" s="12" t="s">
        <v>62</v>
      </c>
      <c r="F18" s="11">
        <v>862.0</v>
      </c>
      <c r="G18" s="11">
        <v>195.0</v>
      </c>
      <c r="H18" s="11">
        <v>189.0</v>
      </c>
      <c r="I18" s="11">
        <v>2.0</v>
      </c>
      <c r="J18" s="11">
        <v>13.0</v>
      </c>
      <c r="K18" s="11">
        <v>1.0</v>
      </c>
      <c r="L18" s="11">
        <v>0.0</v>
      </c>
      <c r="M18" s="13">
        <f t="shared" ref="M18:O18" si="20">IFERROR(G18/F18,"")</f>
        <v>0.2262180974</v>
      </c>
      <c r="N18" s="13">
        <f t="shared" si="20"/>
        <v>0.9692307692</v>
      </c>
      <c r="O18" s="14">
        <f t="shared" si="20"/>
        <v>0.01058201058</v>
      </c>
      <c r="P18" s="13">
        <f t="shared" si="3"/>
        <v>0.06878306878</v>
      </c>
      <c r="Q18" s="13">
        <f t="shared" si="4"/>
        <v>0.005291005291</v>
      </c>
      <c r="R18" s="13">
        <f t="shared" si="5"/>
        <v>0</v>
      </c>
      <c r="S18" s="14">
        <f t="shared" si="6"/>
        <v>1.084022523</v>
      </c>
      <c r="T18" s="14">
        <f t="shared" si="7"/>
        <v>0.9719277006</v>
      </c>
      <c r="U18" s="14">
        <f t="shared" si="8"/>
        <v>0.9849448715</v>
      </c>
    </row>
    <row r="19">
      <c r="A19" s="9">
        <v>45081.3749153125</v>
      </c>
      <c r="B19" s="10">
        <v>8.0</v>
      </c>
      <c r="C19" s="10" t="s">
        <v>77</v>
      </c>
      <c r="D19" s="10" t="s">
        <v>129</v>
      </c>
      <c r="E19" s="12" t="s">
        <v>62</v>
      </c>
      <c r="F19" s="11">
        <v>892.0</v>
      </c>
      <c r="G19" s="11">
        <v>197.0</v>
      </c>
      <c r="H19" s="11">
        <v>197.0</v>
      </c>
      <c r="I19" s="11">
        <v>1.0</v>
      </c>
      <c r="J19" s="11">
        <v>16.0</v>
      </c>
      <c r="K19" s="11">
        <v>0.0</v>
      </c>
      <c r="L19" s="11">
        <v>0.0</v>
      </c>
      <c r="M19" s="13">
        <f t="shared" ref="M19:O19" si="21">IFERROR(G19/F19,"")</f>
        <v>0.2208520179</v>
      </c>
      <c r="N19" s="13">
        <f t="shared" si="21"/>
        <v>1</v>
      </c>
      <c r="O19" s="14">
        <f t="shared" si="21"/>
        <v>0.005076142132</v>
      </c>
      <c r="P19" s="13">
        <f t="shared" si="3"/>
        <v>0.08121827411</v>
      </c>
      <c r="Q19" s="13">
        <f t="shared" si="4"/>
        <v>0</v>
      </c>
      <c r="R19" s="13">
        <f t="shared" si="5"/>
        <v>0</v>
      </c>
      <c r="S19" s="14">
        <f t="shared" si="6"/>
        <v>1.061066243</v>
      </c>
      <c r="T19" s="14">
        <f t="shared" si="7"/>
        <v>1.00273224</v>
      </c>
      <c r="U19" s="14">
        <f t="shared" si="8"/>
        <v>0</v>
      </c>
    </row>
    <row r="20">
      <c r="A20" s="9">
        <v>45082.333515544</v>
      </c>
      <c r="B20" s="10">
        <v>8.0</v>
      </c>
      <c r="C20" s="10" t="s">
        <v>71</v>
      </c>
      <c r="D20" s="10" t="s">
        <v>132</v>
      </c>
      <c r="E20" s="12" t="s">
        <v>62</v>
      </c>
      <c r="F20" s="11">
        <v>856.0</v>
      </c>
      <c r="G20" s="11">
        <v>255.0</v>
      </c>
      <c r="H20" s="11">
        <v>251.0</v>
      </c>
      <c r="I20" s="11">
        <v>3.0</v>
      </c>
      <c r="J20" s="11">
        <v>21.0</v>
      </c>
      <c r="K20" s="11">
        <v>1.0</v>
      </c>
      <c r="L20" s="11">
        <v>1.0</v>
      </c>
      <c r="M20" s="13">
        <f t="shared" ref="M20:O20" si="22">IFERROR(G20/F20,"")</f>
        <v>0.2978971963</v>
      </c>
      <c r="N20" s="13">
        <f t="shared" si="22"/>
        <v>0.9843137255</v>
      </c>
      <c r="O20" s="14">
        <f t="shared" si="22"/>
        <v>0.01195219124</v>
      </c>
      <c r="P20" s="13">
        <f t="shared" si="3"/>
        <v>0.08366533865</v>
      </c>
      <c r="Q20" s="13">
        <f t="shared" si="4"/>
        <v>0.003984063745</v>
      </c>
      <c r="R20" s="13">
        <f t="shared" si="5"/>
        <v>0.003984063745</v>
      </c>
      <c r="S20" s="14">
        <f t="shared" si="6"/>
        <v>1.448795205</v>
      </c>
      <c r="T20" s="14">
        <f t="shared" si="7"/>
        <v>0.986926856</v>
      </c>
      <c r="U20" s="14">
        <f t="shared" si="8"/>
        <v>0.7286849565</v>
      </c>
    </row>
    <row r="21" ht="15.75" customHeight="1">
      <c r="A21" s="9">
        <v>45083.3331448958</v>
      </c>
      <c r="B21" s="10">
        <v>7.0</v>
      </c>
      <c r="C21" s="10" t="s">
        <v>59</v>
      </c>
      <c r="D21" s="10" t="s">
        <v>137</v>
      </c>
      <c r="E21" s="12" t="s">
        <v>62</v>
      </c>
      <c r="F21" s="11">
        <v>1594.0</v>
      </c>
      <c r="G21" s="11">
        <v>406.0</v>
      </c>
      <c r="H21" s="11">
        <v>398.0</v>
      </c>
      <c r="I21" s="11">
        <v>78.0</v>
      </c>
      <c r="J21" s="11">
        <v>26.0</v>
      </c>
      <c r="K21" s="11">
        <v>1.0</v>
      </c>
      <c r="L21" s="11">
        <v>1.0</v>
      </c>
      <c r="M21" s="13">
        <f t="shared" ref="M21:O21" si="23">IFERROR(G21/F21,"")</f>
        <v>0.2547051443</v>
      </c>
      <c r="N21" s="13">
        <f t="shared" si="23"/>
        <v>0.9802955665</v>
      </c>
      <c r="O21" s="14">
        <f t="shared" si="23"/>
        <v>0.1959798995</v>
      </c>
      <c r="P21" s="13">
        <f t="shared" si="3"/>
        <v>0.06532663317</v>
      </c>
      <c r="Q21" s="13">
        <f t="shared" si="4"/>
        <v>0.002512562814</v>
      </c>
      <c r="R21" s="13">
        <f t="shared" si="5"/>
        <v>0.002512562814</v>
      </c>
      <c r="S21" s="14">
        <f t="shared" si="6"/>
        <v>1.254131929</v>
      </c>
      <c r="T21" s="14">
        <f t="shared" si="7"/>
        <v>0.9829739697</v>
      </c>
      <c r="U21" s="14">
        <f t="shared" si="8"/>
        <v>0.4551926298</v>
      </c>
    </row>
    <row r="22" ht="15.75" customHeight="1">
      <c r="A22" s="9">
        <v>45084.375197037</v>
      </c>
      <c r="B22" s="10">
        <v>9.0</v>
      </c>
      <c r="C22" s="10" t="s">
        <v>80</v>
      </c>
      <c r="D22" s="10" t="s">
        <v>142</v>
      </c>
      <c r="E22" s="12" t="s">
        <v>62</v>
      </c>
      <c r="F22" s="11">
        <v>1677.0</v>
      </c>
      <c r="G22" s="11">
        <v>421.0</v>
      </c>
      <c r="H22" s="11">
        <v>413.0</v>
      </c>
      <c r="I22" s="11">
        <v>61.0</v>
      </c>
      <c r="J22" s="11">
        <v>28.0</v>
      </c>
      <c r="K22" s="11">
        <v>0.0</v>
      </c>
      <c r="L22" s="11">
        <v>2.0</v>
      </c>
      <c r="M22" s="13">
        <f t="shared" ref="M22:O22" si="24">IFERROR(G22/F22,"")</f>
        <v>0.2510435301</v>
      </c>
      <c r="N22" s="13">
        <f t="shared" si="24"/>
        <v>0.9809976247</v>
      </c>
      <c r="O22" s="14">
        <f t="shared" si="24"/>
        <v>0.1476997579</v>
      </c>
      <c r="P22" s="13">
        <f t="shared" si="3"/>
        <v>0.06779661017</v>
      </c>
      <c r="Q22" s="13">
        <f t="shared" si="4"/>
        <v>0</v>
      </c>
      <c r="R22" s="13">
        <f t="shared" si="5"/>
        <v>0.004842615012</v>
      </c>
      <c r="S22" s="14">
        <f t="shared" si="6"/>
        <v>1.245468387</v>
      </c>
      <c r="T22" s="14">
        <f t="shared" si="7"/>
        <v>0.9837766548</v>
      </c>
      <c r="U22" s="14">
        <f t="shared" si="8"/>
        <v>0</v>
      </c>
    </row>
    <row r="23" ht="15.75" customHeight="1">
      <c r="A23" s="9">
        <v>45085.3334425926</v>
      </c>
      <c r="B23" s="10">
        <v>8.0</v>
      </c>
      <c r="C23" s="10" t="s">
        <v>84</v>
      </c>
      <c r="D23" s="10" t="s">
        <v>145</v>
      </c>
      <c r="E23" s="12" t="s">
        <v>62</v>
      </c>
      <c r="F23" s="11">
        <v>893.0</v>
      </c>
      <c r="G23" s="11">
        <v>331.0</v>
      </c>
      <c r="H23" s="11">
        <v>330.0</v>
      </c>
      <c r="I23" s="11">
        <v>7.0</v>
      </c>
      <c r="J23" s="11">
        <v>24.0</v>
      </c>
      <c r="K23" s="11">
        <v>3.0</v>
      </c>
      <c r="L23" s="11">
        <v>1.0</v>
      </c>
      <c r="M23" s="13">
        <f t="shared" ref="M23:O23" si="25">IFERROR(G23/F23,"")</f>
        <v>0.3706606943</v>
      </c>
      <c r="N23" s="13">
        <f t="shared" si="25"/>
        <v>0.996978852</v>
      </c>
      <c r="O23" s="14">
        <f t="shared" si="25"/>
        <v>0.02121212121</v>
      </c>
      <c r="P23" s="13">
        <f t="shared" si="3"/>
        <v>0.07272727273</v>
      </c>
      <c r="Q23" s="13">
        <f t="shared" si="4"/>
        <v>0.009090909091</v>
      </c>
      <c r="R23" s="13">
        <f t="shared" si="5"/>
        <v>0.00303030303</v>
      </c>
      <c r="S23" s="14">
        <f t="shared" si="6"/>
        <v>1.831968634</v>
      </c>
      <c r="T23" s="14">
        <f t="shared" si="7"/>
        <v>0.9996757536</v>
      </c>
      <c r="U23" s="14">
        <f t="shared" si="8"/>
        <v>1.662726582</v>
      </c>
    </row>
    <row r="24" ht="15.75" customHeight="1">
      <c r="A24" s="9">
        <v>45086.333338588</v>
      </c>
      <c r="B24" s="10">
        <v>8.0</v>
      </c>
      <c r="C24" s="10" t="s">
        <v>60</v>
      </c>
      <c r="D24" s="10" t="s">
        <v>148</v>
      </c>
      <c r="E24" s="12" t="s">
        <v>62</v>
      </c>
      <c r="F24" s="11">
        <v>1460.0</v>
      </c>
      <c r="G24" s="11">
        <v>328.0</v>
      </c>
      <c r="H24" s="11">
        <v>325.0</v>
      </c>
      <c r="I24" s="11">
        <v>51.0</v>
      </c>
      <c r="J24" s="11">
        <v>30.0</v>
      </c>
      <c r="K24" s="11">
        <v>1.0</v>
      </c>
      <c r="L24" s="11">
        <v>1.0</v>
      </c>
      <c r="M24" s="13">
        <f t="shared" ref="M24:O24" si="26">IFERROR(G24/F24,"")</f>
        <v>0.2246575342</v>
      </c>
      <c r="N24" s="13">
        <f t="shared" si="26"/>
        <v>0.9908536585</v>
      </c>
      <c r="O24" s="14">
        <f t="shared" si="26"/>
        <v>0.1569230769</v>
      </c>
      <c r="P24" s="13">
        <f t="shared" si="3"/>
        <v>0.09230769231</v>
      </c>
      <c r="Q24" s="13">
        <f t="shared" si="4"/>
        <v>0.003076923077</v>
      </c>
      <c r="R24" s="13">
        <f t="shared" si="5"/>
        <v>0.003076923077</v>
      </c>
      <c r="S24" s="14">
        <f t="shared" si="6"/>
        <v>1.106181768</v>
      </c>
      <c r="T24" s="14">
        <f t="shared" si="7"/>
        <v>0.9934074051</v>
      </c>
      <c r="U24" s="14">
        <f t="shared" si="8"/>
        <v>0.5574358974</v>
      </c>
    </row>
    <row r="25" ht="15.75" customHeight="1">
      <c r="A25" s="9">
        <v>45087.3336369097</v>
      </c>
      <c r="B25" s="10">
        <v>8.0</v>
      </c>
      <c r="C25" s="10" t="s">
        <v>69</v>
      </c>
      <c r="D25" s="10" t="s">
        <v>150</v>
      </c>
      <c r="E25" s="12" t="s">
        <v>62</v>
      </c>
      <c r="F25" s="11">
        <v>911.0</v>
      </c>
      <c r="G25" s="11">
        <v>203.0</v>
      </c>
      <c r="H25" s="11">
        <v>200.0</v>
      </c>
      <c r="I25" s="11">
        <v>2.0</v>
      </c>
      <c r="J25" s="11">
        <v>24.0</v>
      </c>
      <c r="K25" s="11">
        <v>1.0</v>
      </c>
      <c r="L25" s="11">
        <v>1.0</v>
      </c>
      <c r="M25" s="13">
        <f t="shared" ref="M25:O25" si="27">IFERROR(G25/F25,"")</f>
        <v>0.2228320527</v>
      </c>
      <c r="N25" s="13">
        <f t="shared" si="27"/>
        <v>0.9852216749</v>
      </c>
      <c r="O25" s="14">
        <f t="shared" si="27"/>
        <v>0.01</v>
      </c>
      <c r="P25" s="13">
        <f t="shared" si="3"/>
        <v>0.12</v>
      </c>
      <c r="Q25" s="13">
        <f t="shared" si="4"/>
        <v>0.005</v>
      </c>
      <c r="R25" s="13">
        <f t="shared" si="5"/>
        <v>0.005</v>
      </c>
      <c r="S25" s="14">
        <f t="shared" si="6"/>
        <v>1.101334286</v>
      </c>
      <c r="T25" s="14">
        <f t="shared" si="7"/>
        <v>0.9878867725</v>
      </c>
      <c r="U25" s="14">
        <f t="shared" si="8"/>
        <v>0.8952954863</v>
      </c>
    </row>
    <row r="26" ht="15.75" customHeight="1">
      <c r="A26" s="9">
        <v>45088.3332828472</v>
      </c>
      <c r="B26" s="10">
        <v>7.0</v>
      </c>
      <c r="C26" s="10" t="s">
        <v>77</v>
      </c>
      <c r="D26" s="10" t="s">
        <v>153</v>
      </c>
      <c r="E26" s="12" t="s">
        <v>62</v>
      </c>
      <c r="F26" s="11">
        <v>903.0</v>
      </c>
      <c r="G26" s="11">
        <v>278.0</v>
      </c>
      <c r="H26" s="11">
        <v>277.0</v>
      </c>
      <c r="I26" s="11">
        <v>6.0</v>
      </c>
      <c r="J26" s="11">
        <v>18.0</v>
      </c>
      <c r="K26" s="11">
        <v>6.0</v>
      </c>
      <c r="L26" s="11">
        <v>0.0</v>
      </c>
      <c r="M26" s="13">
        <f t="shared" ref="M26:O26" si="28">IFERROR(G26/F26,"")</f>
        <v>0.30786268</v>
      </c>
      <c r="N26" s="13">
        <f t="shared" si="28"/>
        <v>0.9964028777</v>
      </c>
      <c r="O26" s="14">
        <f t="shared" si="28"/>
        <v>0.02166064982</v>
      </c>
      <c r="P26" s="13">
        <f t="shared" si="3"/>
        <v>0.06498194946</v>
      </c>
      <c r="Q26" s="13">
        <f t="shared" si="4"/>
        <v>0.02166064982</v>
      </c>
      <c r="R26" s="13">
        <f t="shared" si="5"/>
        <v>0</v>
      </c>
      <c r="S26" s="14">
        <f t="shared" si="6"/>
        <v>1.515872079</v>
      </c>
      <c r="T26" s="14">
        <f t="shared" si="7"/>
        <v>0.9992255487</v>
      </c>
      <c r="U26" s="14">
        <f t="shared" si="8"/>
        <v>3.833935018</v>
      </c>
    </row>
    <row r="27" ht="15.75" customHeight="1">
      <c r="A27" s="9">
        <v>45089.3336215972</v>
      </c>
      <c r="B27" s="10">
        <v>8.0</v>
      </c>
      <c r="C27" s="10" t="s">
        <v>71</v>
      </c>
      <c r="D27" s="10" t="s">
        <v>156</v>
      </c>
      <c r="E27" s="12" t="s">
        <v>62</v>
      </c>
      <c r="F27" s="11">
        <v>953.0</v>
      </c>
      <c r="G27" s="11">
        <v>256.0</v>
      </c>
      <c r="H27" s="11">
        <v>255.0</v>
      </c>
      <c r="I27" s="11">
        <v>9.0</v>
      </c>
      <c r="J27" s="11">
        <v>24.0</v>
      </c>
      <c r="K27" s="11">
        <v>4.0</v>
      </c>
      <c r="L27" s="11">
        <v>0.0</v>
      </c>
      <c r="M27" s="13">
        <f t="shared" ref="M27:O27" si="29">IFERROR(G27/F27,"")</f>
        <v>0.2686253935</v>
      </c>
      <c r="N27" s="13">
        <f t="shared" si="29"/>
        <v>0.99609375</v>
      </c>
      <c r="O27" s="14">
        <f t="shared" si="29"/>
        <v>0.03529411765</v>
      </c>
      <c r="P27" s="13">
        <f t="shared" si="3"/>
        <v>0.09411764706</v>
      </c>
      <c r="Q27" s="13">
        <f t="shared" si="4"/>
        <v>0.01568627451</v>
      </c>
      <c r="R27" s="13">
        <f t="shared" si="5"/>
        <v>0</v>
      </c>
      <c r="S27" s="14">
        <f t="shared" si="6"/>
        <v>1.327665174</v>
      </c>
      <c r="T27" s="14">
        <f t="shared" si="7"/>
        <v>0.9987882574</v>
      </c>
      <c r="U27" s="14">
        <f t="shared" si="8"/>
        <v>2.739624374</v>
      </c>
    </row>
    <row r="28" ht="15.75" customHeight="1">
      <c r="A28" s="9">
        <v>45091.333980162</v>
      </c>
      <c r="B28" s="10">
        <v>8.0</v>
      </c>
      <c r="C28" s="10" t="s">
        <v>80</v>
      </c>
      <c r="D28" s="10" t="s">
        <v>159</v>
      </c>
      <c r="E28" s="12" t="s">
        <v>62</v>
      </c>
      <c r="F28" s="11">
        <v>1500.0</v>
      </c>
      <c r="G28" s="11">
        <v>389.0</v>
      </c>
      <c r="H28" s="11">
        <v>388.0</v>
      </c>
      <c r="I28" s="11">
        <v>46.0</v>
      </c>
      <c r="J28" s="11">
        <v>28.0</v>
      </c>
      <c r="K28" s="11">
        <v>4.0</v>
      </c>
      <c r="L28" s="11">
        <v>0.0</v>
      </c>
      <c r="M28" s="13">
        <f t="shared" ref="M28:O28" si="30">IFERROR(G28/F28,"")</f>
        <v>0.2593333333</v>
      </c>
      <c r="N28" s="13">
        <f t="shared" si="30"/>
        <v>0.9974293059</v>
      </c>
      <c r="O28" s="14">
        <f t="shared" si="30"/>
        <v>0.118556701</v>
      </c>
      <c r="P28" s="13">
        <f t="shared" si="3"/>
        <v>0.07216494845</v>
      </c>
      <c r="Q28" s="13">
        <f t="shared" si="4"/>
        <v>0.01030927835</v>
      </c>
      <c r="R28" s="13">
        <f t="shared" si="5"/>
        <v>0</v>
      </c>
      <c r="S28" s="14">
        <f t="shared" si="6"/>
        <v>1.287058273</v>
      </c>
      <c r="T28" s="14">
        <f t="shared" si="7"/>
        <v>1.000127426</v>
      </c>
      <c r="U28" s="14">
        <f t="shared" si="8"/>
        <v>1.800526328</v>
      </c>
    </row>
    <row r="29" ht="15.75" customHeight="1">
      <c r="A29" s="9">
        <v>45092.3335218171</v>
      </c>
      <c r="B29" s="10">
        <v>8.0</v>
      </c>
      <c r="C29" s="10" t="s">
        <v>84</v>
      </c>
      <c r="D29" s="10" t="s">
        <v>162</v>
      </c>
      <c r="E29" s="12" t="s">
        <v>62</v>
      </c>
      <c r="F29" s="11">
        <v>883.0</v>
      </c>
      <c r="G29" s="11">
        <v>199.0</v>
      </c>
      <c r="H29" s="11">
        <v>198.0</v>
      </c>
      <c r="I29" s="11">
        <v>3.0</v>
      </c>
      <c r="J29" s="11">
        <v>17.0</v>
      </c>
      <c r="K29" s="11">
        <v>2.0</v>
      </c>
      <c r="L29" s="11">
        <v>0.0</v>
      </c>
      <c r="M29" s="13">
        <f t="shared" ref="M29:O29" si="31">IFERROR(G29/F29,"")</f>
        <v>0.2253680634</v>
      </c>
      <c r="N29" s="13">
        <f t="shared" si="31"/>
        <v>0.9949748744</v>
      </c>
      <c r="O29" s="14">
        <f t="shared" si="31"/>
        <v>0.01515151515</v>
      </c>
      <c r="P29" s="13">
        <f t="shared" si="3"/>
        <v>0.08585858586</v>
      </c>
      <c r="Q29" s="13">
        <f t="shared" si="4"/>
        <v>0.0101010101</v>
      </c>
      <c r="R29" s="13">
        <f t="shared" si="5"/>
        <v>0</v>
      </c>
      <c r="S29" s="14">
        <f t="shared" si="6"/>
        <v>1.118892829</v>
      </c>
      <c r="T29" s="14">
        <f t="shared" si="7"/>
        <v>0.9977935001</v>
      </c>
      <c r="U29" s="14">
        <f t="shared" si="8"/>
        <v>1.787878788</v>
      </c>
    </row>
    <row r="30" ht="15.75" customHeight="1">
      <c r="A30" s="9">
        <v>45093.3334665278</v>
      </c>
      <c r="B30" s="10">
        <v>8.0</v>
      </c>
      <c r="C30" s="10" t="s">
        <v>60</v>
      </c>
      <c r="D30" s="10" t="s">
        <v>165</v>
      </c>
      <c r="E30" s="12" t="s">
        <v>62</v>
      </c>
      <c r="F30" s="11">
        <v>1558.0</v>
      </c>
      <c r="G30" s="11">
        <v>352.0</v>
      </c>
      <c r="H30" s="11">
        <v>351.0</v>
      </c>
      <c r="I30" s="11">
        <v>47.0</v>
      </c>
      <c r="J30" s="11">
        <v>30.0</v>
      </c>
      <c r="K30" s="11">
        <v>4.0</v>
      </c>
      <c r="L30" s="11">
        <v>0.0</v>
      </c>
      <c r="M30" s="13">
        <f t="shared" ref="M30:O30" si="32">IFERROR(G30/F30,"")</f>
        <v>0.2259306804</v>
      </c>
      <c r="N30" s="13">
        <f t="shared" si="32"/>
        <v>0.9971590909</v>
      </c>
      <c r="O30" s="14">
        <f t="shared" si="32"/>
        <v>0.1339031339</v>
      </c>
      <c r="P30" s="13">
        <f t="shared" si="3"/>
        <v>0.08547008547</v>
      </c>
      <c r="Q30" s="13">
        <f t="shared" si="4"/>
        <v>0.0113960114</v>
      </c>
      <c r="R30" s="13">
        <f t="shared" si="5"/>
        <v>0</v>
      </c>
      <c r="S30" s="14">
        <f t="shared" si="6"/>
        <v>1.123123628</v>
      </c>
      <c r="T30" s="14">
        <f t="shared" si="7"/>
        <v>0.999991952</v>
      </c>
      <c r="U30" s="14">
        <f t="shared" si="8"/>
        <v>2.040559513</v>
      </c>
    </row>
    <row r="31" ht="15.75" customHeight="1">
      <c r="A31" s="9">
        <v>45094.3337021296</v>
      </c>
      <c r="B31" s="10">
        <v>8.0</v>
      </c>
      <c r="C31" s="10" t="s">
        <v>69</v>
      </c>
      <c r="D31" s="10" t="s">
        <v>168</v>
      </c>
      <c r="E31" s="12" t="s">
        <v>62</v>
      </c>
      <c r="F31" s="11">
        <v>939.0</v>
      </c>
      <c r="G31" s="11">
        <v>233.0</v>
      </c>
      <c r="H31" s="11">
        <v>232.0</v>
      </c>
      <c r="I31" s="11">
        <v>13.0</v>
      </c>
      <c r="J31" s="11">
        <v>23.0</v>
      </c>
      <c r="K31" s="11">
        <v>7.0</v>
      </c>
      <c r="L31" s="11">
        <v>0.0</v>
      </c>
      <c r="M31" s="13">
        <f t="shared" ref="M31:O31" si="33">IFERROR(G31/F31,"")</f>
        <v>0.2481363152</v>
      </c>
      <c r="N31" s="13">
        <f t="shared" si="33"/>
        <v>0.9957081545</v>
      </c>
      <c r="O31" s="14">
        <f t="shared" si="33"/>
        <v>0.05603448276</v>
      </c>
      <c r="P31" s="13">
        <f t="shared" si="3"/>
        <v>0.09913793103</v>
      </c>
      <c r="Q31" s="13">
        <f t="shared" si="4"/>
        <v>0.03017241379</v>
      </c>
      <c r="R31" s="13">
        <f t="shared" si="5"/>
        <v>0</v>
      </c>
      <c r="S31" s="14">
        <f t="shared" si="6"/>
        <v>1.231931177</v>
      </c>
      <c r="T31" s="14">
        <f t="shared" si="7"/>
        <v>0.9985449299</v>
      </c>
      <c r="U31" s="14">
        <f t="shared" si="8"/>
        <v>5.466235632</v>
      </c>
    </row>
    <row r="32" ht="15.75" customHeight="1">
      <c r="A32" s="9">
        <v>45095.4329559722</v>
      </c>
      <c r="B32" s="10">
        <v>10.0</v>
      </c>
      <c r="C32" s="10" t="s">
        <v>77</v>
      </c>
      <c r="D32" s="10" t="s">
        <v>171</v>
      </c>
      <c r="E32" s="12" t="s">
        <v>62</v>
      </c>
      <c r="F32" s="11">
        <v>4579.0</v>
      </c>
      <c r="G32" s="11">
        <v>989.0</v>
      </c>
      <c r="H32" s="11">
        <v>987.0</v>
      </c>
      <c r="I32" s="11">
        <v>6.0</v>
      </c>
      <c r="J32" s="11">
        <v>53.0</v>
      </c>
      <c r="K32" s="11">
        <v>33.0</v>
      </c>
      <c r="L32" s="11">
        <v>2.0</v>
      </c>
      <c r="M32" s="13">
        <f t="shared" ref="M32:O32" si="34">IFERROR(G32/F32,"")</f>
        <v>0.2159860231</v>
      </c>
      <c r="N32" s="13">
        <f t="shared" si="34"/>
        <v>0.9979777553</v>
      </c>
      <c r="O32" s="14">
        <f t="shared" si="34"/>
        <v>0.006079027356</v>
      </c>
      <c r="P32" s="13">
        <f t="shared" si="3"/>
        <v>0.05369807497</v>
      </c>
      <c r="Q32" s="13">
        <f t="shared" si="4"/>
        <v>0.03343465046</v>
      </c>
      <c r="R32" s="13">
        <f t="shared" si="5"/>
        <v>0.002026342452</v>
      </c>
      <c r="S32" s="14">
        <f t="shared" si="6"/>
        <v>1.073687759</v>
      </c>
      <c r="T32" s="14">
        <f t="shared" si="7"/>
        <v>1.000911455</v>
      </c>
      <c r="U32" s="14">
        <f t="shared" si="8"/>
        <v>6.11519503</v>
      </c>
    </row>
    <row r="33" ht="15.75" customHeight="1">
      <c r="A33" s="9">
        <v>45096.3334863426</v>
      </c>
      <c r="B33" s="10">
        <v>8.0</v>
      </c>
      <c r="C33" s="10" t="s">
        <v>71</v>
      </c>
      <c r="D33" s="10" t="s">
        <v>175</v>
      </c>
      <c r="E33" s="12" t="s">
        <v>62</v>
      </c>
      <c r="F33" s="11">
        <v>1008.0</v>
      </c>
      <c r="G33" s="11">
        <v>254.0</v>
      </c>
      <c r="H33" s="11">
        <v>255.0</v>
      </c>
      <c r="I33" s="11">
        <v>11.0</v>
      </c>
      <c r="J33" s="11">
        <v>20.0</v>
      </c>
      <c r="K33" s="11">
        <v>15.0</v>
      </c>
      <c r="L33" s="11">
        <v>0.0</v>
      </c>
      <c r="M33" s="13">
        <f t="shared" ref="M33:O33" si="35">IFERROR(G33/F33,"")</f>
        <v>0.251984127</v>
      </c>
      <c r="N33" s="13">
        <f t="shared" si="35"/>
        <v>1.003937008</v>
      </c>
      <c r="O33" s="14">
        <f t="shared" si="35"/>
        <v>0.0431372549</v>
      </c>
      <c r="P33" s="13">
        <f t="shared" si="3"/>
        <v>0.07843137255</v>
      </c>
      <c r="Q33" s="13">
        <f t="shared" si="4"/>
        <v>0.05882352941</v>
      </c>
      <c r="R33" s="13">
        <f t="shared" si="5"/>
        <v>0</v>
      </c>
      <c r="S33" s="14">
        <f t="shared" si="6"/>
        <v>1.254245317</v>
      </c>
      <c r="T33" s="14">
        <f t="shared" si="7"/>
        <v>1.006797227</v>
      </c>
      <c r="U33" s="14">
        <f t="shared" si="8"/>
        <v>10.65686275</v>
      </c>
    </row>
    <row r="34" ht="15.75" customHeight="1">
      <c r="A34" s="9">
        <v>45098.5620101389</v>
      </c>
      <c r="B34" s="10">
        <v>13.0</v>
      </c>
      <c r="C34" s="10" t="s">
        <v>80</v>
      </c>
      <c r="D34" s="10" t="s">
        <v>178</v>
      </c>
      <c r="E34" s="12" t="s">
        <v>62</v>
      </c>
      <c r="F34" s="11">
        <v>7485.0</v>
      </c>
      <c r="G34" s="11">
        <v>2018.0</v>
      </c>
      <c r="H34" s="11">
        <v>1989.0</v>
      </c>
      <c r="I34" s="11">
        <v>212.0</v>
      </c>
      <c r="J34" s="11">
        <v>40.0</v>
      </c>
      <c r="K34" s="11">
        <v>3.0</v>
      </c>
      <c r="L34" s="11">
        <v>9.0</v>
      </c>
      <c r="M34" s="13">
        <f t="shared" ref="M34:O34" si="36">IFERROR(G34/F34,"")</f>
        <v>0.2696058784</v>
      </c>
      <c r="N34" s="13">
        <f t="shared" si="36"/>
        <v>0.985629336</v>
      </c>
      <c r="O34" s="14">
        <f t="shared" si="36"/>
        <v>0.1065862242</v>
      </c>
      <c r="P34" s="13">
        <f t="shared" si="3"/>
        <v>0.02011060835</v>
      </c>
      <c r="Q34" s="13">
        <f t="shared" si="4"/>
        <v>0.001508295626</v>
      </c>
      <c r="R34" s="13">
        <f t="shared" si="5"/>
        <v>0.004524886878</v>
      </c>
      <c r="S34" s="14">
        <f t="shared" si="6"/>
        <v>1.341957188</v>
      </c>
      <c r="T34" s="14">
        <f t="shared" si="7"/>
        <v>0.9886160915</v>
      </c>
      <c r="U34" s="14">
        <f t="shared" si="8"/>
        <v>0.2669683258</v>
      </c>
    </row>
    <row r="35" ht="15.75" customHeight="1">
      <c r="A35" s="9">
        <v>45099.4655320833</v>
      </c>
      <c r="B35" s="10">
        <v>11.0</v>
      </c>
      <c r="C35" s="10" t="s">
        <v>84</v>
      </c>
      <c r="D35" s="10" t="s">
        <v>181</v>
      </c>
      <c r="E35" s="12" t="s">
        <v>62</v>
      </c>
      <c r="F35" s="11">
        <v>2880.0</v>
      </c>
      <c r="G35" s="11">
        <v>578.0</v>
      </c>
      <c r="H35" s="11">
        <v>573.0</v>
      </c>
      <c r="I35" s="11">
        <v>5.0</v>
      </c>
      <c r="J35" s="11">
        <v>25.0</v>
      </c>
      <c r="K35" s="11">
        <v>9.0</v>
      </c>
      <c r="L35" s="11">
        <v>2.0</v>
      </c>
      <c r="M35" s="13">
        <f t="shared" ref="M35:O35" si="37">IFERROR(G35/F35,"")</f>
        <v>0.2006944444</v>
      </c>
      <c r="N35" s="13">
        <f t="shared" si="37"/>
        <v>0.991349481</v>
      </c>
      <c r="O35" s="14">
        <f t="shared" si="37"/>
        <v>0.00872600349</v>
      </c>
      <c r="P35" s="13">
        <f t="shared" si="3"/>
        <v>0.04363001745</v>
      </c>
      <c r="Q35" s="13">
        <f t="shared" si="4"/>
        <v>0.01570680628</v>
      </c>
      <c r="R35" s="13">
        <f t="shared" si="5"/>
        <v>0.003490401396</v>
      </c>
      <c r="S35" s="14">
        <f t="shared" si="6"/>
        <v>0.9994757639</v>
      </c>
      <c r="T35" s="14">
        <f t="shared" si="7"/>
        <v>0.9943581358</v>
      </c>
      <c r="U35" s="14">
        <f t="shared" si="8"/>
        <v>2.74321027</v>
      </c>
    </row>
    <row r="36" ht="15.75" customHeight="1">
      <c r="A36" s="9">
        <v>45100.6273468171</v>
      </c>
      <c r="B36" s="10">
        <v>15.0</v>
      </c>
      <c r="C36" s="10" t="s">
        <v>60</v>
      </c>
      <c r="D36" s="10" t="s">
        <v>184</v>
      </c>
      <c r="E36" s="12" t="s">
        <v>62</v>
      </c>
      <c r="F36" s="11">
        <v>6832.0</v>
      </c>
      <c r="G36" s="11">
        <v>1037.0</v>
      </c>
      <c r="H36" s="11">
        <v>1036.0</v>
      </c>
      <c r="I36" s="11">
        <v>5.0</v>
      </c>
      <c r="J36" s="11">
        <v>24.0</v>
      </c>
      <c r="K36" s="11">
        <v>3.0</v>
      </c>
      <c r="L36" s="11">
        <v>0.0</v>
      </c>
      <c r="M36" s="13">
        <f t="shared" ref="M36:O36" si="38">IFERROR(G36/F36,"")</f>
        <v>0.1517857143</v>
      </c>
      <c r="N36" s="13">
        <f t="shared" si="38"/>
        <v>0.9990356798</v>
      </c>
      <c r="O36" s="14">
        <f t="shared" si="38"/>
        <v>0.004826254826</v>
      </c>
      <c r="P36" s="13">
        <f t="shared" si="3"/>
        <v>0.02316602317</v>
      </c>
      <c r="Q36" s="13">
        <f t="shared" si="4"/>
        <v>0.002895752896</v>
      </c>
      <c r="R36" s="13">
        <f t="shared" si="5"/>
        <v>0</v>
      </c>
      <c r="S36" s="14">
        <f t="shared" si="6"/>
        <v>0.7545417111</v>
      </c>
      <c r="T36" s="14">
        <f t="shared" si="7"/>
        <v>1.00197249</v>
      </c>
      <c r="U36" s="14">
        <f t="shared" si="8"/>
        <v>0.505746295</v>
      </c>
    </row>
    <row r="37" ht="15.75" customHeight="1">
      <c r="A37" s="9">
        <v>45101.5525775463</v>
      </c>
      <c r="B37" s="10">
        <v>13.0</v>
      </c>
      <c r="C37" s="10" t="s">
        <v>69</v>
      </c>
      <c r="D37" s="10" t="s">
        <v>188</v>
      </c>
      <c r="E37" s="12" t="s">
        <v>62</v>
      </c>
      <c r="F37" s="11">
        <v>2434.0</v>
      </c>
      <c r="G37" s="11">
        <v>383.0</v>
      </c>
      <c r="H37" s="11">
        <v>380.0</v>
      </c>
      <c r="I37" s="11">
        <v>3.0</v>
      </c>
      <c r="J37" s="11">
        <v>18.0</v>
      </c>
      <c r="K37" s="11">
        <v>8.0</v>
      </c>
      <c r="L37" s="11">
        <v>1.0</v>
      </c>
      <c r="M37" s="13">
        <f t="shared" ref="M37:O37" si="39">IFERROR(G37/F37,"")</f>
        <v>0.1573541495</v>
      </c>
      <c r="N37" s="13">
        <f t="shared" si="39"/>
        <v>0.9921671018</v>
      </c>
      <c r="O37" s="14">
        <f t="shared" si="39"/>
        <v>0.007894736842</v>
      </c>
      <c r="P37" s="13">
        <f t="shared" si="3"/>
        <v>0.04736842105</v>
      </c>
      <c r="Q37" s="13">
        <f t="shared" si="4"/>
        <v>0.02105263158</v>
      </c>
      <c r="R37" s="13">
        <f t="shared" si="5"/>
        <v>0.002631578947</v>
      </c>
      <c r="S37" s="14">
        <f t="shared" si="6"/>
        <v>0.7822229503</v>
      </c>
      <c r="T37" s="14">
        <f t="shared" si="7"/>
        <v>0.9949857811</v>
      </c>
      <c r="U37" s="14">
        <f t="shared" si="8"/>
        <v>3.610511317</v>
      </c>
    </row>
    <row r="38" ht="15.75" customHeight="1">
      <c r="A38" s="9">
        <v>45102.5439035185</v>
      </c>
      <c r="B38" s="10">
        <v>13.0</v>
      </c>
      <c r="C38" s="10" t="s">
        <v>77</v>
      </c>
      <c r="D38" s="10" t="s">
        <v>191</v>
      </c>
      <c r="E38" s="12" t="s">
        <v>62</v>
      </c>
      <c r="F38" s="11">
        <v>4489.0</v>
      </c>
      <c r="G38" s="11">
        <v>723.0</v>
      </c>
      <c r="H38" s="11">
        <v>723.0</v>
      </c>
      <c r="I38" s="11">
        <v>8.0</v>
      </c>
      <c r="J38" s="11">
        <v>36.0</v>
      </c>
      <c r="K38" s="11">
        <v>8.0</v>
      </c>
      <c r="L38" s="11">
        <v>2.0</v>
      </c>
      <c r="M38" s="13">
        <f t="shared" ref="M38:O38" si="40">IFERROR(G38/F38,"")</f>
        <v>0.1610603698</v>
      </c>
      <c r="N38" s="13">
        <f t="shared" si="40"/>
        <v>1</v>
      </c>
      <c r="O38" s="14">
        <f t="shared" si="40"/>
        <v>0.01106500692</v>
      </c>
      <c r="P38" s="13">
        <f t="shared" si="3"/>
        <v>0.04979253112</v>
      </c>
      <c r="Q38" s="13">
        <f t="shared" si="4"/>
        <v>0.01106500692</v>
      </c>
      <c r="R38" s="13">
        <f t="shared" si="5"/>
        <v>0.002766251729</v>
      </c>
      <c r="S38" s="14">
        <f t="shared" si="6"/>
        <v>0.8016743632</v>
      </c>
      <c r="T38" s="14">
        <f t="shared" si="7"/>
        <v>1.002849003</v>
      </c>
      <c r="U38" s="14">
        <f t="shared" si="8"/>
        <v>1.907204828</v>
      </c>
    </row>
    <row r="39" ht="15.75" customHeight="1">
      <c r="A39" s="9">
        <v>45103.7072049884</v>
      </c>
      <c r="B39" s="10">
        <v>16.0</v>
      </c>
      <c r="C39" s="10" t="s">
        <v>71</v>
      </c>
      <c r="D39" s="10" t="s">
        <v>194</v>
      </c>
      <c r="E39" s="12" t="s">
        <v>62</v>
      </c>
      <c r="F39" s="11">
        <v>4204.0</v>
      </c>
      <c r="G39" s="11">
        <v>974.0</v>
      </c>
      <c r="H39" s="11">
        <v>959.0</v>
      </c>
      <c r="I39" s="11">
        <v>123.0</v>
      </c>
      <c r="J39" s="11">
        <v>30.0</v>
      </c>
      <c r="K39" s="11">
        <v>4.0</v>
      </c>
      <c r="L39" s="11">
        <v>3.0</v>
      </c>
      <c r="M39" s="13">
        <f t="shared" ref="M39:O39" si="41">IFERROR(G39/F39,"")</f>
        <v>0.2316841104</v>
      </c>
      <c r="N39" s="13">
        <f t="shared" si="41"/>
        <v>0.9845995893</v>
      </c>
      <c r="O39" s="14">
        <f t="shared" si="41"/>
        <v>0.1282586027</v>
      </c>
      <c r="P39" s="13">
        <f t="shared" si="3"/>
        <v>0.03128258603</v>
      </c>
      <c r="Q39" s="13">
        <f t="shared" si="4"/>
        <v>0.00417101147</v>
      </c>
      <c r="R39" s="13">
        <f t="shared" si="5"/>
        <v>0.003128258603</v>
      </c>
      <c r="S39" s="14">
        <f t="shared" si="6"/>
        <v>1.151724495</v>
      </c>
      <c r="T39" s="14">
        <f t="shared" si="7"/>
        <v>0.9874939623</v>
      </c>
      <c r="U39" s="14">
        <f t="shared" si="8"/>
        <v>0.7153254955</v>
      </c>
    </row>
    <row r="40" ht="15.75" customHeight="1">
      <c r="A40" s="9">
        <v>45104.5123493866</v>
      </c>
      <c r="B40" s="10">
        <v>12.0</v>
      </c>
      <c r="C40" s="10" t="s">
        <v>59</v>
      </c>
      <c r="D40" s="10" t="s">
        <v>197</v>
      </c>
      <c r="E40" s="12" t="s">
        <v>62</v>
      </c>
      <c r="F40" s="11">
        <v>4163.0</v>
      </c>
      <c r="G40" s="11">
        <v>961.0</v>
      </c>
      <c r="H40" s="11">
        <v>961.0</v>
      </c>
      <c r="I40" s="11">
        <v>44.0</v>
      </c>
      <c r="J40" s="11">
        <v>39.0</v>
      </c>
      <c r="K40" s="11">
        <v>6.0</v>
      </c>
      <c r="L40" s="11">
        <v>2.0</v>
      </c>
      <c r="M40" s="13">
        <f t="shared" ref="M40:O40" si="42">IFERROR(G40/F40,"")</f>
        <v>0.230843142</v>
      </c>
      <c r="N40" s="13">
        <f t="shared" si="42"/>
        <v>1</v>
      </c>
      <c r="O40" s="14">
        <f t="shared" si="42"/>
        <v>0.04578563996</v>
      </c>
      <c r="P40" s="13">
        <f t="shared" si="3"/>
        <v>0.04058272633</v>
      </c>
      <c r="Q40" s="13">
        <f t="shared" si="4"/>
        <v>0.006243496358</v>
      </c>
      <c r="R40" s="13">
        <f t="shared" si="5"/>
        <v>0.002081165453</v>
      </c>
      <c r="S40" s="14">
        <f t="shared" si="6"/>
        <v>1.147543958</v>
      </c>
      <c r="T40" s="14">
        <f t="shared" si="7"/>
        <v>1.002939645</v>
      </c>
      <c r="U40" s="14">
        <f t="shared" si="8"/>
        <v>1.070755177</v>
      </c>
    </row>
    <row r="41" ht="15.75" customHeight="1">
      <c r="A41" s="9">
        <v>45105.4814656482</v>
      </c>
      <c r="B41" s="10">
        <v>11.0</v>
      </c>
      <c r="C41" s="10" t="s">
        <v>80</v>
      </c>
      <c r="D41" s="10" t="s">
        <v>200</v>
      </c>
      <c r="E41" s="12" t="s">
        <v>62</v>
      </c>
      <c r="F41" s="11">
        <v>4722.0</v>
      </c>
      <c r="G41" s="11">
        <v>1102.0</v>
      </c>
      <c r="H41" s="11">
        <v>1087.0</v>
      </c>
      <c r="I41" s="11">
        <v>99.0</v>
      </c>
      <c r="J41" s="11">
        <v>38.0</v>
      </c>
      <c r="K41" s="11">
        <v>6.0</v>
      </c>
      <c r="L41" s="11">
        <v>4.0</v>
      </c>
      <c r="M41" s="13">
        <f t="shared" ref="M41:O41" si="43">IFERROR(G41/F41,"")</f>
        <v>0.2333756883</v>
      </c>
      <c r="N41" s="13">
        <f t="shared" si="43"/>
        <v>0.9863883848</v>
      </c>
      <c r="O41" s="14">
        <f t="shared" si="43"/>
        <v>0.09107635695</v>
      </c>
      <c r="P41" s="13">
        <f t="shared" si="3"/>
        <v>0.03495860166</v>
      </c>
      <c r="Q41" s="13">
        <f t="shared" si="4"/>
        <v>0.005519779209</v>
      </c>
      <c r="R41" s="13">
        <f t="shared" si="5"/>
        <v>0.003679852806</v>
      </c>
      <c r="S41" s="14">
        <f t="shared" si="6"/>
        <v>1.160133495</v>
      </c>
      <c r="T41" s="14">
        <f t="shared" si="7"/>
        <v>0.989190647</v>
      </c>
      <c r="U41" s="14">
        <f t="shared" si="8"/>
        <v>0.9224971095</v>
      </c>
    </row>
    <row r="42" ht="15.75" customHeight="1">
      <c r="A42" s="9">
        <v>45106.5488177315</v>
      </c>
      <c r="B42" s="10">
        <v>13.0</v>
      </c>
      <c r="C42" s="10" t="s">
        <v>84</v>
      </c>
      <c r="D42" s="10" t="s">
        <v>203</v>
      </c>
      <c r="E42" s="12" t="s">
        <v>62</v>
      </c>
      <c r="F42" s="11">
        <v>3540.0</v>
      </c>
      <c r="G42" s="11">
        <v>789.0</v>
      </c>
      <c r="H42" s="11">
        <v>785.0</v>
      </c>
      <c r="I42" s="11">
        <v>54.0</v>
      </c>
      <c r="J42" s="11">
        <v>31.0</v>
      </c>
      <c r="K42" s="11">
        <v>5.0</v>
      </c>
      <c r="L42" s="11">
        <v>1.0</v>
      </c>
      <c r="M42" s="13">
        <f t="shared" ref="M42:O42" si="44">IFERROR(G42/F42,"")</f>
        <v>0.2228813559</v>
      </c>
      <c r="N42" s="13">
        <f t="shared" si="44"/>
        <v>0.9949302915</v>
      </c>
      <c r="O42" s="14">
        <f t="shared" si="44"/>
        <v>0.06878980892</v>
      </c>
      <c r="P42" s="13">
        <f t="shared" si="3"/>
        <v>0.03949044586</v>
      </c>
      <c r="Q42" s="13">
        <f t="shared" si="4"/>
        <v>0.006369426752</v>
      </c>
      <c r="R42" s="13">
        <f t="shared" si="5"/>
        <v>0.00127388535</v>
      </c>
      <c r="S42" s="14">
        <f t="shared" si="6"/>
        <v>1.109386929</v>
      </c>
      <c r="T42" s="14">
        <f t="shared" si="7"/>
        <v>0.9977487909</v>
      </c>
      <c r="U42" s="14">
        <f t="shared" si="8"/>
        <v>1.086901684</v>
      </c>
    </row>
    <row r="43" ht="15.75" customHeight="1">
      <c r="A43" s="9">
        <v>45107.5699339468</v>
      </c>
      <c r="B43" s="10">
        <v>13.0</v>
      </c>
      <c r="C43" s="10" t="s">
        <v>60</v>
      </c>
      <c r="D43" s="10" t="s">
        <v>206</v>
      </c>
      <c r="E43" s="12" t="s">
        <v>62</v>
      </c>
      <c r="F43" s="11">
        <v>3852.0</v>
      </c>
      <c r="G43" s="11">
        <v>1077.0</v>
      </c>
      <c r="H43" s="11">
        <v>1076.0</v>
      </c>
      <c r="I43" s="11">
        <v>7.0</v>
      </c>
      <c r="J43" s="11">
        <v>49.0</v>
      </c>
      <c r="K43" s="11">
        <v>4.0</v>
      </c>
      <c r="L43" s="11">
        <v>3.0</v>
      </c>
      <c r="M43" s="13">
        <f t="shared" ref="M43:O43" si="45">IFERROR(G43/F43,"")</f>
        <v>0.2795950156</v>
      </c>
      <c r="N43" s="13">
        <f t="shared" si="45"/>
        <v>0.9990714949</v>
      </c>
      <c r="O43" s="14">
        <f t="shared" si="45"/>
        <v>0.006505576208</v>
      </c>
      <c r="P43" s="13">
        <f t="shared" si="3"/>
        <v>0.04553903346</v>
      </c>
      <c r="Q43" s="13">
        <f t="shared" si="4"/>
        <v>0.003717472119</v>
      </c>
      <c r="R43" s="13">
        <f t="shared" si="5"/>
        <v>0.002788104089</v>
      </c>
      <c r="S43" s="14">
        <f t="shared" si="6"/>
        <v>1.392407461</v>
      </c>
      <c r="T43" s="14">
        <f t="shared" si="7"/>
        <v>1.001909789</v>
      </c>
      <c r="U43" s="14">
        <f t="shared" si="8"/>
        <v>0.621285228</v>
      </c>
    </row>
    <row r="44" ht="15.75" customHeight="1">
      <c r="A44" s="9">
        <v>45108.5753540857</v>
      </c>
      <c r="B44" s="10">
        <v>13.0</v>
      </c>
      <c r="C44" s="10" t="s">
        <v>69</v>
      </c>
      <c r="D44" s="10" t="s">
        <v>209</v>
      </c>
      <c r="E44" s="12" t="s">
        <v>62</v>
      </c>
      <c r="F44" s="11">
        <v>2753.0</v>
      </c>
      <c r="G44" s="11">
        <v>576.0</v>
      </c>
      <c r="H44" s="11">
        <v>575.0</v>
      </c>
      <c r="I44" s="11">
        <v>6.0</v>
      </c>
      <c r="J44" s="11">
        <v>38.0</v>
      </c>
      <c r="K44" s="11">
        <v>3.0</v>
      </c>
      <c r="L44" s="11">
        <v>1.0</v>
      </c>
      <c r="M44" s="13">
        <f t="shared" ref="M44:O44" si="46">IFERROR(G44/F44,"")</f>
        <v>0.2092262986</v>
      </c>
      <c r="N44" s="13">
        <f t="shared" si="46"/>
        <v>0.9982638889</v>
      </c>
      <c r="O44" s="14">
        <f t="shared" si="46"/>
        <v>0.01043478261</v>
      </c>
      <c r="P44" s="13">
        <f t="shared" si="3"/>
        <v>0.06608695652</v>
      </c>
      <c r="Q44" s="13">
        <f t="shared" si="4"/>
        <v>0.005217391304</v>
      </c>
      <c r="R44" s="13">
        <f t="shared" si="5"/>
        <v>0.001739130435</v>
      </c>
      <c r="S44" s="14">
        <f t="shared" si="6"/>
        <v>1.042511661</v>
      </c>
      <c r="T44" s="14">
        <f t="shared" si="7"/>
        <v>1.001107946</v>
      </c>
      <c r="U44" s="14">
        <f t="shared" si="8"/>
        <v>0.8903142488</v>
      </c>
    </row>
    <row r="45" ht="15.75" customHeight="1">
      <c r="A45" s="9">
        <v>45109.4945539699</v>
      </c>
      <c r="B45" s="10">
        <v>11.0</v>
      </c>
      <c r="C45" s="10" t="s">
        <v>77</v>
      </c>
      <c r="D45" s="10" t="s">
        <v>212</v>
      </c>
      <c r="E45" s="12" t="s">
        <v>62</v>
      </c>
      <c r="F45" s="11">
        <v>1983.0</v>
      </c>
      <c r="G45" s="11">
        <v>327.0</v>
      </c>
      <c r="H45" s="11">
        <v>327.0</v>
      </c>
      <c r="I45" s="11">
        <v>1.0</v>
      </c>
      <c r="J45" s="11">
        <v>15.0</v>
      </c>
      <c r="K45" s="11">
        <v>0.0</v>
      </c>
      <c r="L45" s="11">
        <v>1.0</v>
      </c>
      <c r="M45" s="13">
        <f t="shared" ref="M45:O45" si="47">IFERROR(G45/F45,"")</f>
        <v>0.1649016641</v>
      </c>
      <c r="N45" s="13">
        <f t="shared" si="47"/>
        <v>1</v>
      </c>
      <c r="O45" s="14">
        <f t="shared" si="47"/>
        <v>0.003058103976</v>
      </c>
      <c r="P45" s="13">
        <f t="shared" si="3"/>
        <v>0.04587155963</v>
      </c>
      <c r="Q45" s="13">
        <f t="shared" si="4"/>
        <v>0</v>
      </c>
      <c r="R45" s="13">
        <f t="shared" si="5"/>
        <v>0.003058103976</v>
      </c>
      <c r="S45" s="14">
        <f t="shared" si="6"/>
        <v>0.8216553508</v>
      </c>
      <c r="T45" s="14">
        <f t="shared" si="7"/>
        <v>1.002849003</v>
      </c>
      <c r="U45" s="14">
        <f t="shared" si="8"/>
        <v>0</v>
      </c>
    </row>
    <row r="46" ht="15.75" customHeight="1">
      <c r="A46" s="9">
        <v>45110.5554397107</v>
      </c>
      <c r="B46" s="10">
        <v>13.0</v>
      </c>
      <c r="C46" s="10" t="s">
        <v>71</v>
      </c>
      <c r="D46" s="10" t="s">
        <v>214</v>
      </c>
      <c r="E46" s="12" t="s">
        <v>62</v>
      </c>
      <c r="F46" s="11">
        <v>2896.0</v>
      </c>
      <c r="G46" s="11">
        <v>495.0</v>
      </c>
      <c r="H46" s="11">
        <v>493.0</v>
      </c>
      <c r="I46" s="11">
        <v>37.0</v>
      </c>
      <c r="J46" s="11">
        <v>24.0</v>
      </c>
      <c r="K46" s="11">
        <v>1.0</v>
      </c>
      <c r="L46" s="11">
        <v>2.0</v>
      </c>
      <c r="M46" s="13">
        <f t="shared" ref="M46:O46" si="48">IFERROR(G46/F46,"")</f>
        <v>0.1709254144</v>
      </c>
      <c r="N46" s="13">
        <f t="shared" si="48"/>
        <v>0.995959596</v>
      </c>
      <c r="O46" s="14">
        <f t="shared" si="48"/>
        <v>0.07505070994</v>
      </c>
      <c r="P46" s="13">
        <f t="shared" si="3"/>
        <v>0.04868154158</v>
      </c>
      <c r="Q46" s="13">
        <f t="shared" si="4"/>
        <v>0.002028397566</v>
      </c>
      <c r="R46" s="13">
        <f t="shared" si="5"/>
        <v>0.004056795132</v>
      </c>
      <c r="S46" s="14">
        <f t="shared" si="6"/>
        <v>0.8576871176</v>
      </c>
      <c r="T46" s="14">
        <f t="shared" si="7"/>
        <v>0.9987810112</v>
      </c>
      <c r="U46" s="14">
        <f t="shared" si="8"/>
        <v>0.3461329906</v>
      </c>
    </row>
    <row r="47" ht="15.75" customHeight="1">
      <c r="A47" s="9">
        <v>45111.5199392245</v>
      </c>
      <c r="B47" s="10">
        <v>12.0</v>
      </c>
      <c r="C47" s="10" t="s">
        <v>59</v>
      </c>
      <c r="D47" s="10" t="s">
        <v>217</v>
      </c>
      <c r="E47" s="12" t="s">
        <v>62</v>
      </c>
      <c r="F47" s="11">
        <v>4271.0</v>
      </c>
      <c r="G47" s="11">
        <v>1049.0</v>
      </c>
      <c r="H47" s="11">
        <v>1039.0</v>
      </c>
      <c r="I47" s="11">
        <v>40.0</v>
      </c>
      <c r="J47" s="11">
        <v>41.0</v>
      </c>
      <c r="K47" s="11">
        <v>3.0</v>
      </c>
      <c r="L47" s="11">
        <v>5.0</v>
      </c>
      <c r="M47" s="13">
        <f t="shared" ref="M47:O47" si="49">IFERROR(G47/F47,"")</f>
        <v>0.2456099274</v>
      </c>
      <c r="N47" s="13">
        <f t="shared" si="49"/>
        <v>0.9904671115</v>
      </c>
      <c r="O47" s="14">
        <f t="shared" si="49"/>
        <v>0.0384985563</v>
      </c>
      <c r="P47" s="13">
        <f t="shared" si="3"/>
        <v>0.03946102021</v>
      </c>
      <c r="Q47" s="13">
        <f t="shared" si="4"/>
        <v>0.002887391723</v>
      </c>
      <c r="R47" s="13">
        <f t="shared" si="5"/>
        <v>0.004812319538</v>
      </c>
      <c r="S47" s="14">
        <f t="shared" si="6"/>
        <v>1.23654691</v>
      </c>
      <c r="T47" s="14">
        <f t="shared" si="7"/>
        <v>0.9932809612</v>
      </c>
      <c r="U47" s="14">
        <f t="shared" si="8"/>
        <v>0.4951856233</v>
      </c>
    </row>
    <row r="48" ht="15.75" customHeight="1">
      <c r="A48" s="9">
        <v>45112.5452604861</v>
      </c>
      <c r="B48" s="10">
        <v>13.0</v>
      </c>
      <c r="C48" s="10" t="s">
        <v>80</v>
      </c>
      <c r="D48" s="10" t="s">
        <v>220</v>
      </c>
      <c r="E48" s="12" t="s">
        <v>62</v>
      </c>
      <c r="F48" s="11">
        <v>3693.0</v>
      </c>
      <c r="G48" s="11">
        <v>655.0</v>
      </c>
      <c r="H48" s="11">
        <v>655.0</v>
      </c>
      <c r="I48" s="11">
        <v>52.0</v>
      </c>
      <c r="J48" s="11">
        <v>13.0</v>
      </c>
      <c r="K48" s="11">
        <v>4.0</v>
      </c>
      <c r="L48" s="11">
        <v>1.0</v>
      </c>
      <c r="M48" s="13">
        <f t="shared" ref="M48:O48" si="50">IFERROR(G48/F48,"")</f>
        <v>0.1773625778</v>
      </c>
      <c r="N48" s="13">
        <f t="shared" si="50"/>
        <v>1</v>
      </c>
      <c r="O48" s="14">
        <f t="shared" si="50"/>
        <v>0.07938931298</v>
      </c>
      <c r="P48" s="13">
        <f t="shared" si="3"/>
        <v>0.01984732824</v>
      </c>
      <c r="Q48" s="13">
        <f t="shared" si="4"/>
        <v>0.006106870229</v>
      </c>
      <c r="R48" s="13">
        <f t="shared" si="5"/>
        <v>0.001526717557</v>
      </c>
      <c r="S48" s="14">
        <f t="shared" si="6"/>
        <v>0.8929490346</v>
      </c>
      <c r="T48" s="14">
        <f t="shared" si="7"/>
        <v>1.002840932</v>
      </c>
      <c r="U48" s="14">
        <f t="shared" si="8"/>
        <v>1.047323893</v>
      </c>
    </row>
    <row r="49" ht="15.75" customHeight="1">
      <c r="A49" s="9">
        <v>45113.4707119329</v>
      </c>
      <c r="B49" s="10">
        <v>11.0</v>
      </c>
      <c r="C49" s="10" t="s">
        <v>84</v>
      </c>
      <c r="D49" s="10" t="s">
        <v>222</v>
      </c>
      <c r="E49" s="12" t="s">
        <v>62</v>
      </c>
      <c r="F49" s="11">
        <v>3582.0</v>
      </c>
      <c r="G49" s="11">
        <v>828.0</v>
      </c>
      <c r="H49" s="11">
        <v>825.0</v>
      </c>
      <c r="I49" s="11">
        <v>89.0</v>
      </c>
      <c r="J49" s="11">
        <v>40.0</v>
      </c>
      <c r="K49" s="11">
        <v>2.0</v>
      </c>
      <c r="L49" s="11">
        <v>0.0</v>
      </c>
      <c r="M49" s="13">
        <f t="shared" ref="M49:O49" si="51">IFERROR(G49/F49,"")</f>
        <v>0.2311557789</v>
      </c>
      <c r="N49" s="13">
        <f t="shared" si="51"/>
        <v>0.9963768116</v>
      </c>
      <c r="O49" s="14">
        <f t="shared" si="51"/>
        <v>0.1078787879</v>
      </c>
      <c r="P49" s="13">
        <f t="shared" si="3"/>
        <v>0.04848484848</v>
      </c>
      <c r="Q49" s="13">
        <f t="shared" si="4"/>
        <v>0.002424242424</v>
      </c>
      <c r="R49" s="13">
        <f t="shared" si="5"/>
        <v>0</v>
      </c>
      <c r="S49" s="14">
        <f t="shared" si="6"/>
        <v>1.167660734</v>
      </c>
      <c r="T49" s="14">
        <f t="shared" si="7"/>
        <v>0.9991994088</v>
      </c>
      <c r="U49" s="14">
        <f t="shared" si="8"/>
        <v>0.4178512397</v>
      </c>
    </row>
    <row r="50" ht="15.75" customHeight="1">
      <c r="A50" s="9">
        <v>45114.5115939699</v>
      </c>
      <c r="B50" s="10">
        <v>12.0</v>
      </c>
      <c r="C50" s="10" t="s">
        <v>60</v>
      </c>
      <c r="D50" s="10" t="s">
        <v>225</v>
      </c>
      <c r="E50" s="12" t="s">
        <v>62</v>
      </c>
      <c r="F50" s="11">
        <v>2825.0</v>
      </c>
      <c r="G50" s="11">
        <v>588.0</v>
      </c>
      <c r="H50" s="11">
        <v>568.0</v>
      </c>
      <c r="I50" s="11">
        <v>62.0</v>
      </c>
      <c r="J50" s="11">
        <v>29.0</v>
      </c>
      <c r="K50" s="11">
        <v>10.0</v>
      </c>
      <c r="L50" s="11">
        <v>1.0</v>
      </c>
      <c r="M50" s="13">
        <f t="shared" ref="M50:O50" si="52">IFERROR(G50/F50,"")</f>
        <v>0.2081415929</v>
      </c>
      <c r="N50" s="13">
        <f t="shared" si="52"/>
        <v>0.9659863946</v>
      </c>
      <c r="O50" s="14">
        <f t="shared" si="52"/>
        <v>0.1091549296</v>
      </c>
      <c r="P50" s="13">
        <f t="shared" si="3"/>
        <v>0.05105633803</v>
      </c>
      <c r="Q50" s="13">
        <f t="shared" si="4"/>
        <v>0.0176056338</v>
      </c>
      <c r="R50" s="13">
        <f t="shared" si="5"/>
        <v>0.00176056338</v>
      </c>
      <c r="S50" s="14">
        <f t="shared" si="6"/>
        <v>1.060093701</v>
      </c>
      <c r="T50" s="14">
        <f t="shared" si="7"/>
        <v>0.9687228999</v>
      </c>
      <c r="U50" s="14">
        <f t="shared" si="8"/>
        <v>3.004288105</v>
      </c>
    </row>
    <row r="51" ht="15.75" customHeight="1">
      <c r="A51" s="9">
        <v>45115.7505243287</v>
      </c>
      <c r="B51" s="10">
        <v>18.0</v>
      </c>
      <c r="C51" s="10" t="s">
        <v>69</v>
      </c>
      <c r="D51" s="10" t="s">
        <v>228</v>
      </c>
      <c r="E51" s="12" t="s">
        <v>62</v>
      </c>
      <c r="F51" s="11">
        <v>8553.0</v>
      </c>
      <c r="G51" s="11">
        <v>1628.0</v>
      </c>
      <c r="H51" s="11">
        <v>1628.0</v>
      </c>
      <c r="I51" s="11">
        <v>16.0</v>
      </c>
      <c r="J51" s="11">
        <v>25.0</v>
      </c>
      <c r="K51" s="11">
        <v>1.0</v>
      </c>
      <c r="L51" s="11">
        <v>0.0</v>
      </c>
      <c r="M51" s="13">
        <f t="shared" ref="M51:O51" si="53">IFERROR(G51/F51,"")</f>
        <v>0.1903425699</v>
      </c>
      <c r="N51" s="13">
        <f t="shared" si="53"/>
        <v>1</v>
      </c>
      <c r="O51" s="14">
        <f t="shared" si="53"/>
        <v>0.009828009828</v>
      </c>
      <c r="P51" s="13">
        <f t="shared" si="3"/>
        <v>0.01535626536</v>
      </c>
      <c r="Q51" s="13">
        <f t="shared" si="4"/>
        <v>0.0006142506143</v>
      </c>
      <c r="R51" s="13">
        <f t="shared" si="5"/>
        <v>0</v>
      </c>
      <c r="S51" s="14">
        <f t="shared" si="6"/>
        <v>0.9777117774</v>
      </c>
      <c r="T51" s="14">
        <f t="shared" si="7"/>
        <v>1.002840932</v>
      </c>
      <c r="U51" s="14">
        <f t="shared" si="8"/>
        <v>0.1026570801</v>
      </c>
    </row>
    <row r="52" ht="15.75" customHeight="1">
      <c r="A52" s="9">
        <v>45116.4933440394</v>
      </c>
      <c r="B52" s="10">
        <v>11.0</v>
      </c>
      <c r="C52" s="10" t="s">
        <v>77</v>
      </c>
      <c r="D52" s="10" t="s">
        <v>230</v>
      </c>
      <c r="E52" s="12" t="s">
        <v>62</v>
      </c>
      <c r="F52" s="11">
        <v>1402.0</v>
      </c>
      <c r="G52" s="11">
        <v>124.0</v>
      </c>
      <c r="H52" s="11">
        <v>124.0</v>
      </c>
      <c r="I52" s="11">
        <v>1.0</v>
      </c>
      <c r="J52" s="11">
        <v>6.0</v>
      </c>
      <c r="K52" s="11">
        <v>0.0</v>
      </c>
      <c r="L52" s="11">
        <v>0.0</v>
      </c>
      <c r="M52" s="13">
        <f t="shared" ref="M52:O52" si="54">IFERROR(G52/F52,"")</f>
        <v>0.08844507846</v>
      </c>
      <c r="N52" s="13">
        <f t="shared" si="54"/>
        <v>1</v>
      </c>
      <c r="O52" s="14">
        <f t="shared" si="54"/>
        <v>0.008064516129</v>
      </c>
      <c r="P52" s="13">
        <f t="shared" si="3"/>
        <v>0.04838709677</v>
      </c>
      <c r="Q52" s="13">
        <f t="shared" si="4"/>
        <v>0</v>
      </c>
      <c r="R52" s="13">
        <f t="shared" si="5"/>
        <v>0</v>
      </c>
      <c r="S52" s="14">
        <f t="shared" si="6"/>
        <v>0.4543061225</v>
      </c>
      <c r="T52" s="14">
        <f t="shared" si="7"/>
        <v>1.002840932</v>
      </c>
      <c r="U52" s="14">
        <f t="shared" si="8"/>
        <v>0</v>
      </c>
    </row>
    <row r="53" ht="15.75" customHeight="1">
      <c r="A53" s="9">
        <v>45117.4320880787</v>
      </c>
      <c r="B53" s="10">
        <v>10.0</v>
      </c>
      <c r="C53" s="10" t="s">
        <v>71</v>
      </c>
      <c r="D53" s="10" t="s">
        <v>233</v>
      </c>
      <c r="E53" s="12" t="s">
        <v>62</v>
      </c>
      <c r="F53" s="11">
        <v>2251.0</v>
      </c>
      <c r="G53" s="11">
        <v>386.0</v>
      </c>
      <c r="H53" s="11">
        <v>386.0</v>
      </c>
      <c r="I53" s="11">
        <v>7.0</v>
      </c>
      <c r="J53" s="11">
        <v>16.0</v>
      </c>
      <c r="K53" s="11">
        <v>1.0</v>
      </c>
      <c r="L53" s="11">
        <v>0.0</v>
      </c>
      <c r="M53" s="13">
        <f t="shared" ref="M53:O53" si="55">IFERROR(G53/F53,"")</f>
        <v>0.1714793425</v>
      </c>
      <c r="N53" s="13">
        <f t="shared" si="55"/>
        <v>1</v>
      </c>
      <c r="O53" s="14">
        <f t="shared" si="55"/>
        <v>0.01813471503</v>
      </c>
      <c r="P53" s="13">
        <f t="shared" si="3"/>
        <v>0.0414507772</v>
      </c>
      <c r="Q53" s="13">
        <f t="shared" si="4"/>
        <v>0.002590673575</v>
      </c>
      <c r="R53" s="13">
        <f t="shared" si="5"/>
        <v>0</v>
      </c>
      <c r="S53" s="14">
        <f t="shared" si="6"/>
        <v>0.8883986276</v>
      </c>
      <c r="T53" s="14">
        <f t="shared" si="7"/>
        <v>1.002849003</v>
      </c>
      <c r="U53" s="14">
        <f t="shared" si="8"/>
        <v>0.4242227979</v>
      </c>
    </row>
    <row r="54" ht="15.75" customHeight="1">
      <c r="A54" s="9">
        <v>45118.4831998611</v>
      </c>
      <c r="B54" s="10">
        <v>11.0</v>
      </c>
      <c r="C54" s="10" t="s">
        <v>59</v>
      </c>
      <c r="D54" s="10" t="s">
        <v>237</v>
      </c>
      <c r="E54" s="12" t="s">
        <v>62</v>
      </c>
      <c r="F54" s="11">
        <v>3230.0</v>
      </c>
      <c r="G54" s="11">
        <v>564.0</v>
      </c>
      <c r="H54" s="11">
        <v>563.0</v>
      </c>
      <c r="I54" s="11">
        <v>80.0</v>
      </c>
      <c r="J54" s="11">
        <v>28.0</v>
      </c>
      <c r="K54" s="11">
        <v>3.0</v>
      </c>
      <c r="L54" s="11">
        <v>1.0</v>
      </c>
      <c r="M54" s="13">
        <f t="shared" ref="M54:O54" si="56">IFERROR(G54/F54,"")</f>
        <v>0.1746130031</v>
      </c>
      <c r="N54" s="13">
        <f t="shared" si="56"/>
        <v>0.9982269504</v>
      </c>
      <c r="O54" s="14">
        <f t="shared" si="56"/>
        <v>0.1420959147</v>
      </c>
      <c r="P54" s="13">
        <f t="shared" si="3"/>
        <v>0.04973357016</v>
      </c>
      <c r="Q54" s="13">
        <f t="shared" si="4"/>
        <v>0.005328596803</v>
      </c>
      <c r="R54" s="13">
        <f t="shared" si="5"/>
        <v>0.001776198934</v>
      </c>
      <c r="S54" s="14">
        <f t="shared" si="6"/>
        <v>0.9071381355</v>
      </c>
      <c r="T54" s="14">
        <f t="shared" si="7"/>
        <v>1.001161383</v>
      </c>
      <c r="U54" s="14">
        <f t="shared" si="8"/>
        <v>0.8629050426</v>
      </c>
    </row>
    <row r="55" ht="15.75" customHeight="1">
      <c r="A55" s="9">
        <v>45119.4505677315</v>
      </c>
      <c r="B55" s="10">
        <v>10.0</v>
      </c>
      <c r="C55" s="10" t="s">
        <v>80</v>
      </c>
      <c r="D55" s="10" t="s">
        <v>240</v>
      </c>
      <c r="E55" s="12" t="s">
        <v>62</v>
      </c>
      <c r="F55" s="11">
        <v>3702.0</v>
      </c>
      <c r="G55" s="11">
        <v>864.0</v>
      </c>
      <c r="H55" s="11">
        <v>862.0</v>
      </c>
      <c r="I55" s="11">
        <v>1.0</v>
      </c>
      <c r="J55" s="11">
        <v>11.0</v>
      </c>
      <c r="K55" s="11">
        <v>0.0</v>
      </c>
      <c r="L55" s="11">
        <v>0.0</v>
      </c>
      <c r="M55" s="13">
        <f t="shared" ref="M55:O55" si="57">IFERROR(G55/F55,"")</f>
        <v>0.2333873582</v>
      </c>
      <c r="N55" s="13">
        <f t="shared" si="57"/>
        <v>0.9976851852</v>
      </c>
      <c r="O55" s="14">
        <f t="shared" si="57"/>
        <v>0.001160092807</v>
      </c>
      <c r="P55" s="13">
        <f t="shared" si="3"/>
        <v>0.01276102088</v>
      </c>
      <c r="Q55" s="13">
        <f t="shared" si="4"/>
        <v>0</v>
      </c>
      <c r="R55" s="13">
        <f t="shared" si="5"/>
        <v>0</v>
      </c>
      <c r="S55" s="14">
        <f t="shared" si="6"/>
        <v>1.215845171</v>
      </c>
      <c r="T55" s="14">
        <f t="shared" si="7"/>
        <v>1.000527593</v>
      </c>
      <c r="U55" s="14">
        <f t="shared" si="8"/>
        <v>0</v>
      </c>
    </row>
    <row r="56" ht="15.75" customHeight="1">
      <c r="A56" s="9">
        <v>45120.4724605208</v>
      </c>
      <c r="B56" s="10">
        <v>11.0</v>
      </c>
      <c r="C56" s="10" t="s">
        <v>84</v>
      </c>
      <c r="D56" s="10" t="s">
        <v>243</v>
      </c>
      <c r="E56" s="12" t="s">
        <v>62</v>
      </c>
      <c r="F56" s="11">
        <v>3218.0</v>
      </c>
      <c r="G56" s="11">
        <v>559.0</v>
      </c>
      <c r="H56" s="11">
        <v>554.0</v>
      </c>
      <c r="I56" s="11">
        <v>54.0</v>
      </c>
      <c r="J56" s="11">
        <v>26.0</v>
      </c>
      <c r="K56" s="11">
        <v>3.0</v>
      </c>
      <c r="L56" s="11">
        <v>3.0</v>
      </c>
      <c r="M56" s="13">
        <f t="shared" ref="M56:O56" si="58">IFERROR(G56/F56,"")</f>
        <v>0.1737103791</v>
      </c>
      <c r="N56" s="13">
        <f t="shared" si="58"/>
        <v>0.9910554562</v>
      </c>
      <c r="O56" s="14">
        <f t="shared" si="58"/>
        <v>0.09747292419</v>
      </c>
      <c r="P56" s="13">
        <f t="shared" si="3"/>
        <v>0.04693140794</v>
      </c>
      <c r="Q56" s="13">
        <f t="shared" si="4"/>
        <v>0.005415162455</v>
      </c>
      <c r="R56" s="13">
        <f t="shared" si="5"/>
        <v>0.005415162455</v>
      </c>
      <c r="S56" s="14">
        <f t="shared" si="6"/>
        <v>0.9049544383</v>
      </c>
      <c r="T56" s="14">
        <f t="shared" si="7"/>
        <v>0.993878976</v>
      </c>
      <c r="U56" s="14">
        <f t="shared" si="8"/>
        <v>0.8718411552</v>
      </c>
    </row>
    <row r="57" ht="15.75" customHeight="1">
      <c r="A57" s="9">
        <v>45121.5156067477</v>
      </c>
      <c r="B57" s="10">
        <v>12.0</v>
      </c>
      <c r="C57" s="10" t="s">
        <v>60</v>
      </c>
      <c r="D57" s="10" t="s">
        <v>246</v>
      </c>
      <c r="E57" s="12" t="s">
        <v>62</v>
      </c>
      <c r="F57" s="11">
        <v>3924.0</v>
      </c>
      <c r="G57" s="11">
        <v>782.0</v>
      </c>
      <c r="H57" s="11">
        <v>781.0</v>
      </c>
      <c r="I57" s="11">
        <v>140.0</v>
      </c>
      <c r="J57" s="11">
        <v>23.0</v>
      </c>
      <c r="K57" s="11">
        <v>1.0</v>
      </c>
      <c r="L57" s="11">
        <v>6.0</v>
      </c>
      <c r="M57" s="13">
        <f t="shared" ref="M57:O57" si="59">IFERROR(G57/F57,"")</f>
        <v>0.1992864424</v>
      </c>
      <c r="N57" s="13">
        <f t="shared" si="59"/>
        <v>0.9987212276</v>
      </c>
      <c r="O57" s="14">
        <f t="shared" si="59"/>
        <v>0.1792573624</v>
      </c>
      <c r="P57" s="13">
        <f t="shared" si="3"/>
        <v>0.02944942382</v>
      </c>
      <c r="Q57" s="13">
        <f t="shared" si="4"/>
        <v>0.001280409731</v>
      </c>
      <c r="R57" s="13">
        <f t="shared" si="5"/>
        <v>0.007682458387</v>
      </c>
      <c r="S57" s="14">
        <f t="shared" si="6"/>
        <v>1.038194444</v>
      </c>
      <c r="T57" s="14">
        <f t="shared" si="7"/>
        <v>1.001566587</v>
      </c>
      <c r="U57" s="14">
        <f t="shared" si="8"/>
        <v>0.2061459667</v>
      </c>
    </row>
    <row r="58" ht="15.75" customHeight="1">
      <c r="A58" s="9">
        <v>45122.4941371991</v>
      </c>
      <c r="B58" s="10">
        <v>11.0</v>
      </c>
      <c r="C58" s="10" t="s">
        <v>69</v>
      </c>
      <c r="D58" s="10" t="s">
        <v>249</v>
      </c>
      <c r="E58" s="12" t="s">
        <v>62</v>
      </c>
      <c r="F58" s="11">
        <v>2078.0</v>
      </c>
      <c r="G58" s="11">
        <v>408.0</v>
      </c>
      <c r="H58" s="11">
        <v>407.0</v>
      </c>
      <c r="I58" s="11">
        <v>6.0</v>
      </c>
      <c r="J58" s="11">
        <v>24.0</v>
      </c>
      <c r="K58" s="11">
        <v>2.0</v>
      </c>
      <c r="L58" s="11">
        <v>0.0</v>
      </c>
      <c r="M58" s="13">
        <f t="shared" ref="M58:O58" si="60">IFERROR(G58/F58,"")</f>
        <v>0.1963426372</v>
      </c>
      <c r="N58" s="13">
        <f t="shared" si="60"/>
        <v>0.9975490196</v>
      </c>
      <c r="O58" s="14">
        <f t="shared" si="60"/>
        <v>0.01474201474</v>
      </c>
      <c r="P58" s="13">
        <f t="shared" si="3"/>
        <v>0.05896805897</v>
      </c>
      <c r="Q58" s="13">
        <f t="shared" si="4"/>
        <v>0.004914004914</v>
      </c>
      <c r="R58" s="13">
        <f t="shared" si="5"/>
        <v>0</v>
      </c>
      <c r="S58" s="14">
        <f t="shared" si="6"/>
        <v>1.022858518</v>
      </c>
      <c r="T58" s="14">
        <f t="shared" si="7"/>
        <v>1.00039104</v>
      </c>
      <c r="U58" s="14">
        <f t="shared" si="8"/>
        <v>0.7911547912</v>
      </c>
    </row>
    <row r="59" ht="15.75" customHeight="1">
      <c r="A59" s="9">
        <v>45123.4872357176</v>
      </c>
      <c r="B59" s="10">
        <v>11.0</v>
      </c>
      <c r="C59" s="10" t="s">
        <v>77</v>
      </c>
      <c r="D59" s="10" t="s">
        <v>252</v>
      </c>
      <c r="E59" s="12" t="s">
        <v>62</v>
      </c>
      <c r="F59" s="11">
        <v>1728.0</v>
      </c>
      <c r="G59" s="11">
        <v>259.0</v>
      </c>
      <c r="H59" s="11">
        <v>259.0</v>
      </c>
      <c r="I59" s="11">
        <v>7.0</v>
      </c>
      <c r="J59" s="11">
        <v>19.0</v>
      </c>
      <c r="K59" s="11">
        <v>17.0</v>
      </c>
      <c r="L59" s="11">
        <v>1.0</v>
      </c>
      <c r="M59" s="13">
        <f t="shared" ref="M59:O59" si="61">IFERROR(G59/F59,"")</f>
        <v>0.1498842593</v>
      </c>
      <c r="N59" s="13">
        <f t="shared" si="61"/>
        <v>1</v>
      </c>
      <c r="O59" s="14">
        <f t="shared" si="61"/>
        <v>0.02702702703</v>
      </c>
      <c r="P59" s="13">
        <f t="shared" si="3"/>
        <v>0.07335907336</v>
      </c>
      <c r="Q59" s="13">
        <f t="shared" si="4"/>
        <v>0.06563706564</v>
      </c>
      <c r="R59" s="13">
        <f t="shared" si="5"/>
        <v>0.003861003861</v>
      </c>
      <c r="S59" s="14">
        <f t="shared" si="6"/>
        <v>0.7808308653</v>
      </c>
      <c r="T59" s="14">
        <f t="shared" si="7"/>
        <v>1.002849003</v>
      </c>
      <c r="U59" s="14">
        <f t="shared" si="8"/>
        <v>10.56756757</v>
      </c>
    </row>
    <row r="60" ht="15.75" customHeight="1">
      <c r="A60" s="9">
        <v>45124.5286774074</v>
      </c>
      <c r="B60" s="10">
        <v>12.0</v>
      </c>
      <c r="C60" s="10" t="s">
        <v>71</v>
      </c>
      <c r="D60" s="10" t="s">
        <v>255</v>
      </c>
      <c r="E60" s="12" t="s">
        <v>62</v>
      </c>
      <c r="F60" s="11">
        <v>2215.0</v>
      </c>
      <c r="G60" s="11">
        <v>286.0</v>
      </c>
      <c r="H60" s="11">
        <v>285.0</v>
      </c>
      <c r="I60" s="11">
        <v>4.0</v>
      </c>
      <c r="J60" s="11">
        <v>16.0</v>
      </c>
      <c r="K60" s="11">
        <v>2.0</v>
      </c>
      <c r="L60" s="11">
        <v>0.0</v>
      </c>
      <c r="M60" s="13">
        <f t="shared" ref="M60:O60" si="62">IFERROR(G60/F60,"")</f>
        <v>0.1291196388</v>
      </c>
      <c r="N60" s="13">
        <f t="shared" si="62"/>
        <v>0.9965034965</v>
      </c>
      <c r="O60" s="14">
        <f t="shared" si="62"/>
        <v>0.01403508772</v>
      </c>
      <c r="P60" s="13">
        <f t="shared" si="3"/>
        <v>0.05614035088</v>
      </c>
      <c r="Q60" s="13">
        <f t="shared" si="4"/>
        <v>0.00701754386</v>
      </c>
      <c r="R60" s="13">
        <f t="shared" si="5"/>
        <v>0</v>
      </c>
      <c r="S60" s="14">
        <f t="shared" si="6"/>
        <v>0.6726563537</v>
      </c>
      <c r="T60" s="14">
        <f t="shared" si="7"/>
        <v>0.9993425378</v>
      </c>
      <c r="U60" s="14">
        <f t="shared" si="8"/>
        <v>1.129824561</v>
      </c>
    </row>
    <row r="61" ht="15.75" customHeight="1">
      <c r="A61" s="9">
        <v>45125.5023266088</v>
      </c>
      <c r="B61" s="10">
        <v>12.0</v>
      </c>
      <c r="C61" s="10" t="s">
        <v>59</v>
      </c>
      <c r="D61" s="10" t="s">
        <v>258</v>
      </c>
      <c r="E61" s="12" t="s">
        <v>62</v>
      </c>
      <c r="F61" s="11">
        <v>3140.0</v>
      </c>
      <c r="G61" s="11">
        <v>1093.0</v>
      </c>
      <c r="H61" s="11">
        <v>1092.0</v>
      </c>
      <c r="I61" s="11">
        <v>18.0</v>
      </c>
      <c r="J61" s="11">
        <v>31.0</v>
      </c>
      <c r="K61" s="11">
        <v>2.0</v>
      </c>
      <c r="L61" s="11">
        <v>0.0</v>
      </c>
      <c r="M61" s="13">
        <f t="shared" ref="M61:O61" si="63">IFERROR(G61/F61,"")</f>
        <v>0.348089172</v>
      </c>
      <c r="N61" s="13">
        <f t="shared" si="63"/>
        <v>0.9990850869</v>
      </c>
      <c r="O61" s="14">
        <f t="shared" si="63"/>
        <v>0.01648351648</v>
      </c>
      <c r="P61" s="13">
        <f t="shared" si="3"/>
        <v>0.02838827839</v>
      </c>
      <c r="Q61" s="13">
        <f t="shared" si="4"/>
        <v>0.001831501832</v>
      </c>
      <c r="R61" s="13">
        <f t="shared" si="5"/>
        <v>0</v>
      </c>
      <c r="S61" s="14">
        <f t="shared" si="6"/>
        <v>1.813391017</v>
      </c>
      <c r="T61" s="14">
        <f t="shared" si="7"/>
        <v>1.001931483</v>
      </c>
      <c r="U61" s="14">
        <f t="shared" si="8"/>
        <v>0.2948717949</v>
      </c>
    </row>
    <row r="62" ht="15.75" customHeight="1">
      <c r="A62" s="9">
        <v>45126.4855091898</v>
      </c>
      <c r="B62" s="10">
        <v>11.0</v>
      </c>
      <c r="C62" s="10" t="s">
        <v>80</v>
      </c>
      <c r="D62" s="10" t="s">
        <v>261</v>
      </c>
      <c r="E62" s="12" t="s">
        <v>62</v>
      </c>
      <c r="F62" s="11">
        <v>2039.0</v>
      </c>
      <c r="G62" s="11">
        <v>377.0</v>
      </c>
      <c r="H62" s="11">
        <v>378.0</v>
      </c>
      <c r="I62" s="11">
        <v>10.0</v>
      </c>
      <c r="J62" s="11">
        <v>36.0</v>
      </c>
      <c r="K62" s="11">
        <v>1.0</v>
      </c>
      <c r="L62" s="11">
        <v>1.0</v>
      </c>
      <c r="M62" s="13">
        <f t="shared" ref="M62:O62" si="64">IFERROR(G62/F62,"")</f>
        <v>0.1848945562</v>
      </c>
      <c r="N62" s="13">
        <f t="shared" si="64"/>
        <v>1.00265252</v>
      </c>
      <c r="O62" s="14">
        <f t="shared" si="64"/>
        <v>0.02645502646</v>
      </c>
      <c r="P62" s="13">
        <f t="shared" si="3"/>
        <v>0.09523809524</v>
      </c>
      <c r="Q62" s="13">
        <f t="shared" si="4"/>
        <v>0.002645502646</v>
      </c>
      <c r="R62" s="13">
        <f t="shared" si="5"/>
        <v>0.002645502646</v>
      </c>
      <c r="S62" s="14">
        <f t="shared" si="6"/>
        <v>0.9605521924</v>
      </c>
      <c r="T62" s="14">
        <f t="shared" si="7"/>
        <v>1.005599962</v>
      </c>
      <c r="U62" s="14">
        <f t="shared" si="8"/>
        <v>0.424820773</v>
      </c>
    </row>
    <row r="63" ht="15.75" customHeight="1">
      <c r="A63" s="9">
        <v>45127.508626169</v>
      </c>
      <c r="B63" s="10">
        <v>12.0</v>
      </c>
      <c r="C63" s="10" t="s">
        <v>84</v>
      </c>
      <c r="D63" s="10" t="s">
        <v>263</v>
      </c>
      <c r="E63" s="12" t="s">
        <v>62</v>
      </c>
      <c r="F63" s="11">
        <v>2730.0</v>
      </c>
      <c r="G63" s="11">
        <v>601.0</v>
      </c>
      <c r="H63" s="11">
        <v>600.0</v>
      </c>
      <c r="I63" s="11">
        <v>16.0</v>
      </c>
      <c r="J63" s="11">
        <v>23.0</v>
      </c>
      <c r="K63" s="11">
        <v>2.0</v>
      </c>
      <c r="L63" s="11">
        <v>0.0</v>
      </c>
      <c r="M63" s="13">
        <f t="shared" ref="M63:O63" si="65">IFERROR(G63/F63,"")</f>
        <v>0.2201465201</v>
      </c>
      <c r="N63" s="13">
        <f t="shared" si="65"/>
        <v>0.9983361065</v>
      </c>
      <c r="O63" s="14">
        <f t="shared" si="65"/>
        <v>0.02666666667</v>
      </c>
      <c r="P63" s="13">
        <f t="shared" si="3"/>
        <v>0.03833333333</v>
      </c>
      <c r="Q63" s="13">
        <f t="shared" si="4"/>
        <v>0.003333333333</v>
      </c>
      <c r="R63" s="13">
        <f t="shared" si="5"/>
        <v>0</v>
      </c>
      <c r="S63" s="14">
        <f t="shared" si="6"/>
        <v>1.140533102</v>
      </c>
      <c r="T63" s="14">
        <f t="shared" si="7"/>
        <v>1.001361367</v>
      </c>
      <c r="U63" s="14">
        <f t="shared" si="8"/>
        <v>0.5338888889</v>
      </c>
    </row>
    <row r="64" ht="15.75" customHeight="1">
      <c r="A64" s="9">
        <v>45128.5313911574</v>
      </c>
      <c r="B64" s="10">
        <v>12.0</v>
      </c>
      <c r="C64" s="10" t="s">
        <v>60</v>
      </c>
      <c r="D64" s="10" t="s">
        <v>267</v>
      </c>
      <c r="E64" s="12" t="s">
        <v>62</v>
      </c>
      <c r="F64" s="11">
        <v>1834.0</v>
      </c>
      <c r="G64" s="11">
        <v>354.0</v>
      </c>
      <c r="H64" s="11">
        <v>353.0</v>
      </c>
      <c r="I64" s="11">
        <v>4.0</v>
      </c>
      <c r="J64" s="11">
        <v>20.0</v>
      </c>
      <c r="K64" s="11">
        <v>0.0</v>
      </c>
      <c r="L64" s="11">
        <v>1.0</v>
      </c>
      <c r="M64" s="13">
        <f t="shared" ref="M64:O64" si="66">IFERROR(G64/F64,"")</f>
        <v>0.1930207197</v>
      </c>
      <c r="N64" s="13">
        <f t="shared" si="66"/>
        <v>0.9971751412</v>
      </c>
      <c r="O64" s="14">
        <f t="shared" si="66"/>
        <v>0.01133144476</v>
      </c>
      <c r="P64" s="13">
        <f t="shared" si="3"/>
        <v>0.0566572238</v>
      </c>
      <c r="Q64" s="13">
        <f t="shared" si="4"/>
        <v>0</v>
      </c>
      <c r="R64" s="13">
        <f t="shared" si="5"/>
        <v>0.00283286119</v>
      </c>
      <c r="S64" s="14">
        <f t="shared" si="6"/>
        <v>1</v>
      </c>
      <c r="T64" s="14">
        <f t="shared" si="7"/>
        <v>1.000196884</v>
      </c>
      <c r="U64" s="14">
        <f t="shared" si="8"/>
        <v>0</v>
      </c>
    </row>
    <row r="65" ht="15.75" customHeight="1">
      <c r="A65" s="9">
        <v>45129.5026326042</v>
      </c>
      <c r="B65" s="10">
        <v>12.0</v>
      </c>
      <c r="C65" s="10" t="s">
        <v>69</v>
      </c>
      <c r="D65" s="10" t="s">
        <v>270</v>
      </c>
      <c r="E65" s="12" t="s">
        <v>62</v>
      </c>
      <c r="F65" s="11">
        <v>2707.0</v>
      </c>
      <c r="G65" s="11">
        <v>493.0</v>
      </c>
      <c r="H65" s="11">
        <v>493.0</v>
      </c>
      <c r="I65" s="11">
        <v>12.0</v>
      </c>
      <c r="J65" s="11">
        <v>26.0</v>
      </c>
      <c r="K65" s="11">
        <v>2.0</v>
      </c>
      <c r="L65" s="11">
        <v>1.0</v>
      </c>
      <c r="M65" s="13">
        <f t="shared" ref="M65:O65" si="67">IFERROR(G65/F65,"")</f>
        <v>0.1821204285</v>
      </c>
      <c r="N65" s="13">
        <f t="shared" si="67"/>
        <v>1</v>
      </c>
      <c r="O65" s="14">
        <f t="shared" si="67"/>
        <v>0.02434077079</v>
      </c>
      <c r="P65" s="13">
        <f t="shared" si="3"/>
        <v>0.05273833671</v>
      </c>
      <c r="Q65" s="13">
        <f t="shared" si="4"/>
        <v>0.004056795132</v>
      </c>
      <c r="R65" s="13">
        <f t="shared" si="5"/>
        <v>0.002028397566</v>
      </c>
      <c r="S65" s="14">
        <f t="shared" si="6"/>
        <v>0.9435278698</v>
      </c>
      <c r="T65" s="14">
        <f t="shared" si="7"/>
        <v>1.003030303</v>
      </c>
      <c r="U65" s="14">
        <f t="shared" si="8"/>
        <v>0.6497633536</v>
      </c>
    </row>
    <row r="66" ht="15.75" customHeight="1">
      <c r="A66" s="9">
        <v>45130.4991981366</v>
      </c>
      <c r="B66" s="10">
        <v>11.0</v>
      </c>
      <c r="C66" s="10" t="s">
        <v>77</v>
      </c>
      <c r="D66" s="10" t="s">
        <v>273</v>
      </c>
      <c r="E66" s="12" t="s">
        <v>62</v>
      </c>
      <c r="F66" s="11">
        <v>3228.0</v>
      </c>
      <c r="G66" s="11">
        <v>693.0</v>
      </c>
      <c r="H66" s="11">
        <v>692.0</v>
      </c>
      <c r="I66" s="11">
        <v>22.0</v>
      </c>
      <c r="J66" s="11">
        <v>36.0</v>
      </c>
      <c r="K66" s="11">
        <v>6.0</v>
      </c>
      <c r="L66" s="11">
        <v>1.0</v>
      </c>
      <c r="M66" s="13">
        <f t="shared" ref="M66:O66" si="68">IFERROR(G66/F66,"")</f>
        <v>0.2146840149</v>
      </c>
      <c r="N66" s="13">
        <f t="shared" si="68"/>
        <v>0.9985569986</v>
      </c>
      <c r="O66" s="14">
        <f t="shared" si="68"/>
        <v>0.03179190751</v>
      </c>
      <c r="P66" s="13">
        <f t="shared" si="3"/>
        <v>0.05202312139</v>
      </c>
      <c r="Q66" s="13">
        <f t="shared" si="4"/>
        <v>0.008670520231</v>
      </c>
      <c r="R66" s="13">
        <f t="shared" si="5"/>
        <v>0.001445086705</v>
      </c>
      <c r="S66" s="14">
        <f t="shared" si="6"/>
        <v>1.102743805</v>
      </c>
      <c r="T66" s="14">
        <f t="shared" si="7"/>
        <v>1.001492401</v>
      </c>
      <c r="U66" s="14">
        <f t="shared" si="8"/>
        <v>1.392331667</v>
      </c>
    </row>
    <row r="67" ht="15.75" customHeight="1">
      <c r="A67" s="9">
        <v>45131.4769328125</v>
      </c>
      <c r="B67" s="10">
        <v>11.0</v>
      </c>
      <c r="C67" s="10" t="s">
        <v>71</v>
      </c>
      <c r="D67" s="10" t="s">
        <v>275</v>
      </c>
      <c r="E67" s="12" t="s">
        <v>62</v>
      </c>
      <c r="F67" s="11">
        <v>1956.0</v>
      </c>
      <c r="G67" s="11">
        <v>375.0</v>
      </c>
      <c r="H67" s="11">
        <v>373.0</v>
      </c>
      <c r="I67" s="11">
        <v>5.0</v>
      </c>
      <c r="J67" s="11">
        <v>29.0</v>
      </c>
      <c r="K67" s="11">
        <v>7.0</v>
      </c>
      <c r="L67" s="11">
        <v>0.0</v>
      </c>
      <c r="M67" s="13">
        <f t="shared" ref="M67:O67" si="69">IFERROR(G67/F67,"")</f>
        <v>0.1917177914</v>
      </c>
      <c r="N67" s="13">
        <f t="shared" si="69"/>
        <v>0.9946666667</v>
      </c>
      <c r="O67" s="14">
        <f t="shared" si="69"/>
        <v>0.01340482574</v>
      </c>
      <c r="P67" s="13">
        <f t="shared" si="3"/>
        <v>0.07774798928</v>
      </c>
      <c r="Q67" s="13">
        <f t="shared" si="4"/>
        <v>0.01876675603</v>
      </c>
      <c r="R67" s="13">
        <f t="shared" si="5"/>
        <v>0</v>
      </c>
      <c r="S67" s="14">
        <f t="shared" si="6"/>
        <v>0.9847757269</v>
      </c>
      <c r="T67" s="14">
        <f t="shared" si="7"/>
        <v>0.9975906333</v>
      </c>
      <c r="U67" s="14">
        <f t="shared" si="8"/>
        <v>3.01360795</v>
      </c>
    </row>
    <row r="68" ht="15.75" customHeight="1">
      <c r="A68" s="9">
        <v>45132.4771162153</v>
      </c>
      <c r="B68" s="10">
        <v>11.0</v>
      </c>
      <c r="C68" s="10" t="s">
        <v>59</v>
      </c>
      <c r="D68" s="10" t="s">
        <v>278</v>
      </c>
      <c r="E68" s="12" t="s">
        <v>62</v>
      </c>
      <c r="F68" s="11">
        <v>2948.0</v>
      </c>
      <c r="G68" s="11">
        <v>621.0</v>
      </c>
      <c r="H68" s="11">
        <v>621.0</v>
      </c>
      <c r="I68" s="11">
        <v>31.0</v>
      </c>
      <c r="J68" s="11">
        <v>23.0</v>
      </c>
      <c r="K68" s="11">
        <v>0.0</v>
      </c>
      <c r="L68" s="11">
        <v>0.0</v>
      </c>
      <c r="M68" s="13">
        <f t="shared" ref="M68:O68" si="70">IFERROR(G68/F68,"")</f>
        <v>0.210651289</v>
      </c>
      <c r="N68" s="13">
        <f t="shared" si="70"/>
        <v>1</v>
      </c>
      <c r="O68" s="14">
        <f t="shared" si="70"/>
        <v>0.0499194847</v>
      </c>
      <c r="P68" s="13">
        <f t="shared" si="3"/>
        <v>0.03703703704</v>
      </c>
      <c r="Q68" s="13">
        <f t="shared" si="4"/>
        <v>0</v>
      </c>
      <c r="R68" s="13">
        <f t="shared" si="5"/>
        <v>0</v>
      </c>
      <c r="S68" s="14">
        <f t="shared" si="6"/>
        <v>1.091340294</v>
      </c>
      <c r="T68" s="14">
        <f t="shared" si="7"/>
        <v>1.002849003</v>
      </c>
      <c r="U68" s="14">
        <f t="shared" si="8"/>
        <v>0</v>
      </c>
    </row>
    <row r="69" ht="15.75" customHeight="1">
      <c r="A69" s="9">
        <v>45133.459212419</v>
      </c>
      <c r="B69" s="10">
        <v>11.0</v>
      </c>
      <c r="C69" s="10" t="s">
        <v>80</v>
      </c>
      <c r="D69" s="10" t="s">
        <v>282</v>
      </c>
      <c r="E69" s="12" t="s">
        <v>62</v>
      </c>
      <c r="F69" s="11">
        <v>2557.0</v>
      </c>
      <c r="G69" s="11">
        <v>572.0</v>
      </c>
      <c r="H69" s="11">
        <v>569.0</v>
      </c>
      <c r="I69" s="11">
        <v>19.0</v>
      </c>
      <c r="J69" s="11">
        <v>38.0</v>
      </c>
      <c r="K69" s="11">
        <v>10.0</v>
      </c>
      <c r="L69" s="11">
        <v>1.0</v>
      </c>
      <c r="M69" s="13">
        <f t="shared" ref="M69:O69" si="71">IFERROR(G69/F69,"")</f>
        <v>0.223699648</v>
      </c>
      <c r="N69" s="13">
        <f t="shared" si="71"/>
        <v>0.9947552448</v>
      </c>
      <c r="O69" s="14">
        <f t="shared" si="71"/>
        <v>0.03339191564</v>
      </c>
      <c r="P69" s="13">
        <f t="shared" si="3"/>
        <v>0.06678383128</v>
      </c>
      <c r="Q69" s="13">
        <f t="shared" si="4"/>
        <v>0.01757469244</v>
      </c>
      <c r="R69" s="13">
        <f t="shared" si="5"/>
        <v>0.001757469244</v>
      </c>
      <c r="S69" s="14">
        <f t="shared" si="6"/>
        <v>1.158941114</v>
      </c>
      <c r="T69" s="14">
        <f t="shared" si="7"/>
        <v>0.9975893053</v>
      </c>
      <c r="U69" s="14">
        <f t="shared" si="8"/>
        <v>2.814879906</v>
      </c>
    </row>
    <row r="70" ht="15.75" customHeight="1">
      <c r="A70" s="9">
        <v>45134.4431479051</v>
      </c>
      <c r="B70" s="10">
        <v>10.0</v>
      </c>
      <c r="C70" s="10" t="s">
        <v>84</v>
      </c>
      <c r="D70" s="10" t="s">
        <v>285</v>
      </c>
      <c r="E70" s="12" t="s">
        <v>62</v>
      </c>
      <c r="F70" s="11">
        <v>7851.0</v>
      </c>
      <c r="G70" s="11">
        <v>1382.0</v>
      </c>
      <c r="H70" s="11">
        <v>1381.0</v>
      </c>
      <c r="I70" s="11">
        <v>26.0</v>
      </c>
      <c r="J70" s="11">
        <v>34.0</v>
      </c>
      <c r="K70" s="11">
        <v>5.0</v>
      </c>
      <c r="L70" s="11">
        <v>1.0</v>
      </c>
      <c r="M70" s="13">
        <f t="shared" ref="M70:O70" si="72">IFERROR(G70/F70,"")</f>
        <v>0.1760285314</v>
      </c>
      <c r="N70" s="13">
        <f t="shared" si="72"/>
        <v>0.999276411</v>
      </c>
      <c r="O70" s="14">
        <f t="shared" si="72"/>
        <v>0.018826937</v>
      </c>
      <c r="P70" s="13">
        <f t="shared" si="3"/>
        <v>0.0246198407</v>
      </c>
      <c r="Q70" s="13">
        <f t="shared" si="4"/>
        <v>0.003620564808</v>
      </c>
      <c r="R70" s="13">
        <f t="shared" si="5"/>
        <v>0.0007241129616</v>
      </c>
      <c r="S70" s="14">
        <f t="shared" si="6"/>
        <v>0.9119670242</v>
      </c>
      <c r="T70" s="14">
        <f t="shared" si="7"/>
        <v>1.002123352</v>
      </c>
      <c r="U70" s="14">
        <f t="shared" si="8"/>
        <v>0.5798937968</v>
      </c>
    </row>
    <row r="71" ht="15.75" customHeight="1">
      <c r="A71" s="9">
        <v>45135.4726763889</v>
      </c>
      <c r="B71" s="10">
        <v>11.0</v>
      </c>
      <c r="C71" s="10" t="s">
        <v>60</v>
      </c>
      <c r="D71" s="10" t="s">
        <v>288</v>
      </c>
      <c r="E71" s="12" t="s">
        <v>62</v>
      </c>
      <c r="F71" s="11">
        <v>52021.0</v>
      </c>
      <c r="G71" s="11">
        <v>17236.0</v>
      </c>
      <c r="H71" s="11">
        <v>17235.0</v>
      </c>
      <c r="I71" s="11">
        <v>1043.0</v>
      </c>
      <c r="J71" s="11">
        <v>127.0</v>
      </c>
      <c r="K71" s="11">
        <v>101.0</v>
      </c>
      <c r="L71" s="11">
        <v>6.0</v>
      </c>
      <c r="M71" s="13">
        <f t="shared" ref="M71:O71" si="73">IFERROR(G71/F71,"")</f>
        <v>0.331327733</v>
      </c>
      <c r="N71" s="13">
        <f t="shared" si="73"/>
        <v>0.9999419819</v>
      </c>
      <c r="O71" s="14">
        <f t="shared" si="73"/>
        <v>0.06051639106</v>
      </c>
      <c r="P71" s="13">
        <f t="shared" si="3"/>
        <v>0.007368726429</v>
      </c>
      <c r="Q71" s="13">
        <f t="shared" si="4"/>
        <v>0.005860168262</v>
      </c>
      <c r="R71" s="13">
        <f t="shared" si="5"/>
        <v>0.0003481288077</v>
      </c>
      <c r="S71" s="14">
        <f t="shared" si="6"/>
        <v>1.716539724</v>
      </c>
      <c r="T71" s="14">
        <f t="shared" si="7"/>
        <v>1.002790819</v>
      </c>
      <c r="U71" s="14">
        <f t="shared" si="8"/>
        <v>0.9386036167</v>
      </c>
    </row>
    <row r="72" ht="15.75" customHeight="1">
      <c r="A72" s="9">
        <v>45136.4310574074</v>
      </c>
      <c r="B72" s="10">
        <v>10.0</v>
      </c>
      <c r="C72" s="10" t="s">
        <v>69</v>
      </c>
      <c r="D72" s="10" t="s">
        <v>291</v>
      </c>
      <c r="E72" s="12" t="s">
        <v>62</v>
      </c>
      <c r="F72" s="11">
        <v>4039.0</v>
      </c>
      <c r="G72" s="11">
        <v>1060.0</v>
      </c>
      <c r="H72" s="11">
        <v>1058.0</v>
      </c>
      <c r="I72" s="11">
        <v>142.0</v>
      </c>
      <c r="J72" s="11">
        <v>50.0</v>
      </c>
      <c r="K72" s="11">
        <v>4.0</v>
      </c>
      <c r="L72" s="11">
        <v>10.0</v>
      </c>
      <c r="M72" s="13">
        <f t="shared" ref="M72:O72" si="74">IFERROR(G72/F72,"")</f>
        <v>0.2624411983</v>
      </c>
      <c r="N72" s="13">
        <f t="shared" si="74"/>
        <v>0.9981132075</v>
      </c>
      <c r="O72" s="14">
        <f t="shared" si="74"/>
        <v>0.1342155009</v>
      </c>
      <c r="P72" s="13">
        <f t="shared" si="3"/>
        <v>0.04725897921</v>
      </c>
      <c r="Q72" s="13">
        <f t="shared" si="4"/>
        <v>0.003780718336</v>
      </c>
      <c r="R72" s="13">
        <f t="shared" si="5"/>
        <v>0.009451795841</v>
      </c>
      <c r="S72" s="14">
        <f t="shared" si="6"/>
        <v>1.359652988</v>
      </c>
      <c r="T72" s="14">
        <f t="shared" si="7"/>
        <v>1.000956835</v>
      </c>
      <c r="U72" s="14">
        <f t="shared" si="8"/>
        <v>0.6055450536</v>
      </c>
    </row>
    <row r="73" ht="15.75" customHeight="1">
      <c r="A73" s="9">
        <v>45137.4978355671</v>
      </c>
      <c r="B73" s="10">
        <v>11.0</v>
      </c>
      <c r="C73" s="10" t="s">
        <v>77</v>
      </c>
      <c r="D73" s="10" t="s">
        <v>294</v>
      </c>
      <c r="E73" s="12" t="s">
        <v>62</v>
      </c>
      <c r="F73" s="11">
        <v>6563.0</v>
      </c>
      <c r="G73" s="11">
        <v>1729.0</v>
      </c>
      <c r="H73" s="11">
        <v>1728.0</v>
      </c>
      <c r="I73" s="11">
        <v>91.0</v>
      </c>
      <c r="J73" s="11">
        <v>51.0</v>
      </c>
      <c r="K73" s="11">
        <v>16.0</v>
      </c>
      <c r="L73" s="11">
        <v>4.0</v>
      </c>
      <c r="M73" s="13">
        <f t="shared" ref="M73:O73" si="75">IFERROR(G73/F73,"")</f>
        <v>0.2634465945</v>
      </c>
      <c r="N73" s="13">
        <f t="shared" si="75"/>
        <v>0.999421631</v>
      </c>
      <c r="O73" s="14">
        <f t="shared" si="75"/>
        <v>0.05266203704</v>
      </c>
      <c r="P73" s="13">
        <f t="shared" si="3"/>
        <v>0.02951388889</v>
      </c>
      <c r="Q73" s="13">
        <f t="shared" si="4"/>
        <v>0.009259259259</v>
      </c>
      <c r="R73" s="13">
        <f t="shared" si="5"/>
        <v>0.002314814815</v>
      </c>
      <c r="S73" s="14">
        <f t="shared" si="6"/>
        <v>1.364861736</v>
      </c>
      <c r="T73" s="14">
        <f t="shared" si="7"/>
        <v>1.002268986</v>
      </c>
      <c r="U73" s="14">
        <f t="shared" si="8"/>
        <v>1.483024691</v>
      </c>
    </row>
    <row r="74" ht="15.75" customHeight="1">
      <c r="A74" s="9">
        <v>45138.4913270949</v>
      </c>
      <c r="B74" s="10">
        <v>11.0</v>
      </c>
      <c r="C74" s="10" t="s">
        <v>71</v>
      </c>
      <c r="D74" s="10" t="s">
        <v>297</v>
      </c>
      <c r="E74" s="12" t="s">
        <v>62</v>
      </c>
      <c r="F74" s="11">
        <v>4242.0</v>
      </c>
      <c r="G74" s="11">
        <v>1007.0</v>
      </c>
      <c r="H74" s="11">
        <v>1006.0</v>
      </c>
      <c r="I74" s="11">
        <v>131.0</v>
      </c>
      <c r="J74" s="11">
        <v>31.0</v>
      </c>
      <c r="K74" s="11">
        <v>3.0</v>
      </c>
      <c r="L74" s="11">
        <v>0.0</v>
      </c>
      <c r="M74" s="13">
        <f t="shared" ref="M74:O74" si="76">IFERROR(G74/F74,"")</f>
        <v>0.2373880245</v>
      </c>
      <c r="N74" s="13">
        <f t="shared" si="76"/>
        <v>0.9990069513</v>
      </c>
      <c r="O74" s="14">
        <f t="shared" si="76"/>
        <v>0.1302186879</v>
      </c>
      <c r="P74" s="13">
        <f t="shared" si="3"/>
        <v>0.03081510934</v>
      </c>
      <c r="Q74" s="13">
        <f t="shared" si="4"/>
        <v>0.002982107356</v>
      </c>
      <c r="R74" s="13">
        <f t="shared" si="5"/>
        <v>0</v>
      </c>
      <c r="S74" s="14">
        <f t="shared" si="6"/>
        <v>1.229857732</v>
      </c>
      <c r="T74" s="14">
        <f t="shared" si="7"/>
        <v>1.001853125</v>
      </c>
      <c r="U74" s="14">
        <f t="shared" si="8"/>
        <v>0.4776341948</v>
      </c>
    </row>
    <row r="75" ht="15.75" customHeight="1">
      <c r="A75" s="9">
        <v>45139.4827098032</v>
      </c>
      <c r="B75" s="10">
        <v>11.0</v>
      </c>
      <c r="C75" s="10" t="s">
        <v>59</v>
      </c>
      <c r="D75" s="10" t="s">
        <v>300</v>
      </c>
      <c r="E75" s="12" t="s">
        <v>62</v>
      </c>
      <c r="F75" s="11">
        <v>2030.0</v>
      </c>
      <c r="G75" s="11">
        <v>311.0</v>
      </c>
      <c r="H75" s="11">
        <v>311.0</v>
      </c>
      <c r="I75" s="11">
        <v>233.0</v>
      </c>
      <c r="J75" s="11">
        <v>31.0</v>
      </c>
      <c r="K75" s="11">
        <v>4.0</v>
      </c>
      <c r="L75" s="11">
        <v>2.0</v>
      </c>
      <c r="M75" s="13">
        <f t="shared" ref="M75:O75" si="77">IFERROR(G75/F75,"")</f>
        <v>0.1532019704</v>
      </c>
      <c r="N75" s="13">
        <f t="shared" si="77"/>
        <v>1</v>
      </c>
      <c r="O75" s="14">
        <f t="shared" si="77"/>
        <v>0.7491961415</v>
      </c>
      <c r="P75" s="13">
        <f t="shared" si="3"/>
        <v>0.09967845659</v>
      </c>
      <c r="Q75" s="13">
        <f t="shared" si="4"/>
        <v>0.01286173633</v>
      </c>
      <c r="R75" s="13">
        <f t="shared" si="5"/>
        <v>0.006430868167</v>
      </c>
      <c r="S75" s="14">
        <f t="shared" si="6"/>
        <v>0.7937073836</v>
      </c>
      <c r="T75" s="14">
        <f t="shared" si="7"/>
        <v>1.002849003</v>
      </c>
      <c r="U75" s="14">
        <f t="shared" si="8"/>
        <v>2.060021436</v>
      </c>
    </row>
    <row r="76" ht="15.75" customHeight="1">
      <c r="A76" s="9">
        <v>45140.3749084491</v>
      </c>
      <c r="B76" s="10">
        <v>8.0</v>
      </c>
      <c r="C76" s="10" t="s">
        <v>80</v>
      </c>
      <c r="D76" s="10" t="s">
        <v>303</v>
      </c>
      <c r="E76" s="12" t="s">
        <v>62</v>
      </c>
      <c r="F76" s="11">
        <v>1998.0</v>
      </c>
      <c r="G76" s="11">
        <v>330.0</v>
      </c>
      <c r="H76" s="11">
        <v>329.0</v>
      </c>
      <c r="I76" s="11">
        <v>131.0</v>
      </c>
      <c r="J76" s="11">
        <v>25.0</v>
      </c>
      <c r="K76" s="11">
        <v>0.0</v>
      </c>
      <c r="L76" s="11">
        <v>0.0</v>
      </c>
      <c r="M76" s="13">
        <f t="shared" ref="M76:O76" si="78">IFERROR(G76/F76,"")</f>
        <v>0.1651651652</v>
      </c>
      <c r="N76" s="13">
        <f t="shared" si="78"/>
        <v>0.996969697</v>
      </c>
      <c r="O76" s="14">
        <f t="shared" si="78"/>
        <v>0.3981762918</v>
      </c>
      <c r="P76" s="13">
        <f t="shared" si="3"/>
        <v>0.07598784195</v>
      </c>
      <c r="Q76" s="13">
        <f t="shared" si="4"/>
        <v>0</v>
      </c>
      <c r="R76" s="13">
        <f t="shared" si="5"/>
        <v>0</v>
      </c>
      <c r="S76" s="14">
        <f t="shared" si="6"/>
        <v>0.8556861947</v>
      </c>
      <c r="T76" s="14">
        <f t="shared" si="7"/>
        <v>0.9998100665</v>
      </c>
      <c r="U76" s="14">
        <f t="shared" si="8"/>
        <v>0</v>
      </c>
    </row>
    <row r="77" ht="15.75" customHeight="1">
      <c r="A77" s="9">
        <v>45141.4410162847</v>
      </c>
      <c r="B77" s="10">
        <v>10.0</v>
      </c>
      <c r="C77" s="10" t="s">
        <v>84</v>
      </c>
      <c r="D77" s="10" t="s">
        <v>306</v>
      </c>
      <c r="E77" s="12" t="s">
        <v>62</v>
      </c>
      <c r="F77" s="11">
        <v>1468.0</v>
      </c>
      <c r="G77" s="11">
        <v>318.0</v>
      </c>
      <c r="H77" s="11">
        <v>318.0</v>
      </c>
      <c r="I77" s="11">
        <v>137.0</v>
      </c>
      <c r="J77" s="11">
        <v>25.0</v>
      </c>
      <c r="K77" s="11">
        <v>7.0</v>
      </c>
      <c r="L77" s="11">
        <v>1.0</v>
      </c>
      <c r="M77" s="13">
        <f t="shared" ref="M77:O77" si="79">IFERROR(G77/F77,"")</f>
        <v>0.2166212534</v>
      </c>
      <c r="N77" s="13">
        <f t="shared" si="79"/>
        <v>1</v>
      </c>
      <c r="O77" s="14">
        <f t="shared" si="79"/>
        <v>0.4308176101</v>
      </c>
      <c r="P77" s="13">
        <f t="shared" si="3"/>
        <v>0.0786163522</v>
      </c>
      <c r="Q77" s="13">
        <f t="shared" si="4"/>
        <v>0.02201257862</v>
      </c>
      <c r="R77" s="13">
        <f t="shared" si="5"/>
        <v>0.003144654088</v>
      </c>
      <c r="S77" s="14">
        <f t="shared" si="6"/>
        <v>1.112694606</v>
      </c>
      <c r="T77" s="14">
        <f t="shared" si="7"/>
        <v>1.002939645</v>
      </c>
      <c r="U77" s="14">
        <f t="shared" si="8"/>
        <v>3.520169594</v>
      </c>
    </row>
    <row r="78" ht="15.75" customHeight="1">
      <c r="A78" s="9">
        <v>45142.3750109375</v>
      </c>
      <c r="B78" s="10">
        <v>9.0</v>
      </c>
      <c r="C78" s="10" t="s">
        <v>60</v>
      </c>
      <c r="D78" s="10" t="s">
        <v>309</v>
      </c>
      <c r="E78" s="12" t="s">
        <v>62</v>
      </c>
      <c r="F78" s="11">
        <v>4793.0</v>
      </c>
      <c r="G78" s="11">
        <v>3234.0</v>
      </c>
      <c r="H78" s="11">
        <v>3234.0</v>
      </c>
      <c r="I78" s="11">
        <v>953.0</v>
      </c>
      <c r="J78" s="11">
        <v>50.0</v>
      </c>
      <c r="K78" s="11">
        <v>29.0</v>
      </c>
      <c r="L78" s="11">
        <v>3.0</v>
      </c>
      <c r="M78" s="13">
        <f t="shared" ref="M78:O78" si="80">IFERROR(G78/F78,"")</f>
        <v>0.6747339871</v>
      </c>
      <c r="N78" s="13">
        <f t="shared" si="80"/>
        <v>1</v>
      </c>
      <c r="O78" s="14">
        <f t="shared" si="80"/>
        <v>0.294681509</v>
      </c>
      <c r="P78" s="13">
        <f t="shared" si="3"/>
        <v>0.01546072975</v>
      </c>
      <c r="Q78" s="13">
        <f t="shared" si="4"/>
        <v>0.008967223253</v>
      </c>
      <c r="R78" s="13">
        <f t="shared" si="5"/>
        <v>0.0009276437848</v>
      </c>
      <c r="S78" s="14">
        <f t="shared" si="6"/>
        <v>3.46583198</v>
      </c>
      <c r="T78" s="14">
        <f t="shared" si="7"/>
        <v>1.002939645</v>
      </c>
      <c r="U78" s="14">
        <f t="shared" si="8"/>
        <v>1.434004947</v>
      </c>
    </row>
    <row r="79" ht="15.75" customHeight="1">
      <c r="A79" s="9">
        <v>45143.3748094213</v>
      </c>
      <c r="B79" s="10">
        <v>8.0</v>
      </c>
      <c r="C79" s="10" t="s">
        <v>69</v>
      </c>
      <c r="D79" s="10" t="s">
        <v>312</v>
      </c>
      <c r="E79" s="12" t="s">
        <v>62</v>
      </c>
      <c r="F79" s="11">
        <v>1265.0</v>
      </c>
      <c r="G79" s="11">
        <v>419.0</v>
      </c>
      <c r="H79" s="11">
        <v>417.0</v>
      </c>
      <c r="I79" s="11">
        <v>255.0</v>
      </c>
      <c r="J79" s="11">
        <v>40.0</v>
      </c>
      <c r="K79" s="11">
        <v>6.0</v>
      </c>
      <c r="L79" s="11">
        <v>1.0</v>
      </c>
      <c r="M79" s="13">
        <f t="shared" ref="M79:O79" si="81">IFERROR(G79/F79,"")</f>
        <v>0.3312252964</v>
      </c>
      <c r="N79" s="13">
        <f t="shared" si="81"/>
        <v>0.9952267303</v>
      </c>
      <c r="O79" s="14">
        <f t="shared" si="81"/>
        <v>0.6115107914</v>
      </c>
      <c r="P79" s="13">
        <f t="shared" si="3"/>
        <v>0.09592326139</v>
      </c>
      <c r="Q79" s="13">
        <f t="shared" si="4"/>
        <v>0.01438848921</v>
      </c>
      <c r="R79" s="13">
        <f t="shared" si="5"/>
        <v>0.002398081535</v>
      </c>
      <c r="S79" s="14">
        <f t="shared" si="6"/>
        <v>1.701368609</v>
      </c>
      <c r="T79" s="14">
        <f t="shared" si="7"/>
        <v>0.9981523433</v>
      </c>
      <c r="U79" s="14">
        <f t="shared" si="8"/>
        <v>2.300953609</v>
      </c>
    </row>
    <row r="80" ht="15.75" customHeight="1">
      <c r="A80" s="9">
        <v>45144.4694498843</v>
      </c>
      <c r="B80" s="10">
        <v>11.0</v>
      </c>
      <c r="C80" s="10" t="s">
        <v>77</v>
      </c>
      <c r="D80" s="10" t="s">
        <v>316</v>
      </c>
      <c r="E80" s="12" t="s">
        <v>62</v>
      </c>
      <c r="F80" s="11">
        <v>962.0</v>
      </c>
      <c r="G80" s="11">
        <v>158.0</v>
      </c>
      <c r="H80" s="11">
        <v>156.0</v>
      </c>
      <c r="I80" s="11">
        <v>41.0</v>
      </c>
      <c r="J80" s="11">
        <v>27.0</v>
      </c>
      <c r="K80" s="11">
        <v>8.0</v>
      </c>
      <c r="L80" s="11">
        <v>0.0</v>
      </c>
      <c r="M80" s="13">
        <f t="shared" ref="M80:O80" si="82">IFERROR(G80/F80,"")</f>
        <v>0.1642411642</v>
      </c>
      <c r="N80" s="13">
        <f t="shared" si="82"/>
        <v>0.9873417722</v>
      </c>
      <c r="O80" s="14">
        <f t="shared" si="82"/>
        <v>0.2628205128</v>
      </c>
      <c r="P80" s="13">
        <f t="shared" si="3"/>
        <v>0.1730769231</v>
      </c>
      <c r="Q80" s="13">
        <f t="shared" si="4"/>
        <v>0.05128205128</v>
      </c>
      <c r="R80" s="13">
        <f t="shared" si="5"/>
        <v>0</v>
      </c>
      <c r="S80" s="14">
        <f t="shared" si="6"/>
        <v>0.8436395533</v>
      </c>
      <c r="T80" s="14">
        <f t="shared" si="7"/>
        <v>0.9902442062</v>
      </c>
      <c r="U80" s="14">
        <f t="shared" si="8"/>
        <v>8.200834658</v>
      </c>
    </row>
    <row r="81" ht="15.75" customHeight="1">
      <c r="A81" s="9">
        <v>45145.4362973148</v>
      </c>
      <c r="B81" s="10">
        <v>10.0</v>
      </c>
      <c r="C81" s="10" t="s">
        <v>71</v>
      </c>
      <c r="D81" s="10" t="s">
        <v>319</v>
      </c>
      <c r="E81" s="12" t="s">
        <v>62</v>
      </c>
      <c r="F81" s="11">
        <v>1387.0</v>
      </c>
      <c r="G81" s="11">
        <v>424.0</v>
      </c>
      <c r="H81" s="11">
        <v>422.0</v>
      </c>
      <c r="I81" s="11">
        <v>214.0</v>
      </c>
      <c r="J81" s="11">
        <v>33.0</v>
      </c>
      <c r="K81" s="11">
        <v>0.0</v>
      </c>
      <c r="L81" s="11">
        <v>0.0</v>
      </c>
      <c r="M81" s="13">
        <f t="shared" ref="M81:O81" si="83">IFERROR(G81/F81,"")</f>
        <v>0.3056957462</v>
      </c>
      <c r="N81" s="13">
        <f t="shared" si="83"/>
        <v>0.9952830189</v>
      </c>
      <c r="O81" s="14">
        <f t="shared" si="83"/>
        <v>0.5071090047</v>
      </c>
      <c r="P81" s="13">
        <f t="shared" si="3"/>
        <v>0.07819905213</v>
      </c>
      <c r="Q81" s="13">
        <f t="shared" si="4"/>
        <v>0</v>
      </c>
      <c r="R81" s="13">
        <f t="shared" si="5"/>
        <v>0</v>
      </c>
      <c r="S81" s="14">
        <f t="shared" si="6"/>
        <v>1.570233772</v>
      </c>
      <c r="T81" s="14">
        <f t="shared" si="7"/>
        <v>0.9982087974</v>
      </c>
      <c r="U81" s="14">
        <f t="shared" si="8"/>
        <v>0</v>
      </c>
    </row>
    <row r="82" ht="15.75" customHeight="1">
      <c r="A82" s="9">
        <v>45146.5091234259</v>
      </c>
      <c r="B82" s="10">
        <v>12.0</v>
      </c>
      <c r="C82" s="10" t="s">
        <v>59</v>
      </c>
      <c r="D82" s="10" t="s">
        <v>322</v>
      </c>
      <c r="E82" s="12" t="s">
        <v>62</v>
      </c>
      <c r="F82" s="11">
        <v>1417.0</v>
      </c>
      <c r="G82" s="11">
        <v>272.0</v>
      </c>
      <c r="H82" s="11">
        <v>271.0</v>
      </c>
      <c r="I82" s="11">
        <v>112.0</v>
      </c>
      <c r="J82" s="11">
        <v>25.0</v>
      </c>
      <c r="K82" s="11">
        <v>1.0</v>
      </c>
      <c r="L82" s="11">
        <v>1.0</v>
      </c>
      <c r="M82" s="13">
        <f t="shared" ref="M82:O82" si="84">IFERROR(G82/F82,"")</f>
        <v>0.1919548342</v>
      </c>
      <c r="N82" s="13">
        <f t="shared" si="84"/>
        <v>0.9963235294</v>
      </c>
      <c r="O82" s="14">
        <f t="shared" si="84"/>
        <v>0.4132841328</v>
      </c>
      <c r="P82" s="13">
        <f t="shared" si="3"/>
        <v>0.09225092251</v>
      </c>
      <c r="Q82" s="13">
        <f t="shared" si="4"/>
        <v>0.0036900369</v>
      </c>
      <c r="R82" s="13">
        <f t="shared" si="5"/>
        <v>0.0036900369</v>
      </c>
      <c r="S82" s="14">
        <f t="shared" si="6"/>
        <v>0.9859933184</v>
      </c>
      <c r="T82" s="14">
        <f t="shared" si="7"/>
        <v>0.9992523666</v>
      </c>
      <c r="U82" s="14">
        <f t="shared" si="8"/>
        <v>0.5900969588</v>
      </c>
    </row>
    <row r="83" ht="15.75" customHeight="1">
      <c r="A83" s="9">
        <v>45147.5160286921</v>
      </c>
      <c r="B83" s="10">
        <v>12.0</v>
      </c>
      <c r="C83" s="10" t="s">
        <v>80</v>
      </c>
      <c r="D83" s="10" t="s">
        <v>325</v>
      </c>
      <c r="E83" s="12" t="s">
        <v>62</v>
      </c>
      <c r="F83" s="11">
        <v>1241.0</v>
      </c>
      <c r="G83" s="11">
        <v>207.0</v>
      </c>
      <c r="H83" s="11">
        <v>205.0</v>
      </c>
      <c r="I83" s="11">
        <v>104.0</v>
      </c>
      <c r="J83" s="11">
        <v>17.0</v>
      </c>
      <c r="K83" s="11">
        <v>4.0</v>
      </c>
      <c r="L83" s="11">
        <v>0.0</v>
      </c>
      <c r="M83" s="13">
        <f t="shared" ref="M83:O83" si="85">IFERROR(G83/F83,"")</f>
        <v>0.166800967</v>
      </c>
      <c r="N83" s="13">
        <f t="shared" si="85"/>
        <v>0.9903381643</v>
      </c>
      <c r="O83" s="14">
        <f t="shared" si="85"/>
        <v>0.5073170732</v>
      </c>
      <c r="P83" s="13">
        <f t="shared" si="3"/>
        <v>0.08292682927</v>
      </c>
      <c r="Q83" s="13">
        <f t="shared" si="4"/>
        <v>0.01951219512</v>
      </c>
      <c r="R83" s="13">
        <f t="shared" si="5"/>
        <v>0</v>
      </c>
      <c r="S83" s="14">
        <f t="shared" si="6"/>
        <v>0.8567882109</v>
      </c>
      <c r="T83" s="14">
        <f t="shared" si="7"/>
        <v>0.9932494066</v>
      </c>
      <c r="U83" s="14">
        <f t="shared" si="8"/>
        <v>3.120317577</v>
      </c>
    </row>
    <row r="84" ht="15.75" customHeight="1">
      <c r="A84" s="9">
        <v>45149.528443669</v>
      </c>
      <c r="B84" s="10">
        <v>12.0</v>
      </c>
      <c r="C84" s="10" t="s">
        <v>60</v>
      </c>
      <c r="D84" s="10" t="s">
        <v>328</v>
      </c>
      <c r="E84" s="12" t="s">
        <v>62</v>
      </c>
      <c r="F84" s="11">
        <v>1635.0</v>
      </c>
      <c r="G84" s="11">
        <v>310.0</v>
      </c>
      <c r="H84" s="11">
        <v>310.0</v>
      </c>
      <c r="I84" s="11">
        <v>161.0</v>
      </c>
      <c r="J84" s="11">
        <v>27.0</v>
      </c>
      <c r="K84" s="11">
        <v>8.0</v>
      </c>
      <c r="L84" s="11">
        <v>0.0</v>
      </c>
      <c r="M84" s="13">
        <f t="shared" ref="M84:O84" si="86">IFERROR(G84/F84,"")</f>
        <v>0.1896024465</v>
      </c>
      <c r="N84" s="13">
        <f t="shared" si="86"/>
        <v>1</v>
      </c>
      <c r="O84" s="14">
        <f t="shared" si="86"/>
        <v>0.5193548387</v>
      </c>
      <c r="P84" s="13">
        <f t="shared" si="3"/>
        <v>0.08709677419</v>
      </c>
      <c r="Q84" s="13">
        <f t="shared" si="4"/>
        <v>0.02580645161</v>
      </c>
      <c r="R84" s="13">
        <f t="shared" si="5"/>
        <v>0</v>
      </c>
      <c r="S84" s="14">
        <f t="shared" si="6"/>
        <v>0.9739100669</v>
      </c>
      <c r="T84" s="14">
        <f t="shared" si="7"/>
        <v>1.002939645</v>
      </c>
      <c r="U84" s="14">
        <f t="shared" si="8"/>
        <v>4.126871635</v>
      </c>
    </row>
    <row r="85" ht="15.75" customHeight="1">
      <c r="A85" s="9">
        <v>45150.5059820486</v>
      </c>
      <c r="B85" s="10">
        <v>12.0</v>
      </c>
      <c r="C85" s="10" t="s">
        <v>69</v>
      </c>
      <c r="D85" s="10" t="s">
        <v>332</v>
      </c>
      <c r="E85" s="12" t="s">
        <v>62</v>
      </c>
      <c r="F85" s="11">
        <v>1940.0</v>
      </c>
      <c r="G85" s="11">
        <v>394.0</v>
      </c>
      <c r="H85" s="11">
        <v>392.0</v>
      </c>
      <c r="I85" s="11">
        <v>152.0</v>
      </c>
      <c r="J85" s="11">
        <v>33.0</v>
      </c>
      <c r="K85" s="11">
        <v>4.0</v>
      </c>
      <c r="L85" s="11">
        <v>2.0</v>
      </c>
      <c r="M85" s="13">
        <f t="shared" ref="M85:O85" si="87">IFERROR(G85/F85,"")</f>
        <v>0.2030927835</v>
      </c>
      <c r="N85" s="13">
        <f t="shared" si="87"/>
        <v>0.9949238579</v>
      </c>
      <c r="O85" s="14">
        <f t="shared" si="87"/>
        <v>0.387755102</v>
      </c>
      <c r="P85" s="13">
        <f t="shared" si="3"/>
        <v>0.08418367347</v>
      </c>
      <c r="Q85" s="13">
        <f t="shared" si="4"/>
        <v>0.01020408163</v>
      </c>
      <c r="R85" s="13">
        <f t="shared" si="5"/>
        <v>0.005102040816</v>
      </c>
      <c r="S85" s="14">
        <f t="shared" si="6"/>
        <v>1.0432044</v>
      </c>
      <c r="T85" s="14">
        <f t="shared" si="7"/>
        <v>0.9978485806</v>
      </c>
      <c r="U85" s="14">
        <f t="shared" si="8"/>
        <v>1.631798733</v>
      </c>
    </row>
    <row r="86" ht="15.75" customHeight="1">
      <c r="A86" s="9">
        <v>45151.4986226042</v>
      </c>
      <c r="B86" s="10">
        <v>11.0</v>
      </c>
      <c r="C86" s="10" t="s">
        <v>77</v>
      </c>
      <c r="D86" s="10" t="s">
        <v>335</v>
      </c>
      <c r="E86" s="12" t="s">
        <v>62</v>
      </c>
      <c r="F86" s="11">
        <v>1218.0</v>
      </c>
      <c r="G86" s="11">
        <v>119.0</v>
      </c>
      <c r="H86" s="11">
        <v>118.0</v>
      </c>
      <c r="I86" s="11">
        <v>90.0</v>
      </c>
      <c r="J86" s="11">
        <v>19.0</v>
      </c>
      <c r="K86" s="11">
        <v>0.0</v>
      </c>
      <c r="L86" s="11">
        <v>0.0</v>
      </c>
      <c r="M86" s="13">
        <f t="shared" ref="M86:O86" si="88">IFERROR(G86/F86,"")</f>
        <v>0.09770114943</v>
      </c>
      <c r="N86" s="13">
        <f t="shared" si="88"/>
        <v>0.9915966387</v>
      </c>
      <c r="O86" s="14">
        <f t="shared" si="88"/>
        <v>0.7627118644</v>
      </c>
      <c r="P86" s="13">
        <f t="shared" si="3"/>
        <v>0.1610169492</v>
      </c>
      <c r="Q86" s="13">
        <f t="shared" si="4"/>
        <v>0</v>
      </c>
      <c r="R86" s="13">
        <f t="shared" si="5"/>
        <v>0</v>
      </c>
      <c r="S86" s="14">
        <f t="shared" si="6"/>
        <v>0.5018507659</v>
      </c>
      <c r="T86" s="14">
        <f t="shared" si="7"/>
        <v>0.9945115805</v>
      </c>
      <c r="U86" s="14">
        <f t="shared" si="8"/>
        <v>0</v>
      </c>
    </row>
    <row r="87" ht="15.75" customHeight="1">
      <c r="A87" s="9">
        <v>45152.4913100347</v>
      </c>
      <c r="B87" s="10">
        <v>11.0</v>
      </c>
      <c r="C87" s="10" t="s">
        <v>71</v>
      </c>
      <c r="D87" s="10" t="s">
        <v>337</v>
      </c>
      <c r="E87" s="12" t="s">
        <v>62</v>
      </c>
      <c r="F87" s="11">
        <v>1583.0</v>
      </c>
      <c r="G87" s="11">
        <v>281.0</v>
      </c>
      <c r="H87" s="11">
        <v>281.0</v>
      </c>
      <c r="I87" s="11">
        <v>124.0</v>
      </c>
      <c r="J87" s="11">
        <v>25.0</v>
      </c>
      <c r="K87" s="11">
        <v>0.0</v>
      </c>
      <c r="L87" s="11">
        <v>1.0</v>
      </c>
      <c r="M87" s="13">
        <f t="shared" ref="M87:O87" si="89">IFERROR(G87/F87,"")</f>
        <v>0.177511055</v>
      </c>
      <c r="N87" s="13">
        <f t="shared" si="89"/>
        <v>1</v>
      </c>
      <c r="O87" s="14">
        <f t="shared" si="89"/>
        <v>0.4412811388</v>
      </c>
      <c r="P87" s="13">
        <f t="shared" si="3"/>
        <v>0.08896797153</v>
      </c>
      <c r="Q87" s="13">
        <f t="shared" si="4"/>
        <v>0</v>
      </c>
      <c r="R87" s="13">
        <f t="shared" si="5"/>
        <v>0.003558718861</v>
      </c>
      <c r="S87" s="14">
        <f t="shared" si="6"/>
        <v>0.9118015438</v>
      </c>
      <c r="T87" s="14">
        <f t="shared" si="7"/>
        <v>1.002939645</v>
      </c>
      <c r="U87" s="14">
        <f t="shared" si="8"/>
        <v>0</v>
      </c>
    </row>
    <row r="88" ht="15.75" customHeight="1">
      <c r="A88" s="9">
        <v>45153.5126331944</v>
      </c>
      <c r="B88" s="10">
        <v>12.0</v>
      </c>
      <c r="C88" s="10" t="s">
        <v>59</v>
      </c>
      <c r="D88" s="10" t="s">
        <v>340</v>
      </c>
      <c r="E88" s="12" t="s">
        <v>62</v>
      </c>
      <c r="F88" s="11">
        <v>3102.0</v>
      </c>
      <c r="G88" s="11">
        <v>405.0</v>
      </c>
      <c r="H88" s="11">
        <v>405.0</v>
      </c>
      <c r="I88" s="11">
        <v>214.0</v>
      </c>
      <c r="J88" s="11">
        <v>23.0</v>
      </c>
      <c r="K88" s="11">
        <v>4.0</v>
      </c>
      <c r="L88" s="11">
        <v>1.0</v>
      </c>
      <c r="M88" s="13">
        <f t="shared" ref="M88:O88" si="90">IFERROR(G88/F88,"")</f>
        <v>0.1305609284</v>
      </c>
      <c r="N88" s="13">
        <f t="shared" si="90"/>
        <v>1</v>
      </c>
      <c r="O88" s="14">
        <f t="shared" si="90"/>
        <v>0.5283950617</v>
      </c>
      <c r="P88" s="13">
        <f t="shared" si="3"/>
        <v>0.05679012346</v>
      </c>
      <c r="Q88" s="13">
        <f t="shared" si="4"/>
        <v>0.00987654321</v>
      </c>
      <c r="R88" s="13">
        <f t="shared" si="5"/>
        <v>0.002469135802</v>
      </c>
      <c r="S88" s="14">
        <f t="shared" si="6"/>
        <v>0.6706379844</v>
      </c>
      <c r="T88" s="14">
        <f t="shared" si="7"/>
        <v>1.002939645</v>
      </c>
      <c r="U88" s="14">
        <f t="shared" si="8"/>
        <v>1.579420008</v>
      </c>
    </row>
    <row r="89" ht="15.75" customHeight="1">
      <c r="A89" s="9">
        <v>45154.5110467477</v>
      </c>
      <c r="B89" s="10">
        <v>12.0</v>
      </c>
      <c r="C89" s="10" t="s">
        <v>80</v>
      </c>
      <c r="D89" s="10" t="s">
        <v>343</v>
      </c>
      <c r="E89" s="12" t="s">
        <v>62</v>
      </c>
      <c r="F89" s="11">
        <v>3439.0</v>
      </c>
      <c r="G89" s="11">
        <v>886.0</v>
      </c>
      <c r="H89" s="11">
        <v>885.0</v>
      </c>
      <c r="I89" s="11">
        <v>536.0</v>
      </c>
      <c r="J89" s="11">
        <v>64.0</v>
      </c>
      <c r="K89" s="11">
        <v>5.0</v>
      </c>
      <c r="L89" s="11">
        <v>2.0</v>
      </c>
      <c r="M89" s="13">
        <f t="shared" ref="M89:O89" si="91">IFERROR(G89/F89,"")</f>
        <v>0.2576330329</v>
      </c>
      <c r="N89" s="13">
        <f t="shared" si="91"/>
        <v>0.9988713318</v>
      </c>
      <c r="O89" s="14">
        <f t="shared" si="91"/>
        <v>0.6056497175</v>
      </c>
      <c r="P89" s="13">
        <f t="shared" si="3"/>
        <v>0.07231638418</v>
      </c>
      <c r="Q89" s="13">
        <f t="shared" si="4"/>
        <v>0.005649717514</v>
      </c>
      <c r="R89" s="13">
        <f t="shared" si="5"/>
        <v>0.002259887006</v>
      </c>
      <c r="S89" s="14">
        <f t="shared" si="6"/>
        <v>1.32335531</v>
      </c>
      <c r="T89" s="14">
        <f t="shared" si="7"/>
        <v>1.001807659</v>
      </c>
      <c r="U89" s="14">
        <f t="shared" si="8"/>
        <v>0.9034817844</v>
      </c>
    </row>
    <row r="90" ht="15.75" customHeight="1">
      <c r="A90" s="9">
        <v>45155.5043146875</v>
      </c>
      <c r="B90" s="10">
        <v>12.0</v>
      </c>
      <c r="C90" s="10" t="s">
        <v>84</v>
      </c>
      <c r="D90" s="10" t="s">
        <v>345</v>
      </c>
      <c r="E90" s="12" t="s">
        <v>62</v>
      </c>
      <c r="F90" s="11">
        <v>1744.0</v>
      </c>
      <c r="G90" s="11">
        <v>217.0</v>
      </c>
      <c r="H90" s="11">
        <v>214.0</v>
      </c>
      <c r="I90" s="11">
        <v>133.0</v>
      </c>
      <c r="J90" s="11">
        <v>25.0</v>
      </c>
      <c r="K90" s="11">
        <v>2.0</v>
      </c>
      <c r="L90" s="11">
        <v>0.0</v>
      </c>
      <c r="M90" s="13">
        <f t="shared" ref="M90:O90" si="92">IFERROR(G90/F90,"")</f>
        <v>0.1244266055</v>
      </c>
      <c r="N90" s="13">
        <f t="shared" si="92"/>
        <v>0.9861751152</v>
      </c>
      <c r="O90" s="14">
        <f t="shared" si="92"/>
        <v>0.6214953271</v>
      </c>
      <c r="P90" s="13">
        <f t="shared" si="3"/>
        <v>0.1168224299</v>
      </c>
      <c r="Q90" s="13">
        <f t="shared" si="4"/>
        <v>0.009345794393</v>
      </c>
      <c r="R90" s="13">
        <f t="shared" si="5"/>
        <v>0</v>
      </c>
      <c r="S90" s="14">
        <f t="shared" si="6"/>
        <v>0.6391284814</v>
      </c>
      <c r="T90" s="14">
        <f t="shared" si="7"/>
        <v>0.9890741197</v>
      </c>
      <c r="U90" s="14">
        <f t="shared" si="8"/>
        <v>1.494544634</v>
      </c>
    </row>
    <row r="91" ht="15.75" customHeight="1">
      <c r="A91" s="9">
        <v>45156.4995640394</v>
      </c>
      <c r="B91" s="10">
        <v>11.0</v>
      </c>
      <c r="C91" s="10" t="s">
        <v>60</v>
      </c>
      <c r="D91" s="10" t="s">
        <v>348</v>
      </c>
      <c r="E91" s="12" t="s">
        <v>62</v>
      </c>
      <c r="F91" s="11">
        <v>1712.0</v>
      </c>
      <c r="G91" s="11">
        <v>215.0</v>
      </c>
      <c r="H91" s="11">
        <v>216.0</v>
      </c>
      <c r="I91" s="11">
        <v>105.0</v>
      </c>
      <c r="J91" s="11">
        <v>25.0</v>
      </c>
      <c r="K91" s="11">
        <v>2.0</v>
      </c>
      <c r="L91" s="11">
        <v>1.0</v>
      </c>
      <c r="M91" s="13">
        <f t="shared" ref="M91:O91" si="93">IFERROR(G91/F91,"")</f>
        <v>0.1255841121</v>
      </c>
      <c r="N91" s="13">
        <f t="shared" si="93"/>
        <v>1.004651163</v>
      </c>
      <c r="O91" s="14">
        <f t="shared" si="93"/>
        <v>0.4861111111</v>
      </c>
      <c r="P91" s="13">
        <f t="shared" si="3"/>
        <v>0.1157407407</v>
      </c>
      <c r="Q91" s="13">
        <f t="shared" si="4"/>
        <v>0.009259259259</v>
      </c>
      <c r="R91" s="13">
        <f t="shared" si="5"/>
        <v>0.00462962963</v>
      </c>
      <c r="S91" s="14">
        <f t="shared" si="6"/>
        <v>0.6450741187</v>
      </c>
      <c r="T91" s="14">
        <f t="shared" si="7"/>
        <v>1.00760448</v>
      </c>
      <c r="U91" s="14">
        <f t="shared" si="8"/>
        <v>1.480706258</v>
      </c>
    </row>
    <row r="92" ht="15.75" customHeight="1">
      <c r="A92" s="9">
        <v>45158.5007629167</v>
      </c>
      <c r="B92" s="10">
        <v>12.0</v>
      </c>
      <c r="C92" s="10" t="s">
        <v>77</v>
      </c>
      <c r="D92" s="10" t="s">
        <v>351</v>
      </c>
      <c r="E92" s="12" t="s">
        <v>62</v>
      </c>
      <c r="F92" s="11">
        <v>3917.0</v>
      </c>
      <c r="G92" s="11">
        <v>852.0</v>
      </c>
      <c r="H92" s="11">
        <v>850.0</v>
      </c>
      <c r="I92" s="11">
        <v>511.0</v>
      </c>
      <c r="J92" s="11">
        <v>54.0</v>
      </c>
      <c r="K92" s="11">
        <v>19.0</v>
      </c>
      <c r="L92" s="11">
        <v>1.0</v>
      </c>
      <c r="M92" s="13">
        <f t="shared" ref="M92:O92" si="94">IFERROR(G92/F92,"")</f>
        <v>0.2175134031</v>
      </c>
      <c r="N92" s="13">
        <f t="shared" si="94"/>
        <v>0.9976525822</v>
      </c>
      <c r="O92" s="14">
        <f t="shared" si="94"/>
        <v>0.6011764706</v>
      </c>
      <c r="P92" s="13">
        <f t="shared" si="3"/>
        <v>0.06352941176</v>
      </c>
      <c r="Q92" s="13">
        <f t="shared" si="4"/>
        <v>0.02235294118</v>
      </c>
      <c r="R92" s="13">
        <f t="shared" si="5"/>
        <v>0.001176470588</v>
      </c>
      <c r="S92" s="14">
        <f t="shared" si="6"/>
        <v>1.117277213</v>
      </c>
      <c r="T92" s="14">
        <f t="shared" si="7"/>
        <v>1.000585326</v>
      </c>
      <c r="U92" s="14">
        <f t="shared" si="8"/>
        <v>3.574599107</v>
      </c>
    </row>
    <row r="93" ht="15.75" customHeight="1">
      <c r="A93" s="9">
        <v>45159.4929659954</v>
      </c>
      <c r="B93" s="10">
        <v>11.0</v>
      </c>
      <c r="C93" s="10" t="s">
        <v>71</v>
      </c>
      <c r="D93" s="10" t="s">
        <v>355</v>
      </c>
      <c r="E93" s="12" t="s">
        <v>62</v>
      </c>
      <c r="F93" s="11">
        <v>828.0</v>
      </c>
      <c r="G93" s="11">
        <v>158.0</v>
      </c>
      <c r="H93" s="11">
        <v>155.0</v>
      </c>
      <c r="I93" s="11">
        <v>101.0</v>
      </c>
      <c r="J93" s="11">
        <v>16.0</v>
      </c>
      <c r="K93" s="11">
        <v>0.0</v>
      </c>
      <c r="L93" s="11">
        <v>0.0</v>
      </c>
      <c r="M93" s="13">
        <f t="shared" ref="M93:O93" si="95">IFERROR(G93/F93,"")</f>
        <v>0.190821256</v>
      </c>
      <c r="N93" s="13">
        <f t="shared" si="95"/>
        <v>0.9810126582</v>
      </c>
      <c r="O93" s="14">
        <f t="shared" si="95"/>
        <v>0.6516129032</v>
      </c>
      <c r="P93" s="13">
        <f t="shared" si="3"/>
        <v>0.1032258065</v>
      </c>
      <c r="Q93" s="13">
        <f t="shared" si="4"/>
        <v>0</v>
      </c>
      <c r="R93" s="13">
        <f t="shared" si="5"/>
        <v>0</v>
      </c>
      <c r="S93" s="14">
        <f t="shared" si="6"/>
        <v>0.9801705921</v>
      </c>
      <c r="T93" s="14">
        <f t="shared" si="7"/>
        <v>0.9838964869</v>
      </c>
      <c r="U93" s="14">
        <f t="shared" si="8"/>
        <v>0</v>
      </c>
    </row>
    <row r="94" ht="15.75" customHeight="1">
      <c r="A94" s="9">
        <v>45160.5308443287</v>
      </c>
      <c r="B94" s="10">
        <v>12.0</v>
      </c>
      <c r="C94" s="10" t="s">
        <v>59</v>
      </c>
      <c r="D94" s="10" t="s">
        <v>358</v>
      </c>
      <c r="E94" s="12" t="s">
        <v>62</v>
      </c>
      <c r="F94" s="11">
        <v>1971.0</v>
      </c>
      <c r="G94" s="11">
        <v>397.0</v>
      </c>
      <c r="H94" s="11">
        <v>393.0</v>
      </c>
      <c r="I94" s="11">
        <v>188.0</v>
      </c>
      <c r="J94" s="11">
        <v>22.0</v>
      </c>
      <c r="K94" s="11">
        <v>1.0</v>
      </c>
      <c r="L94" s="11">
        <v>2.0</v>
      </c>
      <c r="M94" s="13">
        <f t="shared" ref="M94:O94" si="96">IFERROR(G94/F94,"")</f>
        <v>0.2014205987</v>
      </c>
      <c r="N94" s="13">
        <f t="shared" si="96"/>
        <v>0.9899244332</v>
      </c>
      <c r="O94" s="14">
        <f t="shared" si="96"/>
        <v>0.4783715013</v>
      </c>
      <c r="P94" s="13">
        <f t="shared" si="3"/>
        <v>0.05597964377</v>
      </c>
      <c r="Q94" s="13">
        <f t="shared" si="4"/>
        <v>0.002544529262</v>
      </c>
      <c r="R94" s="13">
        <f t="shared" si="5"/>
        <v>0.005089058524</v>
      </c>
      <c r="S94" s="14">
        <f t="shared" si="6"/>
        <v>1.034615072</v>
      </c>
      <c r="T94" s="14">
        <f t="shared" si="7"/>
        <v>0.9928344594</v>
      </c>
      <c r="U94" s="14">
        <f t="shared" si="8"/>
        <v>0.4069116434</v>
      </c>
    </row>
    <row r="95" ht="15.75" customHeight="1">
      <c r="A95" s="9">
        <v>45161.4912456134</v>
      </c>
      <c r="B95" s="10">
        <v>11.0</v>
      </c>
      <c r="C95" s="10" t="s">
        <v>80</v>
      </c>
      <c r="D95" s="10" t="s">
        <v>361</v>
      </c>
      <c r="E95" s="12" t="s">
        <v>62</v>
      </c>
      <c r="F95" s="11">
        <v>1746.0</v>
      </c>
      <c r="G95" s="11">
        <v>266.0</v>
      </c>
      <c r="H95" s="11">
        <v>266.0</v>
      </c>
      <c r="I95" s="11">
        <v>140.0</v>
      </c>
      <c r="J95" s="11">
        <v>18.0</v>
      </c>
      <c r="K95" s="11">
        <v>0.0</v>
      </c>
      <c r="L95" s="11">
        <v>2.0</v>
      </c>
      <c r="M95" s="13">
        <f t="shared" ref="M95:O95" si="97">IFERROR(G95/F95,"")</f>
        <v>0.1523482245</v>
      </c>
      <c r="N95" s="13">
        <f t="shared" si="97"/>
        <v>1</v>
      </c>
      <c r="O95" s="14">
        <f t="shared" si="97"/>
        <v>0.5263157895</v>
      </c>
      <c r="P95" s="13">
        <f t="shared" si="3"/>
        <v>0.06766917293</v>
      </c>
      <c r="Q95" s="13">
        <f t="shared" si="4"/>
        <v>0</v>
      </c>
      <c r="R95" s="13">
        <f t="shared" si="5"/>
        <v>0.007518796992</v>
      </c>
      <c r="S95" s="14">
        <f t="shared" si="6"/>
        <v>0.7825503958</v>
      </c>
      <c r="T95" s="14">
        <f t="shared" si="7"/>
        <v>1.002939645</v>
      </c>
      <c r="U95" s="14">
        <f t="shared" si="8"/>
        <v>0</v>
      </c>
    </row>
    <row r="96" ht="15.75" customHeight="1">
      <c r="A96" s="9">
        <v>45162.4915074074</v>
      </c>
      <c r="B96" s="10">
        <v>11.0</v>
      </c>
      <c r="C96" s="10" t="s">
        <v>84</v>
      </c>
      <c r="D96" s="10" t="s">
        <v>364</v>
      </c>
      <c r="E96" s="12" t="s">
        <v>62</v>
      </c>
      <c r="F96" s="11">
        <v>1543.0</v>
      </c>
      <c r="G96" s="11">
        <v>211.0</v>
      </c>
      <c r="H96" s="11">
        <v>211.0</v>
      </c>
      <c r="I96" s="11">
        <v>105.0</v>
      </c>
      <c r="J96" s="11">
        <v>23.0</v>
      </c>
      <c r="K96" s="11">
        <v>0.0</v>
      </c>
      <c r="L96" s="11">
        <v>1.0</v>
      </c>
      <c r="M96" s="13">
        <f t="shared" ref="M96:O96" si="98">IFERROR(G96/F96,"")</f>
        <v>0.1367465975</v>
      </c>
      <c r="N96" s="13">
        <f t="shared" si="98"/>
        <v>1</v>
      </c>
      <c r="O96" s="14">
        <f t="shared" si="98"/>
        <v>0.4976303318</v>
      </c>
      <c r="P96" s="13">
        <f t="shared" si="3"/>
        <v>0.1090047393</v>
      </c>
      <c r="Q96" s="13">
        <f t="shared" si="4"/>
        <v>0</v>
      </c>
      <c r="R96" s="13">
        <f t="shared" si="5"/>
        <v>0.004739336493</v>
      </c>
      <c r="S96" s="14">
        <f t="shared" si="6"/>
        <v>0.7024112317</v>
      </c>
      <c r="T96" s="14">
        <f t="shared" si="7"/>
        <v>1.002939645</v>
      </c>
      <c r="U96" s="14">
        <f t="shared" si="8"/>
        <v>0</v>
      </c>
    </row>
    <row r="97" ht="15.75" customHeight="1">
      <c r="A97" s="9">
        <v>45163.4844487153</v>
      </c>
      <c r="B97" s="10">
        <v>11.0</v>
      </c>
      <c r="C97" s="10" t="s">
        <v>60</v>
      </c>
      <c r="D97" s="10" t="s">
        <v>368</v>
      </c>
      <c r="E97" s="12" t="s">
        <v>62</v>
      </c>
      <c r="F97" s="11">
        <v>1184.0</v>
      </c>
      <c r="G97" s="11">
        <v>102.0</v>
      </c>
      <c r="H97" s="11">
        <v>100.0</v>
      </c>
      <c r="I97" s="11">
        <v>40.0</v>
      </c>
      <c r="J97" s="11">
        <v>17.0</v>
      </c>
      <c r="K97" s="11">
        <v>1.0</v>
      </c>
      <c r="L97" s="11">
        <v>0.0</v>
      </c>
      <c r="M97" s="13">
        <f t="shared" ref="M97:O97" si="99">IFERROR(G97/F97,"")</f>
        <v>0.08614864865</v>
      </c>
      <c r="N97" s="13">
        <f t="shared" si="99"/>
        <v>0.9803921569</v>
      </c>
      <c r="O97" s="14">
        <f t="shared" si="99"/>
        <v>0.4</v>
      </c>
      <c r="P97" s="13">
        <f t="shared" si="3"/>
        <v>0.17</v>
      </c>
      <c r="Q97" s="13">
        <f t="shared" si="4"/>
        <v>0.01</v>
      </c>
      <c r="R97" s="13">
        <f t="shared" si="5"/>
        <v>0</v>
      </c>
      <c r="S97" s="14">
        <f t="shared" si="6"/>
        <v>0.4425103037</v>
      </c>
      <c r="T97" s="14">
        <f t="shared" si="7"/>
        <v>0.9832741615</v>
      </c>
      <c r="U97" s="14">
        <f t="shared" si="8"/>
        <v>1.599162758</v>
      </c>
    </row>
    <row r="98" ht="15.75" customHeight="1">
      <c r="A98" s="9">
        <v>45164.5075401389</v>
      </c>
      <c r="B98" s="10">
        <v>12.0</v>
      </c>
      <c r="C98" s="10" t="s">
        <v>69</v>
      </c>
      <c r="D98" s="10" t="s">
        <v>371</v>
      </c>
      <c r="E98" s="12" t="s">
        <v>62</v>
      </c>
      <c r="F98" s="11">
        <v>2526.0</v>
      </c>
      <c r="G98" s="11">
        <v>274.0</v>
      </c>
      <c r="H98" s="11">
        <v>270.0</v>
      </c>
      <c r="I98" s="11">
        <v>129.0</v>
      </c>
      <c r="J98" s="11">
        <v>27.0</v>
      </c>
      <c r="K98" s="11">
        <v>0.0</v>
      </c>
      <c r="L98" s="11">
        <v>0.0</v>
      </c>
      <c r="M98" s="13">
        <f t="shared" ref="M98:O98" si="100">IFERROR(G98/F98,"")</f>
        <v>0.1084718923</v>
      </c>
      <c r="N98" s="13">
        <f t="shared" si="100"/>
        <v>0.9854014599</v>
      </c>
      <c r="O98" s="14">
        <f t="shared" si="100"/>
        <v>0.4777777778</v>
      </c>
      <c r="P98" s="13">
        <f t="shared" si="3"/>
        <v>0.1</v>
      </c>
      <c r="Q98" s="13">
        <f t="shared" si="4"/>
        <v>0</v>
      </c>
      <c r="R98" s="13">
        <f t="shared" si="5"/>
        <v>0</v>
      </c>
      <c r="S98" s="14">
        <f t="shared" si="6"/>
        <v>0.5571756582</v>
      </c>
      <c r="T98" s="14">
        <f t="shared" si="7"/>
        <v>0.9882981901</v>
      </c>
      <c r="U98" s="14">
        <f t="shared" si="8"/>
        <v>0</v>
      </c>
    </row>
    <row r="99" ht="15.75" customHeight="1">
      <c r="A99" s="9">
        <v>45165.6659683218</v>
      </c>
      <c r="B99" s="10">
        <v>15.0</v>
      </c>
      <c r="C99" s="10" t="s">
        <v>77</v>
      </c>
      <c r="D99" s="10" t="s">
        <v>373</v>
      </c>
      <c r="E99" s="12" t="s">
        <v>62</v>
      </c>
      <c r="F99" s="11">
        <v>1851.0</v>
      </c>
      <c r="G99" s="11">
        <v>266.0</v>
      </c>
      <c r="H99" s="11">
        <v>266.0</v>
      </c>
      <c r="I99" s="11">
        <v>148.0</v>
      </c>
      <c r="J99" s="11">
        <v>21.0</v>
      </c>
      <c r="K99" s="11">
        <v>0.0</v>
      </c>
      <c r="L99" s="11">
        <v>0.0</v>
      </c>
      <c r="M99" s="13">
        <f t="shared" ref="M99:O99" si="101">IFERROR(G99/F99,"")</f>
        <v>0.1437061048</v>
      </c>
      <c r="N99" s="13">
        <f t="shared" si="101"/>
        <v>1</v>
      </c>
      <c r="O99" s="14">
        <f t="shared" si="101"/>
        <v>0.5563909774</v>
      </c>
      <c r="P99" s="13">
        <f t="shared" si="3"/>
        <v>0.07894736842</v>
      </c>
      <c r="Q99" s="13">
        <f t="shared" si="4"/>
        <v>0</v>
      </c>
      <c r="R99" s="13">
        <f t="shared" si="5"/>
        <v>0</v>
      </c>
      <c r="S99" s="14">
        <f t="shared" si="6"/>
        <v>0.7381593684</v>
      </c>
      <c r="T99" s="14">
        <f t="shared" si="7"/>
        <v>1.002939645</v>
      </c>
      <c r="U99" s="14">
        <f t="shared" si="8"/>
        <v>0</v>
      </c>
    </row>
    <row r="100" ht="15.75" customHeight="1">
      <c r="A100" s="9">
        <v>45166.4805083565</v>
      </c>
      <c r="B100" s="10">
        <v>11.0</v>
      </c>
      <c r="C100" s="10" t="s">
        <v>71</v>
      </c>
      <c r="D100" s="10" t="s">
        <v>376</v>
      </c>
      <c r="E100" s="12" t="s">
        <v>62</v>
      </c>
      <c r="F100" s="11">
        <v>1536.0</v>
      </c>
      <c r="G100" s="11">
        <v>332.0</v>
      </c>
      <c r="H100" s="11">
        <v>332.0</v>
      </c>
      <c r="I100" s="11">
        <v>205.0</v>
      </c>
      <c r="J100" s="11">
        <v>25.0</v>
      </c>
      <c r="K100" s="11">
        <v>8.0</v>
      </c>
      <c r="L100" s="11">
        <v>0.0</v>
      </c>
      <c r="M100" s="13">
        <f t="shared" ref="M100:O100" si="102">IFERROR(G100/F100,"")</f>
        <v>0.2161458333</v>
      </c>
      <c r="N100" s="13">
        <f t="shared" si="102"/>
        <v>1</v>
      </c>
      <c r="O100" s="14">
        <f t="shared" si="102"/>
        <v>0.6174698795</v>
      </c>
      <c r="P100" s="13">
        <f t="shared" si="3"/>
        <v>0.07530120482</v>
      </c>
      <c r="Q100" s="13">
        <f t="shared" si="4"/>
        <v>0.02409638554</v>
      </c>
      <c r="R100" s="13">
        <f t="shared" si="5"/>
        <v>0</v>
      </c>
      <c r="S100" s="14">
        <f t="shared" si="6"/>
        <v>1.119806379</v>
      </c>
      <c r="T100" s="14">
        <f t="shared" si="7"/>
        <v>1.002849003</v>
      </c>
      <c r="U100" s="14">
        <f t="shared" si="8"/>
        <v>3.859437751</v>
      </c>
    </row>
    <row r="101" ht="15.75" customHeight="1">
      <c r="A101" s="9">
        <v>45167.5303793982</v>
      </c>
      <c r="B101" s="10">
        <v>12.0</v>
      </c>
      <c r="C101" s="10" t="s">
        <v>59</v>
      </c>
      <c r="D101" s="10" t="s">
        <v>379</v>
      </c>
      <c r="E101" s="12" t="s">
        <v>62</v>
      </c>
      <c r="F101" s="11">
        <v>2185.0</v>
      </c>
      <c r="G101" s="11">
        <v>492.0</v>
      </c>
      <c r="H101" s="11">
        <v>475.0</v>
      </c>
      <c r="I101" s="11">
        <v>220.0</v>
      </c>
      <c r="J101" s="11">
        <v>37.0</v>
      </c>
      <c r="K101" s="11">
        <v>7.0</v>
      </c>
      <c r="L101" s="11">
        <v>2.0</v>
      </c>
      <c r="M101" s="13">
        <f t="shared" ref="M101:O101" si="103">IFERROR(G101/F101,"")</f>
        <v>0.2251716247</v>
      </c>
      <c r="N101" s="13">
        <f t="shared" si="103"/>
        <v>0.9654471545</v>
      </c>
      <c r="O101" s="14">
        <f t="shared" si="103"/>
        <v>0.4631578947</v>
      </c>
      <c r="P101" s="13">
        <f t="shared" si="3"/>
        <v>0.07789473684</v>
      </c>
      <c r="Q101" s="13">
        <f t="shared" si="4"/>
        <v>0.01473684211</v>
      </c>
      <c r="R101" s="13">
        <f t="shared" si="5"/>
        <v>0.004210526316</v>
      </c>
      <c r="S101" s="14">
        <f t="shared" si="6"/>
        <v>1.169797004</v>
      </c>
      <c r="T101" s="14">
        <f t="shared" si="7"/>
        <v>0.9681899241</v>
      </c>
      <c r="U101" s="14">
        <f t="shared" si="8"/>
        <v>2.366475296</v>
      </c>
    </row>
    <row r="102" ht="15.75" customHeight="1">
      <c r="A102" s="9">
        <v>45168.5008304051</v>
      </c>
      <c r="B102" s="10">
        <v>12.0</v>
      </c>
      <c r="C102" s="10" t="s">
        <v>80</v>
      </c>
      <c r="D102" s="10" t="s">
        <v>381</v>
      </c>
      <c r="E102" s="12" t="s">
        <v>62</v>
      </c>
      <c r="F102" s="11">
        <v>1042.0</v>
      </c>
      <c r="G102" s="11">
        <v>160.0</v>
      </c>
      <c r="H102" s="11">
        <v>159.0</v>
      </c>
      <c r="I102" s="11">
        <v>118.0</v>
      </c>
      <c r="J102" s="11">
        <v>21.0</v>
      </c>
      <c r="K102" s="11">
        <v>1.0</v>
      </c>
      <c r="L102" s="11">
        <v>0.0</v>
      </c>
      <c r="M102" s="13">
        <f t="shared" ref="M102:O102" si="104">IFERROR(G102/F102,"")</f>
        <v>0.1535508637</v>
      </c>
      <c r="N102" s="13">
        <f t="shared" si="104"/>
        <v>0.99375</v>
      </c>
      <c r="O102" s="14">
        <f t="shared" si="104"/>
        <v>0.7421383648</v>
      </c>
      <c r="P102" s="13">
        <f t="shared" si="3"/>
        <v>0.1320754717</v>
      </c>
      <c r="Q102" s="13">
        <f t="shared" si="4"/>
        <v>0.006289308176</v>
      </c>
      <c r="R102" s="13">
        <f t="shared" si="5"/>
        <v>0</v>
      </c>
      <c r="S102" s="14">
        <f t="shared" si="6"/>
        <v>0.799932257</v>
      </c>
      <c r="T102" s="14">
        <f t="shared" si="7"/>
        <v>0.9965811966</v>
      </c>
      <c r="U102" s="14">
        <f t="shared" si="8"/>
        <v>1.012578616</v>
      </c>
    </row>
    <row r="103" ht="15.75" customHeight="1">
      <c r="A103" s="9">
        <v>45169.4547295602</v>
      </c>
      <c r="B103" s="10">
        <v>10.0</v>
      </c>
      <c r="C103" s="10" t="s">
        <v>84</v>
      </c>
      <c r="D103" s="10" t="s">
        <v>384</v>
      </c>
      <c r="E103" s="12" t="s">
        <v>62</v>
      </c>
      <c r="F103" s="11">
        <v>1116.0</v>
      </c>
      <c r="G103" s="11">
        <v>234.0</v>
      </c>
      <c r="H103" s="11">
        <v>233.0</v>
      </c>
      <c r="I103" s="11">
        <v>174.0</v>
      </c>
      <c r="J103" s="11">
        <v>34.0</v>
      </c>
      <c r="K103" s="11">
        <v>1.0</v>
      </c>
      <c r="L103" s="11">
        <v>0.0</v>
      </c>
      <c r="M103" s="13">
        <f t="shared" ref="M103:O103" si="105">IFERROR(G103/F103,"")</f>
        <v>0.2096774194</v>
      </c>
      <c r="N103" s="13">
        <f t="shared" si="105"/>
        <v>0.9957264957</v>
      </c>
      <c r="O103" s="14">
        <f t="shared" si="105"/>
        <v>0.7467811159</v>
      </c>
      <c r="P103" s="13">
        <f t="shared" si="3"/>
        <v>0.1459227468</v>
      </c>
      <c r="Q103" s="13">
        <f t="shared" si="4"/>
        <v>0.004291845494</v>
      </c>
      <c r="R103" s="13">
        <f t="shared" si="5"/>
        <v>0</v>
      </c>
      <c r="S103" s="14">
        <f t="shared" si="6"/>
        <v>1.093001718</v>
      </c>
      <c r="T103" s="14">
        <f t="shared" si="7"/>
        <v>0.9985552869</v>
      </c>
      <c r="U103" s="14">
        <f t="shared" si="8"/>
        <v>0.6891942155</v>
      </c>
    </row>
    <row r="104" ht="15.75" customHeight="1">
      <c r="A104" s="9">
        <v>45170.4936073611</v>
      </c>
      <c r="B104" s="10">
        <v>11.0</v>
      </c>
      <c r="C104" s="10" t="s">
        <v>60</v>
      </c>
      <c r="D104" s="10" t="s">
        <v>387</v>
      </c>
      <c r="E104" s="12" t="s">
        <v>62</v>
      </c>
      <c r="F104" s="11">
        <v>1037.0</v>
      </c>
      <c r="G104" s="11">
        <v>125.0</v>
      </c>
      <c r="H104" s="11">
        <v>125.0</v>
      </c>
      <c r="I104" s="11">
        <v>57.0</v>
      </c>
      <c r="J104" s="11">
        <v>23.0</v>
      </c>
      <c r="K104" s="11">
        <v>5.0</v>
      </c>
      <c r="L104" s="11">
        <v>0.0</v>
      </c>
      <c r="M104" s="13">
        <f t="shared" ref="M104:O104" si="106">IFERROR(G104/F104,"")</f>
        <v>0.1205400193</v>
      </c>
      <c r="N104" s="13">
        <f t="shared" si="106"/>
        <v>1</v>
      </c>
      <c r="O104" s="14">
        <f t="shared" si="106"/>
        <v>0.456</v>
      </c>
      <c r="P104" s="13">
        <f t="shared" si="3"/>
        <v>0.184</v>
      </c>
      <c r="Q104" s="13">
        <f t="shared" si="4"/>
        <v>0.04</v>
      </c>
      <c r="R104" s="13">
        <f t="shared" si="5"/>
        <v>0</v>
      </c>
      <c r="S104" s="14">
        <f t="shared" si="6"/>
        <v>0.6287367406</v>
      </c>
      <c r="T104" s="14">
        <f t="shared" si="7"/>
        <v>1.002832861</v>
      </c>
      <c r="U104" s="14">
        <f t="shared" si="8"/>
        <v>6.44</v>
      </c>
    </row>
    <row r="105" ht="15.75" customHeight="1">
      <c r="A105" s="9">
        <v>45171.4940571412</v>
      </c>
      <c r="B105" s="10">
        <v>11.0</v>
      </c>
      <c r="C105" s="10" t="s">
        <v>69</v>
      </c>
      <c r="D105" s="10" t="s">
        <v>389</v>
      </c>
      <c r="E105" s="12" t="s">
        <v>62</v>
      </c>
      <c r="F105" s="11">
        <v>2018.0</v>
      </c>
      <c r="G105" s="11">
        <v>298.0</v>
      </c>
      <c r="H105" s="11">
        <v>298.0</v>
      </c>
      <c r="I105" s="11">
        <v>162.0</v>
      </c>
      <c r="J105" s="11">
        <v>30.0</v>
      </c>
      <c r="K105" s="11">
        <v>3.0</v>
      </c>
      <c r="L105" s="11">
        <v>1.0</v>
      </c>
      <c r="M105" s="13">
        <f t="shared" ref="M105:O105" si="107">IFERROR(G105/F105,"")</f>
        <v>0.1476709613</v>
      </c>
      <c r="N105" s="13">
        <f t="shared" si="107"/>
        <v>1</v>
      </c>
      <c r="O105" s="14">
        <f t="shared" si="107"/>
        <v>0.5436241611</v>
      </c>
      <c r="P105" s="13">
        <f t="shared" si="3"/>
        <v>0.1006711409</v>
      </c>
      <c r="Q105" s="13">
        <f t="shared" si="4"/>
        <v>0.01006711409</v>
      </c>
      <c r="R105" s="13">
        <f t="shared" si="5"/>
        <v>0.003355704698</v>
      </c>
      <c r="S105" s="14">
        <f t="shared" si="6"/>
        <v>0.7713129222</v>
      </c>
      <c r="T105" s="14">
        <f t="shared" si="7"/>
        <v>1.002705074</v>
      </c>
      <c r="U105" s="14">
        <f t="shared" si="8"/>
        <v>1.616599854</v>
      </c>
    </row>
    <row r="106" ht="15.75" customHeight="1">
      <c r="A106" s="9">
        <v>45172.4908789005</v>
      </c>
      <c r="B106" s="10">
        <v>11.0</v>
      </c>
      <c r="C106" s="10" t="s">
        <v>77</v>
      </c>
      <c r="D106" s="10" t="s">
        <v>392</v>
      </c>
      <c r="E106" s="12" t="s">
        <v>62</v>
      </c>
      <c r="F106" s="11">
        <v>1071.0</v>
      </c>
      <c r="G106" s="11">
        <v>159.0</v>
      </c>
      <c r="H106" s="11">
        <v>158.0</v>
      </c>
      <c r="I106" s="11">
        <v>97.0</v>
      </c>
      <c r="J106" s="11">
        <v>24.0</v>
      </c>
      <c r="K106" s="11">
        <v>2.0</v>
      </c>
      <c r="L106" s="11">
        <v>0.0</v>
      </c>
      <c r="M106" s="13">
        <f t="shared" ref="M106:O106" si="108">IFERROR(G106/F106,"")</f>
        <v>0.1484593838</v>
      </c>
      <c r="N106" s="13">
        <f t="shared" si="108"/>
        <v>0.9937106918</v>
      </c>
      <c r="O106" s="14">
        <f t="shared" si="108"/>
        <v>0.6139240506</v>
      </c>
      <c r="P106" s="13">
        <f t="shared" si="3"/>
        <v>0.1518987342</v>
      </c>
      <c r="Q106" s="13">
        <f t="shared" si="4"/>
        <v>0.01265822785</v>
      </c>
      <c r="R106" s="13">
        <f t="shared" si="5"/>
        <v>0</v>
      </c>
      <c r="S106" s="14">
        <f t="shared" si="6"/>
        <v>0.7765007964</v>
      </c>
      <c r="T106" s="14">
        <f t="shared" si="7"/>
        <v>0.9965257363</v>
      </c>
      <c r="U106" s="14">
        <f t="shared" si="8"/>
        <v>2.02742616</v>
      </c>
    </row>
    <row r="107" ht="15.75" customHeight="1">
      <c r="A107" s="9">
        <v>45173.5033684607</v>
      </c>
      <c r="B107" s="10">
        <v>12.0</v>
      </c>
      <c r="C107" s="10" t="s">
        <v>71</v>
      </c>
      <c r="D107" s="10" t="s">
        <v>395</v>
      </c>
      <c r="E107" s="12" t="s">
        <v>62</v>
      </c>
      <c r="F107" s="11">
        <v>2424.0</v>
      </c>
      <c r="G107" s="11">
        <v>302.0</v>
      </c>
      <c r="H107" s="11">
        <v>299.0</v>
      </c>
      <c r="I107" s="11">
        <v>139.0</v>
      </c>
      <c r="J107" s="11">
        <v>25.0</v>
      </c>
      <c r="K107" s="11">
        <v>0.0</v>
      </c>
      <c r="L107" s="11">
        <v>1.0</v>
      </c>
      <c r="M107" s="13">
        <f t="shared" ref="M107:O107" si="109">IFERROR(G107/F107,"")</f>
        <v>0.1245874587</v>
      </c>
      <c r="N107" s="13">
        <f t="shared" si="109"/>
        <v>0.9900662252</v>
      </c>
      <c r="O107" s="14">
        <f t="shared" si="109"/>
        <v>0.4648829431</v>
      </c>
      <c r="P107" s="13">
        <f t="shared" si="3"/>
        <v>0.08361204013</v>
      </c>
      <c r="Q107" s="13">
        <f t="shared" si="4"/>
        <v>0</v>
      </c>
      <c r="R107" s="13">
        <f t="shared" si="5"/>
        <v>0.003344481605</v>
      </c>
      <c r="S107" s="14">
        <f t="shared" si="6"/>
        <v>0.652270708</v>
      </c>
      <c r="T107" s="14">
        <f t="shared" si="7"/>
        <v>0.9927444277</v>
      </c>
      <c r="U107" s="14">
        <f t="shared" si="8"/>
        <v>0</v>
      </c>
    </row>
    <row r="108" ht="15.75" customHeight="1">
      <c r="A108" s="9">
        <v>45174.4975644329</v>
      </c>
      <c r="B108" s="10">
        <v>11.0</v>
      </c>
      <c r="C108" s="10" t="s">
        <v>59</v>
      </c>
      <c r="D108" s="10" t="s">
        <v>398</v>
      </c>
      <c r="E108" s="12" t="s">
        <v>62</v>
      </c>
      <c r="F108" s="11">
        <v>1154.0</v>
      </c>
      <c r="G108" s="11">
        <v>269.0</v>
      </c>
      <c r="H108" s="11">
        <v>269.0</v>
      </c>
      <c r="I108" s="11">
        <v>154.0</v>
      </c>
      <c r="J108" s="11">
        <v>23.0</v>
      </c>
      <c r="K108" s="11">
        <v>1.0</v>
      </c>
      <c r="L108" s="11">
        <v>2.0</v>
      </c>
      <c r="M108" s="13">
        <f t="shared" ref="M108:O108" si="110">IFERROR(G108/F108,"")</f>
        <v>0.233102253</v>
      </c>
      <c r="N108" s="13">
        <f t="shared" si="110"/>
        <v>1</v>
      </c>
      <c r="O108" s="14">
        <f t="shared" si="110"/>
        <v>0.5724907063</v>
      </c>
      <c r="P108" s="13">
        <f t="shared" si="3"/>
        <v>0.08550185874</v>
      </c>
      <c r="Q108" s="13">
        <f t="shared" si="4"/>
        <v>0.003717472119</v>
      </c>
      <c r="R108" s="13">
        <f t="shared" si="5"/>
        <v>0.007434944238</v>
      </c>
      <c r="S108" s="14">
        <f t="shared" si="6"/>
        <v>1.221573832</v>
      </c>
      <c r="T108" s="14">
        <f t="shared" si="7"/>
        <v>1.00257732</v>
      </c>
      <c r="U108" s="14">
        <f t="shared" si="8"/>
        <v>0.5935563817</v>
      </c>
    </row>
    <row r="109" ht="15.75" customHeight="1">
      <c r="A109" s="9">
        <v>45175.5030890857</v>
      </c>
      <c r="B109" s="10">
        <v>12.0</v>
      </c>
      <c r="C109" s="10" t="s">
        <v>80</v>
      </c>
      <c r="D109" s="10" t="s">
        <v>401</v>
      </c>
      <c r="E109" s="12" t="s">
        <v>62</v>
      </c>
      <c r="F109" s="11">
        <v>1099.0</v>
      </c>
      <c r="G109" s="11">
        <v>240.0</v>
      </c>
      <c r="H109" s="11">
        <v>240.0</v>
      </c>
      <c r="I109" s="11">
        <v>170.0</v>
      </c>
      <c r="J109" s="11">
        <v>33.0</v>
      </c>
      <c r="K109" s="11">
        <v>3.0</v>
      </c>
      <c r="L109" s="11">
        <v>0.0</v>
      </c>
      <c r="M109" s="13">
        <f t="shared" ref="M109:O109" si="111">IFERROR(G109/F109,"")</f>
        <v>0.2183803458</v>
      </c>
      <c r="N109" s="13">
        <f t="shared" si="111"/>
        <v>1</v>
      </c>
      <c r="O109" s="14">
        <f t="shared" si="111"/>
        <v>0.7083333333</v>
      </c>
      <c r="P109" s="13">
        <f t="shared" si="3"/>
        <v>0.1375</v>
      </c>
      <c r="Q109" s="13">
        <f t="shared" si="4"/>
        <v>0.0125</v>
      </c>
      <c r="R109" s="13">
        <f t="shared" si="5"/>
        <v>0</v>
      </c>
      <c r="S109" s="14">
        <f t="shared" si="6"/>
        <v>1.145860813</v>
      </c>
      <c r="T109" s="14">
        <f t="shared" si="7"/>
        <v>1.002517157</v>
      </c>
      <c r="U109" s="14">
        <f t="shared" si="8"/>
        <v>1.99165795</v>
      </c>
    </row>
    <row r="110" ht="15.75" customHeight="1">
      <c r="A110" s="9">
        <v>45176.5036295602</v>
      </c>
      <c r="B110" s="10">
        <v>12.0</v>
      </c>
      <c r="C110" s="10" t="s">
        <v>84</v>
      </c>
      <c r="D110" s="10" t="s">
        <v>404</v>
      </c>
      <c r="E110" s="12" t="s">
        <v>62</v>
      </c>
      <c r="F110" s="11">
        <v>2928.0</v>
      </c>
      <c r="G110" s="11">
        <v>426.0</v>
      </c>
      <c r="H110" s="11">
        <v>420.0</v>
      </c>
      <c r="I110" s="11">
        <v>224.0</v>
      </c>
      <c r="J110" s="11">
        <v>28.0</v>
      </c>
      <c r="K110" s="11">
        <v>3.0</v>
      </c>
      <c r="L110" s="11">
        <v>1.0</v>
      </c>
      <c r="M110" s="13">
        <f t="shared" ref="M110:O110" si="112">IFERROR(G110/F110,"")</f>
        <v>0.1454918033</v>
      </c>
      <c r="N110" s="13">
        <f t="shared" si="112"/>
        <v>0.985915493</v>
      </c>
      <c r="O110" s="14">
        <f t="shared" si="112"/>
        <v>0.5333333333</v>
      </c>
      <c r="P110" s="13">
        <f t="shared" si="3"/>
        <v>0.06666666667</v>
      </c>
      <c r="Q110" s="13">
        <f t="shared" si="4"/>
        <v>0.007142857143</v>
      </c>
      <c r="R110" s="13">
        <f t="shared" si="5"/>
        <v>0.002380952381</v>
      </c>
      <c r="S110" s="14">
        <f t="shared" si="6"/>
        <v>0.7643681778</v>
      </c>
      <c r="T110" s="14">
        <f t="shared" si="7"/>
        <v>0.9883378897</v>
      </c>
      <c r="U110" s="14">
        <f t="shared" si="8"/>
        <v>1.14047619</v>
      </c>
    </row>
    <row r="111" ht="15.75" customHeight="1">
      <c r="A111" s="9">
        <v>45177.5105994792</v>
      </c>
      <c r="B111" s="10">
        <v>12.0</v>
      </c>
      <c r="C111" s="10" t="s">
        <v>60</v>
      </c>
      <c r="D111" s="10" t="s">
        <v>407</v>
      </c>
      <c r="E111" s="12" t="s">
        <v>62</v>
      </c>
      <c r="F111" s="11">
        <v>1062.0</v>
      </c>
      <c r="G111" s="11">
        <v>454.0</v>
      </c>
      <c r="H111" s="11">
        <v>440.0</v>
      </c>
      <c r="I111" s="11">
        <v>262.0</v>
      </c>
      <c r="J111" s="11">
        <v>22.0</v>
      </c>
      <c r="K111" s="11">
        <v>4.0</v>
      </c>
      <c r="L111" s="11">
        <v>0.0</v>
      </c>
      <c r="M111" s="13">
        <f t="shared" ref="M111:O111" si="113">IFERROR(G111/F111,"")</f>
        <v>0.4274952919</v>
      </c>
      <c r="N111" s="13">
        <f t="shared" si="113"/>
        <v>0.9691629956</v>
      </c>
      <c r="O111" s="14">
        <f t="shared" si="113"/>
        <v>0.5954545455</v>
      </c>
      <c r="P111" s="13">
        <f t="shared" si="3"/>
        <v>0.05</v>
      </c>
      <c r="Q111" s="13">
        <f t="shared" si="4"/>
        <v>0.009090909091</v>
      </c>
      <c r="R111" s="13">
        <f t="shared" si="5"/>
        <v>0</v>
      </c>
      <c r="S111" s="14">
        <f t="shared" si="6"/>
        <v>2.250300825</v>
      </c>
      <c r="T111" s="14">
        <f t="shared" si="7"/>
        <v>0.9714938027</v>
      </c>
      <c r="U111" s="14">
        <f t="shared" si="8"/>
        <v>1.448478509</v>
      </c>
    </row>
    <row r="112" ht="15.75" customHeight="1">
      <c r="A112" s="9">
        <v>45178.510940544</v>
      </c>
      <c r="B112" s="10">
        <v>12.0</v>
      </c>
      <c r="C112" s="10" t="s">
        <v>69</v>
      </c>
      <c r="D112" s="10" t="s">
        <v>411</v>
      </c>
      <c r="E112" s="12" t="s">
        <v>62</v>
      </c>
      <c r="F112" s="11">
        <v>1105.0</v>
      </c>
      <c r="G112" s="11">
        <v>222.0</v>
      </c>
      <c r="H112" s="11">
        <v>222.0</v>
      </c>
      <c r="I112" s="11">
        <v>135.0</v>
      </c>
      <c r="J112" s="11">
        <v>15.0</v>
      </c>
      <c r="K112" s="11">
        <v>3.0</v>
      </c>
      <c r="L112" s="11">
        <v>0.0</v>
      </c>
      <c r="M112" s="13">
        <f t="shared" ref="M112:O112" si="114">IFERROR(G112/F112,"")</f>
        <v>0.2009049774</v>
      </c>
      <c r="N112" s="13">
        <f t="shared" si="114"/>
        <v>1</v>
      </c>
      <c r="O112" s="14">
        <f t="shared" si="114"/>
        <v>0.6081081081</v>
      </c>
      <c r="P112" s="13">
        <f t="shared" si="3"/>
        <v>0.06756756757</v>
      </c>
      <c r="Q112" s="13">
        <f t="shared" si="4"/>
        <v>0.01351351351</v>
      </c>
      <c r="R112" s="13">
        <f t="shared" si="5"/>
        <v>0</v>
      </c>
      <c r="S112" s="14">
        <f t="shared" si="6"/>
        <v>1.059611736</v>
      </c>
      <c r="T112" s="14">
        <f t="shared" si="7"/>
        <v>1.002352941</v>
      </c>
      <c r="U112" s="14">
        <f t="shared" si="8"/>
        <v>2.148648649</v>
      </c>
    </row>
    <row r="113" ht="15.75" customHeight="1">
      <c r="A113" s="9">
        <v>45179.5479379282</v>
      </c>
      <c r="B113" s="10">
        <v>13.0</v>
      </c>
      <c r="C113" s="10" t="s">
        <v>77</v>
      </c>
      <c r="D113" s="10" t="s">
        <v>414</v>
      </c>
      <c r="E113" s="12" t="s">
        <v>62</v>
      </c>
      <c r="F113" s="11">
        <v>2431.0</v>
      </c>
      <c r="G113" s="11">
        <v>378.0</v>
      </c>
      <c r="H113" s="11">
        <v>374.0</v>
      </c>
      <c r="I113" s="11">
        <v>225.0</v>
      </c>
      <c r="J113" s="11">
        <v>26.0</v>
      </c>
      <c r="K113" s="11">
        <v>2.0</v>
      </c>
      <c r="L113" s="11">
        <v>3.0</v>
      </c>
      <c r="M113" s="13">
        <f t="shared" ref="M113:O113" si="115">IFERROR(G113/F113,"")</f>
        <v>0.1554915673</v>
      </c>
      <c r="N113" s="13">
        <f t="shared" si="115"/>
        <v>0.9894179894</v>
      </c>
      <c r="O113" s="14">
        <f t="shared" si="115"/>
        <v>0.6016042781</v>
      </c>
      <c r="P113" s="13">
        <f t="shared" si="3"/>
        <v>0.06951871658</v>
      </c>
      <c r="Q113" s="13">
        <f t="shared" si="4"/>
        <v>0.005347593583</v>
      </c>
      <c r="R113" s="13">
        <f t="shared" si="5"/>
        <v>0.008021390374</v>
      </c>
      <c r="S113" s="14">
        <f t="shared" si="6"/>
        <v>0.8272195373</v>
      </c>
      <c r="T113" s="14">
        <f t="shared" si="7"/>
        <v>0.991729827</v>
      </c>
      <c r="U113" s="14">
        <f t="shared" si="8"/>
        <v>0.8520461817</v>
      </c>
    </row>
    <row r="114" ht="15.75" customHeight="1">
      <c r="A114" s="9">
        <v>45180.5063094792</v>
      </c>
      <c r="B114" s="10">
        <v>12.0</v>
      </c>
      <c r="C114" s="10" t="s">
        <v>71</v>
      </c>
      <c r="D114" s="10" t="s">
        <v>417</v>
      </c>
      <c r="E114" s="12" t="s">
        <v>62</v>
      </c>
      <c r="F114" s="11">
        <v>1013.0</v>
      </c>
      <c r="G114" s="11">
        <v>127.0</v>
      </c>
      <c r="H114" s="11">
        <v>127.0</v>
      </c>
      <c r="I114" s="11">
        <v>66.0</v>
      </c>
      <c r="J114" s="11">
        <v>14.0</v>
      </c>
      <c r="K114" s="11">
        <v>3.0</v>
      </c>
      <c r="L114" s="11">
        <v>0.0</v>
      </c>
      <c r="M114" s="13">
        <f t="shared" ref="M114:O114" si="116">IFERROR(G114/F114,"")</f>
        <v>0.1253701876</v>
      </c>
      <c r="N114" s="13">
        <f t="shared" si="116"/>
        <v>1</v>
      </c>
      <c r="O114" s="14">
        <f t="shared" si="116"/>
        <v>0.5196850394</v>
      </c>
      <c r="P114" s="13">
        <f t="shared" si="3"/>
        <v>0.1102362205</v>
      </c>
      <c r="Q114" s="13">
        <f t="shared" si="4"/>
        <v>0.02362204724</v>
      </c>
      <c r="R114" s="13">
        <f t="shared" si="5"/>
        <v>0</v>
      </c>
      <c r="S114" s="14">
        <f t="shared" si="6"/>
        <v>0.6669729451</v>
      </c>
      <c r="T114" s="14">
        <f t="shared" si="7"/>
        <v>1.002336563</v>
      </c>
      <c r="U114" s="14">
        <f t="shared" si="8"/>
        <v>3.763763055</v>
      </c>
    </row>
    <row r="115" ht="15.75" customHeight="1">
      <c r="A115" s="9">
        <v>45181.475964375</v>
      </c>
      <c r="B115" s="10">
        <v>11.0</v>
      </c>
      <c r="C115" s="10" t="s">
        <v>59</v>
      </c>
      <c r="D115" s="10" t="s">
        <v>420</v>
      </c>
      <c r="E115" s="12" t="s">
        <v>62</v>
      </c>
      <c r="F115" s="11">
        <v>967.0</v>
      </c>
      <c r="G115" s="11">
        <v>117.0</v>
      </c>
      <c r="H115" s="11">
        <v>116.0</v>
      </c>
      <c r="I115" s="11">
        <v>88.0</v>
      </c>
      <c r="J115" s="11">
        <v>18.0</v>
      </c>
      <c r="K115" s="11">
        <v>0.0</v>
      </c>
      <c r="L115" s="11">
        <v>0.0</v>
      </c>
      <c r="M115" s="13">
        <f t="shared" ref="M115:O115" si="117">IFERROR(G115/F115,"")</f>
        <v>0.1209927611</v>
      </c>
      <c r="N115" s="13">
        <f t="shared" si="117"/>
        <v>0.9914529915</v>
      </c>
      <c r="O115" s="14">
        <f t="shared" si="117"/>
        <v>0.7586206897</v>
      </c>
      <c r="P115" s="13">
        <f t="shared" si="3"/>
        <v>0.1551724138</v>
      </c>
      <c r="Q115" s="13">
        <f t="shared" si="4"/>
        <v>0</v>
      </c>
      <c r="R115" s="13">
        <f t="shared" si="5"/>
        <v>0</v>
      </c>
      <c r="S115" s="14">
        <f t="shared" si="6"/>
        <v>0.649327818</v>
      </c>
      <c r="T115" s="14">
        <f t="shared" si="7"/>
        <v>0.9937533464</v>
      </c>
      <c r="U115" s="14">
        <f t="shared" si="8"/>
        <v>0</v>
      </c>
    </row>
    <row r="116" ht="15.75" customHeight="1">
      <c r="A116" s="9">
        <v>45182.5162868403</v>
      </c>
      <c r="B116" s="10">
        <v>12.0</v>
      </c>
      <c r="C116" s="10" t="s">
        <v>80</v>
      </c>
      <c r="D116" s="10" t="s">
        <v>423</v>
      </c>
      <c r="E116" s="12" t="s">
        <v>62</v>
      </c>
      <c r="F116" s="11">
        <v>2469.0</v>
      </c>
      <c r="G116" s="11">
        <v>448.0</v>
      </c>
      <c r="H116" s="11">
        <v>435.0</v>
      </c>
      <c r="I116" s="11">
        <v>256.0</v>
      </c>
      <c r="J116" s="11">
        <v>29.0</v>
      </c>
      <c r="K116" s="11">
        <v>0.0</v>
      </c>
      <c r="L116" s="11">
        <v>1.0</v>
      </c>
      <c r="M116" s="13">
        <f t="shared" ref="M116:O116" si="118">IFERROR(G116/F116,"")</f>
        <v>0.1814499797</v>
      </c>
      <c r="N116" s="13">
        <f t="shared" si="118"/>
        <v>0.9709821429</v>
      </c>
      <c r="O116" s="14">
        <f t="shared" si="118"/>
        <v>0.5885057471</v>
      </c>
      <c r="P116" s="13">
        <f t="shared" si="3"/>
        <v>0.06666666667</v>
      </c>
      <c r="Q116" s="13">
        <f t="shared" si="4"/>
        <v>0</v>
      </c>
      <c r="R116" s="13">
        <f t="shared" si="5"/>
        <v>0.002298850575</v>
      </c>
      <c r="S116" s="14">
        <f t="shared" si="6"/>
        <v>0.9775610773</v>
      </c>
      <c r="T116" s="14">
        <f t="shared" si="7"/>
        <v>0.9730923225</v>
      </c>
      <c r="U116" s="14">
        <f t="shared" si="8"/>
        <v>0</v>
      </c>
    </row>
    <row r="117" ht="15.75" customHeight="1">
      <c r="A117" s="9">
        <v>45183.5181688542</v>
      </c>
      <c r="B117" s="10">
        <v>12.0</v>
      </c>
      <c r="C117" s="10" t="s">
        <v>84</v>
      </c>
      <c r="D117" s="10" t="s">
        <v>426</v>
      </c>
      <c r="E117" s="12" t="s">
        <v>62</v>
      </c>
      <c r="F117" s="11">
        <v>965.0</v>
      </c>
      <c r="G117" s="11">
        <v>207.0</v>
      </c>
      <c r="H117" s="11">
        <v>202.0</v>
      </c>
      <c r="I117" s="11">
        <v>127.0</v>
      </c>
      <c r="J117" s="11">
        <v>27.0</v>
      </c>
      <c r="K117" s="11">
        <v>1.0</v>
      </c>
      <c r="L117" s="11">
        <v>0.0</v>
      </c>
      <c r="M117" s="13">
        <f t="shared" ref="M117:O117" si="119">IFERROR(G117/F117,"")</f>
        <v>0.214507772</v>
      </c>
      <c r="N117" s="13">
        <f t="shared" si="119"/>
        <v>0.9758454106</v>
      </c>
      <c r="O117" s="14">
        <f t="shared" si="119"/>
        <v>0.6287128713</v>
      </c>
      <c r="P117" s="13">
        <f t="shared" si="3"/>
        <v>0.1336633663</v>
      </c>
      <c r="Q117" s="13">
        <f t="shared" si="4"/>
        <v>0.00495049505</v>
      </c>
      <c r="R117" s="13">
        <f t="shared" si="5"/>
        <v>0</v>
      </c>
      <c r="S117" s="14">
        <f t="shared" si="6"/>
        <v>1.160162725</v>
      </c>
      <c r="T117" s="14">
        <f t="shared" si="7"/>
        <v>0.9778228076</v>
      </c>
      <c r="U117" s="14">
        <f t="shared" si="8"/>
        <v>0.7929042904</v>
      </c>
    </row>
    <row r="118" ht="15.75" customHeight="1">
      <c r="A118" s="9">
        <v>45184.4948642014</v>
      </c>
      <c r="B118" s="10">
        <v>11.0</v>
      </c>
      <c r="C118" s="10" t="s">
        <v>60</v>
      </c>
      <c r="D118" s="10" t="s">
        <v>428</v>
      </c>
      <c r="E118" s="12" t="s">
        <v>62</v>
      </c>
      <c r="F118" s="11">
        <v>966.0</v>
      </c>
      <c r="G118" s="11">
        <v>180.0</v>
      </c>
      <c r="H118" s="11">
        <v>179.0</v>
      </c>
      <c r="I118" s="11">
        <v>117.0</v>
      </c>
      <c r="J118" s="11">
        <v>23.0</v>
      </c>
      <c r="K118" s="11">
        <v>0.0</v>
      </c>
      <c r="L118" s="11">
        <v>0.0</v>
      </c>
      <c r="M118" s="13">
        <f t="shared" ref="M118:O118" si="120">IFERROR(G118/F118,"")</f>
        <v>0.1863354037</v>
      </c>
      <c r="N118" s="13">
        <f t="shared" si="120"/>
        <v>0.9944444444</v>
      </c>
      <c r="O118" s="14">
        <f t="shared" si="120"/>
        <v>0.6536312849</v>
      </c>
      <c r="P118" s="13">
        <f t="shared" si="3"/>
        <v>0.1284916201</v>
      </c>
      <c r="Q118" s="13">
        <f t="shared" si="4"/>
        <v>0</v>
      </c>
      <c r="R118" s="13">
        <f t="shared" si="5"/>
        <v>0</v>
      </c>
      <c r="S118" s="14">
        <f t="shared" si="6"/>
        <v>1.015410332</v>
      </c>
      <c r="T118" s="14">
        <f t="shared" si="7"/>
        <v>0.9963919109</v>
      </c>
      <c r="U118" s="14">
        <f t="shared" si="8"/>
        <v>0</v>
      </c>
    </row>
    <row r="119" ht="15.75" customHeight="1">
      <c r="A119" s="9">
        <v>45185.5132927199</v>
      </c>
      <c r="B119" s="10">
        <v>12.0</v>
      </c>
      <c r="C119" s="10" t="s">
        <v>69</v>
      </c>
      <c r="D119" s="10" t="s">
        <v>430</v>
      </c>
      <c r="E119" s="12" t="s">
        <v>62</v>
      </c>
      <c r="F119" s="11">
        <v>1032.0</v>
      </c>
      <c r="G119" s="11">
        <v>136.0</v>
      </c>
      <c r="H119" s="11">
        <v>136.0</v>
      </c>
      <c r="I119" s="11">
        <v>103.0</v>
      </c>
      <c r="J119" s="11">
        <v>25.0</v>
      </c>
      <c r="K119" s="11">
        <v>2.0</v>
      </c>
      <c r="L119" s="11">
        <v>1.0</v>
      </c>
      <c r="M119" s="13">
        <f t="shared" ref="M119:O119" si="121">IFERROR(G119/F119,"")</f>
        <v>0.1317829457</v>
      </c>
      <c r="N119" s="13">
        <f t="shared" si="121"/>
        <v>1</v>
      </c>
      <c r="O119" s="14">
        <f t="shared" si="121"/>
        <v>0.7573529412</v>
      </c>
      <c r="P119" s="13">
        <f t="shared" si="3"/>
        <v>0.1838235294</v>
      </c>
      <c r="Q119" s="13">
        <f t="shared" si="4"/>
        <v>0.01470588235</v>
      </c>
      <c r="R119" s="13">
        <f t="shared" si="5"/>
        <v>0.007352941176</v>
      </c>
      <c r="S119" s="14">
        <f t="shared" si="6"/>
        <v>0.7236033146</v>
      </c>
      <c r="T119" s="14">
        <f t="shared" si="7"/>
        <v>1.001890359</v>
      </c>
      <c r="U119" s="14">
        <f t="shared" si="8"/>
        <v>2.367647059</v>
      </c>
    </row>
    <row r="120" ht="15.75" customHeight="1">
      <c r="A120" s="9">
        <v>45186.5366599884</v>
      </c>
      <c r="B120" s="10">
        <v>12.0</v>
      </c>
      <c r="C120" s="10" t="s">
        <v>77</v>
      </c>
      <c r="D120" s="10" t="s">
        <v>433</v>
      </c>
      <c r="E120" s="12" t="s">
        <v>62</v>
      </c>
      <c r="F120" s="11">
        <v>1117.0</v>
      </c>
      <c r="G120" s="11">
        <v>188.0</v>
      </c>
      <c r="H120" s="11">
        <v>178.0</v>
      </c>
      <c r="I120" s="11">
        <v>174.0</v>
      </c>
      <c r="J120" s="11">
        <v>18.0</v>
      </c>
      <c r="K120" s="11">
        <v>3.0</v>
      </c>
      <c r="L120" s="11">
        <v>1.0</v>
      </c>
      <c r="M120" s="13">
        <f t="shared" ref="M120:O120" si="122">IFERROR(G120/F120,"")</f>
        <v>0.1683079678</v>
      </c>
      <c r="N120" s="13">
        <f t="shared" si="122"/>
        <v>0.9468085106</v>
      </c>
      <c r="O120" s="14">
        <f t="shared" si="122"/>
        <v>0.9775280899</v>
      </c>
      <c r="P120" s="13">
        <f t="shared" si="3"/>
        <v>0.1011235955</v>
      </c>
      <c r="Q120" s="13">
        <f t="shared" si="4"/>
        <v>0.01685393258</v>
      </c>
      <c r="R120" s="13">
        <f t="shared" si="5"/>
        <v>0.005617977528</v>
      </c>
      <c r="S120" s="14">
        <f t="shared" si="6"/>
        <v>0.925861753</v>
      </c>
      <c r="T120" s="14">
        <f t="shared" si="7"/>
        <v>0.9485442718</v>
      </c>
      <c r="U120" s="14">
        <f t="shared" si="8"/>
        <v>2.736461063</v>
      </c>
    </row>
    <row r="121" ht="15.75" customHeight="1">
      <c r="A121" s="9">
        <v>45187.4908374306</v>
      </c>
      <c r="B121" s="10">
        <v>11.0</v>
      </c>
      <c r="C121" s="10" t="s">
        <v>71</v>
      </c>
      <c r="D121" s="10" t="s">
        <v>438</v>
      </c>
      <c r="E121" s="12" t="s">
        <v>62</v>
      </c>
      <c r="F121" s="11">
        <v>924.0</v>
      </c>
      <c r="G121" s="11">
        <v>187.0</v>
      </c>
      <c r="H121" s="11">
        <v>187.0</v>
      </c>
      <c r="I121" s="11">
        <v>82.0</v>
      </c>
      <c r="J121" s="11">
        <v>21.0</v>
      </c>
      <c r="K121" s="11">
        <v>0.0</v>
      </c>
      <c r="L121" s="11">
        <v>0.0</v>
      </c>
      <c r="M121" s="13">
        <f t="shared" ref="M121:O121" si="123">IFERROR(G121/F121,"")</f>
        <v>0.2023809524</v>
      </c>
      <c r="N121" s="13">
        <f t="shared" si="123"/>
        <v>1</v>
      </c>
      <c r="O121" s="14">
        <f t="shared" si="123"/>
        <v>0.4385026738</v>
      </c>
      <c r="P121" s="13">
        <f t="shared" si="3"/>
        <v>0.1122994652</v>
      </c>
      <c r="Q121" s="13">
        <f t="shared" si="4"/>
        <v>0</v>
      </c>
      <c r="R121" s="13">
        <f t="shared" si="5"/>
        <v>0</v>
      </c>
      <c r="S121" s="14">
        <f t="shared" si="6"/>
        <v>1.113297165</v>
      </c>
      <c r="T121" s="14">
        <f t="shared" si="7"/>
        <v>1.001833276</v>
      </c>
      <c r="U121" s="14">
        <f t="shared" si="8"/>
        <v>0</v>
      </c>
    </row>
    <row r="122" ht="15.75" customHeight="1">
      <c r="A122" s="9">
        <v>45188.4917836806</v>
      </c>
      <c r="B122" s="10">
        <v>11.0</v>
      </c>
      <c r="C122" s="10" t="s">
        <v>59</v>
      </c>
      <c r="D122" s="10" t="s">
        <v>441</v>
      </c>
      <c r="E122" s="12" t="s">
        <v>62</v>
      </c>
      <c r="F122" s="11">
        <v>2812.0</v>
      </c>
      <c r="G122" s="11">
        <v>491.0</v>
      </c>
      <c r="H122" s="11">
        <v>479.0</v>
      </c>
      <c r="I122" s="11">
        <v>355.0</v>
      </c>
      <c r="J122" s="11">
        <v>29.0</v>
      </c>
      <c r="K122" s="11">
        <v>3.0</v>
      </c>
      <c r="L122" s="11">
        <v>0.0</v>
      </c>
      <c r="M122" s="13">
        <f t="shared" ref="M122:O122" si="124">IFERROR(G122/F122,"")</f>
        <v>0.1746088193</v>
      </c>
      <c r="N122" s="13">
        <f t="shared" si="124"/>
        <v>0.9755600815</v>
      </c>
      <c r="O122" s="14">
        <f t="shared" si="124"/>
        <v>0.7411273486</v>
      </c>
      <c r="P122" s="13">
        <f t="shared" si="3"/>
        <v>0.06054279749</v>
      </c>
      <c r="Q122" s="13">
        <f t="shared" si="4"/>
        <v>0.006263048017</v>
      </c>
      <c r="R122" s="13">
        <f t="shared" si="5"/>
        <v>0</v>
      </c>
      <c r="S122" s="14">
        <f t="shared" si="6"/>
        <v>0.9605227234</v>
      </c>
      <c r="T122" s="14">
        <f t="shared" si="7"/>
        <v>0.9773485522</v>
      </c>
      <c r="U122" s="14">
        <f t="shared" si="8"/>
        <v>1.016889497</v>
      </c>
    </row>
    <row r="123" ht="15.75" customHeight="1">
      <c r="A123" s="9">
        <v>45189.4165284838</v>
      </c>
      <c r="B123" s="10">
        <v>9.0</v>
      </c>
      <c r="C123" s="10" t="s">
        <v>80</v>
      </c>
      <c r="D123" s="10" t="s">
        <v>446</v>
      </c>
      <c r="E123" s="12" t="s">
        <v>62</v>
      </c>
      <c r="F123" s="11">
        <v>1058.0</v>
      </c>
      <c r="G123" s="11">
        <v>178.0</v>
      </c>
      <c r="H123" s="11">
        <v>177.0</v>
      </c>
      <c r="I123" s="11">
        <v>106.0</v>
      </c>
      <c r="J123" s="11">
        <v>18.0</v>
      </c>
      <c r="K123" s="11">
        <v>6.0</v>
      </c>
      <c r="L123" s="11">
        <v>0.0</v>
      </c>
      <c r="M123" s="13">
        <f t="shared" ref="M123:O123" si="125">IFERROR(G123/F123,"")</f>
        <v>0.168241966</v>
      </c>
      <c r="N123" s="13">
        <f t="shared" si="125"/>
        <v>0.9943820225</v>
      </c>
      <c r="O123" s="14">
        <f t="shared" si="125"/>
        <v>0.5988700565</v>
      </c>
      <c r="P123" s="13">
        <f t="shared" si="3"/>
        <v>0.1016949153</v>
      </c>
      <c r="Q123" s="13">
        <f t="shared" si="4"/>
        <v>0.03389830508</v>
      </c>
      <c r="R123" s="13">
        <f t="shared" si="5"/>
        <v>0</v>
      </c>
      <c r="S123" s="14">
        <f t="shared" si="6"/>
        <v>0.9272085134</v>
      </c>
      <c r="T123" s="14">
        <f t="shared" si="7"/>
        <v>0.9962617616</v>
      </c>
      <c r="U123" s="14">
        <f t="shared" si="8"/>
        <v>5.550847458</v>
      </c>
    </row>
    <row r="124" ht="15.75" customHeight="1">
      <c r="A124" s="9">
        <v>45190.4872011921</v>
      </c>
      <c r="B124" s="10">
        <v>11.0</v>
      </c>
      <c r="C124" s="10" t="s">
        <v>84</v>
      </c>
      <c r="D124" s="10" t="s">
        <v>451</v>
      </c>
      <c r="E124" s="12" t="s">
        <v>62</v>
      </c>
      <c r="F124" s="11">
        <v>1062.0</v>
      </c>
      <c r="G124" s="11">
        <v>238.0</v>
      </c>
      <c r="H124" s="11">
        <v>238.0</v>
      </c>
      <c r="I124" s="11">
        <v>192.0</v>
      </c>
      <c r="J124" s="11">
        <v>40.0</v>
      </c>
      <c r="K124" s="11">
        <v>6.0</v>
      </c>
      <c r="L124" s="11">
        <v>0.0</v>
      </c>
      <c r="M124" s="13">
        <f t="shared" ref="M124:O124" si="126">IFERROR(G124/F124,"")</f>
        <v>0.2241054614</v>
      </c>
      <c r="N124" s="13">
        <f t="shared" si="126"/>
        <v>1</v>
      </c>
      <c r="O124" s="14">
        <f t="shared" si="126"/>
        <v>0.8067226891</v>
      </c>
      <c r="P124" s="13">
        <f t="shared" si="3"/>
        <v>0.1680672269</v>
      </c>
      <c r="Q124" s="13">
        <f t="shared" si="4"/>
        <v>0.02521008403</v>
      </c>
      <c r="R124" s="13">
        <f t="shared" si="5"/>
        <v>0</v>
      </c>
      <c r="S124" s="14">
        <f t="shared" si="6"/>
        <v>1.248633917</v>
      </c>
      <c r="T124" s="14">
        <f t="shared" si="7"/>
        <v>1.001833276</v>
      </c>
      <c r="U124" s="14">
        <f t="shared" si="8"/>
        <v>4.09319386</v>
      </c>
    </row>
    <row r="125" ht="15.75" customHeight="1">
      <c r="A125" s="9">
        <v>45191.3901977431</v>
      </c>
      <c r="B125" s="10">
        <v>9.0</v>
      </c>
      <c r="C125" s="10" t="s">
        <v>60</v>
      </c>
      <c r="D125" s="10" t="s">
        <v>455</v>
      </c>
      <c r="E125" s="12" t="s">
        <v>62</v>
      </c>
      <c r="F125" s="11">
        <v>1081.0</v>
      </c>
      <c r="G125" s="11">
        <v>214.0</v>
      </c>
      <c r="H125" s="11">
        <v>214.0</v>
      </c>
      <c r="I125" s="11">
        <v>131.0</v>
      </c>
      <c r="J125" s="11">
        <v>27.0</v>
      </c>
      <c r="K125" s="11">
        <v>6.0</v>
      </c>
      <c r="L125" s="11">
        <v>0.0</v>
      </c>
      <c r="M125" s="13">
        <f t="shared" ref="M125:O125" si="127">IFERROR(G125/F125,"")</f>
        <v>0.1979648474</v>
      </c>
      <c r="N125" s="13">
        <f t="shared" si="127"/>
        <v>1</v>
      </c>
      <c r="O125" s="14">
        <f t="shared" si="127"/>
        <v>0.6121495327</v>
      </c>
      <c r="P125" s="13">
        <f t="shared" si="3"/>
        <v>0.1261682243</v>
      </c>
      <c r="Q125" s="13">
        <f t="shared" si="4"/>
        <v>0.02803738318</v>
      </c>
      <c r="R125" s="13">
        <f t="shared" si="5"/>
        <v>0</v>
      </c>
      <c r="S125" s="14">
        <f t="shared" si="6"/>
        <v>1.115225457</v>
      </c>
      <c r="T125" s="14">
        <f t="shared" si="7"/>
        <v>1.001776199</v>
      </c>
      <c r="U125" s="14">
        <f t="shared" si="8"/>
        <v>4.591121495</v>
      </c>
    </row>
    <row r="126" ht="15.75" customHeight="1">
      <c r="A126" s="9">
        <v>45191.4168362269</v>
      </c>
      <c r="B126" s="10">
        <v>10.0</v>
      </c>
      <c r="C126" s="10" t="s">
        <v>60</v>
      </c>
      <c r="D126" s="10" t="s">
        <v>455</v>
      </c>
      <c r="E126" s="12" t="s">
        <v>62</v>
      </c>
      <c r="F126" s="11">
        <v>121.0</v>
      </c>
      <c r="G126" s="11">
        <v>35.0</v>
      </c>
      <c r="H126" s="11">
        <v>35.0</v>
      </c>
      <c r="I126" s="11">
        <v>26.0</v>
      </c>
      <c r="J126" s="11">
        <v>5.0</v>
      </c>
      <c r="K126" s="11">
        <v>1.0</v>
      </c>
      <c r="L126" s="11">
        <v>0.0</v>
      </c>
      <c r="M126" s="13">
        <f t="shared" ref="M126:O126" si="128">IFERROR(G126/F126,"")</f>
        <v>0.2892561983</v>
      </c>
      <c r="N126" s="13">
        <f t="shared" si="128"/>
        <v>1</v>
      </c>
      <c r="O126" s="14">
        <f t="shared" si="128"/>
        <v>0.7428571429</v>
      </c>
      <c r="P126" s="13">
        <f t="shared" si="3"/>
        <v>0.1428571429</v>
      </c>
      <c r="Q126" s="13">
        <f t="shared" si="4"/>
        <v>0.02857142857</v>
      </c>
      <c r="R126" s="13">
        <f t="shared" si="5"/>
        <v>0</v>
      </c>
      <c r="S126" s="14">
        <f t="shared" si="6"/>
        <v>1.629510897</v>
      </c>
      <c r="T126" s="14">
        <f t="shared" si="7"/>
        <v>1.001776199</v>
      </c>
      <c r="U126" s="14">
        <f t="shared" si="8"/>
        <v>4.678571429</v>
      </c>
    </row>
    <row r="127" ht="15.75" customHeight="1">
      <c r="A127" s="9">
        <v>45192.3853090625</v>
      </c>
      <c r="B127" s="10">
        <v>9.0</v>
      </c>
      <c r="C127" s="10" t="s">
        <v>69</v>
      </c>
      <c r="D127" s="10" t="s">
        <v>460</v>
      </c>
      <c r="E127" s="12" t="s">
        <v>62</v>
      </c>
      <c r="F127" s="11">
        <v>1067.0</v>
      </c>
      <c r="G127" s="11">
        <v>204.0</v>
      </c>
      <c r="H127" s="11">
        <v>191.0</v>
      </c>
      <c r="I127" s="11">
        <v>139.0</v>
      </c>
      <c r="J127" s="11">
        <v>22.0</v>
      </c>
      <c r="K127" s="11">
        <v>1.0</v>
      </c>
      <c r="L127" s="11">
        <v>0.0</v>
      </c>
      <c r="M127" s="13">
        <f t="shared" ref="M127:O127" si="129">IFERROR(G127/F127,"")</f>
        <v>0.191190253</v>
      </c>
      <c r="N127" s="13">
        <f t="shared" si="129"/>
        <v>0.9362745098</v>
      </c>
      <c r="O127" s="14">
        <f t="shared" si="129"/>
        <v>0.7277486911</v>
      </c>
      <c r="P127" s="13">
        <f t="shared" si="3"/>
        <v>0.1151832461</v>
      </c>
      <c r="Q127" s="13">
        <f t="shared" si="4"/>
        <v>0.005235602094</v>
      </c>
      <c r="R127" s="13">
        <f t="shared" si="5"/>
        <v>0</v>
      </c>
      <c r="S127" s="14">
        <f t="shared" si="6"/>
        <v>1.065242378</v>
      </c>
      <c r="T127" s="14">
        <f t="shared" si="7"/>
        <v>0.9379909592</v>
      </c>
      <c r="U127" s="14">
        <f t="shared" si="8"/>
        <v>0.8500699289</v>
      </c>
    </row>
    <row r="128" ht="15.75" customHeight="1">
      <c r="A128" s="9">
        <v>45193.5081727315</v>
      </c>
      <c r="B128" s="10">
        <v>12.0</v>
      </c>
      <c r="C128" s="10" t="s">
        <v>77</v>
      </c>
      <c r="D128" s="10" t="s">
        <v>465</v>
      </c>
      <c r="E128" s="12" t="s">
        <v>62</v>
      </c>
      <c r="F128" s="11">
        <v>1045.0</v>
      </c>
      <c r="G128" s="11">
        <v>228.0</v>
      </c>
      <c r="H128" s="11">
        <v>226.0</v>
      </c>
      <c r="I128" s="11">
        <v>141.0</v>
      </c>
      <c r="J128" s="11">
        <v>43.0</v>
      </c>
      <c r="K128" s="11">
        <v>4.0</v>
      </c>
      <c r="L128" s="11">
        <v>1.0</v>
      </c>
      <c r="M128" s="13">
        <f t="shared" ref="M128:O128" si="130">IFERROR(G128/F128,"")</f>
        <v>0.2181818182</v>
      </c>
      <c r="N128" s="13">
        <f t="shared" si="130"/>
        <v>0.9912280702</v>
      </c>
      <c r="O128" s="14">
        <f t="shared" si="130"/>
        <v>0.6238938053</v>
      </c>
      <c r="P128" s="13">
        <f t="shared" si="3"/>
        <v>0.1902654867</v>
      </c>
      <c r="Q128" s="13">
        <f t="shared" si="4"/>
        <v>0.01769911504</v>
      </c>
      <c r="R128" s="13">
        <f t="shared" si="5"/>
        <v>0.004424778761</v>
      </c>
      <c r="S128" s="14">
        <f t="shared" si="6"/>
        <v>1.202435065</v>
      </c>
      <c r="T128" s="14">
        <f t="shared" si="7"/>
        <v>0.9929886884</v>
      </c>
      <c r="U128" s="14">
        <f t="shared" si="8"/>
        <v>2.898230088</v>
      </c>
    </row>
    <row r="129" ht="15.75" customHeight="1">
      <c r="A129" s="9">
        <v>45194.5242513889</v>
      </c>
      <c r="B129" s="10">
        <v>12.0</v>
      </c>
      <c r="C129" s="10" t="s">
        <v>71</v>
      </c>
      <c r="D129" s="10" t="s">
        <v>470</v>
      </c>
      <c r="E129" s="12" t="s">
        <v>62</v>
      </c>
      <c r="F129" s="11">
        <v>1015.0</v>
      </c>
      <c r="G129" s="11">
        <v>242.0</v>
      </c>
      <c r="H129" s="11">
        <v>242.0</v>
      </c>
      <c r="I129" s="11">
        <v>161.0</v>
      </c>
      <c r="J129" s="11">
        <v>35.0</v>
      </c>
      <c r="K129" s="11">
        <v>5.0</v>
      </c>
      <c r="L129" s="11">
        <v>0.0</v>
      </c>
      <c r="M129" s="13">
        <f t="shared" ref="M129:O129" si="131">IFERROR(G129/F129,"")</f>
        <v>0.2384236453</v>
      </c>
      <c r="N129" s="13">
        <f t="shared" si="131"/>
        <v>1</v>
      </c>
      <c r="O129" s="14">
        <f t="shared" si="131"/>
        <v>0.6652892562</v>
      </c>
      <c r="P129" s="13">
        <f t="shared" si="3"/>
        <v>0.1446280992</v>
      </c>
      <c r="Q129" s="13">
        <f t="shared" si="4"/>
        <v>0.02066115702</v>
      </c>
      <c r="R129" s="13">
        <f t="shared" si="5"/>
        <v>0</v>
      </c>
      <c r="S129" s="14">
        <f t="shared" si="6"/>
        <v>1.313991027</v>
      </c>
      <c r="T129" s="14">
        <f t="shared" si="7"/>
        <v>1.001776199</v>
      </c>
      <c r="U129" s="14">
        <f t="shared" si="8"/>
        <v>3.383264463</v>
      </c>
    </row>
    <row r="130" ht="15.75" customHeight="1">
      <c r="A130" s="9">
        <v>45195.4678709259</v>
      </c>
      <c r="B130" s="10">
        <v>11.0</v>
      </c>
      <c r="C130" s="10" t="s">
        <v>59</v>
      </c>
      <c r="D130" s="10" t="s">
        <v>475</v>
      </c>
      <c r="E130" s="12" t="s">
        <v>62</v>
      </c>
      <c r="F130" s="11">
        <v>943.0</v>
      </c>
      <c r="G130" s="11">
        <v>84.0</v>
      </c>
      <c r="H130" s="11">
        <v>84.0</v>
      </c>
      <c r="I130" s="11">
        <v>34.0</v>
      </c>
      <c r="J130" s="11">
        <v>36.0</v>
      </c>
      <c r="K130" s="11">
        <v>7.0</v>
      </c>
      <c r="L130" s="11">
        <v>0.0</v>
      </c>
      <c r="M130" s="13">
        <f t="shared" ref="M130:O130" si="132">IFERROR(G130/F130,"")</f>
        <v>0.08907741251</v>
      </c>
      <c r="N130" s="13">
        <f t="shared" si="132"/>
        <v>1</v>
      </c>
      <c r="O130" s="14">
        <f t="shared" si="132"/>
        <v>0.4047619048</v>
      </c>
      <c r="P130" s="13">
        <f t="shared" si="3"/>
        <v>0.4285714286</v>
      </c>
      <c r="Q130" s="13">
        <f t="shared" si="4"/>
        <v>0.08333333333</v>
      </c>
      <c r="R130" s="13">
        <f t="shared" si="5"/>
        <v>0</v>
      </c>
      <c r="S130" s="14">
        <f t="shared" si="6"/>
        <v>0.4909199364</v>
      </c>
      <c r="T130" s="14">
        <f t="shared" si="7"/>
        <v>1.001776199</v>
      </c>
      <c r="U130" s="14">
        <f t="shared" si="8"/>
        <v>13.64583333</v>
      </c>
    </row>
    <row r="131" ht="15.75" customHeight="1">
      <c r="A131" s="9">
        <v>45196.5242229167</v>
      </c>
      <c r="B131" s="10">
        <v>12.0</v>
      </c>
      <c r="C131" s="10" t="s">
        <v>80</v>
      </c>
      <c r="D131" s="10" t="s">
        <v>478</v>
      </c>
      <c r="E131" s="12" t="s">
        <v>62</v>
      </c>
      <c r="F131" s="11">
        <v>1077.0</v>
      </c>
      <c r="G131" s="11">
        <v>153.0</v>
      </c>
      <c r="H131" s="11">
        <v>153.0</v>
      </c>
      <c r="I131" s="11">
        <v>103.0</v>
      </c>
      <c r="J131" s="11">
        <v>16.0</v>
      </c>
      <c r="K131" s="11">
        <v>0.0</v>
      </c>
      <c r="L131" s="11">
        <v>0.0</v>
      </c>
      <c r="M131" s="13">
        <f t="shared" ref="M131:O131" si="133">IFERROR(G131/F131,"")</f>
        <v>0.1420612813</v>
      </c>
      <c r="N131" s="13">
        <f t="shared" si="133"/>
        <v>1</v>
      </c>
      <c r="O131" s="14">
        <f t="shared" si="133"/>
        <v>0.6732026144</v>
      </c>
      <c r="P131" s="13">
        <f t="shared" si="3"/>
        <v>0.1045751634</v>
      </c>
      <c r="Q131" s="13">
        <f t="shared" si="4"/>
        <v>0</v>
      </c>
      <c r="R131" s="13">
        <f t="shared" si="5"/>
        <v>0</v>
      </c>
      <c r="S131" s="14">
        <f t="shared" si="6"/>
        <v>0.7915136608</v>
      </c>
      <c r="T131" s="14">
        <f t="shared" si="7"/>
        <v>1.001833276</v>
      </c>
      <c r="U131" s="14">
        <f t="shared" si="8"/>
        <v>0</v>
      </c>
    </row>
    <row r="132" ht="15.75" customHeight="1">
      <c r="A132" s="9">
        <v>45197.4253516319</v>
      </c>
      <c r="B132" s="10">
        <v>10.0</v>
      </c>
      <c r="C132" s="10" t="s">
        <v>84</v>
      </c>
      <c r="D132" s="10" t="s">
        <v>483</v>
      </c>
      <c r="E132" s="12" t="s">
        <v>62</v>
      </c>
      <c r="F132" s="11">
        <v>963.0</v>
      </c>
      <c r="G132" s="11">
        <v>121.0</v>
      </c>
      <c r="H132" s="11">
        <v>120.0</v>
      </c>
      <c r="I132" s="11">
        <v>109.0</v>
      </c>
      <c r="J132" s="11">
        <v>16.0</v>
      </c>
      <c r="K132" s="11">
        <v>2.0</v>
      </c>
      <c r="L132" s="11">
        <v>0.0</v>
      </c>
      <c r="M132" s="13">
        <f t="shared" ref="M132:O132" si="134">IFERROR(G132/F132,"")</f>
        <v>0.1256490135</v>
      </c>
      <c r="N132" s="13">
        <f t="shared" si="134"/>
        <v>0.9917355372</v>
      </c>
      <c r="O132" s="14">
        <f t="shared" si="134"/>
        <v>0.9083333333</v>
      </c>
      <c r="P132" s="13">
        <f t="shared" si="3"/>
        <v>0.1333333333</v>
      </c>
      <c r="Q132" s="13">
        <f t="shared" si="4"/>
        <v>0.01666666667</v>
      </c>
      <c r="R132" s="13">
        <f t="shared" si="5"/>
        <v>0</v>
      </c>
      <c r="S132" s="14">
        <f t="shared" si="6"/>
        <v>0.707837681</v>
      </c>
      <c r="T132" s="14">
        <f t="shared" si="7"/>
        <v>0.9934970568</v>
      </c>
      <c r="U132" s="14">
        <f t="shared" si="8"/>
        <v>2.729166667</v>
      </c>
    </row>
    <row r="133" ht="15.75" customHeight="1">
      <c r="A133" s="9">
        <v>45198.4897129167</v>
      </c>
      <c r="B133" s="10">
        <v>11.0</v>
      </c>
      <c r="C133" s="10" t="s">
        <v>60</v>
      </c>
      <c r="D133" s="10" t="s">
        <v>488</v>
      </c>
      <c r="E133" s="12" t="s">
        <v>62</v>
      </c>
      <c r="F133" s="11">
        <v>1020.0</v>
      </c>
      <c r="G133" s="11">
        <v>112.0</v>
      </c>
      <c r="H133" s="11">
        <v>111.0</v>
      </c>
      <c r="I133" s="11">
        <v>65.0</v>
      </c>
      <c r="J133" s="11">
        <v>15.0</v>
      </c>
      <c r="K133" s="11">
        <v>0.0</v>
      </c>
      <c r="L133" s="11">
        <v>0.0</v>
      </c>
      <c r="M133" s="13">
        <f t="shared" ref="M133:O133" si="135">IFERROR(G133/F133,"")</f>
        <v>0.1098039216</v>
      </c>
      <c r="N133" s="13">
        <f t="shared" si="135"/>
        <v>0.9910714286</v>
      </c>
      <c r="O133" s="14">
        <f t="shared" si="135"/>
        <v>0.5855855856</v>
      </c>
      <c r="P133" s="13">
        <f t="shared" si="3"/>
        <v>0.1351351351</v>
      </c>
      <c r="Q133" s="13">
        <f t="shared" si="4"/>
        <v>0</v>
      </c>
      <c r="R133" s="13">
        <f t="shared" si="5"/>
        <v>0</v>
      </c>
      <c r="S133" s="14">
        <f t="shared" si="6"/>
        <v>0.6188339252</v>
      </c>
      <c r="T133" s="14">
        <f t="shared" si="7"/>
        <v>0.9928133995</v>
      </c>
      <c r="U133" s="14">
        <f t="shared" si="8"/>
        <v>0</v>
      </c>
    </row>
    <row r="134" ht="15.75" customHeight="1">
      <c r="A134" s="9">
        <v>45199.516663588</v>
      </c>
      <c r="B134" s="10">
        <v>12.0</v>
      </c>
      <c r="C134" s="10" t="s">
        <v>69</v>
      </c>
      <c r="D134" s="10" t="s">
        <v>493</v>
      </c>
      <c r="E134" s="12" t="s">
        <v>62</v>
      </c>
      <c r="F134" s="11">
        <v>1044.0</v>
      </c>
      <c r="G134" s="11">
        <v>145.0</v>
      </c>
      <c r="H134" s="11">
        <v>145.0</v>
      </c>
      <c r="I134" s="11">
        <v>107.0</v>
      </c>
      <c r="J134" s="11">
        <v>23.0</v>
      </c>
      <c r="K134" s="11">
        <v>3.0</v>
      </c>
      <c r="L134" s="11">
        <v>0.0</v>
      </c>
      <c r="M134" s="13">
        <f t="shared" ref="M134:O134" si="136">IFERROR(G134/F134,"")</f>
        <v>0.1388888889</v>
      </c>
      <c r="N134" s="13">
        <f t="shared" si="136"/>
        <v>1</v>
      </c>
      <c r="O134" s="14">
        <f t="shared" si="136"/>
        <v>0.7379310345</v>
      </c>
      <c r="P134" s="13">
        <f t="shared" si="3"/>
        <v>0.1586206897</v>
      </c>
      <c r="Q134" s="13">
        <f t="shared" si="4"/>
        <v>0.02068965517</v>
      </c>
      <c r="R134" s="13">
        <f t="shared" si="5"/>
        <v>0</v>
      </c>
      <c r="S134" s="14">
        <f t="shared" si="6"/>
        <v>0.7860349921</v>
      </c>
      <c r="T134" s="14">
        <f t="shared" si="7"/>
        <v>1.001833276</v>
      </c>
      <c r="U134" s="14">
        <f t="shared" si="8"/>
        <v>3.359241857</v>
      </c>
    </row>
    <row r="135" ht="15.75" customHeight="1">
      <c r="A135" s="9">
        <v>45200.479169132</v>
      </c>
      <c r="B135" s="10">
        <v>11.0</v>
      </c>
      <c r="C135" s="10" t="s">
        <v>77</v>
      </c>
      <c r="D135" s="10" t="s">
        <v>496</v>
      </c>
      <c r="E135" s="12" t="s">
        <v>62</v>
      </c>
      <c r="F135" s="11">
        <v>1103.0</v>
      </c>
      <c r="G135" s="11">
        <v>193.0</v>
      </c>
      <c r="H135" s="11">
        <v>193.0</v>
      </c>
      <c r="I135" s="11">
        <v>105.0</v>
      </c>
      <c r="J135" s="11">
        <v>22.0</v>
      </c>
      <c r="K135" s="11">
        <v>1.0</v>
      </c>
      <c r="L135" s="11">
        <v>1.0</v>
      </c>
      <c r="M135" s="13">
        <f t="shared" ref="M135:O135" si="137">IFERROR(G135/F135,"")</f>
        <v>0.1749773345</v>
      </c>
      <c r="N135" s="13">
        <f t="shared" si="137"/>
        <v>1</v>
      </c>
      <c r="O135" s="14">
        <f t="shared" si="137"/>
        <v>0.5440414508</v>
      </c>
      <c r="P135" s="13">
        <f t="shared" si="3"/>
        <v>0.1139896373</v>
      </c>
      <c r="Q135" s="13">
        <f t="shared" si="4"/>
        <v>0.00518134715</v>
      </c>
      <c r="R135" s="13">
        <f t="shared" si="5"/>
        <v>0.00518134715</v>
      </c>
      <c r="S135" s="14">
        <f t="shared" si="6"/>
        <v>0.990275816</v>
      </c>
      <c r="T135" s="14">
        <f t="shared" si="7"/>
        <v>1.001833276</v>
      </c>
      <c r="U135" s="14">
        <f t="shared" si="8"/>
        <v>0.8412609141</v>
      </c>
    </row>
    <row r="136" ht="15.75" customHeight="1">
      <c r="A136" s="9">
        <v>45201.5194006944</v>
      </c>
      <c r="B136" s="10">
        <v>12.0</v>
      </c>
      <c r="C136" s="10" t="s">
        <v>71</v>
      </c>
      <c r="D136" s="10" t="s">
        <v>499</v>
      </c>
      <c r="E136" s="12" t="s">
        <v>62</v>
      </c>
      <c r="F136" s="11">
        <v>1028.0</v>
      </c>
      <c r="G136" s="11">
        <v>172.0</v>
      </c>
      <c r="H136" s="11">
        <v>171.0</v>
      </c>
      <c r="I136" s="11">
        <v>62.0</v>
      </c>
      <c r="J136" s="11">
        <v>21.0</v>
      </c>
      <c r="K136" s="11">
        <v>0.0</v>
      </c>
      <c r="L136" s="11">
        <v>0.0</v>
      </c>
      <c r="M136" s="13">
        <f t="shared" ref="M136:O136" si="138">IFERROR(G136/F136,"")</f>
        <v>0.1673151751</v>
      </c>
      <c r="N136" s="13">
        <f t="shared" si="138"/>
        <v>0.9941860465</v>
      </c>
      <c r="O136" s="14">
        <f t="shared" si="138"/>
        <v>0.3625730994</v>
      </c>
      <c r="P136" s="13">
        <f t="shared" si="3"/>
        <v>0.1228070175</v>
      </c>
      <c r="Q136" s="13">
        <f t="shared" si="4"/>
        <v>0</v>
      </c>
      <c r="R136" s="13">
        <f t="shared" si="5"/>
        <v>0</v>
      </c>
      <c r="S136" s="14">
        <f t="shared" si="6"/>
        <v>0.9433510559</v>
      </c>
      <c r="T136" s="14">
        <f t="shared" si="7"/>
        <v>0.9960654152</v>
      </c>
      <c r="U136" s="14">
        <f t="shared" si="8"/>
        <v>0</v>
      </c>
    </row>
    <row r="137" ht="15.75" customHeight="1">
      <c r="A137" s="9">
        <v>45202.553261794</v>
      </c>
      <c r="B137" s="10">
        <v>13.0</v>
      </c>
      <c r="C137" s="10" t="s">
        <v>59</v>
      </c>
      <c r="D137" s="10" t="s">
        <v>502</v>
      </c>
      <c r="E137" s="12" t="s">
        <v>62</v>
      </c>
      <c r="F137" s="11">
        <v>1019.0</v>
      </c>
      <c r="G137" s="11">
        <v>144.0</v>
      </c>
      <c r="H137" s="11">
        <v>144.0</v>
      </c>
      <c r="I137" s="11">
        <v>90.0</v>
      </c>
      <c r="J137" s="11">
        <v>14.0</v>
      </c>
      <c r="K137" s="11">
        <v>0.0</v>
      </c>
      <c r="L137" s="11">
        <v>0.0</v>
      </c>
      <c r="M137" s="13">
        <f t="shared" ref="M137:O137" si="139">IFERROR(G137/F137,"")</f>
        <v>0.1413150147</v>
      </c>
      <c r="N137" s="13">
        <f t="shared" si="139"/>
        <v>1</v>
      </c>
      <c r="O137" s="14">
        <f t="shared" si="139"/>
        <v>0.625</v>
      </c>
      <c r="P137" s="13">
        <f t="shared" si="3"/>
        <v>0.09722222222</v>
      </c>
      <c r="Q137" s="13">
        <f t="shared" si="4"/>
        <v>0</v>
      </c>
      <c r="R137" s="13">
        <f t="shared" si="5"/>
        <v>0</v>
      </c>
      <c r="S137" s="14">
        <f t="shared" si="6"/>
        <v>0.7967577853</v>
      </c>
      <c r="T137" s="14">
        <f t="shared" si="7"/>
        <v>1.001776199</v>
      </c>
      <c r="U137" s="14">
        <f t="shared" si="8"/>
        <v>0</v>
      </c>
    </row>
    <row r="138" ht="15.75" customHeight="1">
      <c r="A138" s="9">
        <v>45203.5065024769</v>
      </c>
      <c r="B138" s="10">
        <v>12.0</v>
      </c>
      <c r="C138" s="10" t="s">
        <v>80</v>
      </c>
      <c r="D138" s="10" t="s">
        <v>505</v>
      </c>
      <c r="E138" s="12" t="s">
        <v>62</v>
      </c>
      <c r="F138" s="11">
        <v>1053.0</v>
      </c>
      <c r="G138" s="11">
        <v>148.0</v>
      </c>
      <c r="H138" s="11">
        <v>147.0</v>
      </c>
      <c r="I138" s="11">
        <v>106.0</v>
      </c>
      <c r="J138" s="11">
        <v>27.0</v>
      </c>
      <c r="K138" s="11">
        <v>2.0</v>
      </c>
      <c r="L138" s="11">
        <v>0.0</v>
      </c>
      <c r="M138" s="13">
        <f t="shared" ref="M138:O138" si="140">IFERROR(G138/F138,"")</f>
        <v>0.1405508072</v>
      </c>
      <c r="N138" s="13">
        <f t="shared" si="140"/>
        <v>0.9932432432</v>
      </c>
      <c r="O138" s="14">
        <f t="shared" si="140"/>
        <v>0.7210884354</v>
      </c>
      <c r="P138" s="13">
        <f t="shared" si="3"/>
        <v>0.1836734694</v>
      </c>
      <c r="Q138" s="13">
        <f t="shared" si="4"/>
        <v>0.01360544218</v>
      </c>
      <c r="R138" s="13">
        <f t="shared" si="5"/>
        <v>0</v>
      </c>
      <c r="S138" s="14">
        <f t="shared" si="6"/>
        <v>0.7951064754</v>
      </c>
      <c r="T138" s="14">
        <f t="shared" si="7"/>
        <v>0.995064132</v>
      </c>
      <c r="U138" s="14">
        <f t="shared" si="8"/>
        <v>2.167790966</v>
      </c>
    </row>
    <row r="139" ht="15.75" customHeight="1">
      <c r="A139" s="9">
        <v>45204.5019588657</v>
      </c>
      <c r="B139" s="10">
        <v>12.0</v>
      </c>
      <c r="C139" s="10" t="s">
        <v>84</v>
      </c>
      <c r="D139" s="10" t="s">
        <v>509</v>
      </c>
      <c r="E139" s="12" t="s">
        <v>62</v>
      </c>
      <c r="F139" s="11">
        <v>1555.0</v>
      </c>
      <c r="G139" s="11">
        <v>218.0</v>
      </c>
      <c r="H139" s="11">
        <v>218.0</v>
      </c>
      <c r="I139" s="11">
        <v>146.0</v>
      </c>
      <c r="J139" s="11">
        <v>23.0</v>
      </c>
      <c r="K139" s="11">
        <v>3.0</v>
      </c>
      <c r="L139" s="11">
        <v>1.0</v>
      </c>
      <c r="M139" s="13">
        <f t="shared" ref="M139:O139" si="141">IFERROR(G139/F139,"")</f>
        <v>0.140192926</v>
      </c>
      <c r="N139" s="13">
        <f t="shared" si="141"/>
        <v>1</v>
      </c>
      <c r="O139" s="14">
        <f t="shared" si="141"/>
        <v>0.6697247706</v>
      </c>
      <c r="P139" s="13">
        <f t="shared" si="3"/>
        <v>0.1055045872</v>
      </c>
      <c r="Q139" s="13">
        <f t="shared" si="4"/>
        <v>0.01376146789</v>
      </c>
      <c r="R139" s="13">
        <f t="shared" si="5"/>
        <v>0.004587155963</v>
      </c>
      <c r="S139" s="14">
        <f t="shared" si="6"/>
        <v>0.7930819148</v>
      </c>
      <c r="T139" s="14">
        <f t="shared" si="7"/>
        <v>1.001833276</v>
      </c>
      <c r="U139" s="14">
        <f t="shared" si="8"/>
        <v>2.192650954</v>
      </c>
    </row>
    <row r="140" ht="15.75" customHeight="1">
      <c r="A140" s="9">
        <v>45205.5079571181</v>
      </c>
      <c r="B140" s="10">
        <v>12.0</v>
      </c>
      <c r="C140" s="10" t="s">
        <v>60</v>
      </c>
      <c r="D140" s="10" t="s">
        <v>512</v>
      </c>
      <c r="E140" s="12" t="s">
        <v>62</v>
      </c>
      <c r="F140" s="11">
        <v>1060.0</v>
      </c>
      <c r="G140" s="11">
        <v>65.0</v>
      </c>
      <c r="H140" s="11">
        <v>64.0</v>
      </c>
      <c r="I140" s="11">
        <v>47.0</v>
      </c>
      <c r="J140" s="11">
        <v>19.0</v>
      </c>
      <c r="K140" s="11">
        <v>5.0</v>
      </c>
      <c r="L140" s="11">
        <v>0.0</v>
      </c>
      <c r="M140" s="13">
        <f t="shared" ref="M140:O140" si="142">IFERROR(G140/F140,"")</f>
        <v>0.06132075472</v>
      </c>
      <c r="N140" s="13">
        <f t="shared" si="142"/>
        <v>0.9846153846</v>
      </c>
      <c r="O140" s="14">
        <f t="shared" si="142"/>
        <v>0.734375</v>
      </c>
      <c r="P140" s="13">
        <f t="shared" si="3"/>
        <v>0.296875</v>
      </c>
      <c r="Q140" s="13">
        <f t="shared" si="4"/>
        <v>0.078125</v>
      </c>
      <c r="R140" s="13">
        <f t="shared" si="5"/>
        <v>0</v>
      </c>
      <c r="S140" s="14">
        <f t="shared" si="6"/>
        <v>0.3483569069</v>
      </c>
      <c r="T140" s="14">
        <f t="shared" si="7"/>
        <v>0.9863642574</v>
      </c>
      <c r="U140" s="14">
        <f t="shared" si="8"/>
        <v>12.421875</v>
      </c>
    </row>
    <row r="141" ht="15.75" customHeight="1">
      <c r="A141" s="9">
        <v>45206.53257</v>
      </c>
      <c r="B141" s="10">
        <v>12.0</v>
      </c>
      <c r="C141" s="10" t="s">
        <v>69</v>
      </c>
      <c r="D141" s="10" t="s">
        <v>515</v>
      </c>
      <c r="E141" s="12" t="s">
        <v>62</v>
      </c>
      <c r="F141" s="11">
        <v>1086.0</v>
      </c>
      <c r="G141" s="11">
        <v>128.0</v>
      </c>
      <c r="H141" s="11">
        <v>127.0</v>
      </c>
      <c r="I141" s="11">
        <v>57.0</v>
      </c>
      <c r="J141" s="11">
        <v>13.0</v>
      </c>
      <c r="K141" s="11">
        <v>4.0</v>
      </c>
      <c r="L141" s="11">
        <v>0.0</v>
      </c>
      <c r="M141" s="13">
        <f t="shared" ref="M141:O141" si="143">IFERROR(G141/F141,"")</f>
        <v>0.1178637201</v>
      </c>
      <c r="N141" s="13">
        <f t="shared" si="143"/>
        <v>0.9921875</v>
      </c>
      <c r="O141" s="14">
        <f t="shared" si="143"/>
        <v>0.4488188976</v>
      </c>
      <c r="P141" s="13">
        <f t="shared" si="3"/>
        <v>0.1023622047</v>
      </c>
      <c r="Q141" s="13">
        <f t="shared" si="4"/>
        <v>0.03149606299</v>
      </c>
      <c r="R141" s="13">
        <f t="shared" si="5"/>
        <v>0</v>
      </c>
      <c r="S141" s="14">
        <f t="shared" si="6"/>
        <v>0.6735942137</v>
      </c>
      <c r="T141" s="14">
        <f t="shared" si="7"/>
        <v>0.9939498224</v>
      </c>
      <c r="U141" s="14">
        <f t="shared" si="8"/>
        <v>5.007874016</v>
      </c>
    </row>
    <row r="142" ht="15.75" customHeight="1">
      <c r="A142" s="9">
        <v>45207.4919197685</v>
      </c>
      <c r="B142" s="10">
        <v>11.0</v>
      </c>
      <c r="C142" s="10" t="s">
        <v>77</v>
      </c>
      <c r="D142" s="10" t="s">
        <v>518</v>
      </c>
      <c r="E142" s="12" t="s">
        <v>62</v>
      </c>
      <c r="F142" s="11">
        <v>1207.0</v>
      </c>
      <c r="G142" s="11">
        <v>206.0</v>
      </c>
      <c r="H142" s="11">
        <v>204.0</v>
      </c>
      <c r="I142" s="11">
        <v>111.0</v>
      </c>
      <c r="J142" s="11">
        <v>19.0</v>
      </c>
      <c r="K142" s="11">
        <v>3.0</v>
      </c>
      <c r="L142" s="11">
        <v>0.0</v>
      </c>
      <c r="M142" s="13">
        <f t="shared" ref="M142:O142" si="144">IFERROR(G142/F142,"")</f>
        <v>0.1706710853</v>
      </c>
      <c r="N142" s="13">
        <f t="shared" si="144"/>
        <v>0.9902912621</v>
      </c>
      <c r="O142" s="14">
        <f t="shared" si="144"/>
        <v>0.5441176471</v>
      </c>
      <c r="P142" s="13">
        <f t="shared" si="3"/>
        <v>0.0931372549</v>
      </c>
      <c r="Q142" s="13">
        <f t="shared" si="4"/>
        <v>0.01470588235</v>
      </c>
      <c r="R142" s="13">
        <f t="shared" si="5"/>
        <v>0</v>
      </c>
      <c r="S142" s="14">
        <f t="shared" si="6"/>
        <v>0.9724685648</v>
      </c>
      <c r="T142" s="14">
        <f t="shared" si="7"/>
        <v>0.9921067391</v>
      </c>
      <c r="U142" s="14">
        <f t="shared" si="8"/>
        <v>2.210272169</v>
      </c>
    </row>
    <row r="143" ht="15.75" customHeight="1">
      <c r="A143" s="9">
        <v>45208.5029427546</v>
      </c>
      <c r="B143" s="10">
        <v>12.0</v>
      </c>
      <c r="C143" s="10" t="s">
        <v>71</v>
      </c>
      <c r="D143" s="10" t="s">
        <v>521</v>
      </c>
      <c r="E143" s="12" t="s">
        <v>62</v>
      </c>
      <c r="F143" s="11">
        <v>1118.0</v>
      </c>
      <c r="G143" s="11">
        <v>161.0</v>
      </c>
      <c r="H143" s="11">
        <v>161.0</v>
      </c>
      <c r="I143" s="11">
        <v>88.0</v>
      </c>
      <c r="J143" s="11">
        <v>19.0</v>
      </c>
      <c r="K143" s="11">
        <v>1.0</v>
      </c>
      <c r="L143" s="11">
        <v>0.0</v>
      </c>
      <c r="M143" s="13">
        <f t="shared" ref="M143:O143" si="145">IFERROR(G143/F143,"")</f>
        <v>0.1440071556</v>
      </c>
      <c r="N143" s="13">
        <f t="shared" si="145"/>
        <v>1</v>
      </c>
      <c r="O143" s="14">
        <f t="shared" si="145"/>
        <v>0.5465838509</v>
      </c>
      <c r="P143" s="13">
        <f t="shared" si="3"/>
        <v>0.1180124224</v>
      </c>
      <c r="Q143" s="13">
        <f t="shared" si="4"/>
        <v>0.006211180124</v>
      </c>
      <c r="R143" s="13">
        <f t="shared" si="5"/>
        <v>0</v>
      </c>
      <c r="S143" s="14">
        <f t="shared" si="6"/>
        <v>0.8180898545</v>
      </c>
      <c r="T143" s="14">
        <f t="shared" si="7"/>
        <v>1.001890359</v>
      </c>
      <c r="U143" s="14">
        <f t="shared" si="8"/>
        <v>0.8850931677</v>
      </c>
    </row>
    <row r="144" ht="15.75" customHeight="1">
      <c r="A144" s="9">
        <v>45221.6122334838</v>
      </c>
      <c r="B144" s="10">
        <v>14.0</v>
      </c>
      <c r="C144" s="10" t="s">
        <v>77</v>
      </c>
      <c r="D144" s="10" t="s">
        <v>524</v>
      </c>
      <c r="E144" s="12" t="s">
        <v>62</v>
      </c>
      <c r="F144" s="11">
        <v>1233.0</v>
      </c>
      <c r="G144" s="11">
        <v>109.0</v>
      </c>
      <c r="H144" s="11">
        <v>109.0</v>
      </c>
      <c r="I144" s="11">
        <v>98.0</v>
      </c>
      <c r="J144" s="11">
        <v>13.0</v>
      </c>
      <c r="K144" s="11">
        <v>16.0</v>
      </c>
      <c r="L144" s="11">
        <v>0.0</v>
      </c>
      <c r="M144" s="13">
        <f t="shared" ref="M144:O144" si="146">IFERROR(G144/F144,"")</f>
        <v>0.08840227088</v>
      </c>
      <c r="N144" s="13">
        <f t="shared" si="146"/>
        <v>1</v>
      </c>
      <c r="O144" s="14">
        <f t="shared" si="146"/>
        <v>0.8990825688</v>
      </c>
      <c r="P144" s="13">
        <f t="shared" si="3"/>
        <v>0.119266055</v>
      </c>
      <c r="Q144" s="13">
        <f t="shared" si="4"/>
        <v>0.1467889908</v>
      </c>
      <c r="R144" s="13">
        <f t="shared" si="5"/>
        <v>0</v>
      </c>
      <c r="S144" s="14">
        <f t="shared" si="6"/>
        <v>0.512061488</v>
      </c>
      <c r="T144" s="14">
        <f t="shared" si="7"/>
        <v>1.00269611</v>
      </c>
      <c r="U144" s="14">
        <f t="shared" si="8"/>
        <v>15.85321101</v>
      </c>
    </row>
    <row r="145" ht="15.75" customHeight="1">
      <c r="A145" s="9">
        <v>45317.5639729745</v>
      </c>
      <c r="B145" s="10">
        <v>13.0</v>
      </c>
      <c r="C145" s="10" t="s">
        <v>60</v>
      </c>
      <c r="D145" s="10" t="s">
        <v>527</v>
      </c>
      <c r="E145" s="12" t="s">
        <v>62</v>
      </c>
      <c r="F145" s="11">
        <v>3498.0</v>
      </c>
      <c r="G145" s="11">
        <v>183.0</v>
      </c>
      <c r="H145" s="11">
        <v>182.0</v>
      </c>
      <c r="I145" s="11">
        <v>145.0</v>
      </c>
      <c r="J145" s="11">
        <v>18.0</v>
      </c>
      <c r="K145" s="11">
        <v>4.0</v>
      </c>
      <c r="L145" s="11">
        <v>1.0</v>
      </c>
      <c r="M145" s="13">
        <f t="shared" ref="M145:O145" si="147">IFERROR(G145/F145,"")</f>
        <v>0.05231560892</v>
      </c>
      <c r="N145" s="13">
        <f t="shared" si="147"/>
        <v>0.9945355191</v>
      </c>
      <c r="O145" s="14">
        <f t="shared" si="147"/>
        <v>0.7967032967</v>
      </c>
      <c r="P145" s="13">
        <f t="shared" si="3"/>
        <v>0.0989010989</v>
      </c>
      <c r="Q145" s="13">
        <f t="shared" si="4"/>
        <v>0.02197802198</v>
      </c>
      <c r="R145" s="13">
        <f t="shared" si="5"/>
        <v>0.005494505495</v>
      </c>
      <c r="S145" s="14">
        <f t="shared" si="6"/>
        <v>0.7435531148</v>
      </c>
      <c r="T145" s="14">
        <f t="shared" si="7"/>
        <v>0.997260274</v>
      </c>
      <c r="U145" s="14">
        <f t="shared" si="8"/>
        <v>0.2604540024</v>
      </c>
    </row>
    <row r="146" ht="15.75" customHeight="1">
      <c r="A146" s="9">
        <v>45599.6442010532</v>
      </c>
      <c r="B146" s="10">
        <v>15.0</v>
      </c>
      <c r="C146" s="10" t="s">
        <v>77</v>
      </c>
      <c r="D146" s="10" t="s">
        <v>530</v>
      </c>
      <c r="E146" s="12" t="s">
        <v>62</v>
      </c>
      <c r="F146" s="11">
        <v>4524.0</v>
      </c>
      <c r="G146" s="11">
        <v>212.0</v>
      </c>
      <c r="H146" s="11">
        <v>212.0</v>
      </c>
      <c r="I146" s="11">
        <v>112.0</v>
      </c>
      <c r="J146" s="11">
        <v>48.0</v>
      </c>
      <c r="K146" s="11">
        <v>14.0</v>
      </c>
      <c r="L146" s="11">
        <v>4.0</v>
      </c>
      <c r="M146" s="13">
        <f t="shared" ref="M146:O146" si="148">IFERROR(G146/F146,"")</f>
        <v>0.04686118479</v>
      </c>
      <c r="N146" s="13">
        <f t="shared" si="148"/>
        <v>1</v>
      </c>
      <c r="O146" s="14">
        <f t="shared" si="148"/>
        <v>0.5283018868</v>
      </c>
      <c r="P146" s="13">
        <f t="shared" si="3"/>
        <v>0.2264150943</v>
      </c>
      <c r="Q146" s="13">
        <f t="shared" si="4"/>
        <v>0.06603773585</v>
      </c>
      <c r="R146" s="13">
        <f t="shared" si="5"/>
        <v>0.01886792453</v>
      </c>
      <c r="S146" s="14">
        <f t="shared" si="6"/>
        <v>0.9450030201</v>
      </c>
      <c r="T146" s="14">
        <f t="shared" si="7"/>
        <v>1.002739726</v>
      </c>
      <c r="U146" s="14">
        <f t="shared" si="8"/>
        <v>1.500588928</v>
      </c>
    </row>
    <row r="147" ht="15.75" customHeight="1">
      <c r="A147" s="9">
        <v>45775.2505863773</v>
      </c>
      <c r="B147" s="10">
        <v>6.0</v>
      </c>
      <c r="C147" s="10" t="s">
        <v>71</v>
      </c>
      <c r="D147" s="10" t="s">
        <v>533</v>
      </c>
      <c r="E147" s="12" t="s">
        <v>62</v>
      </c>
      <c r="F147" s="11">
        <v>4250.0</v>
      </c>
      <c r="G147" s="11">
        <v>363.0</v>
      </c>
      <c r="H147" s="11">
        <v>360.0</v>
      </c>
      <c r="I147" s="11">
        <v>239.0</v>
      </c>
      <c r="J147" s="11">
        <v>25.0</v>
      </c>
      <c r="K147" s="11">
        <v>3.0</v>
      </c>
      <c r="L147" s="11">
        <v>1.0</v>
      </c>
      <c r="M147" s="13">
        <f t="shared" ref="M147:O147" si="149">IFERROR(G147/F147,"")</f>
        <v>0.08541176471</v>
      </c>
      <c r="N147" s="13">
        <f t="shared" si="149"/>
        <v>0.9917355372</v>
      </c>
      <c r="O147" s="14">
        <f t="shared" si="149"/>
        <v>0.6638888889</v>
      </c>
      <c r="P147" s="13">
        <f t="shared" si="3"/>
        <v>0.06944444444</v>
      </c>
      <c r="Q147" s="13">
        <f t="shared" si="4"/>
        <v>0.008333333333</v>
      </c>
      <c r="R147" s="13">
        <f t="shared" si="5"/>
        <v>0.002777777778</v>
      </c>
      <c r="S147" s="14">
        <f t="shared" si="6"/>
        <v>1.781322542</v>
      </c>
      <c r="T147" s="14">
        <f t="shared" si="7"/>
        <v>1.011277124</v>
      </c>
      <c r="U147" s="14">
        <f t="shared" si="8"/>
        <v>0.4173611111</v>
      </c>
    </row>
    <row r="148" ht="15.75" customHeight="1">
      <c r="A148" s="9">
        <v>45776.2443969097</v>
      </c>
      <c r="B148" s="10">
        <v>5.0</v>
      </c>
      <c r="C148" s="10" t="s">
        <v>59</v>
      </c>
      <c r="D148" s="10" t="s">
        <v>536</v>
      </c>
      <c r="E148" s="12" t="s">
        <v>62</v>
      </c>
      <c r="F148" s="11">
        <v>4019.0</v>
      </c>
      <c r="G148" s="11">
        <v>270.0</v>
      </c>
      <c r="H148" s="11">
        <v>263.0</v>
      </c>
      <c r="I148" s="11">
        <v>146.0</v>
      </c>
      <c r="J148" s="11">
        <v>47.0</v>
      </c>
      <c r="K148" s="11">
        <v>2.0</v>
      </c>
      <c r="L148" s="11">
        <v>0.0</v>
      </c>
      <c r="M148" s="13">
        <f t="shared" ref="M148:O148" si="150">IFERROR(G148/F148,"")</f>
        <v>0.06718089077</v>
      </c>
      <c r="N148" s="13">
        <f t="shared" si="150"/>
        <v>0.9740740741</v>
      </c>
      <c r="O148" s="14">
        <f t="shared" si="150"/>
        <v>0.5551330798</v>
      </c>
      <c r="P148" s="13">
        <f t="shared" si="3"/>
        <v>0.1787072243</v>
      </c>
      <c r="Q148" s="13">
        <f t="shared" si="4"/>
        <v>0.007604562738</v>
      </c>
      <c r="R148" s="13">
        <f t="shared" si="5"/>
        <v>0</v>
      </c>
      <c r="S148" s="14">
        <f t="shared" si="6"/>
        <v>1.374554804</v>
      </c>
      <c r="T148" s="14">
        <f t="shared" si="7"/>
        <v>0.9934115829</v>
      </c>
      <c r="U148" s="14">
        <f t="shared" si="8"/>
        <v>0.3805447298</v>
      </c>
    </row>
    <row r="149" ht="15.75" customHeight="1">
      <c r="A149" s="9">
        <v>45777.3308934838</v>
      </c>
      <c r="B149" s="10">
        <v>7.0</v>
      </c>
      <c r="C149" s="10" t="s">
        <v>80</v>
      </c>
      <c r="D149" s="10" t="s">
        <v>540</v>
      </c>
      <c r="E149" s="12" t="s">
        <v>62</v>
      </c>
      <c r="F149" s="11">
        <v>3969.0</v>
      </c>
      <c r="G149" s="11">
        <v>160.0</v>
      </c>
      <c r="H149" s="11">
        <v>154.0</v>
      </c>
      <c r="I149" s="11">
        <v>77.0</v>
      </c>
      <c r="J149" s="11">
        <v>37.0</v>
      </c>
      <c r="K149" s="11">
        <v>1.0</v>
      </c>
      <c r="L149" s="11">
        <v>0.0</v>
      </c>
      <c r="M149" s="13">
        <f t="shared" ref="M149:O149" si="151">IFERROR(G149/F149,"")</f>
        <v>0.04031242126</v>
      </c>
      <c r="N149" s="13">
        <f t="shared" si="151"/>
        <v>0.9625</v>
      </c>
      <c r="O149" s="14">
        <f t="shared" si="151"/>
        <v>0.5</v>
      </c>
      <c r="P149" s="13">
        <f t="shared" si="3"/>
        <v>0.2402597403</v>
      </c>
      <c r="Q149" s="13">
        <f t="shared" si="4"/>
        <v>0.006493506494</v>
      </c>
      <c r="R149" s="13">
        <f t="shared" si="5"/>
        <v>0</v>
      </c>
      <c r="S149" s="14">
        <f t="shared" si="6"/>
        <v>0.809473419</v>
      </c>
      <c r="T149" s="14">
        <f t="shared" si="7"/>
        <v>0.98175</v>
      </c>
      <c r="U149" s="14">
        <f t="shared" si="8"/>
        <v>0.3252164502</v>
      </c>
    </row>
    <row r="150" ht="15.75" customHeight="1">
      <c r="A150" s="9">
        <v>45778.2446357639</v>
      </c>
      <c r="B150" s="10">
        <v>5.0</v>
      </c>
      <c r="C150" s="10" t="s">
        <v>84</v>
      </c>
      <c r="D150" s="10" t="s">
        <v>543</v>
      </c>
      <c r="E150" s="12" t="s">
        <v>62</v>
      </c>
      <c r="F150" s="11">
        <v>3724.0</v>
      </c>
      <c r="G150" s="11">
        <v>108.0</v>
      </c>
      <c r="H150" s="11">
        <v>105.0</v>
      </c>
      <c r="I150" s="11">
        <v>67.0</v>
      </c>
      <c r="J150" s="11">
        <v>27.0</v>
      </c>
      <c r="K150" s="11">
        <v>2.0</v>
      </c>
      <c r="L150" s="11">
        <v>2.0</v>
      </c>
      <c r="M150" s="13">
        <f t="shared" ref="M150:O150" si="152">IFERROR(G150/F150,"")</f>
        <v>0.02900107411</v>
      </c>
      <c r="N150" s="13">
        <f t="shared" si="152"/>
        <v>0.9722222222</v>
      </c>
      <c r="O150" s="14">
        <f t="shared" si="152"/>
        <v>0.6380952381</v>
      </c>
      <c r="P150" s="13">
        <f t="shared" si="3"/>
        <v>0.2571428571</v>
      </c>
      <c r="Q150" s="13">
        <f t="shared" si="4"/>
        <v>0.01904761905</v>
      </c>
      <c r="R150" s="13">
        <f t="shared" si="5"/>
        <v>0.01904761905</v>
      </c>
      <c r="S150" s="14">
        <f t="shared" si="6"/>
        <v>0.5822771142</v>
      </c>
      <c r="T150" s="14">
        <f t="shared" si="7"/>
        <v>0.9915229677</v>
      </c>
      <c r="U150" s="14">
        <f t="shared" si="8"/>
        <v>0.9531739423</v>
      </c>
    </row>
    <row r="151" ht="15.75" customHeight="1">
      <c r="A151" s="9">
        <v>45779.2553399537</v>
      </c>
      <c r="B151" s="10">
        <v>6.0</v>
      </c>
      <c r="C151" s="10" t="s">
        <v>60</v>
      </c>
      <c r="D151" s="10" t="s">
        <v>546</v>
      </c>
      <c r="E151" s="12" t="s">
        <v>62</v>
      </c>
      <c r="F151" s="11">
        <v>3950.0</v>
      </c>
      <c r="G151" s="11">
        <v>99.0</v>
      </c>
      <c r="H151" s="11">
        <v>93.0</v>
      </c>
      <c r="I151" s="11">
        <v>59.0</v>
      </c>
      <c r="J151" s="11">
        <v>26.0</v>
      </c>
      <c r="K151" s="11">
        <v>3.0</v>
      </c>
      <c r="L151" s="11">
        <v>0.0</v>
      </c>
      <c r="M151" s="13">
        <f t="shared" ref="M151:O151" si="153">IFERROR(G151/F151,"")</f>
        <v>0.02506329114</v>
      </c>
      <c r="N151" s="13">
        <f t="shared" si="153"/>
        <v>0.9393939394</v>
      </c>
      <c r="O151" s="14">
        <f t="shared" si="153"/>
        <v>0.6344086022</v>
      </c>
      <c r="P151" s="13">
        <f t="shared" si="3"/>
        <v>0.2795698925</v>
      </c>
      <c r="Q151" s="13">
        <f t="shared" si="4"/>
        <v>0.03225806452</v>
      </c>
      <c r="R151" s="13">
        <f t="shared" si="5"/>
        <v>0</v>
      </c>
      <c r="S151" s="14">
        <f t="shared" si="6"/>
        <v>0.5032151837</v>
      </c>
      <c r="T151" s="14">
        <f t="shared" si="7"/>
        <v>0.9580429714</v>
      </c>
      <c r="U151" s="14">
        <f t="shared" si="8"/>
        <v>1.614246193</v>
      </c>
    </row>
    <row r="152" ht="15.75" customHeight="1">
      <c r="A152" s="9">
        <v>45780.2487901273</v>
      </c>
      <c r="B152" s="10">
        <v>5.0</v>
      </c>
      <c r="C152" s="10" t="s">
        <v>69</v>
      </c>
      <c r="D152" s="10" t="s">
        <v>549</v>
      </c>
      <c r="E152" s="12" t="s">
        <v>62</v>
      </c>
      <c r="F152" s="11">
        <v>3800.0</v>
      </c>
      <c r="G152" s="11">
        <v>107.0</v>
      </c>
      <c r="H152" s="11">
        <v>106.0</v>
      </c>
      <c r="I152" s="11">
        <v>88.0</v>
      </c>
      <c r="J152" s="11">
        <v>16.0</v>
      </c>
      <c r="K152" s="11">
        <v>0.0</v>
      </c>
      <c r="L152" s="11">
        <v>2.0</v>
      </c>
      <c r="M152" s="13">
        <f t="shared" ref="M152:O152" si="154">IFERROR(G152/F152,"")</f>
        <v>0.02815789474</v>
      </c>
      <c r="N152" s="13">
        <f t="shared" si="154"/>
        <v>0.9906542056</v>
      </c>
      <c r="O152" s="14">
        <f t="shared" si="154"/>
        <v>0.8301886792</v>
      </c>
      <c r="P152" s="13">
        <f t="shared" si="3"/>
        <v>0.1509433962</v>
      </c>
      <c r="Q152" s="13">
        <f t="shared" si="4"/>
        <v>0</v>
      </c>
      <c r="R152" s="13">
        <f t="shared" si="5"/>
        <v>0.01886792453</v>
      </c>
      <c r="S152" s="14">
        <f t="shared" si="6"/>
        <v>0.5652853801</v>
      </c>
      <c r="T152" s="14">
        <f t="shared" si="7"/>
        <v>1.010174486</v>
      </c>
      <c r="U152" s="14">
        <f t="shared" si="8"/>
        <v>0</v>
      </c>
    </row>
    <row r="153" ht="15.75" customHeight="1">
      <c r="A153" s="9">
        <v>45781.1205503935</v>
      </c>
      <c r="B153" s="10">
        <v>2.0</v>
      </c>
      <c r="C153" s="10" t="s">
        <v>77</v>
      </c>
      <c r="D153" s="10" t="s">
        <v>552</v>
      </c>
      <c r="E153" s="12" t="s">
        <v>62</v>
      </c>
      <c r="F153" s="11">
        <v>4159.0</v>
      </c>
      <c r="G153" s="11">
        <v>211.0</v>
      </c>
      <c r="H153" s="11">
        <v>206.0</v>
      </c>
      <c r="I153" s="11">
        <v>128.0</v>
      </c>
      <c r="J153" s="11">
        <v>24.0</v>
      </c>
      <c r="K153" s="11">
        <v>6.0</v>
      </c>
      <c r="L153" s="11">
        <v>0.0</v>
      </c>
      <c r="M153" s="13">
        <f t="shared" ref="M153:O153" si="155">IFERROR(G153/F153,"")</f>
        <v>0.05073334936</v>
      </c>
      <c r="N153" s="13">
        <f t="shared" si="155"/>
        <v>0.9763033175</v>
      </c>
      <c r="O153" s="14">
        <f t="shared" si="155"/>
        <v>0.6213592233</v>
      </c>
      <c r="P153" s="13">
        <f t="shared" si="3"/>
        <v>0.1165048544</v>
      </c>
      <c r="Q153" s="13">
        <f t="shared" si="4"/>
        <v>0.02912621359</v>
      </c>
      <c r="R153" s="13">
        <f t="shared" si="5"/>
        <v>0</v>
      </c>
      <c r="S153" s="14">
        <f t="shared" si="6"/>
        <v>1.018500174</v>
      </c>
      <c r="T153" s="14">
        <f t="shared" si="7"/>
        <v>0.9955408213</v>
      </c>
      <c r="U153" s="14">
        <f t="shared" si="8"/>
        <v>1.45631068</v>
      </c>
    </row>
    <row r="154" ht="15.75" customHeight="1">
      <c r="A154" s="9">
        <v>45782.2495992361</v>
      </c>
      <c r="B154" s="10">
        <v>5.0</v>
      </c>
      <c r="C154" s="10" t="s">
        <v>71</v>
      </c>
      <c r="D154" s="10" t="s">
        <v>555</v>
      </c>
      <c r="E154" s="12" t="s">
        <v>62</v>
      </c>
      <c r="F154" s="11">
        <v>4048.0</v>
      </c>
      <c r="G154" s="11">
        <v>129.0</v>
      </c>
      <c r="H154" s="11">
        <v>128.0</v>
      </c>
      <c r="I154" s="11">
        <v>114.0</v>
      </c>
      <c r="J154" s="11">
        <v>27.0</v>
      </c>
      <c r="K154" s="11">
        <v>2.0</v>
      </c>
      <c r="L154" s="11">
        <v>0.0</v>
      </c>
      <c r="M154" s="13">
        <f t="shared" ref="M154:O154" si="156">IFERROR(G154/F154,"")</f>
        <v>0.03186758893</v>
      </c>
      <c r="N154" s="13">
        <f t="shared" si="156"/>
        <v>0.992248062</v>
      </c>
      <c r="O154" s="14">
        <f t="shared" si="156"/>
        <v>0.890625</v>
      </c>
      <c r="P154" s="13">
        <f t="shared" si="3"/>
        <v>0.2109375</v>
      </c>
      <c r="Q154" s="13">
        <f t="shared" si="4"/>
        <v>0.015625</v>
      </c>
      <c r="R154" s="13">
        <f t="shared" si="5"/>
        <v>0</v>
      </c>
      <c r="S154" s="14">
        <f t="shared" si="6"/>
        <v>0.639759552</v>
      </c>
      <c r="T154" s="14">
        <f t="shared" si="7"/>
        <v>1.011799748</v>
      </c>
      <c r="U154" s="14">
        <f t="shared" si="8"/>
        <v>0.78125</v>
      </c>
    </row>
    <row r="155" ht="15.75" customHeight="1">
      <c r="A155" s="9">
        <v>45783.2043744676</v>
      </c>
      <c r="B155" s="10">
        <v>4.0</v>
      </c>
      <c r="C155" s="10" t="s">
        <v>59</v>
      </c>
      <c r="D155" s="10" t="s">
        <v>557</v>
      </c>
      <c r="E155" s="12" t="s">
        <v>62</v>
      </c>
      <c r="F155" s="11">
        <v>3999.0</v>
      </c>
      <c r="G155" s="11">
        <v>97.0</v>
      </c>
      <c r="H155" s="11">
        <v>94.0</v>
      </c>
      <c r="I155" s="11">
        <v>99.0</v>
      </c>
      <c r="J155" s="11">
        <v>11.0</v>
      </c>
      <c r="K155" s="11">
        <v>5.0</v>
      </c>
      <c r="L155" s="11">
        <v>1.0</v>
      </c>
      <c r="M155" s="13">
        <f t="shared" ref="M155:O155" si="157">IFERROR(G155/F155,"")</f>
        <v>0.02425606402</v>
      </c>
      <c r="N155" s="13">
        <f t="shared" si="157"/>
        <v>0.9690721649</v>
      </c>
      <c r="O155" s="14">
        <f t="shared" si="157"/>
        <v>1.053191489</v>
      </c>
      <c r="P155" s="13">
        <f t="shared" si="3"/>
        <v>0.1170212766</v>
      </c>
      <c r="Q155" s="13">
        <f t="shared" si="4"/>
        <v>0.05319148936</v>
      </c>
      <c r="R155" s="13">
        <f t="shared" si="5"/>
        <v>0.01063829787</v>
      </c>
      <c r="S155" s="14">
        <f t="shared" si="6"/>
        <v>0.4824908782</v>
      </c>
      <c r="T155" s="14">
        <f t="shared" si="7"/>
        <v>0.9878196039</v>
      </c>
      <c r="U155" s="14">
        <f t="shared" si="8"/>
        <v>2.652908868</v>
      </c>
    </row>
    <row r="156" ht="15.75" customHeight="1">
      <c r="A156" s="9">
        <v>45784.2094272454</v>
      </c>
      <c r="B156" s="10">
        <v>5.0</v>
      </c>
      <c r="C156" s="10" t="s">
        <v>80</v>
      </c>
      <c r="D156" s="10" t="s">
        <v>560</v>
      </c>
      <c r="E156" s="12" t="s">
        <v>62</v>
      </c>
      <c r="F156" s="11">
        <v>3991.0</v>
      </c>
      <c r="G156" s="11">
        <v>73.0</v>
      </c>
      <c r="H156" s="11">
        <v>74.0</v>
      </c>
      <c r="I156" s="11">
        <v>51.0</v>
      </c>
      <c r="J156" s="11">
        <v>11.0</v>
      </c>
      <c r="K156" s="11">
        <v>5.0</v>
      </c>
      <c r="L156" s="11">
        <v>1.0</v>
      </c>
      <c r="M156" s="13">
        <f t="shared" ref="M156:O156" si="158">IFERROR(G156/F156,"")</f>
        <v>0.0182911551</v>
      </c>
      <c r="N156" s="13">
        <f t="shared" si="158"/>
        <v>1.01369863</v>
      </c>
      <c r="O156" s="14">
        <f t="shared" si="158"/>
        <v>0.6891891892</v>
      </c>
      <c r="P156" s="13">
        <f t="shared" si="3"/>
        <v>0.1486486486</v>
      </c>
      <c r="Q156" s="13">
        <f t="shared" si="4"/>
        <v>0.06756756757</v>
      </c>
      <c r="R156" s="13">
        <f t="shared" si="5"/>
        <v>0.01351351351</v>
      </c>
      <c r="S156" s="14">
        <f t="shared" si="6"/>
        <v>0.3638395529</v>
      </c>
      <c r="T156" s="14">
        <f t="shared" si="7"/>
        <v>1.033309402</v>
      </c>
      <c r="U156" s="14">
        <f t="shared" si="8"/>
        <v>3.369911265</v>
      </c>
    </row>
    <row r="157" ht="15.75" customHeight="1">
      <c r="A157" s="9">
        <v>45785.1216041319</v>
      </c>
      <c r="B157" s="10">
        <v>2.0</v>
      </c>
      <c r="C157" s="10" t="s">
        <v>84</v>
      </c>
      <c r="D157" s="10" t="s">
        <v>562</v>
      </c>
      <c r="E157" s="12" t="s">
        <v>62</v>
      </c>
      <c r="F157" s="11">
        <v>4008.0</v>
      </c>
      <c r="G157" s="11">
        <v>113.0</v>
      </c>
      <c r="H157" s="11">
        <v>111.0</v>
      </c>
      <c r="I157" s="11">
        <v>98.0</v>
      </c>
      <c r="J157" s="11">
        <v>22.0</v>
      </c>
      <c r="K157" s="11">
        <v>3.0</v>
      </c>
      <c r="L157" s="11">
        <v>1.0</v>
      </c>
      <c r="M157" s="13">
        <f t="shared" ref="M157:O157" si="159">IFERROR(G157/F157,"")</f>
        <v>0.02819361277</v>
      </c>
      <c r="N157" s="13">
        <f t="shared" si="159"/>
        <v>0.982300885</v>
      </c>
      <c r="O157" s="14">
        <f t="shared" si="159"/>
        <v>0.8828828829</v>
      </c>
      <c r="P157" s="13">
        <f t="shared" si="3"/>
        <v>0.1981981982</v>
      </c>
      <c r="Q157" s="13">
        <f t="shared" si="4"/>
        <v>0.02702702703</v>
      </c>
      <c r="R157" s="13">
        <f t="shared" si="5"/>
        <v>0.009009009009</v>
      </c>
      <c r="S157" s="14">
        <f t="shared" si="6"/>
        <v>0.5557214954</v>
      </c>
      <c r="T157" s="14">
        <f t="shared" si="7"/>
        <v>1.000952168</v>
      </c>
      <c r="U157" s="14">
        <f t="shared" si="8"/>
        <v>1.344594595</v>
      </c>
    </row>
    <row r="158" ht="15.75" customHeight="1">
      <c r="A158" s="9">
        <v>45786.1268944329</v>
      </c>
      <c r="B158" s="10">
        <v>3.0</v>
      </c>
      <c r="C158" s="10" t="s">
        <v>60</v>
      </c>
      <c r="D158" s="10" t="s">
        <v>564</v>
      </c>
      <c r="E158" s="12" t="s">
        <v>62</v>
      </c>
      <c r="F158" s="11">
        <v>4107.0</v>
      </c>
      <c r="G158" s="11">
        <v>91.0</v>
      </c>
      <c r="H158" s="11">
        <v>85.0</v>
      </c>
      <c r="I158" s="11">
        <v>76.0</v>
      </c>
      <c r="J158" s="11">
        <v>14.0</v>
      </c>
      <c r="K158" s="11">
        <v>1.0</v>
      </c>
      <c r="L158" s="11">
        <v>0.0</v>
      </c>
      <c r="M158" s="13">
        <f t="shared" ref="M158:O158" si="160">IFERROR(G158/F158,"")</f>
        <v>0.02215729243</v>
      </c>
      <c r="N158" s="13">
        <f t="shared" si="160"/>
        <v>0.9340659341</v>
      </c>
      <c r="O158" s="14">
        <f t="shared" si="160"/>
        <v>0.8941176471</v>
      </c>
      <c r="P158" s="13">
        <f t="shared" si="3"/>
        <v>0.1647058824</v>
      </c>
      <c r="Q158" s="13">
        <f t="shared" si="4"/>
        <v>0.01176470588</v>
      </c>
      <c r="R158" s="13">
        <f t="shared" si="5"/>
        <v>0</v>
      </c>
      <c r="S158" s="14">
        <f t="shared" si="6"/>
        <v>0.4367401858</v>
      </c>
      <c r="T158" s="14">
        <f t="shared" si="7"/>
        <v>0.9518013632</v>
      </c>
      <c r="U158" s="14">
        <f t="shared" si="8"/>
        <v>0.5852941176</v>
      </c>
    </row>
    <row r="159" ht="15.75" customHeight="1">
      <c r="A159" s="9">
        <v>45787.1293209259</v>
      </c>
      <c r="B159" s="10">
        <v>3.0</v>
      </c>
      <c r="C159" s="10" t="s">
        <v>69</v>
      </c>
      <c r="D159" s="10" t="s">
        <v>567</v>
      </c>
      <c r="E159" s="12" t="s">
        <v>62</v>
      </c>
      <c r="F159" s="11">
        <v>4518.0</v>
      </c>
      <c r="G159" s="11">
        <v>133.0</v>
      </c>
      <c r="H159" s="11">
        <v>129.0</v>
      </c>
      <c r="I159" s="11">
        <v>71.0</v>
      </c>
      <c r="J159" s="11">
        <v>18.0</v>
      </c>
      <c r="K159" s="11">
        <v>2.0</v>
      </c>
      <c r="L159" s="11">
        <v>0.0</v>
      </c>
      <c r="M159" s="13">
        <f t="shared" ref="M159:O159" si="161">IFERROR(G159/F159,"")</f>
        <v>0.02943780434</v>
      </c>
      <c r="N159" s="13">
        <f t="shared" si="161"/>
        <v>0.969924812</v>
      </c>
      <c r="O159" s="14">
        <f t="shared" si="161"/>
        <v>0.5503875969</v>
      </c>
      <c r="P159" s="13">
        <f t="shared" si="3"/>
        <v>0.1395348837</v>
      </c>
      <c r="Q159" s="13">
        <f t="shared" si="4"/>
        <v>0.01550387597</v>
      </c>
      <c r="R159" s="13">
        <f t="shared" si="5"/>
        <v>0</v>
      </c>
      <c r="S159" s="14">
        <f t="shared" si="6"/>
        <v>0.5686180033</v>
      </c>
      <c r="T159" s="14">
        <f t="shared" si="7"/>
        <v>0.9882188906</v>
      </c>
      <c r="U159" s="14">
        <f t="shared" si="8"/>
        <v>0.7732509568</v>
      </c>
    </row>
    <row r="160" ht="15.75" customHeight="1">
      <c r="A160" s="9">
        <v>45788.5114898611</v>
      </c>
      <c r="B160" s="10">
        <v>12.0</v>
      </c>
      <c r="C160" s="10" t="s">
        <v>77</v>
      </c>
      <c r="D160" s="10" t="s">
        <v>570</v>
      </c>
      <c r="E160" s="12" t="s">
        <v>62</v>
      </c>
      <c r="F160" s="11">
        <v>4797.0</v>
      </c>
      <c r="G160" s="11">
        <v>140.0</v>
      </c>
      <c r="H160" s="11">
        <v>134.0</v>
      </c>
      <c r="I160" s="11">
        <v>126.0</v>
      </c>
      <c r="J160" s="11">
        <v>25.0</v>
      </c>
      <c r="K160" s="11">
        <v>3.0</v>
      </c>
      <c r="L160" s="11">
        <v>2.0</v>
      </c>
      <c r="M160" s="13">
        <f t="shared" ref="M160:O160" si="162">IFERROR(G160/F160,"")</f>
        <v>0.02918490723</v>
      </c>
      <c r="N160" s="13">
        <f t="shared" si="162"/>
        <v>0.9571428571</v>
      </c>
      <c r="O160" s="14">
        <f t="shared" si="162"/>
        <v>0.9402985075</v>
      </c>
      <c r="P160" s="13">
        <f t="shared" si="3"/>
        <v>0.1865671642</v>
      </c>
      <c r="Q160" s="13">
        <f t="shared" si="4"/>
        <v>0.0223880597</v>
      </c>
      <c r="R160" s="13">
        <f t="shared" si="5"/>
        <v>0.01492537313</v>
      </c>
      <c r="S160" s="14">
        <f t="shared" si="6"/>
        <v>0.5637330654</v>
      </c>
      <c r="T160" s="14">
        <f t="shared" si="7"/>
        <v>0.9751958509</v>
      </c>
      <c r="U160" s="14">
        <f t="shared" si="8"/>
        <v>1.116597464</v>
      </c>
    </row>
    <row r="161" ht="15.75" customHeight="1">
      <c r="A161" s="9">
        <v>45789.1292824653</v>
      </c>
      <c r="B161" s="10">
        <v>3.0</v>
      </c>
      <c r="C161" s="10" t="s">
        <v>71</v>
      </c>
      <c r="D161" s="10" t="s">
        <v>573</v>
      </c>
      <c r="E161" s="12" t="s">
        <v>62</v>
      </c>
      <c r="F161" s="11">
        <v>4923.0</v>
      </c>
      <c r="G161" s="11">
        <v>265.0</v>
      </c>
      <c r="H161" s="11">
        <v>262.0</v>
      </c>
      <c r="I161" s="11">
        <v>137.0</v>
      </c>
      <c r="J161" s="11">
        <v>51.0</v>
      </c>
      <c r="K161" s="11">
        <v>32.0</v>
      </c>
      <c r="L161" s="11">
        <v>1.0</v>
      </c>
      <c r="M161" s="13">
        <f t="shared" ref="M161:O161" si="163">IFERROR(G161/F161,"")</f>
        <v>0.05382896608</v>
      </c>
      <c r="N161" s="13">
        <f t="shared" si="163"/>
        <v>0.9886792453</v>
      </c>
      <c r="O161" s="14">
        <f t="shared" si="163"/>
        <v>0.5229007634</v>
      </c>
      <c r="P161" s="13">
        <f t="shared" si="3"/>
        <v>0.1946564885</v>
      </c>
      <c r="Q161" s="13">
        <f t="shared" si="4"/>
        <v>0.1221374046</v>
      </c>
      <c r="R161" s="13">
        <f t="shared" si="5"/>
        <v>0.003816793893</v>
      </c>
      <c r="S161" s="14">
        <f t="shared" si="6"/>
        <v>1.039755508</v>
      </c>
      <c r="T161" s="14">
        <f t="shared" si="7"/>
        <v>1.007327058</v>
      </c>
      <c r="U161" s="14">
        <f t="shared" si="8"/>
        <v>6.09156479</v>
      </c>
    </row>
    <row r="162" ht="15.75" customHeight="1">
      <c r="A162" s="9">
        <v>45790.8042385995</v>
      </c>
      <c r="B162" s="10">
        <v>19.0</v>
      </c>
      <c r="C162" s="10" t="s">
        <v>59</v>
      </c>
      <c r="D162" s="10" t="s">
        <v>576</v>
      </c>
      <c r="E162" s="12" t="s">
        <v>62</v>
      </c>
      <c r="F162" s="11">
        <v>5166.0</v>
      </c>
      <c r="G162" s="11">
        <v>176.0</v>
      </c>
      <c r="H162" s="11">
        <v>177.0</v>
      </c>
      <c r="I162" s="11">
        <v>110.0</v>
      </c>
      <c r="J162" s="11">
        <v>36.0</v>
      </c>
      <c r="K162" s="11">
        <v>1.0</v>
      </c>
      <c r="L162" s="11">
        <v>0.0</v>
      </c>
      <c r="M162" s="13">
        <f t="shared" ref="M162:O162" si="164">IFERROR(G162/F162,"")</f>
        <v>0.03406891212</v>
      </c>
      <c r="N162" s="13">
        <f t="shared" si="164"/>
        <v>1.005681818</v>
      </c>
      <c r="O162" s="14">
        <f t="shared" si="164"/>
        <v>0.6214689266</v>
      </c>
      <c r="P162" s="13">
        <f t="shared" si="3"/>
        <v>0.2033898305</v>
      </c>
      <c r="Q162" s="13">
        <f t="shared" si="4"/>
        <v>0.005649717514</v>
      </c>
      <c r="R162" s="13">
        <f t="shared" si="5"/>
        <v>0</v>
      </c>
      <c r="S162" s="14">
        <f t="shared" si="6"/>
        <v>0.671528936</v>
      </c>
      <c r="T162" s="14">
        <f t="shared" si="7"/>
        <v>1.024523632</v>
      </c>
      <c r="U162" s="14">
        <f t="shared" si="8"/>
        <v>0.2810734463</v>
      </c>
    </row>
    <row r="163" ht="15.75" customHeight="1">
      <c r="A163" s="9">
        <v>45791.8103286458</v>
      </c>
      <c r="B163" s="10">
        <v>19.0</v>
      </c>
      <c r="C163" s="10" t="s">
        <v>80</v>
      </c>
      <c r="D163" s="10" t="s">
        <v>579</v>
      </c>
      <c r="E163" s="12" t="s">
        <v>62</v>
      </c>
      <c r="F163" s="11">
        <v>4885.0</v>
      </c>
      <c r="G163" s="11">
        <v>80.0</v>
      </c>
      <c r="H163" s="11">
        <v>79.0</v>
      </c>
      <c r="I163" s="11">
        <v>59.0</v>
      </c>
      <c r="J163" s="11">
        <v>20.0</v>
      </c>
      <c r="K163" s="11">
        <v>2.0</v>
      </c>
      <c r="L163" s="11">
        <v>0.0</v>
      </c>
      <c r="M163" s="13">
        <f t="shared" ref="M163:O163" si="165">IFERROR(G163/F163,"")</f>
        <v>0.01637666325</v>
      </c>
      <c r="N163" s="13">
        <f t="shared" si="165"/>
        <v>0.9875</v>
      </c>
      <c r="O163" s="14">
        <f t="shared" si="165"/>
        <v>0.746835443</v>
      </c>
      <c r="P163" s="13">
        <f t="shared" si="3"/>
        <v>0.253164557</v>
      </c>
      <c r="Q163" s="13">
        <f t="shared" si="4"/>
        <v>0.0253164557</v>
      </c>
      <c r="R163" s="13">
        <f t="shared" si="5"/>
        <v>0</v>
      </c>
      <c r="S163" s="14">
        <f t="shared" si="6"/>
        <v>0.3235202922</v>
      </c>
      <c r="T163" s="14">
        <f t="shared" si="7"/>
        <v>1.005646857</v>
      </c>
      <c r="U163" s="14">
        <f t="shared" si="8"/>
        <v>1.245629642</v>
      </c>
    </row>
    <row r="164" ht="15.75" customHeight="1">
      <c r="A164" s="9">
        <v>45792.8046120023</v>
      </c>
      <c r="B164" s="10">
        <v>19.0</v>
      </c>
      <c r="C164" s="10" t="s">
        <v>84</v>
      </c>
      <c r="D164" s="10" t="s">
        <v>582</v>
      </c>
      <c r="E164" s="12" t="s">
        <v>62</v>
      </c>
      <c r="F164" s="11">
        <v>5072.0</v>
      </c>
      <c r="G164" s="11">
        <v>222.0</v>
      </c>
      <c r="H164" s="11">
        <v>217.0</v>
      </c>
      <c r="I164" s="11">
        <v>201.0</v>
      </c>
      <c r="J164" s="11">
        <v>31.0</v>
      </c>
      <c r="K164" s="11">
        <v>2.0</v>
      </c>
      <c r="L164" s="11">
        <v>0.0</v>
      </c>
      <c r="M164" s="13">
        <f t="shared" ref="M164:O164" si="166">IFERROR(G164/F164,"")</f>
        <v>0.04376971609</v>
      </c>
      <c r="N164" s="13">
        <f t="shared" si="166"/>
        <v>0.9774774775</v>
      </c>
      <c r="O164" s="14">
        <f t="shared" si="166"/>
        <v>0.9262672811</v>
      </c>
      <c r="P164" s="13">
        <f t="shared" si="3"/>
        <v>0.1428571429</v>
      </c>
      <c r="Q164" s="13">
        <f t="shared" si="4"/>
        <v>0.009216589862</v>
      </c>
      <c r="R164" s="13">
        <f t="shared" si="5"/>
        <v>0</v>
      </c>
      <c r="S164" s="14">
        <f t="shared" si="6"/>
        <v>0.864668896</v>
      </c>
      <c r="T164" s="14">
        <f t="shared" si="7"/>
        <v>0.9954401551</v>
      </c>
      <c r="U164" s="14">
        <f t="shared" si="8"/>
        <v>0.4534780726</v>
      </c>
    </row>
    <row r="165" ht="15.75" customHeight="1">
      <c r="A165" s="9">
        <v>45793.810265081</v>
      </c>
      <c r="B165" s="10">
        <v>19.0</v>
      </c>
      <c r="C165" s="10" t="s">
        <v>60</v>
      </c>
      <c r="D165" s="10" t="s">
        <v>585</v>
      </c>
      <c r="E165" s="12" t="s">
        <v>62</v>
      </c>
      <c r="F165" s="11">
        <v>5326.0</v>
      </c>
      <c r="G165" s="11">
        <v>144.0</v>
      </c>
      <c r="H165" s="11">
        <v>143.0</v>
      </c>
      <c r="I165" s="11">
        <v>110.0</v>
      </c>
      <c r="J165" s="11">
        <v>22.0</v>
      </c>
      <c r="K165" s="11">
        <v>5.0</v>
      </c>
      <c r="L165" s="11">
        <v>0.0</v>
      </c>
      <c r="M165" s="13">
        <f t="shared" ref="M165:O165" si="167">IFERROR(G165/F165,"")</f>
        <v>0.02703717612</v>
      </c>
      <c r="N165" s="13">
        <f t="shared" si="167"/>
        <v>0.9930555556</v>
      </c>
      <c r="O165" s="14">
        <f t="shared" si="167"/>
        <v>0.7692307692</v>
      </c>
      <c r="P165" s="13">
        <f t="shared" si="3"/>
        <v>0.1538461538</v>
      </c>
      <c r="Q165" s="13">
        <f t="shared" si="4"/>
        <v>0.03496503497</v>
      </c>
      <c r="R165" s="13">
        <f t="shared" si="5"/>
        <v>0</v>
      </c>
      <c r="S165" s="14">
        <f t="shared" si="6"/>
        <v>0.5329270875</v>
      </c>
      <c r="T165" s="14">
        <f t="shared" si="7"/>
        <v>1.010948448</v>
      </c>
      <c r="U165" s="14">
        <f t="shared" si="8"/>
        <v>1.701631702</v>
      </c>
    </row>
    <row r="166" ht="15.75" customHeight="1">
      <c r="A166" s="9">
        <v>45794.8106927894</v>
      </c>
      <c r="B166" s="10">
        <v>19.0</v>
      </c>
      <c r="C166" s="10" t="s">
        <v>69</v>
      </c>
      <c r="D166" s="10" t="s">
        <v>588</v>
      </c>
      <c r="E166" s="12" t="s">
        <v>62</v>
      </c>
      <c r="F166" s="11">
        <v>5814.0</v>
      </c>
      <c r="G166" s="11">
        <v>208.0</v>
      </c>
      <c r="H166" s="11">
        <v>199.0</v>
      </c>
      <c r="I166" s="11">
        <v>128.0</v>
      </c>
      <c r="J166" s="11">
        <v>33.0</v>
      </c>
      <c r="K166" s="11">
        <v>4.0</v>
      </c>
      <c r="L166" s="11">
        <v>2.0</v>
      </c>
      <c r="M166" s="13">
        <f t="shared" ref="M166:O166" si="168">IFERROR(G166/F166,"")</f>
        <v>0.03577571379</v>
      </c>
      <c r="N166" s="13">
        <f t="shared" si="168"/>
        <v>0.9567307692</v>
      </c>
      <c r="O166" s="14">
        <f t="shared" si="168"/>
        <v>0.6432160804</v>
      </c>
      <c r="P166" s="13">
        <f t="shared" si="3"/>
        <v>0.1658291457</v>
      </c>
      <c r="Q166" s="13">
        <f t="shared" si="4"/>
        <v>0.02010050251</v>
      </c>
      <c r="R166" s="13">
        <f t="shared" si="5"/>
        <v>0.01005025126</v>
      </c>
      <c r="S166" s="14">
        <f t="shared" si="6"/>
        <v>0.705171534</v>
      </c>
      <c r="T166" s="14">
        <f t="shared" si="7"/>
        <v>0.9739691615</v>
      </c>
      <c r="U166" s="14">
        <f t="shared" si="8"/>
        <v>0.9782244556</v>
      </c>
    </row>
    <row r="167" ht="15.75" customHeight="1">
      <c r="A167" s="9">
        <v>45795.805393507</v>
      </c>
      <c r="B167" s="10">
        <v>19.0</v>
      </c>
      <c r="C167" s="10" t="s">
        <v>77</v>
      </c>
      <c r="D167" s="10" t="s">
        <v>591</v>
      </c>
      <c r="E167" s="12" t="s">
        <v>62</v>
      </c>
      <c r="F167" s="11">
        <v>5793.0</v>
      </c>
      <c r="G167" s="11">
        <v>130.0</v>
      </c>
      <c r="H167" s="11">
        <v>125.0</v>
      </c>
      <c r="I167" s="11">
        <v>85.0</v>
      </c>
      <c r="J167" s="11">
        <v>22.0</v>
      </c>
      <c r="K167" s="11">
        <v>1.0</v>
      </c>
      <c r="L167" s="11">
        <v>0.0</v>
      </c>
      <c r="M167" s="13">
        <f t="shared" ref="M167:O167" si="169">IFERROR(G167/F167,"")</f>
        <v>0.02244087692</v>
      </c>
      <c r="N167" s="13">
        <f t="shared" si="169"/>
        <v>0.9615384615</v>
      </c>
      <c r="O167" s="14">
        <f t="shared" si="169"/>
        <v>0.68</v>
      </c>
      <c r="P167" s="13">
        <f t="shared" si="3"/>
        <v>0.176</v>
      </c>
      <c r="Q167" s="13">
        <f t="shared" si="4"/>
        <v>0.008</v>
      </c>
      <c r="R167" s="13">
        <f t="shared" si="5"/>
        <v>0</v>
      </c>
      <c r="S167" s="14">
        <f t="shared" si="6"/>
        <v>0.4423298915</v>
      </c>
      <c r="T167" s="14">
        <f t="shared" si="7"/>
        <v>0.9788634789</v>
      </c>
      <c r="U167" s="14">
        <f t="shared" si="8"/>
        <v>0.3893333333</v>
      </c>
    </row>
    <row r="168" ht="15.75" customHeight="1">
      <c r="A168" s="9">
        <v>45796.8125660764</v>
      </c>
      <c r="B168" s="10">
        <v>19.0</v>
      </c>
      <c r="C168" s="10" t="s">
        <v>71</v>
      </c>
      <c r="D168" s="10" t="s">
        <v>594</v>
      </c>
      <c r="E168" s="12" t="s">
        <v>62</v>
      </c>
      <c r="F168" s="11">
        <v>6433.0</v>
      </c>
      <c r="G168" s="11">
        <v>211.0</v>
      </c>
      <c r="H168" s="11">
        <v>198.0</v>
      </c>
      <c r="I168" s="11">
        <v>114.0</v>
      </c>
      <c r="J168" s="11">
        <v>30.0</v>
      </c>
      <c r="K168" s="11">
        <v>5.0</v>
      </c>
      <c r="L168" s="11">
        <v>2.0</v>
      </c>
      <c r="M168" s="13">
        <f t="shared" ref="M168:O168" si="170">IFERROR(G168/F168,"")</f>
        <v>0.03279962692</v>
      </c>
      <c r="N168" s="13">
        <f t="shared" si="170"/>
        <v>0.9383886256</v>
      </c>
      <c r="O168" s="14">
        <f t="shared" si="170"/>
        <v>0.5757575758</v>
      </c>
      <c r="P168" s="13">
        <f t="shared" si="3"/>
        <v>0.1515151515</v>
      </c>
      <c r="Q168" s="13">
        <f t="shared" si="4"/>
        <v>0.02525252525</v>
      </c>
      <c r="R168" s="13">
        <f t="shared" si="5"/>
        <v>0.0101010101</v>
      </c>
      <c r="S168" s="14">
        <f t="shared" si="6"/>
        <v>0.6335546685</v>
      </c>
      <c r="T168" s="14">
        <f t="shared" si="7"/>
        <v>0.9547338935</v>
      </c>
      <c r="U168" s="14">
        <f t="shared" si="8"/>
        <v>1.242484113</v>
      </c>
    </row>
    <row r="169" ht="15.75" customHeight="1">
      <c r="A169" s="9">
        <v>45797.8058927894</v>
      </c>
      <c r="B169" s="10">
        <v>19.0</v>
      </c>
      <c r="C169" s="10" t="s">
        <v>59</v>
      </c>
      <c r="D169" s="10" t="s">
        <v>596</v>
      </c>
      <c r="E169" s="12" t="s">
        <v>62</v>
      </c>
      <c r="F169" s="11">
        <v>6390.0</v>
      </c>
      <c r="G169" s="11">
        <v>283.0</v>
      </c>
      <c r="H169" s="11">
        <v>282.0</v>
      </c>
      <c r="I169" s="11">
        <v>212.0</v>
      </c>
      <c r="J169" s="11">
        <v>44.0</v>
      </c>
      <c r="K169" s="11">
        <v>1.0</v>
      </c>
      <c r="L169" s="11">
        <v>2.0</v>
      </c>
      <c r="M169" s="13">
        <f t="shared" ref="M169:O169" si="171">IFERROR(G169/F169,"")</f>
        <v>0.04428794992</v>
      </c>
      <c r="N169" s="13">
        <f t="shared" si="171"/>
        <v>0.9964664311</v>
      </c>
      <c r="O169" s="14">
        <f t="shared" si="171"/>
        <v>0.7517730496</v>
      </c>
      <c r="P169" s="13">
        <f t="shared" si="3"/>
        <v>0.1560283688</v>
      </c>
      <c r="Q169" s="13">
        <f t="shared" si="4"/>
        <v>0.003546099291</v>
      </c>
      <c r="R169" s="13">
        <f t="shared" si="5"/>
        <v>0.007092198582</v>
      </c>
      <c r="S169" s="14">
        <f t="shared" si="6"/>
        <v>0.855462091</v>
      </c>
      <c r="T169" s="14">
        <f t="shared" si="7"/>
        <v>1.013823324</v>
      </c>
      <c r="U169" s="14">
        <f t="shared" si="8"/>
        <v>0.1744764925</v>
      </c>
    </row>
    <row r="170" ht="15.75" customHeight="1">
      <c r="A170" s="9">
        <v>45798.8132875232</v>
      </c>
      <c r="B170" s="10">
        <v>19.0</v>
      </c>
      <c r="C170" s="10" t="s">
        <v>80</v>
      </c>
      <c r="D170" s="10" t="s">
        <v>599</v>
      </c>
      <c r="E170" s="12" t="s">
        <v>62</v>
      </c>
      <c r="F170" s="11">
        <v>6491.0</v>
      </c>
      <c r="G170" s="11">
        <v>201.0</v>
      </c>
      <c r="H170" s="11">
        <v>200.0</v>
      </c>
      <c r="I170" s="11">
        <v>112.0</v>
      </c>
      <c r="J170" s="11">
        <v>24.0</v>
      </c>
      <c r="K170" s="11">
        <v>9.0</v>
      </c>
      <c r="L170" s="11">
        <v>3.0</v>
      </c>
      <c r="M170" s="13">
        <f t="shared" ref="M170:O170" si="172">IFERROR(G170/F170,"")</f>
        <v>0.03096595286</v>
      </c>
      <c r="N170" s="13">
        <f t="shared" si="172"/>
        <v>0.9950248756</v>
      </c>
      <c r="O170" s="14">
        <f t="shared" si="172"/>
        <v>0.56</v>
      </c>
      <c r="P170" s="13">
        <f t="shared" si="3"/>
        <v>0.12</v>
      </c>
      <c r="Q170" s="13">
        <f t="shared" si="4"/>
        <v>0.045</v>
      </c>
      <c r="R170" s="13">
        <f t="shared" si="5"/>
        <v>0.015</v>
      </c>
      <c r="S170" s="14">
        <f t="shared" si="6"/>
        <v>0.6103668149</v>
      </c>
      <c r="T170" s="14">
        <f t="shared" si="7"/>
        <v>1.011760768</v>
      </c>
      <c r="U170" s="14">
        <f t="shared" si="8"/>
        <v>2.23875</v>
      </c>
    </row>
    <row r="171" ht="15.75" customHeight="1">
      <c r="A171" s="9">
        <v>45799.8061589468</v>
      </c>
      <c r="B171" s="10">
        <v>19.0</v>
      </c>
      <c r="C171" s="10" t="s">
        <v>84</v>
      </c>
      <c r="D171" s="10" t="s">
        <v>601</v>
      </c>
      <c r="E171" s="12" t="s">
        <v>62</v>
      </c>
      <c r="F171" s="11">
        <v>6590.0</v>
      </c>
      <c r="G171" s="11">
        <v>207.0</v>
      </c>
      <c r="H171" s="11">
        <v>203.0</v>
      </c>
      <c r="I171" s="11">
        <v>136.0</v>
      </c>
      <c r="J171" s="11">
        <v>21.0</v>
      </c>
      <c r="K171" s="11">
        <v>2.0</v>
      </c>
      <c r="L171" s="11">
        <v>1.0</v>
      </c>
      <c r="M171" s="13">
        <f t="shared" ref="M171:O171" si="173">IFERROR(G171/F171,"")</f>
        <v>0.03141122914</v>
      </c>
      <c r="N171" s="13">
        <f t="shared" si="173"/>
        <v>0.9806763285</v>
      </c>
      <c r="O171" s="14">
        <f t="shared" si="173"/>
        <v>0.6699507389</v>
      </c>
      <c r="P171" s="13">
        <f t="shared" si="3"/>
        <v>0.1034482759</v>
      </c>
      <c r="Q171" s="13">
        <f t="shared" si="4"/>
        <v>0.009852216749</v>
      </c>
      <c r="R171" s="13">
        <f t="shared" si="5"/>
        <v>0.004926108374</v>
      </c>
      <c r="S171" s="14">
        <f t="shared" si="6"/>
        <v>0.6191436112</v>
      </c>
      <c r="T171" s="14">
        <f t="shared" si="7"/>
        <v>0.9971708845</v>
      </c>
      <c r="U171" s="14">
        <f t="shared" si="8"/>
        <v>0.4901477833</v>
      </c>
    </row>
    <row r="172" ht="15.75" customHeight="1">
      <c r="A172" s="9">
        <v>45800.8130993866</v>
      </c>
      <c r="B172" s="10">
        <v>19.0</v>
      </c>
      <c r="C172" s="10" t="s">
        <v>60</v>
      </c>
      <c r="D172" s="10" t="s">
        <v>603</v>
      </c>
      <c r="E172" s="12" t="s">
        <v>62</v>
      </c>
      <c r="F172" s="11">
        <v>7247.0</v>
      </c>
      <c r="G172" s="11">
        <v>256.0</v>
      </c>
      <c r="H172" s="11">
        <v>249.0</v>
      </c>
      <c r="I172" s="11">
        <v>186.0</v>
      </c>
      <c r="J172" s="11">
        <v>32.0</v>
      </c>
      <c r="K172" s="11">
        <v>7.0</v>
      </c>
      <c r="L172" s="11">
        <v>4.0</v>
      </c>
      <c r="M172" s="13">
        <f t="shared" ref="M172:O172" si="174">IFERROR(G172/F172,"")</f>
        <v>0.03532496205</v>
      </c>
      <c r="N172" s="13">
        <f t="shared" si="174"/>
        <v>0.97265625</v>
      </c>
      <c r="O172" s="14">
        <f t="shared" si="174"/>
        <v>0.7469879518</v>
      </c>
      <c r="P172" s="13">
        <f t="shared" si="3"/>
        <v>0.1285140562</v>
      </c>
      <c r="Q172" s="13">
        <f t="shared" si="4"/>
        <v>0.0281124498</v>
      </c>
      <c r="R172" s="13">
        <f t="shared" si="5"/>
        <v>0.01606425703</v>
      </c>
      <c r="S172" s="14">
        <f t="shared" si="6"/>
        <v>0.697843136</v>
      </c>
      <c r="T172" s="14">
        <f t="shared" si="7"/>
        <v>0.9883464871</v>
      </c>
      <c r="U172" s="14">
        <f t="shared" si="8"/>
        <v>1.383199181</v>
      </c>
    </row>
    <row r="173" ht="15.75" customHeight="1">
      <c r="A173" s="9">
        <v>45801.8138241667</v>
      </c>
      <c r="B173" s="10">
        <v>19.0</v>
      </c>
      <c r="C173" s="10" t="s">
        <v>69</v>
      </c>
      <c r="D173" s="10" t="s">
        <v>606</v>
      </c>
      <c r="E173" s="12" t="s">
        <v>62</v>
      </c>
      <c r="F173" s="11">
        <v>7714.0</v>
      </c>
      <c r="G173" s="11">
        <v>285.0</v>
      </c>
      <c r="H173" s="11">
        <v>258.0</v>
      </c>
      <c r="I173" s="11">
        <v>171.0</v>
      </c>
      <c r="J173" s="11">
        <v>25.0</v>
      </c>
      <c r="K173" s="11">
        <v>10.0</v>
      </c>
      <c r="L173" s="11">
        <v>3.0</v>
      </c>
      <c r="M173" s="13">
        <f t="shared" ref="M173:O173" si="175">IFERROR(G173/F173,"")</f>
        <v>0.03694581281</v>
      </c>
      <c r="N173" s="13">
        <f t="shared" si="175"/>
        <v>0.9052631579</v>
      </c>
      <c r="O173" s="14">
        <f t="shared" si="175"/>
        <v>0.6627906977</v>
      </c>
      <c r="P173" s="13">
        <f t="shared" si="3"/>
        <v>0.09689922481</v>
      </c>
      <c r="Q173" s="13">
        <f t="shared" si="4"/>
        <v>0.03875968992</v>
      </c>
      <c r="R173" s="13">
        <f t="shared" si="5"/>
        <v>0.01162790698</v>
      </c>
      <c r="S173" s="14">
        <f t="shared" si="6"/>
        <v>0.7298629744</v>
      </c>
      <c r="T173" s="14">
        <f t="shared" si="7"/>
        <v>0.9198662549</v>
      </c>
      <c r="U173" s="14">
        <f t="shared" si="8"/>
        <v>1.907068638</v>
      </c>
    </row>
    <row r="174" ht="15.75" customHeight="1">
      <c r="A174" s="9">
        <v>45802.8068253819</v>
      </c>
      <c r="B174" s="10">
        <v>19.0</v>
      </c>
      <c r="C174" s="10" t="s">
        <v>77</v>
      </c>
      <c r="D174" s="10" t="s">
        <v>609</v>
      </c>
      <c r="E174" s="12" t="s">
        <v>62</v>
      </c>
      <c r="F174" s="11">
        <v>7426.0</v>
      </c>
      <c r="G174" s="11">
        <v>276.0</v>
      </c>
      <c r="H174" s="11">
        <v>265.0</v>
      </c>
      <c r="I174" s="11">
        <v>136.0</v>
      </c>
      <c r="J174" s="11">
        <v>38.0</v>
      </c>
      <c r="K174" s="11">
        <v>1.0</v>
      </c>
      <c r="L174" s="11">
        <v>1.0</v>
      </c>
      <c r="M174" s="13">
        <f t="shared" ref="M174:O174" si="176">IFERROR(G174/F174,"")</f>
        <v>0.03716671155</v>
      </c>
      <c r="N174" s="13">
        <f t="shared" si="176"/>
        <v>0.9601449275</v>
      </c>
      <c r="O174" s="14">
        <f t="shared" si="176"/>
        <v>0.5132075472</v>
      </c>
      <c r="P174" s="13">
        <f t="shared" si="3"/>
        <v>0.1433962264</v>
      </c>
      <c r="Q174" s="13">
        <f t="shared" si="4"/>
        <v>0.003773584906</v>
      </c>
      <c r="R174" s="13">
        <f t="shared" si="5"/>
        <v>0.003773584906</v>
      </c>
      <c r="S174" s="14">
        <f t="shared" si="6"/>
        <v>0.7342268198</v>
      </c>
      <c r="T174" s="14">
        <f t="shared" si="7"/>
        <v>0.9756333404</v>
      </c>
      <c r="U174" s="14">
        <f t="shared" si="8"/>
        <v>0.185669324</v>
      </c>
    </row>
    <row r="175" ht="15.75" customHeight="1">
      <c r="A175" s="9">
        <v>45803.8161369676</v>
      </c>
      <c r="B175" s="10">
        <v>19.0</v>
      </c>
      <c r="C175" s="10" t="s">
        <v>71</v>
      </c>
      <c r="D175" s="10" t="s">
        <v>612</v>
      </c>
      <c r="E175" s="12" t="s">
        <v>62</v>
      </c>
      <c r="F175" s="11">
        <v>7218.0</v>
      </c>
      <c r="G175" s="11">
        <v>328.0</v>
      </c>
      <c r="H175" s="11">
        <v>329.0</v>
      </c>
      <c r="I175" s="11">
        <v>156.0</v>
      </c>
      <c r="J175" s="11">
        <v>34.0</v>
      </c>
      <c r="K175" s="11">
        <v>4.0</v>
      </c>
      <c r="L175" s="11">
        <v>1.0</v>
      </c>
      <c r="M175" s="13">
        <f t="shared" ref="M175:O175" si="177">IFERROR(G175/F175,"")</f>
        <v>0.04544195068</v>
      </c>
      <c r="N175" s="13">
        <f t="shared" si="177"/>
        <v>1.00304878</v>
      </c>
      <c r="O175" s="14">
        <f t="shared" si="177"/>
        <v>0.4741641337</v>
      </c>
      <c r="P175" s="13">
        <f t="shared" si="3"/>
        <v>0.103343465</v>
      </c>
      <c r="Q175" s="13">
        <f t="shared" si="4"/>
        <v>0.01215805471</v>
      </c>
      <c r="R175" s="13">
        <f t="shared" si="5"/>
        <v>0.003039513678</v>
      </c>
      <c r="S175" s="14">
        <f t="shared" si="6"/>
        <v>0.8997148424</v>
      </c>
      <c r="T175" s="14">
        <f t="shared" si="7"/>
        <v>1.018539881</v>
      </c>
      <c r="U175" s="14">
        <f t="shared" si="8"/>
        <v>0.6048632219</v>
      </c>
    </row>
    <row r="176" ht="15.75" customHeight="1">
      <c r="A176" s="9">
        <v>45804.8073925232</v>
      </c>
      <c r="B176" s="10">
        <v>19.0</v>
      </c>
      <c r="C176" s="10" t="s">
        <v>59</v>
      </c>
      <c r="D176" s="10" t="s">
        <v>616</v>
      </c>
      <c r="E176" s="12" t="s">
        <v>62</v>
      </c>
      <c r="F176" s="11">
        <v>6671.0</v>
      </c>
      <c r="G176" s="11">
        <v>262.0</v>
      </c>
      <c r="H176" s="11">
        <v>247.0</v>
      </c>
      <c r="I176" s="11">
        <v>124.0</v>
      </c>
      <c r="J176" s="11">
        <v>38.0</v>
      </c>
      <c r="K176" s="11">
        <v>2.0</v>
      </c>
      <c r="L176" s="11">
        <v>1.0</v>
      </c>
      <c r="M176" s="13">
        <f t="shared" ref="M176:O176" si="178">IFERROR(G176/F176,"")</f>
        <v>0.03927447159</v>
      </c>
      <c r="N176" s="13">
        <f t="shared" si="178"/>
        <v>0.9427480916</v>
      </c>
      <c r="O176" s="14">
        <f t="shared" si="178"/>
        <v>0.5020242915</v>
      </c>
      <c r="P176" s="13">
        <f t="shared" si="3"/>
        <v>0.1538461538</v>
      </c>
      <c r="Q176" s="13">
        <f t="shared" si="4"/>
        <v>0.008097165992</v>
      </c>
      <c r="R176" s="13">
        <f t="shared" si="5"/>
        <v>0.004048582996</v>
      </c>
      <c r="S176" s="14">
        <f t="shared" si="6"/>
        <v>0.7776036128</v>
      </c>
      <c r="T176" s="14">
        <f t="shared" si="7"/>
        <v>0.9573079077</v>
      </c>
      <c r="U176" s="14">
        <f t="shared" si="8"/>
        <v>0.4028340081</v>
      </c>
    </row>
    <row r="177" ht="15.75" customHeight="1">
      <c r="A177" s="9">
        <v>45805.8148565278</v>
      </c>
      <c r="B177" s="10">
        <v>19.0</v>
      </c>
      <c r="C177" s="10" t="s">
        <v>80</v>
      </c>
      <c r="D177" s="10" t="s">
        <v>619</v>
      </c>
      <c r="E177" s="12" t="s">
        <v>62</v>
      </c>
      <c r="F177" s="11">
        <v>6215.0</v>
      </c>
      <c r="G177" s="11">
        <v>298.0</v>
      </c>
      <c r="H177" s="11">
        <v>289.0</v>
      </c>
      <c r="I177" s="11">
        <v>258.0</v>
      </c>
      <c r="J177" s="11">
        <v>42.0</v>
      </c>
      <c r="K177" s="11">
        <v>19.0</v>
      </c>
      <c r="L177" s="11">
        <v>1.0</v>
      </c>
      <c r="M177" s="13">
        <f t="shared" ref="M177:O177" si="179">IFERROR(G177/F177,"")</f>
        <v>0.04794851167</v>
      </c>
      <c r="N177" s="13">
        <f t="shared" si="179"/>
        <v>0.9697986577</v>
      </c>
      <c r="O177" s="14">
        <f t="shared" si="179"/>
        <v>0.892733564</v>
      </c>
      <c r="P177" s="13">
        <f t="shared" si="3"/>
        <v>0.1453287197</v>
      </c>
      <c r="Q177" s="13">
        <f t="shared" si="4"/>
        <v>0.06574394464</v>
      </c>
      <c r="R177" s="13">
        <f t="shared" si="5"/>
        <v>0.003460207612</v>
      </c>
      <c r="S177" s="14">
        <f t="shared" si="6"/>
        <v>0.9559219791</v>
      </c>
      <c r="T177" s="14">
        <f t="shared" si="7"/>
        <v>0.9840891664</v>
      </c>
      <c r="U177" s="14">
        <f t="shared" si="8"/>
        <v>3.278958642</v>
      </c>
    </row>
    <row r="178" ht="15.75" customHeight="1">
      <c r="A178" s="9">
        <v>45806.8084027662</v>
      </c>
      <c r="B178" s="10">
        <v>19.0</v>
      </c>
      <c r="C178" s="10" t="s">
        <v>84</v>
      </c>
      <c r="D178" s="10" t="s">
        <v>622</v>
      </c>
      <c r="E178" s="12" t="s">
        <v>62</v>
      </c>
      <c r="F178" s="11">
        <v>5850.0</v>
      </c>
      <c r="G178" s="11">
        <v>232.0</v>
      </c>
      <c r="H178" s="11">
        <v>227.0</v>
      </c>
      <c r="I178" s="11">
        <v>80.0</v>
      </c>
      <c r="J178" s="11">
        <v>23.0</v>
      </c>
      <c r="K178" s="11">
        <v>11.0</v>
      </c>
      <c r="L178" s="11">
        <v>0.0</v>
      </c>
      <c r="M178" s="13">
        <f t="shared" ref="M178:O178" si="180">IFERROR(G178/F178,"")</f>
        <v>0.03965811966</v>
      </c>
      <c r="N178" s="13">
        <f t="shared" si="180"/>
        <v>0.9784482759</v>
      </c>
      <c r="O178" s="14">
        <f t="shared" si="180"/>
        <v>0.3524229075</v>
      </c>
      <c r="P178" s="13">
        <f t="shared" si="3"/>
        <v>0.1013215859</v>
      </c>
      <c r="Q178" s="13">
        <f t="shared" si="4"/>
        <v>0.04845814978</v>
      </c>
      <c r="R178" s="13">
        <f t="shared" si="5"/>
        <v>0</v>
      </c>
      <c r="S178" s="14">
        <f t="shared" si="6"/>
        <v>0.7906411881</v>
      </c>
      <c r="T178" s="14">
        <f t="shared" si="7"/>
        <v>0.9928662414</v>
      </c>
      <c r="U178" s="14">
        <f t="shared" si="8"/>
        <v>2.416835039</v>
      </c>
    </row>
    <row r="179" ht="15.75" customHeight="1">
      <c r="A179" s="9">
        <v>45807.8155272222</v>
      </c>
      <c r="B179" s="10">
        <v>19.0</v>
      </c>
      <c r="C179" s="10" t="s">
        <v>60</v>
      </c>
      <c r="D179" s="10" t="s">
        <v>625</v>
      </c>
      <c r="E179" s="12" t="s">
        <v>62</v>
      </c>
      <c r="F179" s="11">
        <v>5620.0</v>
      </c>
      <c r="G179" s="11">
        <v>177.0</v>
      </c>
      <c r="H179" s="11">
        <v>176.0</v>
      </c>
      <c r="I179" s="11">
        <v>105.0</v>
      </c>
      <c r="J179" s="11">
        <v>37.0</v>
      </c>
      <c r="K179" s="11">
        <v>16.0</v>
      </c>
      <c r="L179" s="11">
        <v>0.0</v>
      </c>
      <c r="M179" s="13">
        <f t="shared" ref="M179:O179" si="181">IFERROR(G179/F179,"")</f>
        <v>0.03149466192</v>
      </c>
      <c r="N179" s="13">
        <f t="shared" si="181"/>
        <v>0.9943502825</v>
      </c>
      <c r="O179" s="14">
        <f t="shared" si="181"/>
        <v>0.5965909091</v>
      </c>
      <c r="P179" s="13">
        <f t="shared" si="3"/>
        <v>0.2102272727</v>
      </c>
      <c r="Q179" s="13">
        <f t="shared" si="4"/>
        <v>0.09090909091</v>
      </c>
      <c r="R179" s="13">
        <f t="shared" si="5"/>
        <v>0</v>
      </c>
      <c r="S179" s="14">
        <f t="shared" si="6"/>
        <v>0.6278910129</v>
      </c>
      <c r="T179" s="14">
        <f t="shared" si="7"/>
        <v>1.009002573</v>
      </c>
      <c r="U179" s="14">
        <f t="shared" si="8"/>
        <v>4.534062429</v>
      </c>
    </row>
    <row r="180" ht="15.75" customHeight="1">
      <c r="A180" s="9">
        <v>45808.8158729398</v>
      </c>
      <c r="B180" s="10">
        <v>19.0</v>
      </c>
      <c r="C180" s="10" t="s">
        <v>69</v>
      </c>
      <c r="D180" s="10" t="s">
        <v>628</v>
      </c>
      <c r="E180" s="12" t="s">
        <v>62</v>
      </c>
      <c r="F180" s="11">
        <v>5642.0</v>
      </c>
      <c r="G180" s="11">
        <v>200.0</v>
      </c>
      <c r="H180" s="11">
        <v>195.0</v>
      </c>
      <c r="I180" s="11">
        <v>109.0</v>
      </c>
      <c r="J180" s="11">
        <v>36.0</v>
      </c>
      <c r="K180" s="11">
        <v>7.0</v>
      </c>
      <c r="L180" s="11">
        <v>0.0</v>
      </c>
      <c r="M180" s="13">
        <f t="shared" ref="M180:O180" si="182">IFERROR(G180/F180,"")</f>
        <v>0.03544842255</v>
      </c>
      <c r="N180" s="13">
        <f t="shared" si="182"/>
        <v>0.975</v>
      </c>
      <c r="O180" s="14">
        <f t="shared" si="182"/>
        <v>0.558974359</v>
      </c>
      <c r="P180" s="13">
        <f t="shared" si="3"/>
        <v>0.1846153846</v>
      </c>
      <c r="Q180" s="13">
        <f t="shared" si="4"/>
        <v>0.0358974359</v>
      </c>
      <c r="R180" s="13">
        <f t="shared" si="5"/>
        <v>0</v>
      </c>
      <c r="S180" s="14">
        <f t="shared" si="6"/>
        <v>0.706714871</v>
      </c>
      <c r="T180" s="14">
        <f t="shared" si="7"/>
        <v>0.9893671533</v>
      </c>
      <c r="U180" s="14">
        <f t="shared" si="8"/>
        <v>1.790373369</v>
      </c>
    </row>
    <row r="181" ht="15.75" customHeight="1">
      <c r="A181" s="9">
        <v>45809.8093688773</v>
      </c>
      <c r="B181" s="10">
        <v>19.0</v>
      </c>
      <c r="C181" s="10" t="s">
        <v>77</v>
      </c>
      <c r="D181" s="10" t="s">
        <v>631</v>
      </c>
      <c r="E181" s="12" t="s">
        <v>62</v>
      </c>
      <c r="F181" s="11">
        <v>5215.0</v>
      </c>
      <c r="G181" s="11">
        <v>157.0</v>
      </c>
      <c r="H181" s="11">
        <v>142.0</v>
      </c>
      <c r="I181" s="11">
        <v>76.0</v>
      </c>
      <c r="J181" s="11">
        <v>30.0</v>
      </c>
      <c r="K181" s="11">
        <v>1.0</v>
      </c>
      <c r="L181" s="11">
        <v>0.0</v>
      </c>
      <c r="M181" s="13">
        <f t="shared" ref="M181:O181" si="183">IFERROR(G181/F181,"")</f>
        <v>0.030105465</v>
      </c>
      <c r="N181" s="13">
        <f t="shared" si="183"/>
        <v>0.9044585987</v>
      </c>
      <c r="O181" s="14">
        <f t="shared" si="183"/>
        <v>0.5352112676</v>
      </c>
      <c r="P181" s="13">
        <f t="shared" si="3"/>
        <v>0.2112676056</v>
      </c>
      <c r="Q181" s="13">
        <f t="shared" si="4"/>
        <v>0.007042253521</v>
      </c>
      <c r="R181" s="13">
        <f t="shared" si="5"/>
        <v>0</v>
      </c>
      <c r="S181" s="14">
        <f t="shared" si="6"/>
        <v>0.6001953907</v>
      </c>
      <c r="T181" s="14">
        <f t="shared" si="7"/>
        <v>0.9177862862</v>
      </c>
      <c r="U181" s="14">
        <f t="shared" si="8"/>
        <v>0.3512301881</v>
      </c>
    </row>
    <row r="182" ht="15.75" customHeight="1">
      <c r="A182" s="9">
        <v>45810.2072832176</v>
      </c>
      <c r="B182" s="10">
        <v>4.0</v>
      </c>
      <c r="C182" s="10" t="s">
        <v>71</v>
      </c>
      <c r="D182" s="10" t="s">
        <v>634</v>
      </c>
      <c r="E182" s="12" t="s">
        <v>62</v>
      </c>
      <c r="F182" s="11">
        <v>5231.0</v>
      </c>
      <c r="G182" s="11">
        <v>98.0</v>
      </c>
      <c r="H182" s="11">
        <v>94.0</v>
      </c>
      <c r="I182" s="11">
        <v>74.0</v>
      </c>
      <c r="J182" s="11">
        <v>23.0</v>
      </c>
      <c r="K182" s="11">
        <v>2.0</v>
      </c>
      <c r="L182" s="11">
        <v>1.0</v>
      </c>
      <c r="M182" s="13">
        <f t="shared" ref="M182:O182" si="184">IFERROR(G182/F182,"")</f>
        <v>0.0187344676</v>
      </c>
      <c r="N182" s="13">
        <f t="shared" si="184"/>
        <v>0.9591836735</v>
      </c>
      <c r="O182" s="14">
        <f t="shared" si="184"/>
        <v>0.7872340426</v>
      </c>
      <c r="P182" s="13">
        <f t="shared" si="3"/>
        <v>0.2446808511</v>
      </c>
      <c r="Q182" s="13">
        <f t="shared" si="4"/>
        <v>0.02127659574</v>
      </c>
      <c r="R182" s="13">
        <f t="shared" si="5"/>
        <v>0.01063829787</v>
      </c>
      <c r="S182" s="14">
        <f t="shared" si="6"/>
        <v>0.3734983365</v>
      </c>
      <c r="T182" s="14">
        <f t="shared" si="7"/>
        <v>0.9733177646</v>
      </c>
      <c r="U182" s="14">
        <f t="shared" si="8"/>
        <v>1.061163547</v>
      </c>
    </row>
    <row r="183" ht="15.75" customHeight="1">
      <c r="A183" s="9">
        <v>45811.8085070486</v>
      </c>
      <c r="B183" s="10">
        <v>19.0</v>
      </c>
      <c r="C183" s="10" t="s">
        <v>59</v>
      </c>
      <c r="D183" s="10" t="s">
        <v>637</v>
      </c>
      <c r="E183" s="12" t="s">
        <v>62</v>
      </c>
      <c r="F183" s="11">
        <v>4849.0</v>
      </c>
      <c r="G183" s="11">
        <v>153.0</v>
      </c>
      <c r="H183" s="11">
        <v>146.0</v>
      </c>
      <c r="I183" s="11">
        <v>78.0</v>
      </c>
      <c r="J183" s="11">
        <v>36.0</v>
      </c>
      <c r="K183" s="11">
        <v>3.0</v>
      </c>
      <c r="L183" s="11">
        <v>1.0</v>
      </c>
      <c r="M183" s="13">
        <f t="shared" ref="M183:O183" si="185">IFERROR(G183/F183,"")</f>
        <v>0.0315528975</v>
      </c>
      <c r="N183" s="13">
        <f t="shared" si="185"/>
        <v>0.954248366</v>
      </c>
      <c r="O183" s="14">
        <f t="shared" si="185"/>
        <v>0.5342465753</v>
      </c>
      <c r="P183" s="13">
        <f t="shared" si="3"/>
        <v>0.2465753425</v>
      </c>
      <c r="Q183" s="13">
        <f t="shared" si="4"/>
        <v>0.02054794521</v>
      </c>
      <c r="R183" s="13">
        <f t="shared" si="5"/>
        <v>0.006849315068</v>
      </c>
      <c r="S183" s="14">
        <f t="shared" si="6"/>
        <v>0.6334419468</v>
      </c>
      <c r="T183" s="14">
        <f t="shared" si="7"/>
        <v>0.9676346156</v>
      </c>
      <c r="U183" s="14">
        <f t="shared" si="8"/>
        <v>1.022260274</v>
      </c>
    </row>
    <row r="184" ht="15.75" customHeight="1">
      <c r="A184" s="9">
        <v>45812.2948208333</v>
      </c>
      <c r="B184" s="10">
        <v>7.0</v>
      </c>
      <c r="C184" s="10" t="s">
        <v>80</v>
      </c>
      <c r="D184" s="10" t="s">
        <v>640</v>
      </c>
      <c r="E184" s="12" t="s">
        <v>62</v>
      </c>
      <c r="F184" s="11">
        <v>5219.0</v>
      </c>
      <c r="G184" s="11">
        <v>178.0</v>
      </c>
      <c r="H184" s="11">
        <v>174.0</v>
      </c>
      <c r="I184" s="11">
        <v>99.0</v>
      </c>
      <c r="J184" s="11">
        <v>41.0</v>
      </c>
      <c r="K184" s="11">
        <v>8.0</v>
      </c>
      <c r="L184" s="11">
        <v>0.0</v>
      </c>
      <c r="M184" s="13">
        <f t="shared" ref="M184:O184" si="186">IFERROR(G184/F184,"")</f>
        <v>0.0341061506</v>
      </c>
      <c r="N184" s="13">
        <f t="shared" si="186"/>
        <v>0.9775280899</v>
      </c>
      <c r="O184" s="14">
        <f t="shared" si="186"/>
        <v>0.5689655172</v>
      </c>
      <c r="P184" s="13">
        <f t="shared" si="3"/>
        <v>0.2356321839</v>
      </c>
      <c r="Q184" s="13">
        <f t="shared" si="4"/>
        <v>0.04597701149</v>
      </c>
      <c r="R184" s="13">
        <f t="shared" si="5"/>
        <v>0</v>
      </c>
      <c r="S184" s="14">
        <f t="shared" si="6"/>
        <v>0.6846999212</v>
      </c>
      <c r="T184" s="14">
        <f t="shared" si="7"/>
        <v>0.9912409088</v>
      </c>
      <c r="U184" s="14">
        <f t="shared" si="8"/>
        <v>2.287356322</v>
      </c>
    </row>
    <row r="185" ht="15.75" customHeight="1">
      <c r="A185" s="9">
        <v>45813.287351088</v>
      </c>
      <c r="B185" s="10">
        <v>6.0</v>
      </c>
      <c r="C185" s="10" t="s">
        <v>84</v>
      </c>
      <c r="D185" s="10" t="s">
        <v>549</v>
      </c>
      <c r="E185" s="12" t="s">
        <v>62</v>
      </c>
      <c r="F185" s="11">
        <v>4947.0</v>
      </c>
      <c r="G185" s="11">
        <v>203.0</v>
      </c>
      <c r="H185" s="11">
        <v>194.0</v>
      </c>
      <c r="I185" s="11">
        <v>125.0</v>
      </c>
      <c r="J185" s="11">
        <v>46.0</v>
      </c>
      <c r="K185" s="11">
        <v>13.0</v>
      </c>
      <c r="L185" s="11">
        <v>3.0</v>
      </c>
      <c r="M185" s="13">
        <f t="shared" ref="M185:O185" si="187">IFERROR(G185/F185,"")</f>
        <v>0.04103497069</v>
      </c>
      <c r="N185" s="13">
        <f t="shared" si="187"/>
        <v>0.9556650246</v>
      </c>
      <c r="O185" s="14">
        <f t="shared" si="187"/>
        <v>0.6443298969</v>
      </c>
      <c r="P185" s="13">
        <f t="shared" si="3"/>
        <v>0.2371134021</v>
      </c>
      <c r="Q185" s="13">
        <f t="shared" si="4"/>
        <v>0.06701030928</v>
      </c>
      <c r="R185" s="13">
        <f t="shared" si="5"/>
        <v>0.01546391753</v>
      </c>
      <c r="S185" s="14">
        <f t="shared" si="6"/>
        <v>0.8238910125</v>
      </c>
      <c r="T185" s="14">
        <f t="shared" si="7"/>
        <v>0.969020044</v>
      </c>
      <c r="U185" s="14">
        <f t="shared" si="8"/>
        <v>3.297066089</v>
      </c>
    </row>
    <row r="186" ht="15.75" customHeight="1">
      <c r="A186" s="9">
        <v>45814.294158044</v>
      </c>
      <c r="B186" s="10">
        <v>7.0</v>
      </c>
      <c r="C186" s="10" t="s">
        <v>60</v>
      </c>
      <c r="D186" s="10" t="s">
        <v>646</v>
      </c>
      <c r="E186" s="12" t="s">
        <v>62</v>
      </c>
      <c r="F186" s="11">
        <v>5020.0</v>
      </c>
      <c r="G186" s="11">
        <v>250.0</v>
      </c>
      <c r="H186" s="11">
        <v>225.0</v>
      </c>
      <c r="I186" s="11">
        <v>108.0</v>
      </c>
      <c r="J186" s="11">
        <v>52.0</v>
      </c>
      <c r="K186" s="11">
        <v>4.0</v>
      </c>
      <c r="L186" s="11">
        <v>3.0</v>
      </c>
      <c r="M186" s="13">
        <f t="shared" ref="M186:O186" si="188">IFERROR(G186/F186,"")</f>
        <v>0.04980079681</v>
      </c>
      <c r="N186" s="13">
        <f t="shared" si="188"/>
        <v>0.9</v>
      </c>
      <c r="O186" s="14">
        <f t="shared" si="188"/>
        <v>0.48</v>
      </c>
      <c r="P186" s="13">
        <f t="shared" si="3"/>
        <v>0.2311111111</v>
      </c>
      <c r="Q186" s="13">
        <f t="shared" si="4"/>
        <v>0.01777777778</v>
      </c>
      <c r="R186" s="13">
        <f t="shared" si="5"/>
        <v>0.01333333333</v>
      </c>
      <c r="S186" s="14">
        <f t="shared" si="6"/>
        <v>0.9998893193</v>
      </c>
      <c r="T186" s="14">
        <f t="shared" si="7"/>
        <v>0.9125771239</v>
      </c>
      <c r="U186" s="14">
        <f t="shared" si="8"/>
        <v>0.8747088155</v>
      </c>
    </row>
    <row r="187" ht="15.75" customHeight="1">
      <c r="A187" s="9">
        <v>45815.2889774421</v>
      </c>
      <c r="B187" s="10">
        <v>6.0</v>
      </c>
      <c r="C187" s="10" t="s">
        <v>69</v>
      </c>
      <c r="D187" s="10" t="s">
        <v>560</v>
      </c>
      <c r="E187" s="12" t="s">
        <v>62</v>
      </c>
      <c r="F187" s="11">
        <v>5092.0</v>
      </c>
      <c r="G187" s="11">
        <v>187.0</v>
      </c>
      <c r="H187" s="11">
        <v>179.0</v>
      </c>
      <c r="I187" s="11">
        <v>102.0</v>
      </c>
      <c r="J187" s="11">
        <v>38.0</v>
      </c>
      <c r="K187" s="11">
        <v>7.0</v>
      </c>
      <c r="L187" s="11">
        <v>0.0</v>
      </c>
      <c r="M187" s="13">
        <f t="shared" ref="M187:O187" si="189">IFERROR(G187/F187,"")</f>
        <v>0.03672427337</v>
      </c>
      <c r="N187" s="13">
        <f t="shared" si="189"/>
        <v>0.9572192513</v>
      </c>
      <c r="O187" s="14">
        <f t="shared" si="189"/>
        <v>0.5698324022</v>
      </c>
      <c r="P187" s="13">
        <f t="shared" si="3"/>
        <v>0.2122905028</v>
      </c>
      <c r="Q187" s="13">
        <f t="shared" si="4"/>
        <v>0.03910614525</v>
      </c>
      <c r="R187" s="13">
        <f t="shared" si="5"/>
        <v>0</v>
      </c>
      <c r="S187" s="14">
        <f t="shared" si="6"/>
        <v>0.7372601903</v>
      </c>
      <c r="T187" s="14">
        <f t="shared" si="7"/>
        <v>0.9705448094</v>
      </c>
      <c r="U187" s="14">
        <f t="shared" si="8"/>
        <v>1.903165736</v>
      </c>
    </row>
    <row r="188" ht="15.75" customHeight="1">
      <c r="A188" s="9">
        <v>45816.2073048611</v>
      </c>
      <c r="B188" s="10">
        <v>4.0</v>
      </c>
      <c r="C188" s="10" t="s">
        <v>77</v>
      </c>
      <c r="D188" s="10" t="s">
        <v>651</v>
      </c>
      <c r="E188" s="12" t="s">
        <v>62</v>
      </c>
      <c r="F188" s="11">
        <v>4994.0</v>
      </c>
      <c r="G188" s="11">
        <v>357.0</v>
      </c>
      <c r="H188" s="11">
        <v>350.0</v>
      </c>
      <c r="I188" s="11">
        <v>231.0</v>
      </c>
      <c r="J188" s="11">
        <v>59.0</v>
      </c>
      <c r="K188" s="11">
        <v>29.0</v>
      </c>
      <c r="L188" s="11">
        <v>4.0</v>
      </c>
      <c r="M188" s="13">
        <f t="shared" ref="M188:O188" si="190">IFERROR(G188/F188,"")</f>
        <v>0.07148578294</v>
      </c>
      <c r="N188" s="13">
        <f t="shared" si="190"/>
        <v>0.9803921569</v>
      </c>
      <c r="O188" s="14">
        <f t="shared" si="190"/>
        <v>0.66</v>
      </c>
      <c r="P188" s="13">
        <f t="shared" si="3"/>
        <v>0.1685714286</v>
      </c>
      <c r="Q188" s="13">
        <f t="shared" si="4"/>
        <v>0.08285714286</v>
      </c>
      <c r="R188" s="13">
        <f t="shared" si="5"/>
        <v>0.01142857143</v>
      </c>
      <c r="S188" s="14">
        <f t="shared" si="6"/>
        <v>1.435116807</v>
      </c>
      <c r="T188" s="14">
        <f t="shared" si="7"/>
        <v>0.9940403075</v>
      </c>
      <c r="U188" s="14">
        <f t="shared" si="8"/>
        <v>4.032380952</v>
      </c>
    </row>
    <row r="189" ht="15.75" customHeight="1">
      <c r="A189" s="9">
        <v>45817.2230861458</v>
      </c>
      <c r="B189" s="10">
        <v>5.0</v>
      </c>
      <c r="C189" s="10" t="s">
        <v>71</v>
      </c>
      <c r="D189" s="10" t="s">
        <v>653</v>
      </c>
      <c r="E189" s="12" t="s">
        <v>62</v>
      </c>
      <c r="F189" s="11">
        <v>5357.0</v>
      </c>
      <c r="G189" s="11">
        <v>338.0</v>
      </c>
      <c r="H189" s="11">
        <v>311.0</v>
      </c>
      <c r="I189" s="11">
        <v>173.0</v>
      </c>
      <c r="J189" s="11">
        <v>49.0</v>
      </c>
      <c r="K189" s="11">
        <v>9.0</v>
      </c>
      <c r="L189" s="11">
        <v>1.0</v>
      </c>
      <c r="M189" s="13">
        <f t="shared" ref="M189:O189" si="191">IFERROR(G189/F189,"")</f>
        <v>0.06309501587</v>
      </c>
      <c r="N189" s="13">
        <f t="shared" si="191"/>
        <v>0.9201183432</v>
      </c>
      <c r="O189" s="14">
        <f t="shared" si="191"/>
        <v>0.5562700965</v>
      </c>
      <c r="P189" s="13">
        <f t="shared" si="3"/>
        <v>0.1575562701</v>
      </c>
      <c r="Q189" s="13">
        <f t="shared" si="4"/>
        <v>0.02893890675</v>
      </c>
      <c r="R189" s="13">
        <f t="shared" si="5"/>
        <v>0.003215434084</v>
      </c>
      <c r="S189" s="14">
        <f t="shared" si="6"/>
        <v>1.266667496</v>
      </c>
      <c r="T189" s="14">
        <f t="shared" si="7"/>
        <v>0.9329274153</v>
      </c>
      <c r="U189" s="14">
        <f t="shared" si="8"/>
        <v>1.408360129</v>
      </c>
    </row>
    <row r="190" ht="15.75" customHeight="1">
      <c r="A190" s="9">
        <v>45818.2109817477</v>
      </c>
      <c r="B190" s="10">
        <v>5.0</v>
      </c>
      <c r="C190" s="10" t="s">
        <v>59</v>
      </c>
      <c r="D190" s="10" t="s">
        <v>656</v>
      </c>
      <c r="E190" s="12" t="s">
        <v>62</v>
      </c>
      <c r="F190" s="11">
        <v>4984.0</v>
      </c>
      <c r="G190" s="11">
        <v>228.0</v>
      </c>
      <c r="H190" s="11">
        <v>219.0</v>
      </c>
      <c r="I190" s="11">
        <v>87.0</v>
      </c>
      <c r="J190" s="11">
        <v>36.0</v>
      </c>
      <c r="K190" s="11">
        <v>3.0</v>
      </c>
      <c r="L190" s="11">
        <v>3.0</v>
      </c>
      <c r="M190" s="13">
        <f t="shared" ref="M190:O190" si="192">IFERROR(G190/F190,"")</f>
        <v>0.04574638844</v>
      </c>
      <c r="N190" s="13">
        <f t="shared" si="192"/>
        <v>0.9605263158</v>
      </c>
      <c r="O190" s="14">
        <f t="shared" si="192"/>
        <v>0.397260274</v>
      </c>
      <c r="P190" s="13">
        <f t="shared" si="3"/>
        <v>0.1643835616</v>
      </c>
      <c r="Q190" s="13">
        <f t="shared" si="4"/>
        <v>0.01369863014</v>
      </c>
      <c r="R190" s="13">
        <f t="shared" si="5"/>
        <v>0.01369863014</v>
      </c>
      <c r="S190" s="14">
        <f t="shared" si="6"/>
        <v>0.91848581</v>
      </c>
      <c r="T190" s="14">
        <f t="shared" si="7"/>
        <v>0.9737216729</v>
      </c>
      <c r="U190" s="14">
        <f t="shared" si="8"/>
        <v>0.6740050804</v>
      </c>
    </row>
    <row r="191" ht="15.75" customHeight="1">
      <c r="A191" s="9">
        <v>45819.3894895486</v>
      </c>
      <c r="B191" s="10">
        <v>9.0</v>
      </c>
      <c r="C191" s="10" t="s">
        <v>80</v>
      </c>
      <c r="D191" s="10" t="s">
        <v>658</v>
      </c>
      <c r="E191" s="12" t="s">
        <v>62</v>
      </c>
      <c r="F191" s="11">
        <v>4986.0</v>
      </c>
      <c r="G191" s="11">
        <v>437.0</v>
      </c>
      <c r="H191" s="11">
        <v>431.0</v>
      </c>
      <c r="I191" s="11">
        <v>230.0</v>
      </c>
      <c r="J191" s="11">
        <v>61.0</v>
      </c>
      <c r="K191" s="11">
        <v>8.0</v>
      </c>
      <c r="L191" s="11">
        <v>1.0</v>
      </c>
      <c r="M191" s="13">
        <f t="shared" ref="M191:O191" si="193">IFERROR(G191/F191,"")</f>
        <v>0.08764540714</v>
      </c>
      <c r="N191" s="13">
        <f t="shared" si="193"/>
        <v>0.9862700229</v>
      </c>
      <c r="O191" s="14">
        <f t="shared" si="193"/>
        <v>0.5336426914</v>
      </c>
      <c r="P191" s="13">
        <f t="shared" si="3"/>
        <v>0.1415313225</v>
      </c>
      <c r="Q191" s="13">
        <f t="shared" si="4"/>
        <v>0.01856148492</v>
      </c>
      <c r="R191" s="13">
        <f t="shared" si="5"/>
        <v>0.002320185615</v>
      </c>
      <c r="S191" s="14">
        <f t="shared" si="6"/>
        <v>1.759724986</v>
      </c>
      <c r="T191" s="14">
        <f t="shared" si="7"/>
        <v>0.9998190376</v>
      </c>
      <c r="U191" s="14">
        <f t="shared" si="8"/>
        <v>0.9132690649</v>
      </c>
    </row>
    <row r="192" ht="15.75" customHeight="1">
      <c r="A192" s="9">
        <v>45820.2108123727</v>
      </c>
      <c r="B192" s="10">
        <v>5.0</v>
      </c>
      <c r="C192" s="10" t="s">
        <v>84</v>
      </c>
      <c r="D192" s="10" t="s">
        <v>661</v>
      </c>
      <c r="E192" s="12" t="s">
        <v>62</v>
      </c>
      <c r="F192" s="11">
        <v>4642.0</v>
      </c>
      <c r="G192" s="11">
        <v>199.0</v>
      </c>
      <c r="H192" s="11">
        <v>195.0</v>
      </c>
      <c r="I192" s="11">
        <v>103.0</v>
      </c>
      <c r="J192" s="11">
        <v>25.0</v>
      </c>
      <c r="K192" s="11">
        <v>1.0</v>
      </c>
      <c r="L192" s="11">
        <v>2.0</v>
      </c>
      <c r="M192" s="13">
        <f t="shared" ref="M192:O192" si="194">IFERROR(G192/F192,"")</f>
        <v>0.04286945282</v>
      </c>
      <c r="N192" s="13">
        <f t="shared" si="194"/>
        <v>0.9798994975</v>
      </c>
      <c r="O192" s="14">
        <f t="shared" si="194"/>
        <v>0.5282051282</v>
      </c>
      <c r="P192" s="13">
        <f t="shared" si="3"/>
        <v>0.1282051282</v>
      </c>
      <c r="Q192" s="13">
        <f t="shared" si="4"/>
        <v>0.005128205128</v>
      </c>
      <c r="R192" s="13">
        <f t="shared" si="5"/>
        <v>0.01025641026</v>
      </c>
      <c r="S192" s="14">
        <f t="shared" si="6"/>
        <v>0.8606280818</v>
      </c>
      <c r="T192" s="14">
        <f t="shared" si="7"/>
        <v>0.9931812678</v>
      </c>
      <c r="U192" s="14">
        <f t="shared" si="8"/>
        <v>0.2495726496</v>
      </c>
    </row>
    <row r="193" ht="15.75" customHeight="1">
      <c r="A193" s="9">
        <v>45821.3898308449</v>
      </c>
      <c r="B193" s="10">
        <v>9.0</v>
      </c>
      <c r="C193" s="10" t="s">
        <v>60</v>
      </c>
      <c r="D193" s="10" t="s">
        <v>664</v>
      </c>
      <c r="E193" s="12" t="s">
        <v>62</v>
      </c>
      <c r="F193" s="11">
        <v>5486.0</v>
      </c>
      <c r="G193" s="11">
        <v>435.0</v>
      </c>
      <c r="H193" s="11">
        <v>427.0</v>
      </c>
      <c r="I193" s="11">
        <v>160.0</v>
      </c>
      <c r="J193" s="11">
        <v>51.0</v>
      </c>
      <c r="K193" s="11">
        <v>0.0</v>
      </c>
      <c r="L193" s="11">
        <v>2.0</v>
      </c>
      <c r="M193" s="13">
        <f t="shared" ref="M193:O193" si="195">IFERROR(G193/F193,"")</f>
        <v>0.07929274517</v>
      </c>
      <c r="N193" s="13">
        <f t="shared" si="195"/>
        <v>0.9816091954</v>
      </c>
      <c r="O193" s="14">
        <f t="shared" si="195"/>
        <v>0.37470726</v>
      </c>
      <c r="P193" s="13">
        <f t="shared" si="3"/>
        <v>0.1194379391</v>
      </c>
      <c r="Q193" s="13">
        <f t="shared" si="4"/>
        <v>0</v>
      </c>
      <c r="R193" s="13">
        <f t="shared" si="5"/>
        <v>0.004683840749</v>
      </c>
      <c r="S193" s="14">
        <f t="shared" si="6"/>
        <v>1.591845911</v>
      </c>
      <c r="T193" s="14">
        <f t="shared" si="7"/>
        <v>0.9949141393</v>
      </c>
      <c r="U193" s="14">
        <f t="shared" si="8"/>
        <v>0</v>
      </c>
    </row>
    <row r="194" ht="15.75" customHeight="1">
      <c r="A194" s="9">
        <v>45822.3906144329</v>
      </c>
      <c r="B194" s="10">
        <v>9.0</v>
      </c>
      <c r="C194" s="10" t="s">
        <v>69</v>
      </c>
      <c r="D194" s="10" t="s">
        <v>666</v>
      </c>
      <c r="E194" s="12" t="s">
        <v>62</v>
      </c>
      <c r="F194" s="11">
        <v>5621.0</v>
      </c>
      <c r="G194" s="11">
        <v>813.0</v>
      </c>
      <c r="H194" s="11">
        <v>786.0</v>
      </c>
      <c r="I194" s="11">
        <v>290.0</v>
      </c>
      <c r="J194" s="11">
        <v>62.0</v>
      </c>
      <c r="K194" s="11">
        <v>9.0</v>
      </c>
      <c r="L194" s="11">
        <v>4.0</v>
      </c>
      <c r="M194" s="13">
        <f t="shared" ref="M194:O194" si="196">IFERROR(G194/F194,"")</f>
        <v>0.1446361857</v>
      </c>
      <c r="N194" s="13">
        <f t="shared" si="196"/>
        <v>0.9667896679</v>
      </c>
      <c r="O194" s="14">
        <f t="shared" si="196"/>
        <v>0.368956743</v>
      </c>
      <c r="P194" s="13">
        <f t="shared" si="3"/>
        <v>0.07888040712</v>
      </c>
      <c r="Q194" s="13">
        <f t="shared" si="4"/>
        <v>0.01145038168</v>
      </c>
      <c r="R194" s="13">
        <f t="shared" si="5"/>
        <v>0.005089058524</v>
      </c>
      <c r="S194" s="14">
        <f t="shared" si="6"/>
        <v>2.90397316</v>
      </c>
      <c r="T194" s="14">
        <f t="shared" si="7"/>
        <v>0.9798740685</v>
      </c>
      <c r="U194" s="14">
        <f t="shared" si="8"/>
        <v>0.5525783601</v>
      </c>
    </row>
    <row r="195" ht="15.75" customHeight="1">
      <c r="A195" s="9">
        <v>45823.2116100232</v>
      </c>
      <c r="B195" s="10">
        <v>5.0</v>
      </c>
      <c r="C195" s="10" t="s">
        <v>77</v>
      </c>
      <c r="D195" s="10" t="s">
        <v>669</v>
      </c>
      <c r="E195" s="12" t="s">
        <v>62</v>
      </c>
      <c r="F195" s="11">
        <v>5581.0</v>
      </c>
      <c r="G195" s="11">
        <v>622.0</v>
      </c>
      <c r="H195" s="11">
        <v>540.0</v>
      </c>
      <c r="I195" s="11">
        <v>151.0</v>
      </c>
      <c r="J195" s="11">
        <v>47.0</v>
      </c>
      <c r="K195" s="11">
        <v>4.0</v>
      </c>
      <c r="L195" s="11">
        <v>0.0</v>
      </c>
      <c r="M195" s="13">
        <f t="shared" ref="M195:O195" si="197">IFERROR(G195/F195,"")</f>
        <v>0.111449561</v>
      </c>
      <c r="N195" s="13">
        <f t="shared" si="197"/>
        <v>0.8681672026</v>
      </c>
      <c r="O195" s="14">
        <f t="shared" si="197"/>
        <v>0.2796296296</v>
      </c>
      <c r="P195" s="13">
        <f t="shared" si="3"/>
        <v>0.08703703704</v>
      </c>
      <c r="Q195" s="13">
        <f t="shared" si="4"/>
        <v>0.007407407407</v>
      </c>
      <c r="R195" s="13">
        <f t="shared" si="5"/>
        <v>0</v>
      </c>
      <c r="S195" s="14">
        <f t="shared" si="6"/>
        <v>2.237659492</v>
      </c>
      <c r="T195" s="14">
        <f t="shared" si="7"/>
        <v>0.8799168601</v>
      </c>
      <c r="U195" s="14">
        <f t="shared" si="8"/>
        <v>0.3574704453</v>
      </c>
    </row>
    <row r="196" ht="15.75" customHeight="1">
      <c r="A196" s="9">
        <v>45824.0579265857</v>
      </c>
      <c r="B196" s="10">
        <v>1.0</v>
      </c>
      <c r="C196" s="10" t="s">
        <v>71</v>
      </c>
      <c r="D196" s="10" t="s">
        <v>672</v>
      </c>
      <c r="E196" s="12" t="s">
        <v>62</v>
      </c>
      <c r="F196" s="11">
        <v>5320.0</v>
      </c>
      <c r="G196" s="11">
        <v>731.0</v>
      </c>
      <c r="H196" s="11">
        <v>716.0</v>
      </c>
      <c r="I196" s="11">
        <v>227.0</v>
      </c>
      <c r="J196" s="11">
        <v>43.0</v>
      </c>
      <c r="K196" s="11">
        <v>2.0</v>
      </c>
      <c r="L196" s="11">
        <v>3.0</v>
      </c>
      <c r="M196" s="13">
        <f t="shared" ref="M196:O196" si="198">IFERROR(G196/F196,"")</f>
        <v>0.137406015</v>
      </c>
      <c r="N196" s="13">
        <f t="shared" si="198"/>
        <v>0.9794801642</v>
      </c>
      <c r="O196" s="14">
        <f t="shared" si="198"/>
        <v>0.3170391061</v>
      </c>
      <c r="P196" s="13">
        <f t="shared" si="3"/>
        <v>0.06005586592</v>
      </c>
      <c r="Q196" s="13">
        <f t="shared" si="4"/>
        <v>0.002793296089</v>
      </c>
      <c r="R196" s="13">
        <f t="shared" si="5"/>
        <v>0.004189944134</v>
      </c>
      <c r="S196" s="14">
        <f t="shared" si="6"/>
        <v>2.758807401</v>
      </c>
      <c r="T196" s="14">
        <f t="shared" si="7"/>
        <v>0.9927363163</v>
      </c>
      <c r="U196" s="14">
        <f t="shared" si="8"/>
        <v>0.1348003076</v>
      </c>
    </row>
    <row r="197" ht="15.75" customHeight="1">
      <c r="A197" s="9">
        <v>45825.2725893982</v>
      </c>
      <c r="B197" s="10">
        <v>6.0</v>
      </c>
      <c r="C197" s="10" t="s">
        <v>59</v>
      </c>
      <c r="D197" s="10" t="s">
        <v>675</v>
      </c>
      <c r="E197" s="12" t="s">
        <v>62</v>
      </c>
      <c r="F197" s="11">
        <v>5516.0</v>
      </c>
      <c r="G197" s="11">
        <v>416.0</v>
      </c>
      <c r="H197" s="11">
        <v>411.0</v>
      </c>
      <c r="I197" s="11">
        <v>221.0</v>
      </c>
      <c r="J197" s="11">
        <v>43.0</v>
      </c>
      <c r="K197" s="11">
        <v>14.0</v>
      </c>
      <c r="L197" s="11">
        <v>3.0</v>
      </c>
      <c r="M197" s="13">
        <f t="shared" ref="M197:O197" si="199">IFERROR(G197/F197,"")</f>
        <v>0.07541696882</v>
      </c>
      <c r="N197" s="13">
        <f t="shared" si="199"/>
        <v>0.9879807692</v>
      </c>
      <c r="O197" s="14">
        <f t="shared" si="199"/>
        <v>0.5377128954</v>
      </c>
      <c r="P197" s="13">
        <f t="shared" si="3"/>
        <v>0.104622871</v>
      </c>
      <c r="Q197" s="13">
        <f t="shared" si="4"/>
        <v>0.03406326034</v>
      </c>
      <c r="R197" s="13">
        <f t="shared" si="5"/>
        <v>0.007299270073</v>
      </c>
      <c r="S197" s="14">
        <f t="shared" si="6"/>
        <v>1.514372734</v>
      </c>
      <c r="T197" s="14">
        <f t="shared" si="7"/>
        <v>1.001331861</v>
      </c>
      <c r="U197" s="14">
        <f t="shared" si="8"/>
        <v>1.630170316</v>
      </c>
    </row>
    <row r="198" ht="15.75" customHeight="1">
      <c r="A198" s="9">
        <v>45826.0582390625</v>
      </c>
      <c r="B198" s="10">
        <v>1.0</v>
      </c>
      <c r="C198" s="10" t="s">
        <v>80</v>
      </c>
      <c r="D198" s="10" t="s">
        <v>678</v>
      </c>
      <c r="E198" s="12" t="s">
        <v>62</v>
      </c>
      <c r="F198" s="11">
        <v>5031.0</v>
      </c>
      <c r="G198" s="11">
        <v>710.0</v>
      </c>
      <c r="H198" s="11">
        <v>707.0</v>
      </c>
      <c r="I198" s="11">
        <v>262.0</v>
      </c>
      <c r="J198" s="11">
        <v>41.0</v>
      </c>
      <c r="K198" s="11">
        <v>9.0</v>
      </c>
      <c r="L198" s="11">
        <v>6.0</v>
      </c>
      <c r="M198" s="13">
        <f t="shared" ref="M198:O198" si="200">IFERROR(G198/F198,"")</f>
        <v>0.1411250248</v>
      </c>
      <c r="N198" s="13">
        <f t="shared" si="200"/>
        <v>0.9957746479</v>
      </c>
      <c r="O198" s="14">
        <f t="shared" si="200"/>
        <v>0.3705799151</v>
      </c>
      <c r="P198" s="13">
        <f t="shared" si="3"/>
        <v>0.05799151344</v>
      </c>
      <c r="Q198" s="13">
        <f t="shared" si="4"/>
        <v>0.01272984441</v>
      </c>
      <c r="R198" s="13">
        <f t="shared" si="5"/>
        <v>0.008486562942</v>
      </c>
      <c r="S198" s="14">
        <f t="shared" si="6"/>
        <v>2.833790499</v>
      </c>
      <c r="T198" s="14">
        <f t="shared" si="7"/>
        <v>1.009231062</v>
      </c>
      <c r="U198" s="14">
        <f t="shared" si="8"/>
        <v>0.6092139826</v>
      </c>
    </row>
    <row r="199" ht="15.75" customHeight="1">
      <c r="A199" s="9">
        <v>45827.2742672338</v>
      </c>
      <c r="B199" s="10">
        <v>6.0</v>
      </c>
      <c r="C199" s="10" t="s">
        <v>84</v>
      </c>
      <c r="D199" s="10" t="s">
        <v>681</v>
      </c>
      <c r="E199" s="12" t="s">
        <v>62</v>
      </c>
      <c r="F199" s="11">
        <v>5099.0</v>
      </c>
      <c r="G199" s="11">
        <v>241.0</v>
      </c>
      <c r="H199" s="11">
        <v>245.0</v>
      </c>
      <c r="I199" s="11">
        <v>88.0</v>
      </c>
      <c r="J199" s="11">
        <v>21.0</v>
      </c>
      <c r="K199" s="11">
        <v>7.0</v>
      </c>
      <c r="L199" s="11">
        <v>0.0</v>
      </c>
      <c r="M199" s="13">
        <f t="shared" ref="M199:O199" si="201">IFERROR(G199/F199,"")</f>
        <v>0.04726416944</v>
      </c>
      <c r="N199" s="13">
        <f t="shared" si="201"/>
        <v>1.01659751</v>
      </c>
      <c r="O199" s="14">
        <f t="shared" si="201"/>
        <v>0.3591836735</v>
      </c>
      <c r="P199" s="13">
        <f t="shared" si="3"/>
        <v>0.08571428571</v>
      </c>
      <c r="Q199" s="13">
        <f t="shared" si="4"/>
        <v>0.02857142857</v>
      </c>
      <c r="R199" s="13">
        <f t="shared" si="5"/>
        <v>0</v>
      </c>
      <c r="S199" s="14">
        <f t="shared" si="6"/>
        <v>0.9490645225</v>
      </c>
      <c r="T199" s="14">
        <f t="shared" si="7"/>
        <v>1.030335315</v>
      </c>
      <c r="U199" s="14">
        <f t="shared" si="8"/>
        <v>1.367346939</v>
      </c>
    </row>
    <row r="200" ht="15.75" customHeight="1">
      <c r="A200" s="9">
        <v>45828.3506044792</v>
      </c>
      <c r="B200" s="10">
        <v>8.0</v>
      </c>
      <c r="C200" s="10" t="s">
        <v>60</v>
      </c>
      <c r="D200" s="10" t="s">
        <v>684</v>
      </c>
      <c r="E200" s="12" t="s">
        <v>62</v>
      </c>
      <c r="F200" s="11">
        <v>5379.0</v>
      </c>
      <c r="G200" s="11">
        <v>712.0</v>
      </c>
      <c r="H200" s="11">
        <v>697.0</v>
      </c>
      <c r="I200" s="11">
        <v>330.0</v>
      </c>
      <c r="J200" s="11">
        <v>62.0</v>
      </c>
      <c r="K200" s="11">
        <v>31.0</v>
      </c>
      <c r="L200" s="11">
        <v>10.0</v>
      </c>
      <c r="M200" s="13">
        <f t="shared" ref="M200:O200" si="202">IFERROR(G200/F200,"")</f>
        <v>0.1323666109</v>
      </c>
      <c r="N200" s="13">
        <f t="shared" si="202"/>
        <v>0.9789325843</v>
      </c>
      <c r="O200" s="14">
        <f t="shared" si="202"/>
        <v>0.4734576758</v>
      </c>
      <c r="P200" s="13">
        <f t="shared" si="3"/>
        <v>0.08895265423</v>
      </c>
      <c r="Q200" s="13">
        <f t="shared" si="4"/>
        <v>0.04447632712</v>
      </c>
      <c r="R200" s="13">
        <f t="shared" si="5"/>
        <v>0.0143472023</v>
      </c>
      <c r="S200" s="14">
        <f t="shared" si="6"/>
        <v>2.657921547</v>
      </c>
      <c r="T200" s="14">
        <f t="shared" si="7"/>
        <v>0.992161403</v>
      </c>
      <c r="U200" s="14">
        <f t="shared" si="8"/>
        <v>2.128509941</v>
      </c>
    </row>
    <row r="201" ht="15.75" customHeight="1">
      <c r="A201" s="9">
        <v>45829.3916796528</v>
      </c>
      <c r="B201" s="10">
        <v>9.0</v>
      </c>
      <c r="C201" s="10" t="s">
        <v>69</v>
      </c>
      <c r="D201" s="10" t="s">
        <v>689</v>
      </c>
      <c r="E201" s="12" t="s">
        <v>62</v>
      </c>
      <c r="F201" s="11">
        <v>5285.0</v>
      </c>
      <c r="G201" s="11">
        <v>789.0</v>
      </c>
      <c r="H201" s="11">
        <v>777.0</v>
      </c>
      <c r="I201" s="11">
        <v>272.0</v>
      </c>
      <c r="J201" s="11">
        <v>55.0</v>
      </c>
      <c r="K201" s="11">
        <v>5.0</v>
      </c>
      <c r="L201" s="11">
        <v>4.0</v>
      </c>
      <c r="M201" s="13">
        <f t="shared" ref="M201:O201" si="203">IFERROR(G201/F201,"")</f>
        <v>0.1492904447</v>
      </c>
      <c r="N201" s="13">
        <f t="shared" si="203"/>
        <v>0.9847908745</v>
      </c>
      <c r="O201" s="14">
        <f t="shared" si="203"/>
        <v>0.3500643501</v>
      </c>
      <c r="P201" s="13">
        <f t="shared" si="3"/>
        <v>0.07078507079</v>
      </c>
      <c r="Q201" s="13">
        <f t="shared" si="4"/>
        <v>0.006435006435</v>
      </c>
      <c r="R201" s="13">
        <f t="shared" si="5"/>
        <v>0.005148005148</v>
      </c>
      <c r="S201" s="14">
        <f t="shared" si="6"/>
        <v>2.997420335</v>
      </c>
      <c r="T201" s="14">
        <f t="shared" si="7"/>
        <v>0.9976775428</v>
      </c>
      <c r="U201" s="14">
        <f t="shared" si="8"/>
        <v>0.3076159034</v>
      </c>
    </row>
    <row r="202" ht="15.75" customHeight="1">
      <c r="A202" s="9">
        <v>45830.2753602083</v>
      </c>
      <c r="B202" s="10">
        <v>6.0</v>
      </c>
      <c r="C202" s="10" t="s">
        <v>77</v>
      </c>
      <c r="D202" s="10" t="s">
        <v>692</v>
      </c>
      <c r="E202" s="12" t="s">
        <v>62</v>
      </c>
      <c r="F202" s="11">
        <v>5282.0</v>
      </c>
      <c r="G202" s="11">
        <v>282.0</v>
      </c>
      <c r="H202" s="11">
        <v>276.0</v>
      </c>
      <c r="I202" s="11">
        <v>91.0</v>
      </c>
      <c r="J202" s="11">
        <v>33.0</v>
      </c>
      <c r="K202" s="11">
        <v>5.0</v>
      </c>
      <c r="L202" s="11">
        <v>0.0</v>
      </c>
      <c r="M202" s="13">
        <f t="shared" ref="M202:O202" si="204">IFERROR(G202/F202,"")</f>
        <v>0.05338886785</v>
      </c>
      <c r="N202" s="13">
        <f t="shared" si="204"/>
        <v>0.9787234043</v>
      </c>
      <c r="O202" s="14">
        <f t="shared" si="204"/>
        <v>0.3297101449</v>
      </c>
      <c r="P202" s="13">
        <f t="shared" si="3"/>
        <v>0.1195652174</v>
      </c>
      <c r="Q202" s="13">
        <f t="shared" si="4"/>
        <v>0.01811594203</v>
      </c>
      <c r="R202" s="13">
        <f t="shared" si="5"/>
        <v>0</v>
      </c>
      <c r="S202" s="14">
        <f t="shared" si="6"/>
        <v>1.071929811</v>
      </c>
      <c r="T202" s="14">
        <f t="shared" si="7"/>
        <v>0.9915306755</v>
      </c>
      <c r="U202" s="14">
        <f t="shared" si="8"/>
        <v>0.8660056412</v>
      </c>
    </row>
    <row r="203" ht="15.75" customHeight="1">
      <c r="A203" s="9">
        <v>45831.3529502199</v>
      </c>
      <c r="B203" s="10">
        <v>8.0</v>
      </c>
      <c r="C203" s="10" t="s">
        <v>71</v>
      </c>
      <c r="D203" s="10" t="s">
        <v>694</v>
      </c>
      <c r="E203" s="12" t="s">
        <v>62</v>
      </c>
      <c r="F203" s="11">
        <v>5610.0</v>
      </c>
      <c r="G203" s="11">
        <v>665.0</v>
      </c>
      <c r="H203" s="11">
        <v>654.0</v>
      </c>
      <c r="I203" s="11">
        <v>212.0</v>
      </c>
      <c r="J203" s="11">
        <v>66.0</v>
      </c>
      <c r="K203" s="11">
        <v>8.0</v>
      </c>
      <c r="L203" s="11">
        <v>4.0</v>
      </c>
      <c r="M203" s="13">
        <f t="shared" ref="M203:O203" si="205">IFERROR(G203/F203,"")</f>
        <v>0.1185383244</v>
      </c>
      <c r="N203" s="13">
        <f t="shared" si="205"/>
        <v>0.9834586466</v>
      </c>
      <c r="O203" s="14">
        <f t="shared" si="205"/>
        <v>0.3241590214</v>
      </c>
      <c r="P203" s="13">
        <f t="shared" si="3"/>
        <v>0.1009174312</v>
      </c>
      <c r="Q203" s="13">
        <f t="shared" si="4"/>
        <v>0.0122324159</v>
      </c>
      <c r="R203" s="13">
        <f t="shared" si="5"/>
        <v>0.006116207951</v>
      </c>
      <c r="S203" s="14">
        <f t="shared" si="6"/>
        <v>2.379986107</v>
      </c>
      <c r="T203" s="14">
        <f t="shared" si="7"/>
        <v>0.9963278818</v>
      </c>
      <c r="U203" s="14">
        <f t="shared" si="8"/>
        <v>0.5847524329</v>
      </c>
    </row>
    <row r="204" ht="15.75" customHeight="1">
      <c r="A204" s="9">
        <v>45832.2741840625</v>
      </c>
      <c r="B204" s="10">
        <v>6.0</v>
      </c>
      <c r="C204" s="10" t="s">
        <v>59</v>
      </c>
      <c r="D204" s="10" t="s">
        <v>698</v>
      </c>
      <c r="E204" s="12" t="s">
        <v>62</v>
      </c>
      <c r="F204" s="11">
        <v>5390.0</v>
      </c>
      <c r="G204" s="11">
        <v>545.0</v>
      </c>
      <c r="H204" s="11">
        <v>530.0</v>
      </c>
      <c r="I204" s="11">
        <v>141.0</v>
      </c>
      <c r="J204" s="11">
        <v>54.0</v>
      </c>
      <c r="K204" s="11">
        <v>5.0</v>
      </c>
      <c r="L204" s="11">
        <v>0.0</v>
      </c>
      <c r="M204" s="13">
        <f t="shared" ref="M204:O204" si="206">IFERROR(G204/F204,"")</f>
        <v>0.1011131725</v>
      </c>
      <c r="N204" s="13">
        <f t="shared" si="206"/>
        <v>0.9724770642</v>
      </c>
      <c r="O204" s="14">
        <f t="shared" si="206"/>
        <v>0.2660377358</v>
      </c>
      <c r="P204" s="13">
        <f t="shared" si="3"/>
        <v>0.1018867925</v>
      </c>
      <c r="Q204" s="13">
        <f t="shared" si="4"/>
        <v>0.009433962264</v>
      </c>
      <c r="R204" s="13">
        <f t="shared" si="5"/>
        <v>0</v>
      </c>
      <c r="S204" s="14">
        <f t="shared" si="6"/>
        <v>2.029903113</v>
      </c>
      <c r="T204" s="14">
        <f t="shared" si="7"/>
        <v>0.9847869005</v>
      </c>
      <c r="U204" s="14">
        <f t="shared" si="8"/>
        <v>0.4504716981</v>
      </c>
    </row>
    <row r="205" ht="15.75" customHeight="1">
      <c r="A205" s="9">
        <v>45833.0605841088</v>
      </c>
      <c r="B205" s="10">
        <v>1.0</v>
      </c>
      <c r="C205" s="10" t="s">
        <v>80</v>
      </c>
      <c r="D205" s="10" t="s">
        <v>701</v>
      </c>
      <c r="E205" s="12" t="s">
        <v>62</v>
      </c>
      <c r="F205" s="11">
        <v>5028.0</v>
      </c>
      <c r="G205" s="11">
        <v>189.0</v>
      </c>
      <c r="H205" s="11">
        <v>194.0</v>
      </c>
      <c r="I205" s="11">
        <v>80.0</v>
      </c>
      <c r="J205" s="11">
        <v>25.0</v>
      </c>
      <c r="K205" s="11">
        <v>0.0</v>
      </c>
      <c r="L205" s="11">
        <v>1.0</v>
      </c>
      <c r="M205" s="13">
        <f t="shared" ref="M205:O205" si="207">IFERROR(G205/F205,"")</f>
        <v>0.03758949881</v>
      </c>
      <c r="N205" s="13">
        <f t="shared" si="207"/>
        <v>1.026455026</v>
      </c>
      <c r="O205" s="14">
        <f t="shared" si="207"/>
        <v>0.412371134</v>
      </c>
      <c r="P205" s="13">
        <f t="shared" si="3"/>
        <v>0.1288659794</v>
      </c>
      <c r="Q205" s="13">
        <f t="shared" si="4"/>
        <v>0</v>
      </c>
      <c r="R205" s="13">
        <f t="shared" si="5"/>
        <v>0.005154639175</v>
      </c>
      <c r="S205" s="14">
        <f t="shared" si="6"/>
        <v>0.7546300716</v>
      </c>
      <c r="T205" s="14">
        <f t="shared" si="7"/>
        <v>1.039448128</v>
      </c>
      <c r="U205" s="14">
        <f t="shared" si="8"/>
        <v>0</v>
      </c>
    </row>
    <row r="206" ht="15.75" customHeight="1">
      <c r="A206" s="9">
        <v>45834.2756063542</v>
      </c>
      <c r="B206" s="10">
        <v>6.0</v>
      </c>
      <c r="C206" s="10" t="s">
        <v>84</v>
      </c>
      <c r="D206" s="10" t="s">
        <v>703</v>
      </c>
      <c r="E206" s="12" t="s">
        <v>62</v>
      </c>
      <c r="F206" s="11">
        <v>5595.0</v>
      </c>
      <c r="G206" s="11">
        <v>453.0</v>
      </c>
      <c r="H206" s="11">
        <v>450.0</v>
      </c>
      <c r="I206" s="11">
        <v>131.0</v>
      </c>
      <c r="J206" s="11">
        <v>52.0</v>
      </c>
      <c r="K206" s="11">
        <v>6.0</v>
      </c>
      <c r="L206" s="11">
        <v>0.0</v>
      </c>
      <c r="M206" s="13">
        <f t="shared" ref="M206:O206" si="208">IFERROR(G206/F206,"")</f>
        <v>0.08096514745</v>
      </c>
      <c r="N206" s="13">
        <f t="shared" si="208"/>
        <v>0.9933774834</v>
      </c>
      <c r="O206" s="14">
        <f t="shared" si="208"/>
        <v>0.2911111111</v>
      </c>
      <c r="P206" s="13">
        <f t="shared" si="3"/>
        <v>0.1155555556</v>
      </c>
      <c r="Q206" s="13">
        <f t="shared" si="4"/>
        <v>0.01333333333</v>
      </c>
      <c r="R206" s="13">
        <f t="shared" si="5"/>
        <v>0</v>
      </c>
      <c r="S206" s="14">
        <f t="shared" si="6"/>
        <v>1.625600218</v>
      </c>
      <c r="T206" s="14">
        <f t="shared" si="7"/>
        <v>1.005707065</v>
      </c>
      <c r="U206" s="14">
        <f t="shared" si="8"/>
        <v>0.6373801519</v>
      </c>
    </row>
    <row r="207" ht="15.75" customHeight="1">
      <c r="A207" s="9">
        <v>45835.0602125463</v>
      </c>
      <c r="B207" s="10">
        <v>1.0</v>
      </c>
      <c r="C207" s="10" t="s">
        <v>60</v>
      </c>
      <c r="D207" s="10" t="s">
        <v>706</v>
      </c>
      <c r="E207" s="12" t="s">
        <v>62</v>
      </c>
      <c r="F207" s="11">
        <v>5260.0</v>
      </c>
      <c r="G207" s="11">
        <v>673.0</v>
      </c>
      <c r="H207" s="11">
        <v>664.0</v>
      </c>
      <c r="I207" s="11">
        <v>220.0</v>
      </c>
      <c r="J207" s="11">
        <v>45.0</v>
      </c>
      <c r="K207" s="11">
        <v>4.0</v>
      </c>
      <c r="L207" s="11">
        <v>3.0</v>
      </c>
      <c r="M207" s="13">
        <f t="shared" ref="M207:O207" si="209">IFERROR(G207/F207,"")</f>
        <v>0.1279467681</v>
      </c>
      <c r="N207" s="13">
        <f t="shared" si="209"/>
        <v>0.9866270431</v>
      </c>
      <c r="O207" s="14">
        <f t="shared" si="209"/>
        <v>0.3313253012</v>
      </c>
      <c r="P207" s="13">
        <f t="shared" si="3"/>
        <v>0.06777108434</v>
      </c>
      <c r="Q207" s="13">
        <f t="shared" si="4"/>
        <v>0.006024096386</v>
      </c>
      <c r="R207" s="13">
        <f t="shared" si="5"/>
        <v>0.004518072289</v>
      </c>
      <c r="S207" s="14">
        <f t="shared" si="6"/>
        <v>2.568886745</v>
      </c>
      <c r="T207" s="14">
        <f t="shared" si="7"/>
        <v>0.9988728399</v>
      </c>
      <c r="U207" s="14">
        <f t="shared" si="8"/>
        <v>0.2879729602</v>
      </c>
    </row>
    <row r="208" ht="15.75" customHeight="1">
      <c r="A208" s="9">
        <v>45836.3534945833</v>
      </c>
      <c r="B208" s="10">
        <v>8.0</v>
      </c>
      <c r="C208" s="10" t="s">
        <v>69</v>
      </c>
      <c r="D208" s="10" t="s">
        <v>709</v>
      </c>
      <c r="E208" s="12" t="s">
        <v>62</v>
      </c>
      <c r="F208" s="11">
        <v>5581.0</v>
      </c>
      <c r="G208" s="11">
        <v>506.0</v>
      </c>
      <c r="H208" s="11">
        <v>499.0</v>
      </c>
      <c r="I208" s="11">
        <v>264.0</v>
      </c>
      <c r="J208" s="11">
        <v>61.0</v>
      </c>
      <c r="K208" s="11">
        <v>6.0</v>
      </c>
      <c r="L208" s="11">
        <v>0.0</v>
      </c>
      <c r="M208" s="13">
        <f t="shared" ref="M208:O208" si="210">IFERROR(G208/F208,"")</f>
        <v>0.09066475542</v>
      </c>
      <c r="N208" s="13">
        <f t="shared" si="210"/>
        <v>0.9861660079</v>
      </c>
      <c r="O208" s="14">
        <f t="shared" si="210"/>
        <v>0.5290581162</v>
      </c>
      <c r="P208" s="13">
        <f t="shared" si="3"/>
        <v>0.122244489</v>
      </c>
      <c r="Q208" s="13">
        <f t="shared" si="4"/>
        <v>0.0120240481</v>
      </c>
      <c r="R208" s="13">
        <f t="shared" si="5"/>
        <v>0</v>
      </c>
      <c r="S208" s="14">
        <f t="shared" si="6"/>
        <v>1.820548289</v>
      </c>
      <c r="T208" s="14">
        <f t="shared" si="7"/>
        <v>0.9981631613</v>
      </c>
      <c r="U208" s="14">
        <f t="shared" si="8"/>
        <v>0.5754365875</v>
      </c>
    </row>
    <row r="209" ht="15.75" customHeight="1">
      <c r="A209" s="9">
        <v>45837.2743121528</v>
      </c>
      <c r="B209" s="10">
        <v>6.0</v>
      </c>
      <c r="C209" s="10" t="s">
        <v>77</v>
      </c>
      <c r="D209" s="10" t="s">
        <v>712</v>
      </c>
      <c r="E209" s="12" t="s">
        <v>62</v>
      </c>
      <c r="F209" s="11">
        <v>5285.0</v>
      </c>
      <c r="G209" s="11">
        <v>368.0</v>
      </c>
      <c r="H209" s="11">
        <v>366.0</v>
      </c>
      <c r="I209" s="11">
        <v>172.0</v>
      </c>
      <c r="J209" s="11">
        <v>47.0</v>
      </c>
      <c r="K209" s="11">
        <v>21.0</v>
      </c>
      <c r="L209" s="11">
        <v>2.0</v>
      </c>
      <c r="M209" s="13">
        <f t="shared" ref="M209:O209" si="211">IFERROR(G209/F209,"")</f>
        <v>0.06963103122</v>
      </c>
      <c r="N209" s="13">
        <f t="shared" si="211"/>
        <v>0.9945652174</v>
      </c>
      <c r="O209" s="14">
        <f t="shared" si="211"/>
        <v>0.4699453552</v>
      </c>
      <c r="P209" s="13">
        <f t="shared" si="3"/>
        <v>0.1284153005</v>
      </c>
      <c r="Q209" s="13">
        <f t="shared" si="4"/>
        <v>0.05737704918</v>
      </c>
      <c r="R209" s="13">
        <f t="shared" si="5"/>
        <v>0.005464480874</v>
      </c>
      <c r="S209" s="14">
        <f t="shared" si="6"/>
        <v>1.398191107</v>
      </c>
      <c r="T209" s="14">
        <f t="shared" si="7"/>
        <v>1.006664551</v>
      </c>
      <c r="U209" s="14">
        <f t="shared" si="8"/>
        <v>2.745901639</v>
      </c>
    </row>
    <row r="210" ht="15.75" customHeight="1">
      <c r="A210" s="9">
        <v>45838.3537190394</v>
      </c>
      <c r="B210" s="10">
        <v>8.0</v>
      </c>
      <c r="C210" s="10" t="s">
        <v>71</v>
      </c>
      <c r="D210" s="10" t="s">
        <v>715</v>
      </c>
      <c r="E210" s="12" t="s">
        <v>62</v>
      </c>
      <c r="F210" s="11">
        <v>5476.0</v>
      </c>
      <c r="G210" s="11">
        <v>226.0</v>
      </c>
      <c r="H210" s="11">
        <v>230.0</v>
      </c>
      <c r="I210" s="11">
        <v>98.0</v>
      </c>
      <c r="J210" s="11">
        <v>29.0</v>
      </c>
      <c r="K210" s="11">
        <v>2.0</v>
      </c>
      <c r="L210" s="11">
        <v>0.0</v>
      </c>
      <c r="M210" s="13">
        <f t="shared" ref="M210:O210" si="212">IFERROR(G210/F210,"")</f>
        <v>0.04127100073</v>
      </c>
      <c r="N210" s="13">
        <f t="shared" si="212"/>
        <v>1.017699115</v>
      </c>
      <c r="O210" s="14">
        <f t="shared" si="212"/>
        <v>0.4260869565</v>
      </c>
      <c r="P210" s="13">
        <f t="shared" si="3"/>
        <v>0.1260869565</v>
      </c>
      <c r="Q210" s="13">
        <f t="shared" si="4"/>
        <v>0.008695652174</v>
      </c>
      <c r="R210" s="13">
        <f t="shared" si="5"/>
        <v>0</v>
      </c>
      <c r="S210" s="14">
        <f t="shared" si="6"/>
        <v>0.8287216947</v>
      </c>
      <c r="T210" s="14">
        <f t="shared" si="7"/>
        <v>1.030079883</v>
      </c>
      <c r="U210" s="14">
        <f t="shared" si="8"/>
        <v>0.4161490683</v>
      </c>
    </row>
    <row r="211" ht="15.75" customHeight="1">
      <c r="A211" s="9">
        <v>45839.275436169</v>
      </c>
      <c r="B211" s="10">
        <v>6.0</v>
      </c>
      <c r="C211" s="10" t="s">
        <v>59</v>
      </c>
      <c r="D211" s="10" t="s">
        <v>718</v>
      </c>
      <c r="E211" s="12" t="s">
        <v>62</v>
      </c>
      <c r="F211" s="11">
        <v>5247.0</v>
      </c>
      <c r="G211" s="11">
        <v>450.0</v>
      </c>
      <c r="H211" s="11">
        <v>444.0</v>
      </c>
      <c r="I211" s="11">
        <v>132.0</v>
      </c>
      <c r="J211" s="11">
        <v>45.0</v>
      </c>
      <c r="K211" s="11">
        <v>3.0</v>
      </c>
      <c r="L211" s="11">
        <v>2.0</v>
      </c>
      <c r="M211" s="13">
        <f t="shared" ref="M211:O211" si="213">IFERROR(G211/F211,"")</f>
        <v>0.08576329331</v>
      </c>
      <c r="N211" s="13">
        <f t="shared" si="213"/>
        <v>0.9866666667</v>
      </c>
      <c r="O211" s="14">
        <f t="shared" si="213"/>
        <v>0.2972972973</v>
      </c>
      <c r="P211" s="13">
        <f t="shared" si="3"/>
        <v>0.1013513514</v>
      </c>
      <c r="Q211" s="13">
        <f t="shared" si="4"/>
        <v>0.006756756757</v>
      </c>
      <c r="R211" s="13">
        <f t="shared" si="5"/>
        <v>0.004504504505</v>
      </c>
      <c r="S211" s="14">
        <f t="shared" si="6"/>
        <v>1.721936323</v>
      </c>
      <c r="T211" s="14">
        <f t="shared" si="7"/>
        <v>0.9984608086</v>
      </c>
      <c r="U211" s="14">
        <f t="shared" si="8"/>
        <v>0.3260710143</v>
      </c>
    </row>
    <row r="212" ht="15.75" customHeight="1">
      <c r="A212" s="9">
        <v>45840.3534297222</v>
      </c>
      <c r="B212" s="10">
        <v>8.0</v>
      </c>
      <c r="C212" s="10" t="s">
        <v>80</v>
      </c>
      <c r="D212" s="10" t="s">
        <v>722</v>
      </c>
      <c r="E212" s="12" t="s">
        <v>62</v>
      </c>
      <c r="F212" s="11">
        <v>5301.0</v>
      </c>
      <c r="G212" s="11">
        <v>615.0</v>
      </c>
      <c r="H212" s="11">
        <v>620.0</v>
      </c>
      <c r="I212" s="11">
        <v>241.0</v>
      </c>
      <c r="J212" s="11">
        <v>61.0</v>
      </c>
      <c r="K212" s="11">
        <v>8.0</v>
      </c>
      <c r="L212" s="11">
        <v>2.0</v>
      </c>
      <c r="M212" s="13">
        <f t="shared" ref="M212:O212" si="214">IFERROR(G212/F212,"")</f>
        <v>0.1160158461</v>
      </c>
      <c r="N212" s="13">
        <f t="shared" si="214"/>
        <v>1.008130081</v>
      </c>
      <c r="O212" s="14">
        <f t="shared" si="214"/>
        <v>0.3887096774</v>
      </c>
      <c r="P212" s="13">
        <f t="shared" si="3"/>
        <v>0.09838709677</v>
      </c>
      <c r="Q212" s="13">
        <f t="shared" si="4"/>
        <v>0.01290322581</v>
      </c>
      <c r="R212" s="13">
        <f t="shared" si="5"/>
        <v>0.003225806452</v>
      </c>
      <c r="S212" s="14">
        <f t="shared" si="6"/>
        <v>2.329340347</v>
      </c>
      <c r="T212" s="14">
        <f t="shared" si="7"/>
        <v>1.020180787</v>
      </c>
      <c r="U212" s="14">
        <f t="shared" si="8"/>
        <v>0.6226904531</v>
      </c>
    </row>
    <row r="213" ht="15.75" customHeight="1">
      <c r="A213" s="9">
        <v>45841.275051412</v>
      </c>
      <c r="B213" s="10">
        <v>6.0</v>
      </c>
      <c r="C213" s="10" t="s">
        <v>84</v>
      </c>
      <c r="D213" s="10" t="s">
        <v>725</v>
      </c>
      <c r="E213" s="12" t="s">
        <v>62</v>
      </c>
      <c r="F213" s="11">
        <v>5030.0</v>
      </c>
      <c r="G213" s="11">
        <v>602.0</v>
      </c>
      <c r="H213" s="11">
        <v>601.0</v>
      </c>
      <c r="I213" s="11">
        <v>206.0</v>
      </c>
      <c r="J213" s="11">
        <v>68.0</v>
      </c>
      <c r="K213" s="11">
        <v>12.0</v>
      </c>
      <c r="L213" s="11">
        <v>3.0</v>
      </c>
      <c r="M213" s="13">
        <f t="shared" ref="M213:O213" si="215">IFERROR(G213/F213,"")</f>
        <v>0.1196819085</v>
      </c>
      <c r="N213" s="13">
        <f t="shared" si="215"/>
        <v>0.9983388704</v>
      </c>
      <c r="O213" s="14">
        <f t="shared" si="215"/>
        <v>0.3427620632</v>
      </c>
      <c r="P213" s="13">
        <f t="shared" si="3"/>
        <v>0.1131447587</v>
      </c>
      <c r="Q213" s="13">
        <f t="shared" si="4"/>
        <v>0.01996672213</v>
      </c>
      <c r="R213" s="13">
        <f t="shared" si="5"/>
        <v>0.004991680532</v>
      </c>
      <c r="S213" s="14">
        <f t="shared" si="6"/>
        <v>2.402680804</v>
      </c>
      <c r="T213" s="14">
        <f t="shared" si="7"/>
        <v>1.010061049</v>
      </c>
      <c r="U213" s="14">
        <f t="shared" si="8"/>
        <v>0.9717138103</v>
      </c>
    </row>
    <row r="214" ht="15.75" customHeight="1">
      <c r="A214" s="9">
        <v>45842.6252554398</v>
      </c>
      <c r="B214" s="10">
        <v>15.0</v>
      </c>
      <c r="C214" s="10" t="s">
        <v>60</v>
      </c>
      <c r="D214" s="10" t="s">
        <v>728</v>
      </c>
      <c r="E214" s="12" t="s">
        <v>62</v>
      </c>
      <c r="F214" s="11">
        <v>4972.0</v>
      </c>
      <c r="G214" s="11">
        <v>580.0</v>
      </c>
      <c r="H214" s="11">
        <v>568.0</v>
      </c>
      <c r="I214" s="11">
        <v>209.0</v>
      </c>
      <c r="J214" s="11">
        <v>72.0</v>
      </c>
      <c r="K214" s="11">
        <v>17.0</v>
      </c>
      <c r="L214" s="11">
        <v>2.0</v>
      </c>
      <c r="M214" s="13">
        <f t="shared" ref="M214:O214" si="216">IFERROR(G214/F214,"")</f>
        <v>0.1166532582</v>
      </c>
      <c r="N214" s="13">
        <f t="shared" si="216"/>
        <v>0.9793103448</v>
      </c>
      <c r="O214" s="14">
        <f t="shared" si="216"/>
        <v>0.3679577465</v>
      </c>
      <c r="P214" s="13">
        <f t="shared" si="3"/>
        <v>0.1267605634</v>
      </c>
      <c r="Q214" s="13">
        <f t="shared" si="4"/>
        <v>0.02992957746</v>
      </c>
      <c r="R214" s="13">
        <f t="shared" si="5"/>
        <v>0.003521126761</v>
      </c>
      <c r="S214" s="14">
        <f t="shared" si="6"/>
        <v>2.341878967</v>
      </c>
      <c r="T214" s="14">
        <f t="shared" si="7"/>
        <v>0.9908090964</v>
      </c>
      <c r="U214" s="14">
        <f t="shared" si="8"/>
        <v>1.45657277</v>
      </c>
    </row>
    <row r="215" ht="15.75" customHeight="1">
      <c r="A215" s="9">
        <v>45843.4390636458</v>
      </c>
      <c r="B215" s="10">
        <v>10.0</v>
      </c>
      <c r="C215" s="10" t="s">
        <v>69</v>
      </c>
      <c r="D215" s="10" t="s">
        <v>731</v>
      </c>
      <c r="E215" s="12" t="s">
        <v>62</v>
      </c>
      <c r="F215" s="11">
        <v>5305.0</v>
      </c>
      <c r="G215" s="11">
        <v>416.0</v>
      </c>
      <c r="H215" s="11">
        <v>421.0</v>
      </c>
      <c r="I215" s="11">
        <v>171.0</v>
      </c>
      <c r="J215" s="11">
        <v>69.0</v>
      </c>
      <c r="K215" s="11">
        <v>10.0</v>
      </c>
      <c r="L215" s="11">
        <v>0.0</v>
      </c>
      <c r="M215" s="13">
        <f t="shared" ref="M215:O215" si="217">IFERROR(G215/F215,"")</f>
        <v>0.07841658812</v>
      </c>
      <c r="N215" s="13">
        <f t="shared" si="217"/>
        <v>1.012019231</v>
      </c>
      <c r="O215" s="14">
        <f t="shared" si="217"/>
        <v>0.406175772</v>
      </c>
      <c r="P215" s="13">
        <f t="shared" si="3"/>
        <v>0.1638954869</v>
      </c>
      <c r="Q215" s="13">
        <f t="shared" si="4"/>
        <v>0.02375296912</v>
      </c>
      <c r="R215" s="13">
        <f t="shared" si="5"/>
        <v>0</v>
      </c>
      <c r="S215" s="14">
        <f t="shared" si="6"/>
        <v>1.574430811</v>
      </c>
      <c r="T215" s="14">
        <f t="shared" si="7"/>
        <v>1.023754617</v>
      </c>
      <c r="U215" s="14">
        <f t="shared" si="8"/>
        <v>1.168702396</v>
      </c>
    </row>
    <row r="216" ht="15.75" customHeight="1">
      <c r="A216" s="9">
        <v>45844.2768018982</v>
      </c>
      <c r="B216" s="10">
        <v>6.0</v>
      </c>
      <c r="C216" s="10" t="s">
        <v>77</v>
      </c>
      <c r="D216" s="10" t="s">
        <v>734</v>
      </c>
      <c r="E216" s="12" t="s">
        <v>62</v>
      </c>
      <c r="F216" s="11">
        <v>5294.0</v>
      </c>
      <c r="G216" s="11">
        <v>483.0</v>
      </c>
      <c r="H216" s="11">
        <v>474.0</v>
      </c>
      <c r="I216" s="11">
        <v>156.0</v>
      </c>
      <c r="J216" s="11">
        <v>59.0</v>
      </c>
      <c r="K216" s="11">
        <v>11.0</v>
      </c>
      <c r="L216" s="11">
        <v>1.0</v>
      </c>
      <c r="M216" s="13">
        <f t="shared" ref="M216:O216" si="218">IFERROR(G216/F216,"")</f>
        <v>0.09123536079</v>
      </c>
      <c r="N216" s="13">
        <f t="shared" si="218"/>
        <v>0.9813664596</v>
      </c>
      <c r="O216" s="14">
        <f t="shared" si="218"/>
        <v>0.3291139241</v>
      </c>
      <c r="P216" s="13">
        <f t="shared" si="3"/>
        <v>0.1244725738</v>
      </c>
      <c r="Q216" s="13">
        <f t="shared" si="4"/>
        <v>0.02320675105</v>
      </c>
      <c r="R216" s="13">
        <f t="shared" si="5"/>
        <v>0.002109704641</v>
      </c>
      <c r="S216" s="14">
        <f t="shared" si="6"/>
        <v>1.831803277</v>
      </c>
      <c r="T216" s="14">
        <f t="shared" si="7"/>
        <v>0.9927463962</v>
      </c>
      <c r="U216" s="14">
        <f t="shared" si="8"/>
        <v>1.141827172</v>
      </c>
    </row>
    <row r="217" ht="15.75" customHeight="1">
      <c r="A217" s="9">
        <v>45845.4389579745</v>
      </c>
      <c r="B217" s="10">
        <v>10.0</v>
      </c>
      <c r="C217" s="10" t="s">
        <v>71</v>
      </c>
      <c r="D217" s="10" t="s">
        <v>737</v>
      </c>
      <c r="E217" s="12" t="s">
        <v>62</v>
      </c>
      <c r="F217" s="11">
        <v>5412.0</v>
      </c>
      <c r="G217" s="11">
        <v>928.0</v>
      </c>
      <c r="H217" s="11">
        <v>825.0</v>
      </c>
      <c r="I217" s="11">
        <v>242.0</v>
      </c>
      <c r="J217" s="11">
        <v>74.0</v>
      </c>
      <c r="K217" s="11">
        <v>13.0</v>
      </c>
      <c r="L217" s="11">
        <v>0.0</v>
      </c>
      <c r="M217" s="13">
        <f t="shared" ref="M217:O217" si="219">IFERROR(G217/F217,"")</f>
        <v>0.1714708056</v>
      </c>
      <c r="N217" s="13">
        <f t="shared" si="219"/>
        <v>0.8890086207</v>
      </c>
      <c r="O217" s="14">
        <f t="shared" si="219"/>
        <v>0.2933333333</v>
      </c>
      <c r="P217" s="13">
        <f t="shared" si="3"/>
        <v>0.0896969697</v>
      </c>
      <c r="Q217" s="13">
        <f t="shared" si="4"/>
        <v>0.01575757576</v>
      </c>
      <c r="R217" s="13">
        <f t="shared" si="5"/>
        <v>0</v>
      </c>
      <c r="S217" s="14">
        <f t="shared" si="6"/>
        <v>3.442752688</v>
      </c>
      <c r="T217" s="14">
        <f t="shared" si="7"/>
        <v>0.8993175748</v>
      </c>
      <c r="U217" s="14">
        <f t="shared" si="8"/>
        <v>0.7753100865</v>
      </c>
    </row>
    <row r="218" ht="15.75" customHeight="1">
      <c r="A218" s="9">
        <v>45846.2769446181</v>
      </c>
      <c r="B218" s="10">
        <v>6.0</v>
      </c>
      <c r="C218" s="10" t="s">
        <v>59</v>
      </c>
      <c r="D218" s="10" t="s">
        <v>740</v>
      </c>
      <c r="E218" s="12" t="s">
        <v>62</v>
      </c>
      <c r="F218" s="11">
        <v>4994.0</v>
      </c>
      <c r="G218" s="11">
        <v>496.0</v>
      </c>
      <c r="H218" s="11">
        <v>484.0</v>
      </c>
      <c r="I218" s="11">
        <v>176.0</v>
      </c>
      <c r="J218" s="11">
        <v>56.0</v>
      </c>
      <c r="K218" s="11">
        <v>15.0</v>
      </c>
      <c r="L218" s="11">
        <v>1.0</v>
      </c>
      <c r="M218" s="13">
        <f t="shared" ref="M218:O218" si="220">IFERROR(G218/F218,"")</f>
        <v>0.09931918302</v>
      </c>
      <c r="N218" s="13">
        <f t="shared" si="220"/>
        <v>0.9758064516</v>
      </c>
      <c r="O218" s="14">
        <f t="shared" si="220"/>
        <v>0.3636363636</v>
      </c>
      <c r="P218" s="13">
        <f t="shared" si="3"/>
        <v>0.1157024793</v>
      </c>
      <c r="Q218" s="13">
        <f t="shared" si="4"/>
        <v>0.03099173554</v>
      </c>
      <c r="R218" s="13">
        <f t="shared" si="5"/>
        <v>0.002066115702</v>
      </c>
      <c r="S218" s="14">
        <f t="shared" si="6"/>
        <v>1.993887776</v>
      </c>
      <c r="T218" s="14">
        <f t="shared" si="7"/>
        <v>0.9869798079</v>
      </c>
      <c r="U218" s="14">
        <f t="shared" si="8"/>
        <v>1.541838843</v>
      </c>
    </row>
    <row r="219" ht="15.75" customHeight="1">
      <c r="A219" s="9">
        <v>45847.0650481945</v>
      </c>
      <c r="B219" s="10">
        <v>1.0</v>
      </c>
      <c r="C219" s="10" t="s">
        <v>80</v>
      </c>
      <c r="D219" s="10" t="s">
        <v>743</v>
      </c>
      <c r="E219" s="12" t="s">
        <v>62</v>
      </c>
      <c r="F219" s="11">
        <v>4469.0</v>
      </c>
      <c r="G219" s="11">
        <v>236.0</v>
      </c>
      <c r="H219" s="11">
        <v>236.0</v>
      </c>
      <c r="I219" s="11">
        <v>114.0</v>
      </c>
      <c r="J219" s="11">
        <v>28.0</v>
      </c>
      <c r="K219" s="11">
        <v>1.0</v>
      </c>
      <c r="L219" s="11">
        <v>0.0</v>
      </c>
      <c r="M219" s="13">
        <f t="shared" ref="M219:O219" si="221">IFERROR(G219/F219,"")</f>
        <v>0.0528082345</v>
      </c>
      <c r="N219" s="13">
        <f t="shared" si="221"/>
        <v>1</v>
      </c>
      <c r="O219" s="14">
        <f t="shared" si="221"/>
        <v>0.4830508475</v>
      </c>
      <c r="P219" s="13">
        <f t="shared" si="3"/>
        <v>0.1186440678</v>
      </c>
      <c r="Q219" s="13">
        <f t="shared" si="4"/>
        <v>0.004237288136</v>
      </c>
      <c r="R219" s="13">
        <f t="shared" si="5"/>
        <v>0</v>
      </c>
      <c r="S219" s="14">
        <f t="shared" si="6"/>
        <v>1.060154646</v>
      </c>
      <c r="T219" s="14">
        <f t="shared" si="7"/>
        <v>1.011450382</v>
      </c>
      <c r="U219" s="14">
        <f t="shared" si="8"/>
        <v>0.2108050847</v>
      </c>
    </row>
    <row r="220" ht="15.75" customHeight="1">
      <c r="A220" s="9">
        <v>45848.2787293287</v>
      </c>
      <c r="B220" s="10">
        <v>6.0</v>
      </c>
      <c r="C220" s="10" t="s">
        <v>84</v>
      </c>
      <c r="D220" s="10" t="s">
        <v>746</v>
      </c>
      <c r="E220" s="12" t="s">
        <v>62</v>
      </c>
      <c r="F220" s="11">
        <v>4945.0</v>
      </c>
      <c r="G220" s="11">
        <v>478.0</v>
      </c>
      <c r="H220" s="11">
        <v>480.0</v>
      </c>
      <c r="I220" s="11">
        <v>194.0</v>
      </c>
      <c r="J220" s="11">
        <v>62.0</v>
      </c>
      <c r="K220" s="11">
        <v>15.0</v>
      </c>
      <c r="L220" s="11">
        <v>0.0</v>
      </c>
      <c r="M220" s="13">
        <f t="shared" ref="M220:O220" si="222">IFERROR(G220/F220,"")</f>
        <v>0.09666329626</v>
      </c>
      <c r="N220" s="13">
        <f t="shared" si="222"/>
        <v>1.0041841</v>
      </c>
      <c r="O220" s="14">
        <f t="shared" si="222"/>
        <v>0.4041666667</v>
      </c>
      <c r="P220" s="13">
        <f t="shared" si="3"/>
        <v>0.1291666667</v>
      </c>
      <c r="Q220" s="13">
        <f t="shared" si="4"/>
        <v>0.03125</v>
      </c>
      <c r="R220" s="13">
        <f t="shared" si="5"/>
        <v>0</v>
      </c>
      <c r="S220" s="14">
        <f t="shared" si="6"/>
        <v>1.940784158</v>
      </c>
      <c r="T220" s="14">
        <f t="shared" si="7"/>
        <v>1.015828631</v>
      </c>
      <c r="U220" s="14">
        <f t="shared" si="8"/>
        <v>1.53757409</v>
      </c>
    </row>
    <row r="221" ht="15.75" customHeight="1">
      <c r="A221" s="9">
        <v>45849.4819600463</v>
      </c>
      <c r="B221" s="10">
        <v>11.0</v>
      </c>
      <c r="C221" s="10" t="s">
        <v>60</v>
      </c>
      <c r="D221" s="10" t="s">
        <v>749</v>
      </c>
      <c r="E221" s="12" t="s">
        <v>62</v>
      </c>
      <c r="F221" s="11">
        <v>4819.0</v>
      </c>
      <c r="G221" s="11">
        <v>341.0</v>
      </c>
      <c r="H221" s="11">
        <v>346.0</v>
      </c>
      <c r="I221" s="11">
        <v>188.0</v>
      </c>
      <c r="J221" s="11">
        <v>43.0</v>
      </c>
      <c r="K221" s="11">
        <v>26.0</v>
      </c>
      <c r="L221" s="11">
        <v>3.0</v>
      </c>
      <c r="M221" s="13">
        <f t="shared" ref="M221:O221" si="223">IFERROR(G221/F221,"")</f>
        <v>0.07076156879</v>
      </c>
      <c r="N221" s="13">
        <f t="shared" si="223"/>
        <v>1.014662757</v>
      </c>
      <c r="O221" s="14">
        <f t="shared" si="223"/>
        <v>0.5433526012</v>
      </c>
      <c r="P221" s="13">
        <f t="shared" si="3"/>
        <v>0.1242774566</v>
      </c>
      <c r="Q221" s="13">
        <f t="shared" si="4"/>
        <v>0.07514450867</v>
      </c>
      <c r="R221" s="13">
        <f t="shared" si="5"/>
        <v>0.008670520231</v>
      </c>
      <c r="S221" s="14">
        <f t="shared" si="6"/>
        <v>1.420735036</v>
      </c>
      <c r="T221" s="14">
        <f t="shared" si="7"/>
        <v>1.026428797</v>
      </c>
      <c r="U221" s="14">
        <f t="shared" si="8"/>
        <v>3.697287985</v>
      </c>
    </row>
    <row r="222" ht="15.75" customHeight="1">
      <c r="A222" s="9">
        <v>45850.0663591667</v>
      </c>
      <c r="B222" s="10">
        <v>1.0</v>
      </c>
      <c r="C222" s="10" t="s">
        <v>69</v>
      </c>
      <c r="D222" s="10" t="s">
        <v>752</v>
      </c>
      <c r="E222" s="12" t="s">
        <v>62</v>
      </c>
      <c r="F222" s="11">
        <v>4377.0</v>
      </c>
      <c r="G222" s="11">
        <v>517.0</v>
      </c>
      <c r="H222" s="11">
        <v>511.0</v>
      </c>
      <c r="I222" s="11">
        <v>200.0</v>
      </c>
      <c r="J222" s="11">
        <v>40.0</v>
      </c>
      <c r="K222" s="11">
        <v>4.0</v>
      </c>
      <c r="L222" s="11">
        <v>1.0</v>
      </c>
      <c r="M222" s="13">
        <f t="shared" ref="M222:O222" si="224">IFERROR(G222/F222,"")</f>
        <v>0.118117432</v>
      </c>
      <c r="N222" s="13">
        <f t="shared" si="224"/>
        <v>0.9883945841</v>
      </c>
      <c r="O222" s="14">
        <f t="shared" si="224"/>
        <v>0.3913894325</v>
      </c>
      <c r="P222" s="13">
        <f t="shared" si="3"/>
        <v>0.0782778865</v>
      </c>
      <c r="Q222" s="13">
        <f t="shared" si="4"/>
        <v>0.00782778865</v>
      </c>
      <c r="R222" s="13">
        <f t="shared" si="5"/>
        <v>0.001956947162</v>
      </c>
      <c r="S222" s="14">
        <f t="shared" si="6"/>
        <v>2.371798035</v>
      </c>
      <c r="T222" s="14">
        <f t="shared" si="7"/>
        <v>1</v>
      </c>
      <c r="U222" s="14">
        <f t="shared" si="8"/>
        <v>0.380952381</v>
      </c>
    </row>
    <row r="223" ht="15.75" customHeight="1">
      <c r="A223" s="9">
        <v>45851.2812259722</v>
      </c>
      <c r="B223" s="10">
        <v>6.0</v>
      </c>
      <c r="C223" s="10" t="s">
        <v>77</v>
      </c>
      <c r="D223" s="10" t="s">
        <v>755</v>
      </c>
      <c r="E223" s="12" t="s">
        <v>62</v>
      </c>
      <c r="F223" s="11">
        <v>4729.0</v>
      </c>
      <c r="G223" s="11">
        <v>466.0</v>
      </c>
      <c r="H223" s="11">
        <v>412.0</v>
      </c>
      <c r="I223" s="11">
        <v>182.0</v>
      </c>
      <c r="J223" s="11">
        <v>60.0</v>
      </c>
      <c r="K223" s="11">
        <v>35.0</v>
      </c>
      <c r="L223" s="11">
        <v>0.0</v>
      </c>
      <c r="M223" s="13">
        <f t="shared" ref="M223:O223" si="225">IFERROR(G223/F223,"")</f>
        <v>0.09854091774</v>
      </c>
      <c r="N223" s="13">
        <f t="shared" si="225"/>
        <v>0.8841201717</v>
      </c>
      <c r="O223" s="14">
        <f t="shared" si="225"/>
        <v>0.4417475728</v>
      </c>
      <c r="P223" s="13">
        <f t="shared" si="3"/>
        <v>0.145631068</v>
      </c>
      <c r="Q223" s="13">
        <f t="shared" si="4"/>
        <v>0.08495145631</v>
      </c>
      <c r="R223" s="13">
        <f t="shared" si="5"/>
        <v>0</v>
      </c>
      <c r="S223" s="14">
        <f t="shared" si="6"/>
        <v>1.978701628</v>
      </c>
      <c r="T223" s="14">
        <f t="shared" si="7"/>
        <v>0.8945012304</v>
      </c>
      <c r="U223" s="14">
        <f t="shared" si="8"/>
        <v>4.134304207</v>
      </c>
    </row>
    <row r="224" ht="15.75" customHeight="1">
      <c r="A224" s="9">
        <v>45852.0668958102</v>
      </c>
      <c r="B224" s="10">
        <v>1.0</v>
      </c>
      <c r="C224" s="10" t="s">
        <v>71</v>
      </c>
      <c r="D224" s="10" t="s">
        <v>759</v>
      </c>
      <c r="E224" s="12" t="s">
        <v>62</v>
      </c>
      <c r="F224" s="11">
        <v>4248.0</v>
      </c>
      <c r="G224" s="11">
        <v>317.0</v>
      </c>
      <c r="H224" s="11">
        <v>325.0</v>
      </c>
      <c r="I224" s="11">
        <v>223.0</v>
      </c>
      <c r="J224" s="11">
        <v>40.0</v>
      </c>
      <c r="K224" s="11">
        <v>4.0</v>
      </c>
      <c r="L224" s="11">
        <v>2.0</v>
      </c>
      <c r="M224" s="13">
        <f t="shared" ref="M224:O224" si="226">IFERROR(G224/F224,"")</f>
        <v>0.07462335217</v>
      </c>
      <c r="N224" s="13">
        <f t="shared" si="226"/>
        <v>1.025236593</v>
      </c>
      <c r="O224" s="14">
        <f t="shared" si="226"/>
        <v>0.6861538462</v>
      </c>
      <c r="P224" s="13">
        <f t="shared" si="3"/>
        <v>0.1230769231</v>
      </c>
      <c r="Q224" s="13">
        <f t="shared" si="4"/>
        <v>0.01230769231</v>
      </c>
      <c r="R224" s="13">
        <f t="shared" si="5"/>
        <v>0.006153846154</v>
      </c>
      <c r="S224" s="14">
        <f t="shared" si="6"/>
        <v>1.498436911</v>
      </c>
      <c r="T224" s="14">
        <f t="shared" si="7"/>
        <v>1.037274596</v>
      </c>
      <c r="U224" s="14">
        <f t="shared" si="8"/>
        <v>0.598974359</v>
      </c>
    </row>
    <row r="225" ht="15.75" customHeight="1">
      <c r="A225" s="9">
        <v>45853.280941794</v>
      </c>
      <c r="B225" s="10">
        <v>6.0</v>
      </c>
      <c r="C225" s="10" t="s">
        <v>59</v>
      </c>
      <c r="D225" s="10" t="s">
        <v>762</v>
      </c>
      <c r="E225" s="12" t="s">
        <v>62</v>
      </c>
      <c r="F225" s="11">
        <v>4355.0</v>
      </c>
      <c r="G225" s="11">
        <v>348.0</v>
      </c>
      <c r="H225" s="11">
        <v>347.0</v>
      </c>
      <c r="I225" s="11">
        <v>196.0</v>
      </c>
      <c r="J225" s="11">
        <v>42.0</v>
      </c>
      <c r="K225" s="11">
        <v>18.0</v>
      </c>
      <c r="L225" s="11">
        <v>0.0</v>
      </c>
      <c r="M225" s="13">
        <f t="shared" ref="M225:O225" si="227">IFERROR(G225/F225,"")</f>
        <v>0.07990815155</v>
      </c>
      <c r="N225" s="13">
        <f t="shared" si="227"/>
        <v>0.9971264368</v>
      </c>
      <c r="O225" s="14">
        <f t="shared" si="227"/>
        <v>0.5648414986</v>
      </c>
      <c r="P225" s="13">
        <f t="shared" si="3"/>
        <v>0.121037464</v>
      </c>
      <c r="Q225" s="13">
        <f t="shared" si="4"/>
        <v>0.05187319885</v>
      </c>
      <c r="R225" s="13">
        <f t="shared" si="5"/>
        <v>0</v>
      </c>
      <c r="S225" s="14">
        <f t="shared" si="6"/>
        <v>1.623520582</v>
      </c>
      <c r="T225" s="14">
        <f t="shared" si="7"/>
        <v>1.008689126</v>
      </c>
      <c r="U225" s="14">
        <f t="shared" si="8"/>
        <v>2.503323291</v>
      </c>
    </row>
    <row r="226" ht="15.75" customHeight="1">
      <c r="A226" s="9">
        <v>45854.0673977431</v>
      </c>
      <c r="B226" s="10">
        <v>1.0</v>
      </c>
      <c r="C226" s="10" t="s">
        <v>80</v>
      </c>
      <c r="D226" s="10" t="s">
        <v>765</v>
      </c>
      <c r="E226" s="12" t="s">
        <v>62</v>
      </c>
      <c r="F226" s="11">
        <v>3997.0</v>
      </c>
      <c r="G226" s="11">
        <v>190.0</v>
      </c>
      <c r="H226" s="11">
        <v>191.0</v>
      </c>
      <c r="I226" s="11">
        <v>106.0</v>
      </c>
      <c r="J226" s="11">
        <v>28.0</v>
      </c>
      <c r="K226" s="11">
        <v>0.0</v>
      </c>
      <c r="L226" s="11">
        <v>0.0</v>
      </c>
      <c r="M226" s="13">
        <f t="shared" ref="M226:O226" si="228">IFERROR(G226/F226,"")</f>
        <v>0.04753565174</v>
      </c>
      <c r="N226" s="13">
        <f t="shared" si="228"/>
        <v>1.005263158</v>
      </c>
      <c r="O226" s="14">
        <f t="shared" si="228"/>
        <v>0.554973822</v>
      </c>
      <c r="P226" s="13">
        <f t="shared" si="3"/>
        <v>0.1465968586</v>
      </c>
      <c r="Q226" s="13">
        <f t="shared" si="4"/>
        <v>0</v>
      </c>
      <c r="R226" s="13">
        <f t="shared" si="5"/>
        <v>0</v>
      </c>
      <c r="S226" s="14">
        <f t="shared" si="6"/>
        <v>0.9657976999</v>
      </c>
      <c r="T226" s="14">
        <f t="shared" si="7"/>
        <v>1.016920201</v>
      </c>
      <c r="U226" s="14">
        <f t="shared" si="8"/>
        <v>0</v>
      </c>
    </row>
    <row r="227" ht="15.75" customHeight="1">
      <c r="A227" s="9">
        <v>45855.281226169</v>
      </c>
      <c r="B227" s="10">
        <v>6.0</v>
      </c>
      <c r="C227" s="10" t="s">
        <v>84</v>
      </c>
      <c r="D227" s="10" t="s">
        <v>768</v>
      </c>
      <c r="E227" s="12" t="s">
        <v>62</v>
      </c>
      <c r="F227" s="11">
        <v>4609.0</v>
      </c>
      <c r="G227" s="11">
        <v>489.0</v>
      </c>
      <c r="H227" s="11">
        <v>462.0</v>
      </c>
      <c r="I227" s="11">
        <v>173.0</v>
      </c>
      <c r="J227" s="11">
        <v>58.0</v>
      </c>
      <c r="K227" s="11">
        <v>23.0</v>
      </c>
      <c r="L227" s="11">
        <v>1.0</v>
      </c>
      <c r="M227" s="13">
        <f t="shared" ref="M227:O227" si="229">IFERROR(G227/F227,"")</f>
        <v>0.1060967672</v>
      </c>
      <c r="N227" s="13">
        <f t="shared" si="229"/>
        <v>0.9447852761</v>
      </c>
      <c r="O227" s="14">
        <f t="shared" si="229"/>
        <v>0.3744588745</v>
      </c>
      <c r="P227" s="13">
        <f t="shared" si="3"/>
        <v>0.1255411255</v>
      </c>
      <c r="Q227" s="13">
        <f t="shared" si="4"/>
        <v>0.04978354978</v>
      </c>
      <c r="R227" s="13">
        <f t="shared" si="5"/>
        <v>0.002164502165</v>
      </c>
      <c r="S227" s="14">
        <f t="shared" si="6"/>
        <v>2.130423085</v>
      </c>
      <c r="T227" s="14">
        <f t="shared" si="7"/>
        <v>0.9556034281</v>
      </c>
      <c r="U227" s="14">
        <f t="shared" si="8"/>
        <v>2.422799423</v>
      </c>
    </row>
    <row r="228" ht="15.75" customHeight="1">
      <c r="A228" s="9">
        <v>45856.0684872801</v>
      </c>
      <c r="B228" s="10">
        <v>1.0</v>
      </c>
      <c r="C228" s="10" t="s">
        <v>60</v>
      </c>
      <c r="D228" s="10" t="s">
        <v>772</v>
      </c>
      <c r="E228" s="12" t="s">
        <v>62</v>
      </c>
      <c r="F228" s="11">
        <v>4263.0</v>
      </c>
      <c r="G228" s="11">
        <v>175.0</v>
      </c>
      <c r="H228" s="11">
        <v>186.0</v>
      </c>
      <c r="I228" s="11">
        <v>94.0</v>
      </c>
      <c r="J228" s="11">
        <v>22.0</v>
      </c>
      <c r="K228" s="11">
        <v>3.0</v>
      </c>
      <c r="L228" s="11">
        <v>2.0</v>
      </c>
      <c r="M228" s="13">
        <f t="shared" ref="M228:O228" si="230">IFERROR(G228/F228,"")</f>
        <v>0.04105090312</v>
      </c>
      <c r="N228" s="13">
        <f t="shared" si="230"/>
        <v>1.062857143</v>
      </c>
      <c r="O228" s="14">
        <f t="shared" si="230"/>
        <v>0.5053763441</v>
      </c>
      <c r="P228" s="13">
        <f t="shared" si="3"/>
        <v>0.1182795699</v>
      </c>
      <c r="Q228" s="13">
        <f t="shared" si="4"/>
        <v>0.01612903226</v>
      </c>
      <c r="R228" s="13">
        <f t="shared" si="5"/>
        <v>0.01075268817</v>
      </c>
      <c r="S228" s="14">
        <f t="shared" si="6"/>
        <v>0.8243021346</v>
      </c>
      <c r="T228" s="14">
        <f t="shared" si="7"/>
        <v>1.075027263</v>
      </c>
      <c r="U228" s="14">
        <f t="shared" si="8"/>
        <v>0.7849462366</v>
      </c>
    </row>
    <row r="229" ht="15.75" customHeight="1">
      <c r="A229" s="9">
        <v>45857.0690819676</v>
      </c>
      <c r="B229" s="10">
        <v>1.0</v>
      </c>
      <c r="C229" s="10" t="s">
        <v>69</v>
      </c>
      <c r="D229" s="10" t="s">
        <v>775</v>
      </c>
      <c r="E229" s="12" t="s">
        <v>62</v>
      </c>
      <c r="F229" s="11">
        <v>4517.0</v>
      </c>
      <c r="G229" s="11">
        <v>225.0</v>
      </c>
      <c r="H229" s="11">
        <v>236.0</v>
      </c>
      <c r="I229" s="11">
        <v>189.0</v>
      </c>
      <c r="J229" s="11">
        <v>34.0</v>
      </c>
      <c r="K229" s="11">
        <v>10.0</v>
      </c>
      <c r="L229" s="11">
        <v>1.0</v>
      </c>
      <c r="M229" s="13">
        <f t="shared" ref="M229:O229" si="231">IFERROR(G229/F229,"")</f>
        <v>0.04981182201</v>
      </c>
      <c r="N229" s="13">
        <f t="shared" si="231"/>
        <v>1.048888889</v>
      </c>
      <c r="O229" s="14">
        <f t="shared" si="231"/>
        <v>0.8008474576</v>
      </c>
      <c r="P229" s="13">
        <f t="shared" si="3"/>
        <v>0.1440677966</v>
      </c>
      <c r="Q229" s="13">
        <f t="shared" si="4"/>
        <v>0.04237288136</v>
      </c>
      <c r="R229" s="13">
        <f t="shared" si="5"/>
        <v>0.004237288136</v>
      </c>
      <c r="S229" s="14">
        <f t="shared" si="6"/>
        <v>1.000110681</v>
      </c>
      <c r="T229" s="14">
        <f t="shared" si="7"/>
        <v>1.059840512</v>
      </c>
      <c r="U229" s="14">
        <f t="shared" si="8"/>
        <v>2.084846223</v>
      </c>
    </row>
    <row r="230" ht="15.75" customHeight="1">
      <c r="A230" s="9">
        <v>45858.2812236921</v>
      </c>
      <c r="B230" s="10">
        <v>6.0</v>
      </c>
      <c r="C230" s="10" t="s">
        <v>77</v>
      </c>
      <c r="D230" s="10" t="s">
        <v>778</v>
      </c>
      <c r="E230" s="12" t="s">
        <v>62</v>
      </c>
      <c r="F230" s="11">
        <v>4968.0</v>
      </c>
      <c r="G230" s="11">
        <v>283.0</v>
      </c>
      <c r="H230" s="11">
        <v>281.0</v>
      </c>
      <c r="I230" s="11">
        <v>184.0</v>
      </c>
      <c r="J230" s="11">
        <v>28.0</v>
      </c>
      <c r="K230" s="11">
        <v>40.0</v>
      </c>
      <c r="L230" s="11">
        <v>1.0</v>
      </c>
      <c r="M230" s="13">
        <f t="shared" ref="M230:O230" si="232">IFERROR(G230/F230,"")</f>
        <v>0.05696457327</v>
      </c>
      <c r="N230" s="13">
        <f t="shared" si="232"/>
        <v>0.9929328622</v>
      </c>
      <c r="O230" s="14">
        <f t="shared" si="232"/>
        <v>0.6548042705</v>
      </c>
      <c r="P230" s="13">
        <f t="shared" si="3"/>
        <v>0.09964412811</v>
      </c>
      <c r="Q230" s="13">
        <f t="shared" si="4"/>
        <v>0.1423487544</v>
      </c>
      <c r="R230" s="13">
        <f t="shared" si="5"/>
        <v>0.003558718861</v>
      </c>
      <c r="S230" s="14">
        <f t="shared" si="6"/>
        <v>1.143722029</v>
      </c>
      <c r="T230" s="14">
        <f t="shared" si="7"/>
        <v>1.003300239</v>
      </c>
      <c r="U230" s="14">
        <f t="shared" si="8"/>
        <v>7.00389621</v>
      </c>
    </row>
    <row r="231" ht="15.75" customHeight="1">
      <c r="A231" s="9">
        <v>45860.2830130903</v>
      </c>
      <c r="B231" s="10">
        <v>6.0</v>
      </c>
      <c r="C231" s="10" t="s">
        <v>59</v>
      </c>
      <c r="D231" s="10" t="s">
        <v>782</v>
      </c>
      <c r="E231" s="12" t="s">
        <v>62</v>
      </c>
      <c r="F231" s="11">
        <v>5158.0</v>
      </c>
      <c r="G231" s="11">
        <v>440.0</v>
      </c>
      <c r="H231" s="11">
        <v>424.0</v>
      </c>
      <c r="I231" s="11">
        <v>162.0</v>
      </c>
      <c r="J231" s="11">
        <v>54.0</v>
      </c>
      <c r="K231" s="11">
        <v>19.0</v>
      </c>
      <c r="L231" s="11">
        <v>0.0</v>
      </c>
      <c r="M231" s="13">
        <f t="shared" ref="M231:O231" si="233">IFERROR(G231/F231,"")</f>
        <v>0.08530438154</v>
      </c>
      <c r="N231" s="13">
        <f t="shared" si="233"/>
        <v>0.9636363636</v>
      </c>
      <c r="O231" s="14">
        <f t="shared" si="233"/>
        <v>0.3820754717</v>
      </c>
      <c r="P231" s="13">
        <f t="shared" si="3"/>
        <v>0.1273584906</v>
      </c>
      <c r="Q231" s="13">
        <f t="shared" si="4"/>
        <v>0.04481132075</v>
      </c>
      <c r="R231" s="13">
        <f t="shared" si="5"/>
        <v>0</v>
      </c>
      <c r="S231" s="14">
        <f t="shared" si="6"/>
        <v>1.712911981</v>
      </c>
      <c r="T231" s="14">
        <f t="shared" si="7"/>
        <v>0.9727272727</v>
      </c>
      <c r="U231" s="14">
        <f t="shared" si="8"/>
        <v>2.18081761</v>
      </c>
    </row>
    <row r="232" ht="15.75" customHeight="1">
      <c r="A232" s="9">
        <v>45862.2837181019</v>
      </c>
      <c r="B232" s="10">
        <v>6.0</v>
      </c>
      <c r="C232" s="10" t="s">
        <v>84</v>
      </c>
      <c r="D232" s="10" t="s">
        <v>785</v>
      </c>
      <c r="E232" s="12" t="s">
        <v>62</v>
      </c>
      <c r="F232" s="11">
        <v>5115.0</v>
      </c>
      <c r="G232" s="11">
        <v>374.0</v>
      </c>
      <c r="H232" s="11">
        <v>379.0</v>
      </c>
      <c r="I232" s="11">
        <v>252.0</v>
      </c>
      <c r="J232" s="11">
        <v>70.0</v>
      </c>
      <c r="K232" s="11">
        <v>9.0</v>
      </c>
      <c r="L232" s="11">
        <v>0.0</v>
      </c>
      <c r="M232" s="13">
        <f t="shared" ref="M232:O232" si="234">IFERROR(G232/F232,"")</f>
        <v>0.07311827957</v>
      </c>
      <c r="N232" s="13">
        <f t="shared" si="234"/>
        <v>1.013368984</v>
      </c>
      <c r="O232" s="14">
        <f t="shared" si="234"/>
        <v>0.6649076517</v>
      </c>
      <c r="P232" s="13">
        <f t="shared" si="3"/>
        <v>0.1846965699</v>
      </c>
      <c r="Q232" s="13">
        <f t="shared" si="4"/>
        <v>0.02374670185</v>
      </c>
      <c r="R232" s="13">
        <f t="shared" si="5"/>
        <v>0</v>
      </c>
      <c r="S232" s="14">
        <f t="shared" si="6"/>
        <v>1.485568487</v>
      </c>
      <c r="T232" s="14">
        <f t="shared" si="7"/>
        <v>1.023949738</v>
      </c>
      <c r="U232" s="14">
        <f t="shared" si="8"/>
        <v>1.145980451</v>
      </c>
    </row>
    <row r="233" ht="15.75" customHeight="1">
      <c r="A233" s="9">
        <v>45865.284169375</v>
      </c>
      <c r="B233" s="10">
        <v>6.0</v>
      </c>
      <c r="C233" s="10" t="s">
        <v>77</v>
      </c>
      <c r="D233" s="10" t="s">
        <v>788</v>
      </c>
      <c r="E233" s="12" t="s">
        <v>62</v>
      </c>
      <c r="F233" s="11">
        <v>4940.0</v>
      </c>
      <c r="G233" s="11">
        <v>322.0</v>
      </c>
      <c r="H233" s="11">
        <v>300.0</v>
      </c>
      <c r="I233" s="11">
        <v>192.0</v>
      </c>
      <c r="J233" s="11">
        <v>47.0</v>
      </c>
      <c r="K233" s="11">
        <v>6.0</v>
      </c>
      <c r="L233" s="11">
        <v>0.0</v>
      </c>
      <c r="M233" s="13">
        <f t="shared" ref="M233:O233" si="235">IFERROR(G233/F233,"")</f>
        <v>0.06518218623</v>
      </c>
      <c r="N233" s="13">
        <f t="shared" si="235"/>
        <v>0.9316770186</v>
      </c>
      <c r="O233" s="14">
        <f t="shared" si="235"/>
        <v>0.64</v>
      </c>
      <c r="P233" s="13">
        <f t="shared" si="3"/>
        <v>0.1566666667</v>
      </c>
      <c r="Q233" s="13">
        <f t="shared" si="4"/>
        <v>0.02</v>
      </c>
      <c r="R233" s="13">
        <f t="shared" si="5"/>
        <v>0</v>
      </c>
      <c r="S233" s="14">
        <f t="shared" si="6"/>
        <v>1.32432823</v>
      </c>
      <c r="T233" s="14">
        <f t="shared" si="7"/>
        <v>0.941404813</v>
      </c>
      <c r="U233" s="14">
        <f t="shared" si="8"/>
        <v>0.9651702023</v>
      </c>
    </row>
    <row r="234" ht="15.75" customHeight="1">
      <c r="A234" s="9">
        <v>45866.6281469444</v>
      </c>
      <c r="B234" s="10">
        <v>15.0</v>
      </c>
      <c r="C234" s="10" t="s">
        <v>71</v>
      </c>
      <c r="D234" s="10" t="s">
        <v>790</v>
      </c>
      <c r="E234" s="12" t="s">
        <v>62</v>
      </c>
      <c r="F234" s="11">
        <v>5103.0</v>
      </c>
      <c r="G234" s="11">
        <v>447.0</v>
      </c>
      <c r="H234" s="11">
        <v>415.0</v>
      </c>
      <c r="I234" s="11">
        <v>249.0</v>
      </c>
      <c r="J234" s="11">
        <v>63.0</v>
      </c>
      <c r="K234" s="11">
        <v>8.0</v>
      </c>
      <c r="L234" s="11">
        <v>2.0</v>
      </c>
      <c r="M234" s="13">
        <f t="shared" ref="M234:O234" si="236">IFERROR(G234/F234,"")</f>
        <v>0.08759553204</v>
      </c>
      <c r="N234" s="13">
        <f t="shared" si="236"/>
        <v>0.9284116331</v>
      </c>
      <c r="O234" s="14">
        <f t="shared" si="236"/>
        <v>0.6</v>
      </c>
      <c r="P234" s="13">
        <f t="shared" si="3"/>
        <v>0.1518072289</v>
      </c>
      <c r="Q234" s="13">
        <f t="shared" si="4"/>
        <v>0.01927710843</v>
      </c>
      <c r="R234" s="13">
        <f t="shared" si="5"/>
        <v>0.004819277108</v>
      </c>
      <c r="S234" s="14">
        <f t="shared" si="6"/>
        <v>1.813838192</v>
      </c>
      <c r="T234" s="14">
        <f t="shared" si="7"/>
        <v>0.939177505</v>
      </c>
      <c r="U234" s="14">
        <f t="shared" si="8"/>
        <v>0.9215134726</v>
      </c>
    </row>
    <row r="235" ht="15.75" customHeight="1">
      <c r="A235" s="9">
        <v>45867.4529163889</v>
      </c>
      <c r="B235" s="10">
        <v>10.0</v>
      </c>
      <c r="C235" s="10" t="s">
        <v>59</v>
      </c>
      <c r="D235" s="10" t="s">
        <v>793</v>
      </c>
      <c r="E235" s="12" t="s">
        <v>62</v>
      </c>
      <c r="F235" s="11">
        <v>4719.0</v>
      </c>
      <c r="G235" s="11">
        <v>330.0</v>
      </c>
      <c r="H235" s="11">
        <v>329.0</v>
      </c>
      <c r="I235" s="11">
        <v>156.0</v>
      </c>
      <c r="J235" s="11">
        <v>61.0</v>
      </c>
      <c r="K235" s="11">
        <v>9.0</v>
      </c>
      <c r="L235" s="11">
        <v>1.0</v>
      </c>
      <c r="M235" s="13">
        <f t="shared" ref="M235:O235" si="237">IFERROR(G235/F235,"")</f>
        <v>0.06993006993</v>
      </c>
      <c r="N235" s="13">
        <f t="shared" si="237"/>
        <v>0.996969697</v>
      </c>
      <c r="O235" s="14">
        <f t="shared" si="237"/>
        <v>0.4741641337</v>
      </c>
      <c r="P235" s="13">
        <f t="shared" si="3"/>
        <v>0.1854103343</v>
      </c>
      <c r="Q235" s="13">
        <f t="shared" si="4"/>
        <v>0.0273556231</v>
      </c>
      <c r="R235" s="13">
        <f t="shared" si="5"/>
        <v>0.003039513678</v>
      </c>
      <c r="S235" s="14">
        <f t="shared" si="6"/>
        <v>1.458440888</v>
      </c>
      <c r="T235" s="14">
        <f t="shared" si="7"/>
        <v>1.008385381</v>
      </c>
      <c r="U235" s="14">
        <f t="shared" si="8"/>
        <v>1.306231003</v>
      </c>
    </row>
    <row r="236" ht="15.75" customHeight="1">
      <c r="A236" s="9">
        <v>45869.6201954745</v>
      </c>
      <c r="B236" s="10">
        <v>14.0</v>
      </c>
      <c r="C236" s="10" t="s">
        <v>84</v>
      </c>
      <c r="D236" s="10" t="s">
        <v>796</v>
      </c>
      <c r="E236" s="12" t="s">
        <v>62</v>
      </c>
      <c r="F236" s="11">
        <v>4489.0</v>
      </c>
      <c r="G236" s="11">
        <v>258.0</v>
      </c>
      <c r="H236" s="11">
        <v>294.0</v>
      </c>
      <c r="I236" s="11">
        <v>196.0</v>
      </c>
      <c r="J236" s="11">
        <v>44.0</v>
      </c>
      <c r="K236" s="11">
        <v>8.0</v>
      </c>
      <c r="L236" s="11">
        <v>0.0</v>
      </c>
      <c r="M236" s="13">
        <f t="shared" ref="M236:O236" si="238">IFERROR(G236/F236,"")</f>
        <v>0.05747382491</v>
      </c>
      <c r="N236" s="13">
        <f t="shared" si="238"/>
        <v>1.139534884</v>
      </c>
      <c r="O236" s="14">
        <f t="shared" si="238"/>
        <v>0.6666666667</v>
      </c>
      <c r="P236" s="13">
        <f t="shared" si="3"/>
        <v>0.1496598639</v>
      </c>
      <c r="Q236" s="13">
        <f t="shared" si="4"/>
        <v>0.02721088435</v>
      </c>
      <c r="R236" s="13">
        <f t="shared" si="5"/>
        <v>0</v>
      </c>
      <c r="S236" s="14">
        <f t="shared" si="6"/>
        <v>1.181681659</v>
      </c>
      <c r="T236" s="14">
        <f t="shared" si="7"/>
        <v>1.150285213</v>
      </c>
      <c r="U236" s="14">
        <f t="shared" si="8"/>
        <v>1.298347911</v>
      </c>
    </row>
    <row r="237" ht="15.75" customHeight="1">
      <c r="A237" s="9">
        <v>45872.6207667593</v>
      </c>
      <c r="B237" s="10">
        <v>14.0</v>
      </c>
      <c r="C237" s="10" t="s">
        <v>77</v>
      </c>
      <c r="D237" s="10" t="s">
        <v>799</v>
      </c>
      <c r="E237" s="12" t="s">
        <v>62</v>
      </c>
      <c r="F237" s="11">
        <v>4594.0</v>
      </c>
      <c r="G237" s="11">
        <v>245.0</v>
      </c>
      <c r="H237" s="11">
        <v>311.0</v>
      </c>
      <c r="I237" s="11">
        <v>181.0</v>
      </c>
      <c r="J237" s="11">
        <v>45.0</v>
      </c>
      <c r="K237" s="11">
        <v>9.0</v>
      </c>
      <c r="L237" s="11">
        <v>3.0</v>
      </c>
      <c r="M237" s="13">
        <f t="shared" ref="M237:O237" si="239">IFERROR(G237/F237,"")</f>
        <v>0.053330431</v>
      </c>
      <c r="N237" s="13">
        <f t="shared" si="239"/>
        <v>1.269387755</v>
      </c>
      <c r="O237" s="14">
        <f t="shared" si="239"/>
        <v>0.5819935691</v>
      </c>
      <c r="P237" s="13">
        <f t="shared" si="3"/>
        <v>0.1446945338</v>
      </c>
      <c r="Q237" s="13">
        <f t="shared" si="4"/>
        <v>0.02893890675</v>
      </c>
      <c r="R237" s="13">
        <f t="shared" si="5"/>
        <v>0.009646302251</v>
      </c>
      <c r="S237" s="14">
        <f t="shared" si="6"/>
        <v>1.083532164</v>
      </c>
      <c r="T237" s="14">
        <f t="shared" si="7"/>
        <v>1.278863543</v>
      </c>
      <c r="U237" s="14">
        <f t="shared" si="8"/>
        <v>1.381315838</v>
      </c>
    </row>
    <row r="238" ht="15.75" customHeight="1">
      <c r="A238" s="9">
        <v>45874.620956412</v>
      </c>
      <c r="B238" s="10">
        <v>14.0</v>
      </c>
      <c r="C238" s="10" t="s">
        <v>59</v>
      </c>
      <c r="D238" s="10" t="s">
        <v>802</v>
      </c>
      <c r="E238" s="12" t="s">
        <v>62</v>
      </c>
      <c r="F238" s="11">
        <v>4612.0</v>
      </c>
      <c r="G238" s="11">
        <v>265.0</v>
      </c>
      <c r="H238" s="11">
        <v>382.0</v>
      </c>
      <c r="I238" s="11">
        <v>205.0</v>
      </c>
      <c r="J238" s="11">
        <v>66.0</v>
      </c>
      <c r="K238" s="11">
        <v>8.0</v>
      </c>
      <c r="L238" s="11">
        <v>0.0</v>
      </c>
      <c r="M238" s="13">
        <f t="shared" ref="M238:O238" si="240">IFERROR(G238/F238,"")</f>
        <v>0.05745880312</v>
      </c>
      <c r="N238" s="13">
        <f t="shared" si="240"/>
        <v>1.441509434</v>
      </c>
      <c r="O238" s="14">
        <f t="shared" si="240"/>
        <v>0.5366492147</v>
      </c>
      <c r="P238" s="13">
        <f t="shared" si="3"/>
        <v>0.1727748691</v>
      </c>
      <c r="Q238" s="13">
        <f t="shared" si="4"/>
        <v>0.02094240838</v>
      </c>
      <c r="R238" s="13">
        <f t="shared" si="5"/>
        <v>0</v>
      </c>
      <c r="S238" s="14">
        <f t="shared" si="6"/>
        <v>1.153772767</v>
      </c>
      <c r="T238" s="14">
        <f t="shared" si="7"/>
        <v>1.45158992</v>
      </c>
      <c r="U238" s="14">
        <f t="shared" si="8"/>
        <v>0.9992520568</v>
      </c>
    </row>
    <row r="239" ht="15.75" customHeight="1">
      <c r="A239" s="9">
        <v>45876.622559456</v>
      </c>
      <c r="B239" s="10">
        <v>14.0</v>
      </c>
      <c r="C239" s="10" t="s">
        <v>84</v>
      </c>
      <c r="D239" s="10" t="s">
        <v>805</v>
      </c>
      <c r="E239" s="12" t="s">
        <v>62</v>
      </c>
      <c r="F239" s="11">
        <v>4753.0</v>
      </c>
      <c r="G239" s="11">
        <v>286.0</v>
      </c>
      <c r="H239" s="11">
        <v>451.0</v>
      </c>
      <c r="I239" s="11">
        <v>270.0</v>
      </c>
      <c r="J239" s="11">
        <v>46.0</v>
      </c>
      <c r="K239" s="11">
        <v>8.0</v>
      </c>
      <c r="L239" s="11">
        <v>0.0</v>
      </c>
      <c r="M239" s="13">
        <f t="shared" ref="M239:O239" si="241">IFERROR(G239/F239,"")</f>
        <v>0.06017252262</v>
      </c>
      <c r="N239" s="13">
        <f t="shared" si="241"/>
        <v>1.576923077</v>
      </c>
      <c r="O239" s="14">
        <f t="shared" si="241"/>
        <v>0.5986696231</v>
      </c>
      <c r="P239" s="13">
        <f t="shared" si="3"/>
        <v>0.1019955654</v>
      </c>
      <c r="Q239" s="13">
        <f t="shared" si="4"/>
        <v>0.0177383592</v>
      </c>
      <c r="R239" s="13">
        <f t="shared" si="5"/>
        <v>0</v>
      </c>
      <c r="S239" s="14">
        <f t="shared" si="6"/>
        <v>1.208130523</v>
      </c>
      <c r="T239" s="14">
        <f t="shared" si="7"/>
        <v>1.588048614</v>
      </c>
      <c r="U239" s="14">
        <f t="shared" si="8"/>
        <v>0.846689777</v>
      </c>
    </row>
    <row r="240" ht="15.75" customHeight="1">
      <c r="A240" s="9">
        <v>45879.7064111343</v>
      </c>
      <c r="B240" s="10">
        <v>16.0</v>
      </c>
      <c r="C240" s="10" t="s">
        <v>77</v>
      </c>
      <c r="D240" s="10" t="s">
        <v>808</v>
      </c>
      <c r="E240" s="12" t="s">
        <v>62</v>
      </c>
      <c r="F240" s="11">
        <v>4942.0</v>
      </c>
      <c r="G240" s="11">
        <v>212.0</v>
      </c>
      <c r="H240" s="11">
        <v>257.0</v>
      </c>
      <c r="I240" s="11">
        <v>150.0</v>
      </c>
      <c r="J240" s="11">
        <v>70.0</v>
      </c>
      <c r="K240" s="11">
        <v>11.0</v>
      </c>
      <c r="L240" s="11">
        <v>0.0</v>
      </c>
      <c r="M240" s="13">
        <f t="shared" ref="M240:O240" si="242">IFERROR(G240/F240,"")</f>
        <v>0.0428976123</v>
      </c>
      <c r="N240" s="13">
        <f t="shared" si="242"/>
        <v>1.212264151</v>
      </c>
      <c r="O240" s="14">
        <f t="shared" si="242"/>
        <v>0.5836575875</v>
      </c>
      <c r="P240" s="13">
        <f t="shared" si="3"/>
        <v>0.2723735409</v>
      </c>
      <c r="Q240" s="13">
        <f t="shared" si="4"/>
        <v>0.04280155642</v>
      </c>
      <c r="R240" s="13">
        <f t="shared" si="5"/>
        <v>0</v>
      </c>
      <c r="S240" s="14">
        <f t="shared" si="6"/>
        <v>0.8552250952</v>
      </c>
      <c r="T240" s="14">
        <f t="shared" si="7"/>
        <v>1.220543685</v>
      </c>
      <c r="U240" s="14">
        <f t="shared" si="8"/>
        <v>2.04300972</v>
      </c>
    </row>
    <row r="241" ht="15.75" customHeight="1">
      <c r="A241" s="9">
        <v>45881.5820652431</v>
      </c>
      <c r="B241" s="10">
        <v>13.0</v>
      </c>
      <c r="C241" s="10" t="s">
        <v>59</v>
      </c>
      <c r="D241" s="10" t="s">
        <v>811</v>
      </c>
      <c r="E241" s="12" t="s">
        <v>62</v>
      </c>
      <c r="F241" s="11">
        <v>5029.0</v>
      </c>
      <c r="G241" s="11">
        <v>254.0</v>
      </c>
      <c r="H241" s="11">
        <v>334.0</v>
      </c>
      <c r="I241" s="11">
        <v>201.0</v>
      </c>
      <c r="J241" s="11">
        <v>82.0</v>
      </c>
      <c r="K241" s="11">
        <v>7.0</v>
      </c>
      <c r="L241" s="11">
        <v>0.0</v>
      </c>
      <c r="M241" s="13">
        <f t="shared" ref="M241:O241" si="243">IFERROR(G241/F241,"")</f>
        <v>0.05050705906</v>
      </c>
      <c r="N241" s="13">
        <f t="shared" si="243"/>
        <v>1.31496063</v>
      </c>
      <c r="O241" s="14">
        <f t="shared" si="243"/>
        <v>0.6017964072</v>
      </c>
      <c r="P241" s="13">
        <f t="shared" si="3"/>
        <v>0.245508982</v>
      </c>
      <c r="Q241" s="13">
        <f t="shared" si="4"/>
        <v>0.02095808383</v>
      </c>
      <c r="R241" s="13">
        <f t="shared" si="5"/>
        <v>0</v>
      </c>
      <c r="S241" s="14">
        <f t="shared" si="6"/>
        <v>1.014069496</v>
      </c>
      <c r="T241" s="14">
        <f t="shared" si="7"/>
        <v>1.323941562</v>
      </c>
      <c r="U241" s="14">
        <f t="shared" si="8"/>
        <v>1.000374111</v>
      </c>
    </row>
    <row r="242" ht="15.75" customHeight="1">
      <c r="A242" s="9">
        <v>45883.5824790509</v>
      </c>
      <c r="B242" s="10">
        <v>13.0</v>
      </c>
      <c r="C242" s="10" t="s">
        <v>84</v>
      </c>
      <c r="D242" s="10" t="s">
        <v>815</v>
      </c>
      <c r="E242" s="12" t="s">
        <v>62</v>
      </c>
      <c r="F242" s="11">
        <v>5046.0</v>
      </c>
      <c r="G242" s="11">
        <v>311.0</v>
      </c>
      <c r="H242" s="11">
        <v>367.0</v>
      </c>
      <c r="I242" s="11">
        <v>193.0</v>
      </c>
      <c r="J242" s="11">
        <v>68.0</v>
      </c>
      <c r="K242" s="11">
        <v>8.0</v>
      </c>
      <c r="L242" s="11">
        <v>1.0</v>
      </c>
      <c r="M242" s="13">
        <f t="shared" ref="M242:O242" si="244">IFERROR(G242/F242,"")</f>
        <v>0.06163297662</v>
      </c>
      <c r="N242" s="13">
        <f t="shared" si="244"/>
        <v>1.180064309</v>
      </c>
      <c r="O242" s="14">
        <f t="shared" si="244"/>
        <v>0.5258855586</v>
      </c>
      <c r="P242" s="13">
        <f t="shared" si="3"/>
        <v>0.1852861035</v>
      </c>
      <c r="Q242" s="13">
        <f t="shared" si="4"/>
        <v>0.02179836512</v>
      </c>
      <c r="R242" s="13">
        <f t="shared" si="5"/>
        <v>0.00272479564</v>
      </c>
      <c r="S242" s="14">
        <f t="shared" si="6"/>
        <v>1.220284407</v>
      </c>
      <c r="T242" s="14">
        <f t="shared" si="7"/>
        <v>1.188316507</v>
      </c>
      <c r="U242" s="14">
        <f t="shared" si="8"/>
        <v>1.040093422</v>
      </c>
    </row>
    <row r="243" ht="15.75" customHeight="1">
      <c r="A243" s="9">
        <v>45886.5419283218</v>
      </c>
      <c r="B243" s="10">
        <v>13.0</v>
      </c>
      <c r="C243" s="10" t="s">
        <v>77</v>
      </c>
      <c r="D243" s="10" t="s">
        <v>817</v>
      </c>
      <c r="E243" s="12" t="s">
        <v>62</v>
      </c>
      <c r="F243" s="11">
        <v>4955.0</v>
      </c>
      <c r="G243" s="11">
        <v>347.0</v>
      </c>
      <c r="H243" s="11">
        <v>458.0</v>
      </c>
      <c r="I243" s="11">
        <v>288.0</v>
      </c>
      <c r="J243" s="11">
        <v>61.0</v>
      </c>
      <c r="K243" s="11">
        <v>9.0</v>
      </c>
      <c r="L243" s="11">
        <v>2.0</v>
      </c>
      <c r="M243" s="13">
        <f t="shared" ref="M243:O243" si="245">IFERROR(G243/F243,"")</f>
        <v>0.07003027245</v>
      </c>
      <c r="N243" s="13">
        <f t="shared" si="245"/>
        <v>1.319884726</v>
      </c>
      <c r="O243" s="14">
        <f t="shared" si="245"/>
        <v>0.6288209607</v>
      </c>
      <c r="P243" s="13">
        <f t="shared" si="3"/>
        <v>0.1331877729</v>
      </c>
      <c r="Q243" s="13">
        <f t="shared" si="4"/>
        <v>0.01965065502</v>
      </c>
      <c r="R243" s="13">
        <f t="shared" si="5"/>
        <v>0.004366812227</v>
      </c>
      <c r="S243" s="14">
        <f t="shared" si="6"/>
        <v>1.378668255</v>
      </c>
      <c r="T243" s="14">
        <f t="shared" si="7"/>
        <v>1.328683958</v>
      </c>
      <c r="U243" s="14">
        <f t="shared" si="8"/>
        <v>0.927510917</v>
      </c>
    </row>
    <row r="244" ht="15.75" customHeight="1">
      <c r="A244" s="9">
        <v>45888.5419906713</v>
      </c>
      <c r="B244" s="10">
        <v>13.0</v>
      </c>
      <c r="C244" s="10" t="s">
        <v>59</v>
      </c>
      <c r="D244" s="10" t="s">
        <v>820</v>
      </c>
      <c r="E244" s="12" t="s">
        <v>62</v>
      </c>
      <c r="F244" s="11">
        <v>4770.0</v>
      </c>
      <c r="G244" s="11">
        <v>232.0</v>
      </c>
      <c r="H244" s="11">
        <v>382.0</v>
      </c>
      <c r="I244" s="11">
        <v>200.0</v>
      </c>
      <c r="J244" s="11">
        <v>79.0</v>
      </c>
      <c r="K244" s="11">
        <v>3.0</v>
      </c>
      <c r="L244" s="11">
        <v>0.0</v>
      </c>
      <c r="M244" s="13">
        <f t="shared" ref="M244:O244" si="246">IFERROR(G244/F244,"")</f>
        <v>0.04863731656</v>
      </c>
      <c r="N244" s="13">
        <f t="shared" si="246"/>
        <v>1.646551724</v>
      </c>
      <c r="O244" s="14">
        <f t="shared" si="246"/>
        <v>0.5235602094</v>
      </c>
      <c r="P244" s="13">
        <f t="shared" si="3"/>
        <v>0.2068062827</v>
      </c>
      <c r="Q244" s="13">
        <f t="shared" si="4"/>
        <v>0.007853403141</v>
      </c>
      <c r="R244" s="13">
        <f t="shared" si="5"/>
        <v>0</v>
      </c>
      <c r="S244" s="14">
        <f t="shared" si="6"/>
        <v>0.9203193896</v>
      </c>
      <c r="T244" s="14">
        <f t="shared" si="7"/>
        <v>1.656717537</v>
      </c>
      <c r="U244" s="14">
        <f t="shared" si="8"/>
        <v>0.3698936206</v>
      </c>
    </row>
    <row r="245" ht="15.75" customHeight="1">
      <c r="A245" s="9">
        <v>45890.6259057523</v>
      </c>
      <c r="B245" s="10">
        <v>15.0</v>
      </c>
      <c r="C245" s="10" t="s">
        <v>84</v>
      </c>
      <c r="D245" s="10" t="s">
        <v>823</v>
      </c>
      <c r="E245" s="12" t="s">
        <v>62</v>
      </c>
      <c r="F245" s="11">
        <v>4884.0</v>
      </c>
      <c r="G245" s="11">
        <v>224.0</v>
      </c>
      <c r="H245" s="11">
        <v>309.0</v>
      </c>
      <c r="I245" s="11">
        <v>227.0</v>
      </c>
      <c r="J245" s="11">
        <v>65.0</v>
      </c>
      <c r="K245" s="11">
        <v>7.0</v>
      </c>
      <c r="L245" s="11">
        <v>0.0</v>
      </c>
      <c r="M245" s="13">
        <f t="shared" ref="M245:O245" si="247">IFERROR(G245/F245,"")</f>
        <v>0.04586404586</v>
      </c>
      <c r="N245" s="13">
        <f t="shared" si="247"/>
        <v>1.379464286</v>
      </c>
      <c r="O245" s="14">
        <f t="shared" si="247"/>
        <v>0.7346278317</v>
      </c>
      <c r="P245" s="13">
        <f t="shared" si="3"/>
        <v>0.2103559871</v>
      </c>
      <c r="Q245" s="13">
        <f t="shared" si="4"/>
        <v>0.02265372168</v>
      </c>
      <c r="R245" s="13">
        <f t="shared" si="5"/>
        <v>0</v>
      </c>
      <c r="S245" s="14">
        <f t="shared" si="6"/>
        <v>0.8671858709</v>
      </c>
      <c r="T245" s="14">
        <f t="shared" si="7"/>
        <v>1.388660714</v>
      </c>
      <c r="U245" s="14">
        <f t="shared" si="8"/>
        <v>1.069255663</v>
      </c>
    </row>
    <row r="246" ht="15.75" customHeight="1">
      <c r="A246" s="9">
        <v>45893.4181971875</v>
      </c>
      <c r="B246" s="10">
        <v>10.0</v>
      </c>
      <c r="C246" s="10" t="s">
        <v>77</v>
      </c>
      <c r="D246" s="10" t="s">
        <v>826</v>
      </c>
      <c r="E246" s="12" t="s">
        <v>62</v>
      </c>
      <c r="F246" s="11">
        <v>5378.0</v>
      </c>
      <c r="G246" s="11">
        <v>226.0</v>
      </c>
      <c r="H246" s="11">
        <v>394.0</v>
      </c>
      <c r="I246" s="11">
        <v>200.0</v>
      </c>
      <c r="J246" s="11">
        <v>58.0</v>
      </c>
      <c r="K246" s="11">
        <v>6.0</v>
      </c>
      <c r="L246" s="11">
        <v>0.0</v>
      </c>
      <c r="M246" s="13">
        <f t="shared" ref="M246:O246" si="248">IFERROR(G246/F246,"")</f>
        <v>0.0420230569</v>
      </c>
      <c r="N246" s="13">
        <f t="shared" si="248"/>
        <v>1.743362832</v>
      </c>
      <c r="O246" s="14">
        <f t="shared" si="248"/>
        <v>0.5076142132</v>
      </c>
      <c r="P246" s="13">
        <f t="shared" si="3"/>
        <v>0.1472081218</v>
      </c>
      <c r="Q246" s="13">
        <f t="shared" si="4"/>
        <v>0.0152284264</v>
      </c>
      <c r="R246" s="13">
        <f t="shared" si="5"/>
        <v>0</v>
      </c>
      <c r="S246" s="14">
        <f t="shared" si="6"/>
        <v>0.7871127182</v>
      </c>
      <c r="T246" s="14">
        <f t="shared" si="7"/>
        <v>1.753268302</v>
      </c>
      <c r="U246" s="14">
        <f t="shared" si="8"/>
        <v>0.7187817259</v>
      </c>
    </row>
    <row r="247" ht="15.75" customHeight="1">
      <c r="A247" s="9">
        <v>45895.5439463426</v>
      </c>
      <c r="B247" s="10">
        <v>13.0</v>
      </c>
      <c r="C247" s="10" t="s">
        <v>59</v>
      </c>
      <c r="D247" s="10" t="s">
        <v>829</v>
      </c>
      <c r="E247" s="12" t="s">
        <v>62</v>
      </c>
      <c r="F247" s="11">
        <v>5341.0</v>
      </c>
      <c r="G247" s="11">
        <v>214.0</v>
      </c>
      <c r="H247" s="11">
        <v>265.0</v>
      </c>
      <c r="I247" s="11">
        <v>174.0</v>
      </c>
      <c r="J247" s="11">
        <v>50.0</v>
      </c>
      <c r="K247" s="11">
        <v>3.0</v>
      </c>
      <c r="L247" s="11">
        <v>1.0</v>
      </c>
      <c r="M247" s="13">
        <f t="shared" ref="M247:O247" si="249">IFERROR(G247/F247,"")</f>
        <v>0.04006740311</v>
      </c>
      <c r="N247" s="13">
        <f t="shared" si="249"/>
        <v>1.238317757</v>
      </c>
      <c r="O247" s="14">
        <f t="shared" si="249"/>
        <v>0.6566037736</v>
      </c>
      <c r="P247" s="13">
        <f t="shared" si="3"/>
        <v>0.1886792453</v>
      </c>
      <c r="Q247" s="13">
        <f t="shared" si="4"/>
        <v>0.01132075472</v>
      </c>
      <c r="R247" s="13">
        <f t="shared" si="5"/>
        <v>0.003773584906</v>
      </c>
      <c r="S247" s="14">
        <f t="shared" si="6"/>
        <v>0.7408234685</v>
      </c>
      <c r="T247" s="14">
        <f t="shared" si="7"/>
        <v>1.245219072</v>
      </c>
      <c r="U247" s="14">
        <f t="shared" si="8"/>
        <v>0.5288211875</v>
      </c>
    </row>
    <row r="248" ht="15.75" customHeight="1">
      <c r="A248" s="9">
        <v>45900.6698036227</v>
      </c>
      <c r="B248" s="10">
        <v>16.0</v>
      </c>
      <c r="C248" s="10" t="s">
        <v>77</v>
      </c>
      <c r="D248" s="10" t="s">
        <v>832</v>
      </c>
      <c r="E248" s="12" t="s">
        <v>62</v>
      </c>
      <c r="F248" s="11">
        <v>5817.0</v>
      </c>
      <c r="G248" s="11">
        <v>208.0</v>
      </c>
      <c r="H248" s="11">
        <v>335.0</v>
      </c>
      <c r="I248" s="11">
        <v>192.0</v>
      </c>
      <c r="J248" s="11">
        <v>44.0</v>
      </c>
      <c r="K248" s="11">
        <v>7.0</v>
      </c>
      <c r="L248" s="11">
        <v>0.0</v>
      </c>
      <c r="M248" s="13">
        <f t="shared" ref="M248:O248" si="250">IFERROR(G248/F248,"")</f>
        <v>0.03575726319</v>
      </c>
      <c r="N248" s="13">
        <f t="shared" si="250"/>
        <v>1.610576923</v>
      </c>
      <c r="O248" s="14">
        <f t="shared" si="250"/>
        <v>0.5731343284</v>
      </c>
      <c r="P248" s="13">
        <f t="shared" si="3"/>
        <v>0.1313432836</v>
      </c>
      <c r="Q248" s="13">
        <f t="shared" si="4"/>
        <v>0.02089552239</v>
      </c>
      <c r="R248" s="13">
        <f t="shared" si="5"/>
        <v>0</v>
      </c>
      <c r="S248" s="14">
        <f t="shared" si="6"/>
        <v>0.6331155366</v>
      </c>
      <c r="T248" s="14">
        <f t="shared" si="7"/>
        <v>1.614236957</v>
      </c>
      <c r="U248" s="14">
        <f t="shared" si="8"/>
        <v>0.9760828883</v>
      </c>
    </row>
    <row r="249" ht="15.75" customHeight="1">
      <c r="A249" s="9">
        <v>45902.5868786921</v>
      </c>
      <c r="B249" s="10">
        <v>14.0</v>
      </c>
      <c r="C249" s="10" t="s">
        <v>59</v>
      </c>
      <c r="D249" s="10" t="s">
        <v>835</v>
      </c>
      <c r="E249" s="12" t="s">
        <v>62</v>
      </c>
      <c r="F249" s="11">
        <v>5103.0</v>
      </c>
      <c r="G249" s="11">
        <v>154.0</v>
      </c>
      <c r="H249" s="11">
        <v>258.0</v>
      </c>
      <c r="I249" s="11">
        <v>145.0</v>
      </c>
      <c r="J249" s="11">
        <v>55.0</v>
      </c>
      <c r="K249" s="11">
        <v>10.0</v>
      </c>
      <c r="L249" s="11">
        <v>0.0</v>
      </c>
      <c r="M249" s="13">
        <f t="shared" ref="M249:O249" si="251">IFERROR(G249/F249,"")</f>
        <v>0.03017832647</v>
      </c>
      <c r="N249" s="13">
        <f t="shared" si="251"/>
        <v>1.675324675</v>
      </c>
      <c r="O249" s="14">
        <f t="shared" si="251"/>
        <v>0.5620155039</v>
      </c>
      <c r="P249" s="13">
        <f t="shared" si="3"/>
        <v>0.2131782946</v>
      </c>
      <c r="Q249" s="13">
        <f t="shared" si="4"/>
        <v>0.03875968992</v>
      </c>
      <c r="R249" s="13">
        <f t="shared" si="5"/>
        <v>0</v>
      </c>
      <c r="S249" s="14">
        <f t="shared" si="6"/>
        <v>0.5303810333</v>
      </c>
      <c r="T249" s="14">
        <f t="shared" si="7"/>
        <v>1.678112237</v>
      </c>
      <c r="U249" s="14">
        <f t="shared" si="8"/>
        <v>1.778100775</v>
      </c>
    </row>
    <row r="250" ht="15.75" customHeight="1">
      <c r="A250" s="9">
        <v>45904.6291239815</v>
      </c>
      <c r="B250" s="10">
        <v>15.0</v>
      </c>
      <c r="C250" s="10" t="s">
        <v>84</v>
      </c>
      <c r="D250" s="10" t="s">
        <v>838</v>
      </c>
      <c r="E250" s="12" t="s">
        <v>62</v>
      </c>
      <c r="F250" s="11">
        <v>5124.0</v>
      </c>
      <c r="G250" s="11">
        <v>271.0</v>
      </c>
      <c r="H250" s="11">
        <v>364.0</v>
      </c>
      <c r="I250" s="11">
        <v>228.0</v>
      </c>
      <c r="J250" s="11">
        <v>66.0</v>
      </c>
      <c r="K250" s="11">
        <v>13.0</v>
      </c>
      <c r="L250" s="11">
        <v>0.0</v>
      </c>
      <c r="M250" s="13">
        <f t="shared" ref="M250:O250" si="252">IFERROR(G250/F250,"")</f>
        <v>0.05288836846</v>
      </c>
      <c r="N250" s="13">
        <f t="shared" si="252"/>
        <v>1.343173432</v>
      </c>
      <c r="O250" s="14">
        <f t="shared" si="252"/>
        <v>0.6263736264</v>
      </c>
      <c r="P250" s="13">
        <f t="shared" si="3"/>
        <v>0.1813186813</v>
      </c>
      <c r="Q250" s="13">
        <f t="shared" si="4"/>
        <v>0.03571428571</v>
      </c>
      <c r="R250" s="13">
        <f t="shared" si="5"/>
        <v>0</v>
      </c>
      <c r="S250" s="14">
        <f t="shared" si="6"/>
        <v>0.9289751368</v>
      </c>
      <c r="T250" s="14">
        <f t="shared" si="7"/>
        <v>1.344289952</v>
      </c>
      <c r="U250" s="14">
        <f t="shared" si="8"/>
        <v>1.648218777</v>
      </c>
    </row>
    <row r="251" ht="15.75" customHeight="1">
      <c r="A251" s="9">
        <v>45907.5874373611</v>
      </c>
      <c r="B251" s="10">
        <v>14.0</v>
      </c>
      <c r="C251" s="10" t="s">
        <v>77</v>
      </c>
      <c r="D251" s="10" t="s">
        <v>842</v>
      </c>
      <c r="E251" s="12" t="s">
        <v>62</v>
      </c>
      <c r="F251" s="11">
        <v>5180.0</v>
      </c>
      <c r="G251" s="11">
        <v>162.0</v>
      </c>
      <c r="H251" s="11">
        <v>234.0</v>
      </c>
      <c r="I251" s="11">
        <v>148.0</v>
      </c>
      <c r="J251" s="11">
        <v>53.0</v>
      </c>
      <c r="K251" s="11">
        <v>4.0</v>
      </c>
      <c r="L251" s="11">
        <v>0.0</v>
      </c>
      <c r="M251" s="13">
        <f t="shared" ref="M251:O251" si="253">IFERROR(G251/F251,"")</f>
        <v>0.03127413127</v>
      </c>
      <c r="N251" s="13">
        <f t="shared" si="253"/>
        <v>1.444444444</v>
      </c>
      <c r="O251" s="14">
        <f t="shared" si="253"/>
        <v>0.6324786325</v>
      </c>
      <c r="P251" s="13">
        <f t="shared" si="3"/>
        <v>0.2264957265</v>
      </c>
      <c r="Q251" s="13">
        <f t="shared" si="4"/>
        <v>0.01709401709</v>
      </c>
      <c r="R251" s="13">
        <f t="shared" si="5"/>
        <v>0</v>
      </c>
      <c r="S251" s="14">
        <f t="shared" si="6"/>
        <v>0.5466388471</v>
      </c>
      <c r="T251" s="14">
        <f t="shared" si="7"/>
        <v>1.437653502</v>
      </c>
      <c r="U251" s="14">
        <f t="shared" si="8"/>
        <v>0.7888910385</v>
      </c>
    </row>
    <row r="252" ht="15.75" customHeight="1">
      <c r="A252" s="9">
        <v>45909.5881494329</v>
      </c>
      <c r="B252" s="10">
        <v>14.0</v>
      </c>
      <c r="C252" s="10" t="s">
        <v>59</v>
      </c>
      <c r="D252" s="10" t="s">
        <v>845</v>
      </c>
      <c r="E252" s="12" t="s">
        <v>62</v>
      </c>
      <c r="F252" s="11">
        <v>5316.0</v>
      </c>
      <c r="G252" s="11">
        <v>298.0</v>
      </c>
      <c r="H252" s="11">
        <v>325.0</v>
      </c>
      <c r="I252" s="11">
        <v>181.0</v>
      </c>
      <c r="J252" s="11">
        <v>81.0</v>
      </c>
      <c r="K252" s="11">
        <v>7.0</v>
      </c>
      <c r="L252" s="11">
        <v>2.0</v>
      </c>
      <c r="M252" s="13">
        <f t="shared" ref="M252:O252" si="254">IFERROR(G252/F252,"")</f>
        <v>0.05605718585</v>
      </c>
      <c r="N252" s="13">
        <f t="shared" si="254"/>
        <v>1.090604027</v>
      </c>
      <c r="O252" s="14">
        <f t="shared" si="254"/>
        <v>0.5569230769</v>
      </c>
      <c r="P252" s="13">
        <f t="shared" si="3"/>
        <v>0.2492307692</v>
      </c>
      <c r="Q252" s="13">
        <f t="shared" si="4"/>
        <v>0.02153846154</v>
      </c>
      <c r="R252" s="13">
        <f t="shared" si="5"/>
        <v>0.006153846154</v>
      </c>
      <c r="S252" s="14">
        <f t="shared" si="6"/>
        <v>0.9756065704</v>
      </c>
      <c r="T252" s="14">
        <f t="shared" si="7"/>
        <v>1.084894058</v>
      </c>
      <c r="U252" s="14">
        <f t="shared" si="8"/>
        <v>0.9880769231</v>
      </c>
    </row>
    <row r="253" ht="15.75" customHeight="1">
      <c r="A253" s="9">
        <v>45911.5475745602</v>
      </c>
      <c r="B253" s="10">
        <v>13.0</v>
      </c>
      <c r="C253" s="10" t="s">
        <v>84</v>
      </c>
      <c r="D253" s="10" t="s">
        <v>848</v>
      </c>
      <c r="E253" s="12" t="s">
        <v>62</v>
      </c>
      <c r="F253" s="11">
        <v>5451.0</v>
      </c>
      <c r="G253" s="11">
        <v>195.0</v>
      </c>
      <c r="H253" s="11">
        <v>324.0</v>
      </c>
      <c r="I253" s="11">
        <v>177.0</v>
      </c>
      <c r="J253" s="11">
        <v>56.0</v>
      </c>
      <c r="K253" s="11">
        <v>16.0</v>
      </c>
      <c r="L253" s="11">
        <v>0.0</v>
      </c>
      <c r="M253" s="13">
        <f t="shared" ref="M253:O253" si="255">IFERROR(G253/F253,"")</f>
        <v>0.03577325261</v>
      </c>
      <c r="N253" s="13">
        <f t="shared" si="255"/>
        <v>1.661538462</v>
      </c>
      <c r="O253" s="14">
        <f t="shared" si="255"/>
        <v>0.5462962963</v>
      </c>
      <c r="P253" s="13">
        <f t="shared" si="3"/>
        <v>0.1728395062</v>
      </c>
      <c r="Q253" s="13">
        <f t="shared" si="4"/>
        <v>0.04938271605</v>
      </c>
      <c r="R253" s="13">
        <f t="shared" si="5"/>
        <v>0</v>
      </c>
      <c r="S253" s="14">
        <f t="shared" si="6"/>
        <v>0.6252787453</v>
      </c>
      <c r="T253" s="14">
        <f t="shared" si="7"/>
        <v>1.644965995</v>
      </c>
      <c r="U253" s="14">
        <f t="shared" si="8"/>
        <v>2.248641908</v>
      </c>
    </row>
    <row r="254" ht="15.75" customHeight="1">
      <c r="A254" s="9">
        <v>45914.4230881829</v>
      </c>
      <c r="B254" s="10">
        <v>10.0</v>
      </c>
      <c r="C254" s="10" t="s">
        <v>77</v>
      </c>
      <c r="D254" s="10" t="s">
        <v>851</v>
      </c>
      <c r="E254" s="12" t="s">
        <v>62</v>
      </c>
      <c r="F254" s="11">
        <v>5948.0</v>
      </c>
      <c r="G254" s="11">
        <v>204.0</v>
      </c>
      <c r="H254" s="11">
        <v>311.0</v>
      </c>
      <c r="I254" s="11">
        <v>157.0</v>
      </c>
      <c r="J254" s="11">
        <v>56.0</v>
      </c>
      <c r="K254" s="11">
        <v>14.0</v>
      </c>
      <c r="L254" s="11">
        <v>0.0</v>
      </c>
      <c r="M254" s="13">
        <f t="shared" ref="M254:O254" si="256">IFERROR(G254/F254,"")</f>
        <v>0.03429724277</v>
      </c>
      <c r="N254" s="13">
        <f t="shared" si="256"/>
        <v>1.524509804</v>
      </c>
      <c r="O254" s="14">
        <f t="shared" si="256"/>
        <v>0.5048231511</v>
      </c>
      <c r="P254" s="13">
        <f t="shared" si="3"/>
        <v>0.1800643087</v>
      </c>
      <c r="Q254" s="13">
        <f t="shared" si="4"/>
        <v>0.04501607717</v>
      </c>
      <c r="R254" s="13">
        <f t="shared" si="5"/>
        <v>0</v>
      </c>
      <c r="S254" s="14">
        <f t="shared" si="6"/>
        <v>0.6035517744</v>
      </c>
      <c r="T254" s="14">
        <f t="shared" si="7"/>
        <v>1.503437815</v>
      </c>
      <c r="U254" s="14">
        <f t="shared" si="8"/>
        <v>1.964372359</v>
      </c>
    </row>
    <row r="255" ht="15.75" customHeight="1">
      <c r="A255" s="9">
        <v>45918.6319261343</v>
      </c>
      <c r="B255" s="10">
        <v>15.0</v>
      </c>
      <c r="C255" s="10" t="s">
        <v>84</v>
      </c>
      <c r="D255" s="10" t="s">
        <v>854</v>
      </c>
      <c r="E255" s="12" t="s">
        <v>62</v>
      </c>
      <c r="F255" s="11">
        <v>5907.0</v>
      </c>
      <c r="G255" s="11">
        <v>392.0</v>
      </c>
      <c r="H255" s="11">
        <v>426.0</v>
      </c>
      <c r="I255" s="11">
        <v>156.0</v>
      </c>
      <c r="J255" s="11">
        <v>60.0</v>
      </c>
      <c r="K255" s="11">
        <v>15.0</v>
      </c>
      <c r="L255" s="11">
        <v>0.0</v>
      </c>
      <c r="M255" s="13">
        <f t="shared" ref="M255:O255" si="257">IFERROR(G255/F255,"")</f>
        <v>0.06636194346</v>
      </c>
      <c r="N255" s="13">
        <f t="shared" si="257"/>
        <v>1.086734694</v>
      </c>
      <c r="O255" s="14">
        <f t="shared" si="257"/>
        <v>0.3661971831</v>
      </c>
      <c r="P255" s="13">
        <f t="shared" si="3"/>
        <v>0.1408450704</v>
      </c>
      <c r="Q255" s="13">
        <f t="shared" si="4"/>
        <v>0.03521126761</v>
      </c>
      <c r="R255" s="13">
        <f t="shared" si="5"/>
        <v>0</v>
      </c>
      <c r="S255" s="14">
        <f t="shared" si="6"/>
        <v>1.197455896</v>
      </c>
      <c r="T255" s="14">
        <f t="shared" si="7"/>
        <v>1.063895148</v>
      </c>
      <c r="U255" s="14">
        <f t="shared" si="8"/>
        <v>1.518199559</v>
      </c>
    </row>
    <row r="256" ht="15.75" customHeight="1">
      <c r="A256" s="9">
        <v>45921.5001947222</v>
      </c>
      <c r="B256" s="10">
        <v>12.0</v>
      </c>
      <c r="C256" s="10" t="s">
        <v>77</v>
      </c>
      <c r="D256" s="10" t="s">
        <v>857</v>
      </c>
      <c r="E256" s="12" t="s">
        <v>62</v>
      </c>
      <c r="F256" s="11">
        <v>5815.0</v>
      </c>
      <c r="G256" s="11">
        <v>380.0</v>
      </c>
      <c r="H256" s="11">
        <v>472.0</v>
      </c>
      <c r="I256" s="11">
        <v>215.0</v>
      </c>
      <c r="J256" s="11">
        <v>61.0</v>
      </c>
      <c r="K256" s="11">
        <v>10.0</v>
      </c>
      <c r="L256" s="11">
        <v>0.0</v>
      </c>
      <c r="M256" s="13">
        <f t="shared" ref="M256:O256" si="258">IFERROR(G256/F256,"")</f>
        <v>0.06534823732</v>
      </c>
      <c r="N256" s="13">
        <f t="shared" si="258"/>
        <v>1.242105263</v>
      </c>
      <c r="O256" s="14">
        <f t="shared" si="258"/>
        <v>0.4555084746</v>
      </c>
      <c r="P256" s="13">
        <f t="shared" si="3"/>
        <v>0.1292372881</v>
      </c>
      <c r="Q256" s="13">
        <f t="shared" si="4"/>
        <v>0.02118644068</v>
      </c>
      <c r="R256" s="13">
        <f t="shared" si="5"/>
        <v>0</v>
      </c>
      <c r="S256" s="14">
        <f t="shared" si="6"/>
        <v>1.208904787</v>
      </c>
      <c r="T256" s="14">
        <f t="shared" si="7"/>
        <v>1.210092241</v>
      </c>
      <c r="U256" s="14">
        <f t="shared" si="8"/>
        <v>0.9066401433</v>
      </c>
    </row>
    <row r="257" ht="15.75" customHeight="1">
      <c r="A257" s="9">
        <v>45923.6251309375</v>
      </c>
      <c r="B257" s="10">
        <v>15.0</v>
      </c>
      <c r="C257" s="10" t="s">
        <v>59</v>
      </c>
      <c r="D257" s="10" t="s">
        <v>859</v>
      </c>
      <c r="E257" s="12" t="s">
        <v>62</v>
      </c>
      <c r="F257" s="11">
        <v>5628.0</v>
      </c>
      <c r="G257" s="11">
        <v>134.0</v>
      </c>
      <c r="H257" s="11">
        <v>205.0</v>
      </c>
      <c r="I257" s="11">
        <v>116.0</v>
      </c>
      <c r="J257" s="11">
        <v>18.0</v>
      </c>
      <c r="K257" s="11">
        <v>4.0</v>
      </c>
      <c r="L257" s="11">
        <v>1.0</v>
      </c>
      <c r="M257" s="13">
        <f t="shared" ref="M257:O257" si="259">IFERROR(G257/F257,"")</f>
        <v>0.02380952381</v>
      </c>
      <c r="N257" s="13">
        <f t="shared" si="259"/>
        <v>1.529850746</v>
      </c>
      <c r="O257" s="14">
        <f t="shared" si="259"/>
        <v>0.5658536585</v>
      </c>
      <c r="P257" s="13">
        <f t="shared" si="3"/>
        <v>0.08780487805</v>
      </c>
      <c r="Q257" s="13">
        <f t="shared" si="4"/>
        <v>0.01951219512</v>
      </c>
      <c r="R257" s="13">
        <f t="shared" si="5"/>
        <v>0.00487804878</v>
      </c>
      <c r="S257" s="14">
        <f t="shared" si="6"/>
        <v>0.4501845018</v>
      </c>
      <c r="T257" s="14">
        <f t="shared" si="7"/>
        <v>1.458544144</v>
      </c>
      <c r="U257" s="14">
        <f t="shared" si="8"/>
        <v>0.8216802168</v>
      </c>
    </row>
    <row r="258" ht="15.75" customHeight="1">
      <c r="A258" s="9">
        <v>45925.6250228704</v>
      </c>
      <c r="B258" s="10">
        <v>15.0</v>
      </c>
      <c r="C258" s="10" t="s">
        <v>84</v>
      </c>
      <c r="D258" s="10" t="s">
        <v>862</v>
      </c>
      <c r="E258" s="12" t="s">
        <v>62</v>
      </c>
      <c r="F258" s="11">
        <v>5569.0</v>
      </c>
      <c r="G258" s="11">
        <v>121.0</v>
      </c>
      <c r="H258" s="11">
        <v>207.0</v>
      </c>
      <c r="I258" s="11">
        <v>92.0</v>
      </c>
      <c r="J258" s="11">
        <v>36.0</v>
      </c>
      <c r="K258" s="11">
        <v>3.0</v>
      </c>
      <c r="L258" s="11">
        <v>0.0</v>
      </c>
      <c r="M258" s="13">
        <f t="shared" ref="M258:O258" si="260">IFERROR(G258/F258,"")</f>
        <v>0.02172741964</v>
      </c>
      <c r="N258" s="13">
        <f t="shared" si="260"/>
        <v>1.710743802</v>
      </c>
      <c r="O258" s="14">
        <f t="shared" si="260"/>
        <v>0.4444444444</v>
      </c>
      <c r="P258" s="13">
        <f t="shared" si="3"/>
        <v>0.1739130435</v>
      </c>
      <c r="Q258" s="13">
        <f t="shared" si="4"/>
        <v>0.01449275362</v>
      </c>
      <c r="R258" s="13">
        <f t="shared" si="5"/>
        <v>0</v>
      </c>
      <c r="S258" s="14">
        <f t="shared" si="6"/>
        <v>0.4111280596</v>
      </c>
      <c r="T258" s="14">
        <f t="shared" si="7"/>
        <v>1.621590698</v>
      </c>
      <c r="U258" s="14">
        <f t="shared" si="8"/>
        <v>0.5852564447</v>
      </c>
    </row>
    <row r="259" ht="15.75" customHeight="1">
      <c r="A259" s="9">
        <v>45928.6669446181</v>
      </c>
      <c r="B259" s="10">
        <v>16.0</v>
      </c>
      <c r="C259" s="10" t="s">
        <v>77</v>
      </c>
      <c r="D259" s="10" t="s">
        <v>866</v>
      </c>
      <c r="E259" s="12" t="s">
        <v>62</v>
      </c>
      <c r="F259" s="11">
        <v>5589.0</v>
      </c>
      <c r="G259" s="11">
        <v>365.0</v>
      </c>
      <c r="H259" s="11">
        <v>449.0</v>
      </c>
      <c r="I259" s="11">
        <v>217.0</v>
      </c>
      <c r="J259" s="11">
        <v>58.0</v>
      </c>
      <c r="K259" s="11">
        <v>5.0</v>
      </c>
      <c r="L259" s="11">
        <v>0.0</v>
      </c>
      <c r="M259" s="13">
        <f t="shared" ref="M259:O259" si="261">IFERROR(G259/F259,"")</f>
        <v>0.06530685275</v>
      </c>
      <c r="N259" s="13">
        <f t="shared" si="261"/>
        <v>1.230136986</v>
      </c>
      <c r="O259" s="14">
        <f t="shared" si="261"/>
        <v>0.4832962138</v>
      </c>
      <c r="P259" s="13">
        <f t="shared" si="3"/>
        <v>0.1291759465</v>
      </c>
      <c r="Q259" s="13">
        <f t="shared" si="4"/>
        <v>0.01113585746</v>
      </c>
      <c r="R259" s="13">
        <f t="shared" si="5"/>
        <v>0</v>
      </c>
      <c r="S259" s="14">
        <f t="shared" si="6"/>
        <v>1.267770772</v>
      </c>
      <c r="T259" s="14">
        <f t="shared" si="7"/>
        <v>1.158556335</v>
      </c>
      <c r="U259" s="14">
        <f t="shared" si="8"/>
        <v>0.4203472973</v>
      </c>
    </row>
    <row r="260" ht="15.75" customHeight="1">
      <c r="A260" s="9">
        <v>45930.6253524653</v>
      </c>
      <c r="B260" s="10">
        <v>15.0</v>
      </c>
      <c r="C260" s="10" t="s">
        <v>59</v>
      </c>
      <c r="D260" s="10" t="s">
        <v>869</v>
      </c>
      <c r="E260" s="12" t="s">
        <v>62</v>
      </c>
      <c r="F260" s="11">
        <v>5705.0</v>
      </c>
      <c r="G260" s="11">
        <v>380.0</v>
      </c>
      <c r="H260" s="11">
        <v>454.0</v>
      </c>
      <c r="I260" s="11">
        <v>164.0</v>
      </c>
      <c r="J260" s="11">
        <v>53.0</v>
      </c>
      <c r="K260" s="11">
        <v>2.0</v>
      </c>
      <c r="L260" s="11">
        <v>0.0</v>
      </c>
      <c r="M260" s="13">
        <f t="shared" ref="M260:O260" si="262">IFERROR(G260/F260,"")</f>
        <v>0.06660823839</v>
      </c>
      <c r="N260" s="13">
        <f t="shared" si="262"/>
        <v>1.194736842</v>
      </c>
      <c r="O260" s="14">
        <f t="shared" si="262"/>
        <v>0.3612334802</v>
      </c>
      <c r="P260" s="13">
        <f t="shared" si="3"/>
        <v>0.1167400881</v>
      </c>
      <c r="Q260" s="13">
        <f t="shared" si="4"/>
        <v>0.004405286344</v>
      </c>
      <c r="R260" s="13">
        <f t="shared" si="5"/>
        <v>0</v>
      </c>
      <c r="S260" s="14">
        <f t="shared" si="6"/>
        <v>1.275270231</v>
      </c>
      <c r="T260" s="14">
        <f t="shared" si="7"/>
        <v>1.124458204</v>
      </c>
      <c r="U260" s="14">
        <f t="shared" si="8"/>
        <v>0.1610376897</v>
      </c>
    </row>
    <row r="261" ht="15.75" customHeight="1">
      <c r="A261" s="9">
        <v>45932.6258681019</v>
      </c>
      <c r="B261" s="10">
        <v>15.0</v>
      </c>
      <c r="C261" s="10" t="s">
        <v>84</v>
      </c>
      <c r="D261" s="10" t="s">
        <v>870</v>
      </c>
      <c r="E261" s="12" t="s">
        <v>62</v>
      </c>
      <c r="F261" s="11">
        <v>5848.0</v>
      </c>
      <c r="G261" s="11">
        <v>128.0</v>
      </c>
      <c r="H261" s="11">
        <v>234.0</v>
      </c>
      <c r="I261" s="11">
        <v>130.0</v>
      </c>
      <c r="J261" s="11">
        <v>33.0</v>
      </c>
      <c r="K261" s="11">
        <v>4.0</v>
      </c>
      <c r="L261" s="11">
        <v>0.0</v>
      </c>
      <c r="M261" s="13">
        <f t="shared" ref="M261:O261" si="263">IFERROR(G261/F261,"")</f>
        <v>0.0218878249</v>
      </c>
      <c r="N261" s="13">
        <f t="shared" si="263"/>
        <v>1.828125</v>
      </c>
      <c r="O261" s="14">
        <f t="shared" si="263"/>
        <v>0.5555555556</v>
      </c>
      <c r="P261" s="13">
        <f t="shared" si="3"/>
        <v>0.141025641</v>
      </c>
      <c r="Q261" s="13">
        <f t="shared" si="4"/>
        <v>0.01709401709</v>
      </c>
      <c r="R261" s="13">
        <f t="shared" si="5"/>
        <v>0</v>
      </c>
      <c r="S261" s="14">
        <f t="shared" si="6"/>
        <v>0.4321019406</v>
      </c>
      <c r="T261" s="14">
        <f t="shared" si="7"/>
        <v>1.7115749</v>
      </c>
      <c r="U261" s="14">
        <f t="shared" si="8"/>
        <v>0.6092668367</v>
      </c>
    </row>
    <row r="262" ht="15.75" customHeight="1">
      <c r="A262" s="9">
        <v>45935.6251550463</v>
      </c>
      <c r="B262" s="10">
        <v>15.0</v>
      </c>
      <c r="C262" s="10" t="s">
        <v>77</v>
      </c>
      <c r="D262" s="10" t="s">
        <v>873</v>
      </c>
      <c r="E262" s="12" t="s">
        <v>62</v>
      </c>
      <c r="F262" s="11">
        <v>6335.0</v>
      </c>
      <c r="G262" s="11">
        <v>320.0</v>
      </c>
      <c r="H262" s="11">
        <v>435.0</v>
      </c>
      <c r="I262" s="11">
        <v>187.0</v>
      </c>
      <c r="J262" s="11">
        <v>46.0</v>
      </c>
      <c r="K262" s="11">
        <v>7.0</v>
      </c>
      <c r="L262" s="11">
        <v>0.0</v>
      </c>
      <c r="M262" s="13">
        <f t="shared" ref="M262:O262" si="264">IFERROR(G262/F262,"")</f>
        <v>0.05051302289</v>
      </c>
      <c r="N262" s="13">
        <f t="shared" si="264"/>
        <v>1.359375</v>
      </c>
      <c r="O262" s="14">
        <f t="shared" si="264"/>
        <v>0.4298850575</v>
      </c>
      <c r="P262" s="13">
        <f t="shared" si="3"/>
        <v>0.1057471264</v>
      </c>
      <c r="Q262" s="13">
        <f t="shared" si="4"/>
        <v>0.01609195402</v>
      </c>
      <c r="R262" s="13">
        <f t="shared" si="5"/>
        <v>0</v>
      </c>
      <c r="S262" s="14">
        <f t="shared" si="6"/>
        <v>1.002868112</v>
      </c>
      <c r="T262" s="14">
        <f t="shared" si="7"/>
        <v>1.26135535</v>
      </c>
      <c r="U262" s="14">
        <f t="shared" si="8"/>
        <v>0.55873553</v>
      </c>
    </row>
    <row r="263" ht="15.75" customHeight="1">
      <c r="A263" s="9">
        <v>45937.6252614352</v>
      </c>
      <c r="B263" s="10">
        <v>15.0</v>
      </c>
      <c r="C263" s="10" t="s">
        <v>59</v>
      </c>
      <c r="D263" s="10" t="s">
        <v>876</v>
      </c>
      <c r="E263" s="12" t="s">
        <v>62</v>
      </c>
      <c r="F263" s="11">
        <v>6446.0</v>
      </c>
      <c r="G263" s="11">
        <v>255.0</v>
      </c>
      <c r="H263" s="11">
        <v>225.0</v>
      </c>
      <c r="I263" s="11">
        <v>123.0</v>
      </c>
      <c r="J263" s="11">
        <v>35.0</v>
      </c>
      <c r="K263" s="11">
        <v>10.0</v>
      </c>
      <c r="L263" s="11">
        <v>1.0</v>
      </c>
      <c r="M263" s="13">
        <f t="shared" ref="M263:O263" si="265">IFERROR(G263/F263,"")</f>
        <v>0.03955941669</v>
      </c>
      <c r="N263" s="13">
        <f t="shared" si="265"/>
        <v>0.8823529412</v>
      </c>
      <c r="O263" s="14">
        <f t="shared" si="265"/>
        <v>0.5466666667</v>
      </c>
      <c r="P263" s="13">
        <f t="shared" si="3"/>
        <v>0.1555555556</v>
      </c>
      <c r="Q263" s="13">
        <f t="shared" si="4"/>
        <v>0.04444444444</v>
      </c>
      <c r="R263" s="13">
        <f t="shared" si="5"/>
        <v>0.004444444444</v>
      </c>
      <c r="S263" s="14">
        <f t="shared" si="6"/>
        <v>0.7875645705</v>
      </c>
      <c r="T263" s="14">
        <f t="shared" si="7"/>
        <v>0.8165057068</v>
      </c>
      <c r="U263" s="14">
        <f t="shared" si="8"/>
        <v>1.550617284</v>
      </c>
    </row>
    <row r="264" ht="15.75" customHeight="1">
      <c r="A264" s="9">
        <v>45939.5834608218</v>
      </c>
      <c r="B264" s="10">
        <v>14.0</v>
      </c>
      <c r="C264" s="10" t="s">
        <v>84</v>
      </c>
      <c r="D264" s="10" t="s">
        <v>879</v>
      </c>
      <c r="E264" s="12" t="s">
        <v>62</v>
      </c>
      <c r="F264" s="11">
        <v>6772.0</v>
      </c>
      <c r="G264" s="11">
        <v>308.0</v>
      </c>
      <c r="H264" s="11">
        <v>302.0</v>
      </c>
      <c r="I264" s="11">
        <v>163.0</v>
      </c>
      <c r="J264" s="11">
        <v>69.0</v>
      </c>
      <c r="K264" s="11">
        <v>7.0</v>
      </c>
      <c r="L264" s="11">
        <v>0.0</v>
      </c>
      <c r="M264" s="13">
        <f t="shared" ref="M264:O264" si="266">IFERROR(G264/F264,"")</f>
        <v>0.04548139398</v>
      </c>
      <c r="N264" s="13">
        <f t="shared" si="266"/>
        <v>0.9805194805</v>
      </c>
      <c r="O264" s="14">
        <f t="shared" si="266"/>
        <v>0.5397350993</v>
      </c>
      <c r="P264" s="13">
        <f t="shared" si="3"/>
        <v>0.2284768212</v>
      </c>
      <c r="Q264" s="13">
        <f t="shared" si="4"/>
        <v>0.02317880795</v>
      </c>
      <c r="R264" s="13">
        <f t="shared" si="5"/>
        <v>0</v>
      </c>
      <c r="S264" s="14">
        <f t="shared" si="6"/>
        <v>0.9092470563</v>
      </c>
      <c r="T264" s="14">
        <f t="shared" si="7"/>
        <v>0.9006586538</v>
      </c>
      <c r="U264" s="14">
        <f t="shared" si="8"/>
        <v>0.8261416213</v>
      </c>
    </row>
    <row r="265" ht="15.75" customHeight="1">
      <c r="A265" s="9">
        <v>45942.6252865972</v>
      </c>
      <c r="B265" s="10">
        <v>15.0</v>
      </c>
      <c r="C265" s="10" t="s">
        <v>77</v>
      </c>
      <c r="D265" s="10" t="s">
        <v>882</v>
      </c>
      <c r="E265" s="12" t="s">
        <v>62</v>
      </c>
      <c r="F265" s="11">
        <v>6886.0</v>
      </c>
      <c r="G265" s="11">
        <v>176.0</v>
      </c>
      <c r="H265" s="11">
        <v>193.0</v>
      </c>
      <c r="I265" s="11">
        <v>123.0</v>
      </c>
      <c r="J265" s="11">
        <v>30.0</v>
      </c>
      <c r="K265" s="11">
        <v>18.0</v>
      </c>
      <c r="L265" s="11">
        <v>0.0</v>
      </c>
      <c r="M265" s="13">
        <f t="shared" ref="M265:O265" si="267">IFERROR(G265/F265,"")</f>
        <v>0.02555910543</v>
      </c>
      <c r="N265" s="13">
        <f t="shared" si="267"/>
        <v>1.096590909</v>
      </c>
      <c r="O265" s="14">
        <f t="shared" si="267"/>
        <v>0.6373056995</v>
      </c>
      <c r="P265" s="13">
        <f t="shared" si="3"/>
        <v>0.1554404145</v>
      </c>
      <c r="Q265" s="13">
        <f t="shared" si="4"/>
        <v>0.0932642487</v>
      </c>
      <c r="R265" s="13">
        <f t="shared" si="5"/>
        <v>0</v>
      </c>
      <c r="S265" s="14">
        <f t="shared" si="6"/>
        <v>0.5180931869</v>
      </c>
      <c r="T265" s="14">
        <f t="shared" si="7"/>
        <v>0.997872967</v>
      </c>
      <c r="U265" s="14">
        <f t="shared" si="8"/>
        <v>3.324134607</v>
      </c>
    </row>
    <row r="266" ht="15.75" customHeight="1">
      <c r="A266" s="9">
        <v>45944.6251873958</v>
      </c>
      <c r="B266" s="10">
        <v>15.0</v>
      </c>
      <c r="C266" s="10" t="s">
        <v>59</v>
      </c>
      <c r="D266" s="10" t="s">
        <v>885</v>
      </c>
      <c r="E266" s="12" t="s">
        <v>62</v>
      </c>
      <c r="F266" s="11">
        <v>6589.0</v>
      </c>
      <c r="G266" s="11">
        <v>401.0</v>
      </c>
      <c r="H266" s="11">
        <v>463.0</v>
      </c>
      <c r="I266" s="11">
        <v>237.0</v>
      </c>
      <c r="J266" s="11">
        <v>58.0</v>
      </c>
      <c r="K266" s="11">
        <v>9.0</v>
      </c>
      <c r="L266" s="11">
        <v>2.0</v>
      </c>
      <c r="M266" s="13">
        <f t="shared" ref="M266:O266" si="268">IFERROR(G266/F266,"")</f>
        <v>0.06085900744</v>
      </c>
      <c r="N266" s="13">
        <f t="shared" si="268"/>
        <v>1.154613466</v>
      </c>
      <c r="O266" s="14">
        <f t="shared" si="268"/>
        <v>0.5118790497</v>
      </c>
      <c r="P266" s="13">
        <f t="shared" si="3"/>
        <v>0.1252699784</v>
      </c>
      <c r="Q266" s="13">
        <f t="shared" si="4"/>
        <v>0.01943844492</v>
      </c>
      <c r="R266" s="13">
        <f t="shared" si="5"/>
        <v>0.004319654428</v>
      </c>
      <c r="S266" s="14">
        <f t="shared" si="6"/>
        <v>1.245726393</v>
      </c>
      <c r="T266" s="14">
        <f t="shared" si="7"/>
        <v>1.027207842</v>
      </c>
      <c r="U266" s="14">
        <f t="shared" si="8"/>
        <v>0.6781857451</v>
      </c>
    </row>
    <row r="267" ht="15.75" customHeight="1">
      <c r="A267" s="9">
        <v>45946.4175467361</v>
      </c>
      <c r="B267" s="10">
        <v>10.0</v>
      </c>
      <c r="C267" s="10" t="s">
        <v>84</v>
      </c>
      <c r="D267" s="10" t="s">
        <v>888</v>
      </c>
      <c r="E267" s="12" t="s">
        <v>62</v>
      </c>
      <c r="F267" s="11">
        <v>6658.0</v>
      </c>
      <c r="G267" s="11">
        <v>409.0</v>
      </c>
      <c r="H267" s="11">
        <v>538.0</v>
      </c>
      <c r="I267" s="11">
        <v>204.0</v>
      </c>
      <c r="J267" s="11">
        <v>79.0</v>
      </c>
      <c r="K267" s="11">
        <v>5.0</v>
      </c>
      <c r="L267" s="11">
        <v>5.0</v>
      </c>
      <c r="M267" s="13">
        <f t="shared" ref="M267:O267" si="269">IFERROR(G267/F267,"")</f>
        <v>0.06142985882</v>
      </c>
      <c r="N267" s="13">
        <f t="shared" si="269"/>
        <v>1.315403423</v>
      </c>
      <c r="O267" s="14">
        <f t="shared" si="269"/>
        <v>0.3791821561</v>
      </c>
      <c r="P267" s="13">
        <f t="shared" si="3"/>
        <v>0.1468401487</v>
      </c>
      <c r="Q267" s="13">
        <f t="shared" si="4"/>
        <v>0.009293680297</v>
      </c>
      <c r="R267" s="13">
        <f t="shared" si="5"/>
        <v>0.009293680297</v>
      </c>
      <c r="S267" s="14">
        <f t="shared" si="6"/>
        <v>1.260208892</v>
      </c>
      <c r="T267" s="14">
        <f t="shared" si="7"/>
        <v>1.157748531</v>
      </c>
      <c r="U267" s="14">
        <f t="shared" si="8"/>
        <v>0.3226897976</v>
      </c>
    </row>
    <row r="268" ht="15.75" customHeight="1">
      <c r="A268" s="9">
        <v>45949.6251026505</v>
      </c>
      <c r="B268" s="10">
        <v>15.0</v>
      </c>
      <c r="C268" s="10" t="s">
        <v>77</v>
      </c>
      <c r="D268" s="10" t="s">
        <v>891</v>
      </c>
      <c r="E268" s="12" t="s">
        <v>62</v>
      </c>
      <c r="F268" s="11">
        <v>7145.0</v>
      </c>
      <c r="G268" s="11">
        <v>248.0</v>
      </c>
      <c r="H268" s="11">
        <v>268.0</v>
      </c>
      <c r="I268" s="11">
        <v>141.0</v>
      </c>
      <c r="J268" s="11">
        <v>51.0</v>
      </c>
      <c r="K268" s="11">
        <v>11.0</v>
      </c>
      <c r="L268" s="11">
        <v>0.0</v>
      </c>
      <c r="M268" s="13">
        <f t="shared" ref="M268:O268" si="270">IFERROR(G268/F268,"")</f>
        <v>0.03470958712</v>
      </c>
      <c r="N268" s="13">
        <f t="shared" si="270"/>
        <v>1.080645161</v>
      </c>
      <c r="O268" s="14">
        <f t="shared" si="270"/>
        <v>0.526119403</v>
      </c>
      <c r="P268" s="13">
        <f t="shared" si="3"/>
        <v>0.1902985075</v>
      </c>
      <c r="Q268" s="13">
        <f t="shared" si="4"/>
        <v>0.04104477612</v>
      </c>
      <c r="R268" s="13">
        <f t="shared" si="5"/>
        <v>0</v>
      </c>
      <c r="S268" s="14">
        <f t="shared" si="6"/>
        <v>0.7136410801</v>
      </c>
      <c r="T268" s="14">
        <f t="shared" si="7"/>
        <v>0.9419783043</v>
      </c>
      <c r="U268" s="14">
        <f t="shared" si="8"/>
        <v>1.418325041</v>
      </c>
    </row>
    <row r="269" ht="15.75" customHeight="1">
      <c r="A269" s="9">
        <v>45951.6255704051</v>
      </c>
      <c r="B269" s="10">
        <v>15.0</v>
      </c>
      <c r="C269" s="10" t="s">
        <v>59</v>
      </c>
      <c r="D269" s="10" t="s">
        <v>893</v>
      </c>
      <c r="E269" s="12" t="s">
        <v>62</v>
      </c>
      <c r="F269" s="11">
        <v>7460.0</v>
      </c>
      <c r="G269" s="11">
        <v>257.0</v>
      </c>
      <c r="H269" s="11">
        <v>193.0</v>
      </c>
      <c r="I269" s="11">
        <v>90.0</v>
      </c>
      <c r="J269" s="11">
        <v>41.0</v>
      </c>
      <c r="K269" s="11">
        <v>9.0</v>
      </c>
      <c r="L269" s="11">
        <v>2.0</v>
      </c>
      <c r="M269" s="13">
        <f t="shared" ref="M269:O269" si="271">IFERROR(G269/F269,"")</f>
        <v>0.03445040214</v>
      </c>
      <c r="N269" s="13">
        <f t="shared" si="271"/>
        <v>0.7509727626</v>
      </c>
      <c r="O269" s="14">
        <f t="shared" si="271"/>
        <v>0.4663212435</v>
      </c>
      <c r="P269" s="13">
        <f t="shared" si="3"/>
        <v>0.2124352332</v>
      </c>
      <c r="Q269" s="13">
        <f t="shared" si="4"/>
        <v>0.04663212435</v>
      </c>
      <c r="R269" s="13">
        <f t="shared" si="5"/>
        <v>0.0103626943</v>
      </c>
      <c r="S269" s="14">
        <f t="shared" si="6"/>
        <v>0.7083121475</v>
      </c>
      <c r="T269" s="14">
        <f t="shared" si="7"/>
        <v>0.6546090011</v>
      </c>
      <c r="U269" s="14">
        <f t="shared" si="8"/>
        <v>1.611398964</v>
      </c>
    </row>
    <row r="270" ht="15.75" customHeight="1">
      <c r="A270" s="9">
        <v>45953.7083037847</v>
      </c>
      <c r="B270" s="10">
        <v>16.0</v>
      </c>
      <c r="C270" s="10" t="s">
        <v>84</v>
      </c>
      <c r="D270" s="10" t="s">
        <v>896</v>
      </c>
      <c r="E270" s="12" t="s">
        <v>62</v>
      </c>
      <c r="F270" s="11">
        <v>8094.0</v>
      </c>
      <c r="G270" s="11">
        <v>150.0</v>
      </c>
      <c r="H270" s="11">
        <v>161.0</v>
      </c>
      <c r="I270" s="11">
        <v>81.0</v>
      </c>
      <c r="J270" s="11">
        <v>34.0</v>
      </c>
      <c r="K270" s="11">
        <v>6.0</v>
      </c>
      <c r="L270" s="11">
        <v>1.0</v>
      </c>
      <c r="M270" s="13">
        <f t="shared" ref="M270:O270" si="272">IFERROR(G270/F270,"")</f>
        <v>0.01853224611</v>
      </c>
      <c r="N270" s="13">
        <f t="shared" si="272"/>
        <v>1.073333333</v>
      </c>
      <c r="O270" s="14">
        <f t="shared" si="272"/>
        <v>0.5031055901</v>
      </c>
      <c r="P270" s="13">
        <f t="shared" si="3"/>
        <v>0.2111801242</v>
      </c>
      <c r="Q270" s="13">
        <f t="shared" si="4"/>
        <v>0.03726708075</v>
      </c>
      <c r="R270" s="13">
        <f t="shared" si="5"/>
        <v>0.006211180124</v>
      </c>
      <c r="S270" s="14">
        <f t="shared" si="6"/>
        <v>0.3835369195</v>
      </c>
      <c r="T270" s="14">
        <f t="shared" si="7"/>
        <v>0.9356047198</v>
      </c>
      <c r="U270" s="14">
        <f t="shared" si="8"/>
        <v>1.287784679</v>
      </c>
    </row>
    <row r="271" ht="15.75" customHeight="1">
      <c r="A271" s="9">
        <v>45956.4168717708</v>
      </c>
      <c r="B271" s="10">
        <v>10.0</v>
      </c>
      <c r="C271" s="10" t="s">
        <v>77</v>
      </c>
      <c r="D271" s="10" t="s">
        <v>899</v>
      </c>
      <c r="E271" s="12" t="s">
        <v>62</v>
      </c>
      <c r="F271" s="11">
        <v>9840.0</v>
      </c>
      <c r="G271" s="11">
        <v>244.0</v>
      </c>
      <c r="H271" s="11">
        <v>233.0</v>
      </c>
      <c r="I271" s="11">
        <v>125.0</v>
      </c>
      <c r="J271" s="11">
        <v>48.0</v>
      </c>
      <c r="K271" s="11">
        <v>19.0</v>
      </c>
      <c r="L271" s="11">
        <v>0.0</v>
      </c>
      <c r="M271" s="13">
        <f t="shared" ref="M271:O271" si="273">IFERROR(G271/F271,"")</f>
        <v>0.02479674797</v>
      </c>
      <c r="N271" s="13">
        <f t="shared" si="273"/>
        <v>0.9549180328</v>
      </c>
      <c r="O271" s="14">
        <f t="shared" si="273"/>
        <v>0.5364806867</v>
      </c>
      <c r="P271" s="13">
        <f t="shared" si="3"/>
        <v>0.2060085837</v>
      </c>
      <c r="Q271" s="13">
        <f t="shared" si="4"/>
        <v>0.08154506438</v>
      </c>
      <c r="R271" s="13">
        <f t="shared" si="5"/>
        <v>0</v>
      </c>
      <c r="S271" s="14">
        <f t="shared" si="6"/>
        <v>0.5394462341</v>
      </c>
      <c r="T271" s="14">
        <f t="shared" si="7"/>
        <v>0.8323843029</v>
      </c>
      <c r="U271" s="14">
        <f t="shared" si="8"/>
        <v>2.762339056</v>
      </c>
    </row>
    <row r="272" ht="15.75" customHeight="1">
      <c r="A272" s="9">
        <v>45963.662651331</v>
      </c>
      <c r="B272" s="10">
        <v>15.0</v>
      </c>
      <c r="C272" s="10" t="s">
        <v>77</v>
      </c>
      <c r="D272" s="10" t="s">
        <v>901</v>
      </c>
      <c r="E272" s="12" t="s">
        <v>62</v>
      </c>
      <c r="F272" s="11">
        <v>7142.0</v>
      </c>
      <c r="G272" s="11">
        <v>160.0</v>
      </c>
      <c r="H272" s="11">
        <v>170.0</v>
      </c>
      <c r="I272" s="11">
        <v>117.0</v>
      </c>
      <c r="J272" s="11">
        <v>54.0</v>
      </c>
      <c r="K272" s="11">
        <v>4.0</v>
      </c>
      <c r="L272" s="11">
        <v>0.0</v>
      </c>
      <c r="M272" s="13">
        <f t="shared" ref="M272:O272" si="274">IFERROR(G272/F272,"")</f>
        <v>0.02240268832</v>
      </c>
      <c r="N272" s="13">
        <f t="shared" si="274"/>
        <v>1.0625</v>
      </c>
      <c r="O272" s="14">
        <f t="shared" si="274"/>
        <v>0.6882352941</v>
      </c>
      <c r="P272" s="13">
        <f t="shared" si="3"/>
        <v>0.3176470588</v>
      </c>
      <c r="Q272" s="13">
        <f t="shared" si="4"/>
        <v>0.02352941176</v>
      </c>
      <c r="R272" s="13">
        <f t="shared" si="5"/>
        <v>0</v>
      </c>
      <c r="S272" s="14">
        <f t="shared" si="6"/>
        <v>0.4905047994</v>
      </c>
      <c r="T272" s="14">
        <f t="shared" si="7"/>
        <v>0.9231818882</v>
      </c>
      <c r="U272" s="14">
        <f t="shared" si="8"/>
        <v>0.675220332</v>
      </c>
    </row>
    <row r="273" ht="15.75" customHeight="1">
      <c r="A273" s="9">
        <v>45965.6647585417</v>
      </c>
      <c r="B273" s="10">
        <v>15.0</v>
      </c>
      <c r="C273" s="10" t="s">
        <v>59</v>
      </c>
      <c r="D273" s="10" t="s">
        <v>904</v>
      </c>
      <c r="E273" s="12" t="s">
        <v>62</v>
      </c>
      <c r="F273" s="11">
        <v>6987.0</v>
      </c>
      <c r="G273" s="11">
        <v>310.0</v>
      </c>
      <c r="H273" s="11">
        <v>291.0</v>
      </c>
      <c r="I273" s="11">
        <v>188.0</v>
      </c>
      <c r="J273" s="11">
        <v>75.0</v>
      </c>
      <c r="K273" s="11">
        <v>9.0</v>
      </c>
      <c r="L273" s="11">
        <v>0.0</v>
      </c>
      <c r="M273" s="13">
        <f t="shared" ref="M273:O273" si="275">IFERROR(G273/F273,"")</f>
        <v>0.04436811221</v>
      </c>
      <c r="N273" s="13">
        <f t="shared" si="275"/>
        <v>0.9387096774</v>
      </c>
      <c r="O273" s="14">
        <f t="shared" si="275"/>
        <v>0.64604811</v>
      </c>
      <c r="P273" s="13">
        <f t="shared" si="3"/>
        <v>0.2577319588</v>
      </c>
      <c r="Q273" s="13">
        <f t="shared" si="4"/>
        <v>0.03092783505</v>
      </c>
      <c r="R273" s="13">
        <f t="shared" si="5"/>
        <v>0</v>
      </c>
      <c r="S273" s="14">
        <f t="shared" si="6"/>
        <v>0.9714357342</v>
      </c>
      <c r="T273" s="14">
        <f t="shared" si="7"/>
        <v>0.823422094</v>
      </c>
      <c r="U273" s="14">
        <f t="shared" si="8"/>
        <v>0.8721210792</v>
      </c>
    </row>
    <row r="274" ht="15.75" customHeight="1">
      <c r="A274" s="9">
        <v>45967.6652090972</v>
      </c>
      <c r="B274" s="10">
        <v>15.0</v>
      </c>
      <c r="C274" s="10" t="s">
        <v>84</v>
      </c>
      <c r="D274" s="10" t="s">
        <v>907</v>
      </c>
      <c r="E274" s="12" t="s">
        <v>62</v>
      </c>
      <c r="F274" s="11">
        <v>6284.0</v>
      </c>
      <c r="G274" s="11">
        <v>307.0</v>
      </c>
      <c r="H274" s="11">
        <v>298.0</v>
      </c>
      <c r="I274" s="11">
        <v>147.0</v>
      </c>
      <c r="J274" s="11">
        <v>60.0</v>
      </c>
      <c r="K274" s="11">
        <v>6.0</v>
      </c>
      <c r="L274" s="11">
        <v>2.0</v>
      </c>
      <c r="M274" s="13">
        <f t="shared" ref="M274:O274" si="276">IFERROR(G274/F274,"")</f>
        <v>0.04885423297</v>
      </c>
      <c r="N274" s="13">
        <f t="shared" si="276"/>
        <v>0.9706840391</v>
      </c>
      <c r="O274" s="14">
        <f t="shared" si="276"/>
        <v>0.4932885906</v>
      </c>
      <c r="P274" s="13">
        <f t="shared" si="3"/>
        <v>0.2013422819</v>
      </c>
      <c r="Q274" s="13">
        <f t="shared" si="4"/>
        <v>0.02013422819</v>
      </c>
      <c r="R274" s="13">
        <f t="shared" si="5"/>
        <v>0.006711409396</v>
      </c>
      <c r="S274" s="14">
        <f t="shared" si="6"/>
        <v>1.072982872</v>
      </c>
      <c r="T274" s="14">
        <f t="shared" si="7"/>
        <v>0.851469526</v>
      </c>
      <c r="U274" s="14">
        <f t="shared" si="8"/>
        <v>0.5586794849</v>
      </c>
    </row>
    <row r="275" ht="15.75" customHeight="1">
      <c r="A275" s="9">
        <v>45970.6665454745</v>
      </c>
      <c r="B275" s="10">
        <v>15.0</v>
      </c>
      <c r="C275" s="10" t="s">
        <v>77</v>
      </c>
      <c r="D275" s="10" t="s">
        <v>911</v>
      </c>
      <c r="E275" s="12" t="s">
        <v>62</v>
      </c>
      <c r="F275" s="11">
        <v>6409.0</v>
      </c>
      <c r="G275" s="11">
        <v>239.0</v>
      </c>
      <c r="H275" s="11">
        <v>213.0</v>
      </c>
      <c r="I275" s="11">
        <v>142.0</v>
      </c>
      <c r="J275" s="11">
        <v>29.0</v>
      </c>
      <c r="K275" s="11">
        <v>10.0</v>
      </c>
      <c r="L275" s="11">
        <v>1.0</v>
      </c>
      <c r="M275" s="13">
        <f t="shared" ref="M275:O275" si="277">IFERROR(G275/F275,"")</f>
        <v>0.0372913091</v>
      </c>
      <c r="N275" s="13">
        <f t="shared" si="277"/>
        <v>0.8912133891</v>
      </c>
      <c r="O275" s="14">
        <f t="shared" si="277"/>
        <v>0.6666666667</v>
      </c>
      <c r="P275" s="13">
        <f t="shared" si="3"/>
        <v>0.1361502347</v>
      </c>
      <c r="Q275" s="13">
        <f t="shared" si="4"/>
        <v>0.04694835681</v>
      </c>
      <c r="R275" s="13">
        <f t="shared" si="5"/>
        <v>0.004694835681</v>
      </c>
      <c r="S275" s="14">
        <f t="shared" si="6"/>
        <v>0.8269137028</v>
      </c>
      <c r="T275" s="14">
        <f t="shared" si="7"/>
        <v>0.7817590601</v>
      </c>
      <c r="U275" s="14">
        <f t="shared" si="8"/>
        <v>1.302711162</v>
      </c>
    </row>
    <row r="276" ht="15.75" customHeight="1">
      <c r="A276" s="9">
        <v>45972.6657439699</v>
      </c>
      <c r="B276" s="10">
        <v>15.0</v>
      </c>
      <c r="C276" s="10" t="s">
        <v>59</v>
      </c>
      <c r="D276" s="10" t="s">
        <v>914</v>
      </c>
      <c r="E276" s="12" t="s">
        <v>62</v>
      </c>
      <c r="F276" s="11">
        <v>6536.0</v>
      </c>
      <c r="G276" s="11">
        <v>332.0</v>
      </c>
      <c r="H276" s="11">
        <v>255.0</v>
      </c>
      <c r="I276" s="11">
        <v>133.0</v>
      </c>
      <c r="J276" s="11">
        <v>53.0</v>
      </c>
      <c r="K276" s="11">
        <v>7.0</v>
      </c>
      <c r="L276" s="11">
        <v>1.0</v>
      </c>
      <c r="M276" s="13">
        <f t="shared" ref="M276:O276" si="278">IFERROR(G276/F276,"")</f>
        <v>0.05079559364</v>
      </c>
      <c r="N276" s="13">
        <f t="shared" si="278"/>
        <v>0.7680722892</v>
      </c>
      <c r="O276" s="14">
        <f t="shared" si="278"/>
        <v>0.5215686275</v>
      </c>
      <c r="P276" s="13">
        <f t="shared" si="3"/>
        <v>0.2078431373</v>
      </c>
      <c r="Q276" s="13">
        <f t="shared" si="4"/>
        <v>0.02745098039</v>
      </c>
      <c r="R276" s="13">
        <f t="shared" si="5"/>
        <v>0.003921568627</v>
      </c>
      <c r="S276" s="14">
        <f t="shared" si="6"/>
        <v>1.115620871</v>
      </c>
      <c r="T276" s="14">
        <f t="shared" si="7"/>
        <v>0.6737415283</v>
      </c>
      <c r="U276" s="14">
        <f t="shared" si="8"/>
        <v>0.7740787095</v>
      </c>
    </row>
    <row r="277" ht="15.75" customHeight="1">
      <c r="A277" s="9">
        <v>45974.6662808449</v>
      </c>
      <c r="B277" s="10">
        <v>15.0</v>
      </c>
      <c r="C277" s="10" t="s">
        <v>84</v>
      </c>
      <c r="D277" s="10" t="s">
        <v>916</v>
      </c>
      <c r="E277" s="12" t="s">
        <v>62</v>
      </c>
      <c r="F277" s="11">
        <v>6097.0</v>
      </c>
      <c r="G277" s="11">
        <v>334.0</v>
      </c>
      <c r="H277" s="11">
        <v>314.0</v>
      </c>
      <c r="I277" s="11">
        <v>146.0</v>
      </c>
      <c r="J277" s="11">
        <v>44.0</v>
      </c>
      <c r="K277" s="11">
        <v>9.0</v>
      </c>
      <c r="L277" s="11">
        <v>1.0</v>
      </c>
      <c r="M277" s="13">
        <f t="shared" ref="M277:O277" si="279">IFERROR(G277/F277,"")</f>
        <v>0.05478103986</v>
      </c>
      <c r="N277" s="13">
        <f t="shared" si="279"/>
        <v>0.9401197605</v>
      </c>
      <c r="O277" s="14">
        <f t="shared" si="279"/>
        <v>0.4649681529</v>
      </c>
      <c r="P277" s="13">
        <f t="shared" si="3"/>
        <v>0.1401273885</v>
      </c>
      <c r="Q277" s="13">
        <f t="shared" si="4"/>
        <v>0.02866242038</v>
      </c>
      <c r="R277" s="13">
        <f t="shared" si="5"/>
        <v>0.003184713376</v>
      </c>
      <c r="S277" s="14">
        <f t="shared" si="6"/>
        <v>1.203153011</v>
      </c>
      <c r="T277" s="14">
        <f t="shared" si="7"/>
        <v>0.8246589978</v>
      </c>
      <c r="U277" s="14">
        <f t="shared" si="8"/>
        <v>0.8082395989</v>
      </c>
    </row>
    <row r="278" ht="15.75" customHeight="1">
      <c r="A278" s="9">
        <v>45977.6663750926</v>
      </c>
      <c r="B278" s="10">
        <v>15.0</v>
      </c>
      <c r="C278" s="10" t="s">
        <v>77</v>
      </c>
      <c r="D278" s="10" t="s">
        <v>919</v>
      </c>
      <c r="E278" s="12" t="s">
        <v>62</v>
      </c>
      <c r="F278" s="11">
        <v>4623.0</v>
      </c>
      <c r="G278" s="11">
        <v>323.0</v>
      </c>
      <c r="H278" s="11">
        <v>281.0</v>
      </c>
      <c r="I278" s="11">
        <v>121.0</v>
      </c>
      <c r="J278" s="11">
        <v>34.0</v>
      </c>
      <c r="K278" s="11">
        <v>11.0</v>
      </c>
      <c r="L278" s="11">
        <v>1.0</v>
      </c>
      <c r="M278" s="13">
        <f t="shared" ref="M278:O278" si="280">IFERROR(G278/F278,"")</f>
        <v>0.06986805105</v>
      </c>
      <c r="N278" s="13">
        <f t="shared" si="280"/>
        <v>0.8699690402</v>
      </c>
      <c r="O278" s="14">
        <f t="shared" si="280"/>
        <v>0.4306049822</v>
      </c>
      <c r="P278" s="13">
        <f t="shared" si="3"/>
        <v>0.1209964413</v>
      </c>
      <c r="Q278" s="13">
        <f t="shared" si="4"/>
        <v>0.03914590747</v>
      </c>
      <c r="R278" s="13">
        <f t="shared" si="5"/>
        <v>0.003558718861</v>
      </c>
      <c r="S278" s="14">
        <f t="shared" si="6"/>
        <v>1.549284544</v>
      </c>
      <c r="T278" s="14">
        <f t="shared" si="7"/>
        <v>0.7631238349</v>
      </c>
      <c r="U278" s="14">
        <f t="shared" si="8"/>
        <v>1.086210766</v>
      </c>
    </row>
    <row r="279" ht="15.75" customHeight="1">
      <c r="A279" s="9">
        <v>45979.6672922454</v>
      </c>
      <c r="B279" s="10">
        <v>16.0</v>
      </c>
      <c r="C279" s="10" t="s">
        <v>59</v>
      </c>
      <c r="D279" s="10" t="s">
        <v>922</v>
      </c>
      <c r="E279" s="12" t="s">
        <v>62</v>
      </c>
      <c r="F279" s="11">
        <v>4464.0</v>
      </c>
      <c r="G279" s="11">
        <v>167.0</v>
      </c>
      <c r="H279" s="11">
        <v>217.0</v>
      </c>
      <c r="I279" s="11">
        <v>122.0</v>
      </c>
      <c r="J279" s="11">
        <v>30.0</v>
      </c>
      <c r="K279" s="11">
        <v>4.0</v>
      </c>
      <c r="L279" s="11">
        <v>0.0</v>
      </c>
      <c r="M279" s="13">
        <f t="shared" ref="M279:O279" si="281">IFERROR(G279/F279,"")</f>
        <v>0.03741039427</v>
      </c>
      <c r="N279" s="13">
        <f t="shared" si="281"/>
        <v>1.299401198</v>
      </c>
      <c r="O279" s="14">
        <f t="shared" si="281"/>
        <v>0.5622119816</v>
      </c>
      <c r="P279" s="13">
        <f t="shared" si="3"/>
        <v>0.1382488479</v>
      </c>
      <c r="Q279" s="13">
        <f t="shared" si="4"/>
        <v>0.01843317972</v>
      </c>
      <c r="R279" s="13">
        <f t="shared" si="5"/>
        <v>0</v>
      </c>
      <c r="S279" s="14">
        <f t="shared" si="6"/>
        <v>0.8295543492</v>
      </c>
      <c r="T279" s="14">
        <f t="shared" si="7"/>
        <v>1.139815303</v>
      </c>
      <c r="U279" s="14">
        <f t="shared" si="8"/>
        <v>0.5006926578</v>
      </c>
    </row>
    <row r="280" ht="15.75" customHeight="1">
      <c r="A280" s="9">
        <v>45981.6678535069</v>
      </c>
      <c r="B280" s="10">
        <v>16.0</v>
      </c>
      <c r="C280" s="10" t="s">
        <v>84</v>
      </c>
      <c r="D280" s="10" t="s">
        <v>925</v>
      </c>
      <c r="E280" s="12" t="s">
        <v>62</v>
      </c>
      <c r="F280" s="11">
        <v>4341.0</v>
      </c>
      <c r="G280" s="11">
        <v>247.0</v>
      </c>
      <c r="H280" s="11">
        <v>211.0</v>
      </c>
      <c r="I280" s="11">
        <v>111.0</v>
      </c>
      <c r="J280" s="11">
        <v>40.0</v>
      </c>
      <c r="K280" s="11">
        <v>11.0</v>
      </c>
      <c r="L280" s="11">
        <v>2.0</v>
      </c>
      <c r="M280" s="13">
        <f t="shared" ref="M280:O280" si="282">IFERROR(G280/F280,"")</f>
        <v>0.05689933195</v>
      </c>
      <c r="N280" s="13">
        <f t="shared" si="282"/>
        <v>0.8542510121</v>
      </c>
      <c r="O280" s="14">
        <f t="shared" si="282"/>
        <v>0.5260663507</v>
      </c>
      <c r="P280" s="13">
        <f t="shared" si="3"/>
        <v>0.1895734597</v>
      </c>
      <c r="Q280" s="13">
        <f t="shared" si="4"/>
        <v>0.05213270142</v>
      </c>
      <c r="R280" s="13">
        <f t="shared" si="5"/>
        <v>0.009478672986</v>
      </c>
      <c r="S280" s="14">
        <f t="shared" si="6"/>
        <v>1.276612993</v>
      </c>
      <c r="T280" s="14">
        <f t="shared" si="7"/>
        <v>0.7493362156</v>
      </c>
      <c r="U280" s="14">
        <f t="shared" si="8"/>
        <v>1.371430115</v>
      </c>
    </row>
    <row r="281" ht="15.75" customHeight="1">
      <c r="A281" s="9">
        <v>45984.6677157407</v>
      </c>
      <c r="B281" s="10">
        <v>16.0</v>
      </c>
      <c r="C281" s="10" t="s">
        <v>77</v>
      </c>
      <c r="D281" s="10" t="s">
        <v>928</v>
      </c>
      <c r="E281" s="12" t="s">
        <v>62</v>
      </c>
      <c r="F281" s="11">
        <v>4275.0</v>
      </c>
      <c r="G281" s="11">
        <v>189.0</v>
      </c>
      <c r="H281" s="11">
        <v>194.0</v>
      </c>
      <c r="I281" s="11">
        <v>105.0</v>
      </c>
      <c r="J281" s="11">
        <v>46.0</v>
      </c>
      <c r="K281" s="11">
        <v>5.0</v>
      </c>
      <c r="L281" s="11">
        <v>1.0</v>
      </c>
      <c r="M281" s="13">
        <f t="shared" ref="M281:O281" si="283">IFERROR(G281/F281,"")</f>
        <v>0.04421052632</v>
      </c>
      <c r="N281" s="13">
        <f t="shared" si="283"/>
        <v>1.026455026</v>
      </c>
      <c r="O281" s="14">
        <f t="shared" si="283"/>
        <v>0.5412371134</v>
      </c>
      <c r="P281" s="13">
        <f t="shared" si="3"/>
        <v>0.2371134021</v>
      </c>
      <c r="Q281" s="13">
        <f t="shared" si="4"/>
        <v>0.02577319588</v>
      </c>
      <c r="R281" s="13">
        <f t="shared" si="5"/>
        <v>0.005154639175</v>
      </c>
      <c r="S281" s="14">
        <f t="shared" si="6"/>
        <v>0.9887719298</v>
      </c>
      <c r="T281" s="14">
        <f t="shared" si="7"/>
        <v>0.9061120234</v>
      </c>
      <c r="U281" s="14">
        <f t="shared" si="8"/>
        <v>0.6649484536</v>
      </c>
    </row>
    <row r="282" ht="15.75" customHeight="1">
      <c r="A282" s="9">
        <v>45986.6680901389</v>
      </c>
      <c r="B282" s="10">
        <v>16.0</v>
      </c>
      <c r="C282" s="10" t="s">
        <v>59</v>
      </c>
      <c r="D282" s="10" t="s">
        <v>930</v>
      </c>
      <c r="E282" s="12" t="s">
        <v>62</v>
      </c>
      <c r="F282" s="11">
        <v>3908.0</v>
      </c>
      <c r="G282" s="11">
        <v>151.0</v>
      </c>
      <c r="H282" s="11">
        <v>163.0</v>
      </c>
      <c r="I282" s="11">
        <v>98.0</v>
      </c>
      <c r="J282" s="11">
        <v>43.0</v>
      </c>
      <c r="K282" s="11">
        <v>13.0</v>
      </c>
      <c r="L282" s="11">
        <v>1.0</v>
      </c>
      <c r="M282" s="13">
        <f t="shared" ref="M282:O282" si="284">IFERROR(G282/F282,"")</f>
        <v>0.03863868987</v>
      </c>
      <c r="N282" s="13">
        <f t="shared" si="284"/>
        <v>1.079470199</v>
      </c>
      <c r="O282" s="14">
        <f t="shared" si="284"/>
        <v>0.6012269939</v>
      </c>
      <c r="P282" s="13">
        <f t="shared" si="3"/>
        <v>0.263803681</v>
      </c>
      <c r="Q282" s="13">
        <f t="shared" si="4"/>
        <v>0.07975460123</v>
      </c>
      <c r="R282" s="13">
        <f t="shared" si="5"/>
        <v>0.006134969325</v>
      </c>
      <c r="S282" s="14">
        <f t="shared" si="6"/>
        <v>0.8495493759</v>
      </c>
      <c r="T282" s="14">
        <f t="shared" si="7"/>
        <v>0.9529116237</v>
      </c>
      <c r="U282" s="14">
        <f t="shared" si="8"/>
        <v>2.03736754</v>
      </c>
    </row>
    <row r="283" ht="15.75" customHeight="1">
      <c r="A283" s="9">
        <v>45988.6700113079</v>
      </c>
      <c r="B283" s="10">
        <v>16.0</v>
      </c>
      <c r="C283" s="10" t="s">
        <v>84</v>
      </c>
      <c r="D283" s="10" t="s">
        <v>933</v>
      </c>
      <c r="E283" s="12" t="s">
        <v>62</v>
      </c>
      <c r="F283" s="11">
        <v>3878.0</v>
      </c>
      <c r="G283" s="11">
        <v>158.0</v>
      </c>
      <c r="H283" s="11">
        <v>174.0</v>
      </c>
      <c r="I283" s="11">
        <v>98.0</v>
      </c>
      <c r="J283" s="11">
        <v>56.0</v>
      </c>
      <c r="K283" s="11">
        <v>6.0</v>
      </c>
      <c r="L283" s="11">
        <v>1.0</v>
      </c>
      <c r="M283" s="13">
        <f t="shared" ref="M283:O283" si="285">IFERROR(G283/F283,"")</f>
        <v>0.04074265085</v>
      </c>
      <c r="N283" s="13">
        <f t="shared" si="285"/>
        <v>1.101265823</v>
      </c>
      <c r="O283" s="14">
        <f t="shared" si="285"/>
        <v>0.5632183908</v>
      </c>
      <c r="P283" s="13">
        <f t="shared" si="3"/>
        <v>0.3218390805</v>
      </c>
      <c r="Q283" s="13">
        <f t="shared" si="4"/>
        <v>0.03448275862</v>
      </c>
      <c r="R283" s="13">
        <f t="shared" si="5"/>
        <v>0.005747126437</v>
      </c>
      <c r="S283" s="14">
        <f t="shared" si="6"/>
        <v>0.8948286335</v>
      </c>
      <c r="T283" s="14">
        <f t="shared" si="7"/>
        <v>0.9759345909</v>
      </c>
      <c r="U283" s="14">
        <f t="shared" si="8"/>
        <v>0.8852447006</v>
      </c>
    </row>
    <row r="284" ht="15.75" customHeight="1">
      <c r="A284" s="9">
        <v>45991.669786875</v>
      </c>
      <c r="B284" s="10">
        <v>16.0</v>
      </c>
      <c r="C284" s="10" t="s">
        <v>77</v>
      </c>
      <c r="D284" s="10" t="s">
        <v>935</v>
      </c>
      <c r="E284" s="12" t="s">
        <v>62</v>
      </c>
      <c r="F284" s="11">
        <v>3663.0</v>
      </c>
      <c r="G284" s="11">
        <v>135.0</v>
      </c>
      <c r="H284" s="11">
        <v>110.0</v>
      </c>
      <c r="I284" s="11">
        <v>69.0</v>
      </c>
      <c r="J284" s="11">
        <v>70.0</v>
      </c>
      <c r="K284" s="11">
        <v>4.0</v>
      </c>
      <c r="L284" s="11">
        <v>0.0</v>
      </c>
      <c r="M284" s="13">
        <f t="shared" ref="M284:O284" si="286">IFERROR(G284/F284,"")</f>
        <v>0.03685503686</v>
      </c>
      <c r="N284" s="13">
        <f t="shared" si="286"/>
        <v>0.8148148148</v>
      </c>
      <c r="O284" s="14">
        <f t="shared" si="286"/>
        <v>0.6272727273</v>
      </c>
      <c r="P284" s="13">
        <f t="shared" si="3"/>
        <v>0.6363636364</v>
      </c>
      <c r="Q284" s="13">
        <f t="shared" si="4"/>
        <v>0.03636363636</v>
      </c>
      <c r="R284" s="13">
        <f t="shared" si="5"/>
        <v>0</v>
      </c>
      <c r="S284" s="14">
        <f t="shared" si="6"/>
        <v>0.8094451779</v>
      </c>
      <c r="T284" s="14">
        <f t="shared" si="7"/>
        <v>0.7220835756</v>
      </c>
      <c r="U284" s="14">
        <f t="shared" si="8"/>
        <v>0.9335307752</v>
      </c>
    </row>
    <row r="285" ht="15.75" customHeight="1">
      <c r="A285" s="9">
        <v>45993.6704182639</v>
      </c>
      <c r="B285" s="10">
        <v>16.0</v>
      </c>
      <c r="C285" s="10" t="s">
        <v>59</v>
      </c>
      <c r="D285" s="10" t="s">
        <v>938</v>
      </c>
      <c r="E285" s="12" t="s">
        <v>62</v>
      </c>
      <c r="F285" s="11">
        <v>3436.0</v>
      </c>
      <c r="G285" s="11">
        <v>195.0</v>
      </c>
      <c r="H285" s="11">
        <v>163.0</v>
      </c>
      <c r="I285" s="11">
        <v>94.0</v>
      </c>
      <c r="J285" s="11">
        <v>97.0</v>
      </c>
      <c r="K285" s="11">
        <v>13.0</v>
      </c>
      <c r="L285" s="11">
        <v>0.0</v>
      </c>
      <c r="M285" s="13">
        <f t="shared" ref="M285:O285" si="287">IFERROR(G285/F285,"")</f>
        <v>0.05675203725</v>
      </c>
      <c r="N285" s="13">
        <f t="shared" si="287"/>
        <v>0.8358974359</v>
      </c>
      <c r="O285" s="14">
        <f t="shared" si="287"/>
        <v>0.5766871166</v>
      </c>
      <c r="P285" s="13">
        <f t="shared" si="3"/>
        <v>0.5950920245</v>
      </c>
      <c r="Q285" s="13">
        <f t="shared" si="4"/>
        <v>0.07975460123</v>
      </c>
      <c r="R285" s="13">
        <f t="shared" si="5"/>
        <v>0</v>
      </c>
      <c r="S285" s="14">
        <f t="shared" si="6"/>
        <v>1.24644192</v>
      </c>
      <c r="T285" s="14">
        <f t="shared" si="7"/>
        <v>0.7407668569</v>
      </c>
      <c r="U285" s="14">
        <f t="shared" si="8"/>
        <v>2.01538156</v>
      </c>
    </row>
    <row r="286" ht="15.75" customHeight="1">
      <c r="A286" s="9">
        <v>45995.670573044</v>
      </c>
      <c r="B286" s="10">
        <v>16.0</v>
      </c>
      <c r="C286" s="10" t="s">
        <v>84</v>
      </c>
      <c r="D286" s="10" t="s">
        <v>941</v>
      </c>
      <c r="E286" s="12" t="s">
        <v>62</v>
      </c>
      <c r="F286" s="11">
        <v>3228.0</v>
      </c>
      <c r="G286" s="11">
        <v>197.0</v>
      </c>
      <c r="H286" s="11">
        <v>226.0</v>
      </c>
      <c r="I286" s="11">
        <v>110.0</v>
      </c>
      <c r="J286" s="11">
        <v>99.0</v>
      </c>
      <c r="K286" s="11">
        <v>5.0</v>
      </c>
      <c r="L286" s="11">
        <v>0.0</v>
      </c>
      <c r="M286" s="13">
        <f t="shared" ref="M286:O286" si="288">IFERROR(G286/F286,"")</f>
        <v>0.06102850062</v>
      </c>
      <c r="N286" s="13">
        <f t="shared" si="288"/>
        <v>1.147208122</v>
      </c>
      <c r="O286" s="14">
        <f t="shared" si="288"/>
        <v>0.4867256637</v>
      </c>
      <c r="P286" s="13">
        <f t="shared" si="3"/>
        <v>0.4380530973</v>
      </c>
      <c r="Q286" s="13">
        <f t="shared" si="4"/>
        <v>0.02212389381</v>
      </c>
      <c r="R286" s="13">
        <f t="shared" si="5"/>
        <v>0</v>
      </c>
      <c r="S286" s="14">
        <f t="shared" si="6"/>
        <v>1.333255221</v>
      </c>
      <c r="T286" s="14">
        <f t="shared" si="7"/>
        <v>1.016648357</v>
      </c>
      <c r="U286" s="14">
        <f t="shared" si="8"/>
        <v>0.5543237251</v>
      </c>
    </row>
    <row r="287" ht="15.75" customHeight="1">
      <c r="A287" s="9">
        <v>45998.6712049421</v>
      </c>
      <c r="B287" s="10">
        <v>16.0</v>
      </c>
      <c r="C287" s="10" t="s">
        <v>77</v>
      </c>
      <c r="D287" s="10" t="s">
        <v>944</v>
      </c>
      <c r="E287" s="12" t="s">
        <v>62</v>
      </c>
      <c r="F287" s="11">
        <v>2858.0</v>
      </c>
      <c r="G287" s="11">
        <v>197.0</v>
      </c>
      <c r="H287" s="11">
        <v>188.0</v>
      </c>
      <c r="I287" s="11">
        <v>118.0</v>
      </c>
      <c r="J287" s="11">
        <v>82.0</v>
      </c>
      <c r="K287" s="11">
        <v>10.0</v>
      </c>
      <c r="L287" s="11">
        <v>1.0</v>
      </c>
      <c r="M287" s="13">
        <f t="shared" ref="M287:O287" si="289">IFERROR(G287/F287,"")</f>
        <v>0.0689293212</v>
      </c>
      <c r="N287" s="13">
        <f t="shared" si="289"/>
        <v>0.9543147208</v>
      </c>
      <c r="O287" s="14">
        <f t="shared" si="289"/>
        <v>0.6276595745</v>
      </c>
      <c r="P287" s="13">
        <f t="shared" si="3"/>
        <v>0.4361702128</v>
      </c>
      <c r="Q287" s="13">
        <f t="shared" si="4"/>
        <v>0.05319148936</v>
      </c>
      <c r="R287" s="13">
        <f t="shared" si="5"/>
        <v>0.005319148936</v>
      </c>
      <c r="S287" s="14">
        <f t="shared" si="6"/>
        <v>1.505859991</v>
      </c>
      <c r="T287" s="14">
        <f t="shared" si="7"/>
        <v>0.8457074826</v>
      </c>
      <c r="U287" s="14">
        <f t="shared" si="8"/>
        <v>1.332735764</v>
      </c>
    </row>
    <row r="288" ht="15.75" customHeight="1">
      <c r="A288" s="9">
        <v>46000.6723838079</v>
      </c>
      <c r="B288" s="10">
        <v>16.0</v>
      </c>
      <c r="C288" s="10" t="s">
        <v>59</v>
      </c>
      <c r="D288" s="10" t="s">
        <v>946</v>
      </c>
      <c r="E288" s="12" t="s">
        <v>62</v>
      </c>
      <c r="F288" s="11">
        <v>2757.0</v>
      </c>
      <c r="G288" s="11">
        <v>144.0</v>
      </c>
      <c r="H288" s="11">
        <v>171.0</v>
      </c>
      <c r="I288" s="11">
        <v>77.0</v>
      </c>
      <c r="J288" s="11">
        <v>84.0</v>
      </c>
      <c r="K288" s="11">
        <v>1.0</v>
      </c>
      <c r="L288" s="11">
        <v>0.0</v>
      </c>
      <c r="M288" s="13">
        <f t="shared" ref="M288:O288" si="290">IFERROR(G288/F288,"")</f>
        <v>0.05223068553</v>
      </c>
      <c r="N288" s="13">
        <f t="shared" si="290"/>
        <v>1.1875</v>
      </c>
      <c r="O288" s="14">
        <f t="shared" si="290"/>
        <v>0.4502923977</v>
      </c>
      <c r="P288" s="13">
        <f t="shared" si="3"/>
        <v>0.4912280702</v>
      </c>
      <c r="Q288" s="13">
        <f t="shared" si="4"/>
        <v>0.005847953216</v>
      </c>
      <c r="R288" s="13">
        <f t="shared" si="5"/>
        <v>0</v>
      </c>
      <c r="S288" s="14">
        <f t="shared" si="6"/>
        <v>1.141054319</v>
      </c>
      <c r="T288" s="14">
        <f t="shared" si="7"/>
        <v>1.052354756</v>
      </c>
      <c r="U288" s="14">
        <f t="shared" si="8"/>
        <v>0.1465229963</v>
      </c>
    </row>
    <row r="289" ht="15.75" customHeight="1">
      <c r="A289" s="9">
        <v>46002.6720616204</v>
      </c>
      <c r="B289" s="10">
        <v>16.0</v>
      </c>
      <c r="C289" s="10" t="s">
        <v>84</v>
      </c>
      <c r="D289" s="10" t="s">
        <v>950</v>
      </c>
      <c r="E289" s="12" t="s">
        <v>62</v>
      </c>
      <c r="F289" s="11">
        <v>2608.0</v>
      </c>
      <c r="G289" s="11">
        <v>131.0</v>
      </c>
      <c r="H289" s="11">
        <v>139.0</v>
      </c>
      <c r="I289" s="11">
        <v>79.0</v>
      </c>
      <c r="J289" s="11">
        <v>69.0</v>
      </c>
      <c r="K289" s="11">
        <v>6.0</v>
      </c>
      <c r="L289" s="11">
        <v>0.0</v>
      </c>
      <c r="M289" s="13">
        <f t="shared" ref="M289:O289" si="291">IFERROR(G289/F289,"")</f>
        <v>0.05023006135</v>
      </c>
      <c r="N289" s="13">
        <f t="shared" si="291"/>
        <v>1.061068702</v>
      </c>
      <c r="O289" s="14">
        <f t="shared" si="291"/>
        <v>0.5683453237</v>
      </c>
      <c r="P289" s="13">
        <f t="shared" si="3"/>
        <v>0.4964028777</v>
      </c>
      <c r="Q289" s="13">
        <f t="shared" si="4"/>
        <v>0.04316546763</v>
      </c>
      <c r="R289" s="13">
        <f t="shared" si="5"/>
        <v>0</v>
      </c>
      <c r="S289" s="14">
        <f t="shared" si="6"/>
        <v>1.097347811</v>
      </c>
      <c r="T289" s="14">
        <f t="shared" si="7"/>
        <v>0.9403121649</v>
      </c>
      <c r="U289" s="14">
        <f t="shared" si="8"/>
        <v>1.081529455</v>
      </c>
    </row>
    <row r="290" ht="15.75" customHeight="1">
      <c r="A290" s="9">
        <v>46005.6728286921</v>
      </c>
      <c r="B290" s="10">
        <v>16.0</v>
      </c>
      <c r="C290" s="10" t="s">
        <v>77</v>
      </c>
      <c r="D290" s="10" t="s">
        <v>953</v>
      </c>
      <c r="E290" s="12" t="s">
        <v>62</v>
      </c>
      <c r="F290" s="11">
        <v>2786.0</v>
      </c>
      <c r="G290" s="11">
        <v>85.0</v>
      </c>
      <c r="H290" s="11">
        <v>121.0</v>
      </c>
      <c r="I290" s="11">
        <v>68.0</v>
      </c>
      <c r="J290" s="11">
        <v>35.0</v>
      </c>
      <c r="K290" s="11">
        <v>5.0</v>
      </c>
      <c r="L290" s="11">
        <v>0.0</v>
      </c>
      <c r="M290" s="13">
        <f t="shared" ref="M290:O290" si="292">IFERROR(G290/F290,"")</f>
        <v>0.03050969131</v>
      </c>
      <c r="N290" s="13">
        <f t="shared" si="292"/>
        <v>1.423529412</v>
      </c>
      <c r="O290" s="14">
        <f t="shared" si="292"/>
        <v>0.5619834711</v>
      </c>
      <c r="P290" s="13">
        <f t="shared" si="3"/>
        <v>0.2892561983</v>
      </c>
      <c r="Q290" s="13">
        <f t="shared" si="4"/>
        <v>0.04132231405</v>
      </c>
      <c r="R290" s="13">
        <f t="shared" si="5"/>
        <v>0</v>
      </c>
      <c r="S290" s="14">
        <f t="shared" si="6"/>
        <v>0.6665280129</v>
      </c>
      <c r="T290" s="14">
        <f t="shared" si="7"/>
        <v>1.261522482</v>
      </c>
      <c r="U290" s="14">
        <f t="shared" si="8"/>
        <v>1.046546311</v>
      </c>
    </row>
    <row r="291" ht="15.75" customHeight="1">
      <c r="A291" s="9">
        <v>46007.6743502199</v>
      </c>
      <c r="B291" s="10">
        <v>16.0</v>
      </c>
      <c r="C291" s="10" t="s">
        <v>59</v>
      </c>
      <c r="D291" s="10" t="s">
        <v>956</v>
      </c>
      <c r="E291" s="12" t="s">
        <v>62</v>
      </c>
      <c r="F291" s="11">
        <v>2818.0</v>
      </c>
      <c r="G291" s="11">
        <v>126.0</v>
      </c>
      <c r="H291" s="11">
        <v>165.0</v>
      </c>
      <c r="I291" s="11">
        <v>101.0</v>
      </c>
      <c r="J291" s="11">
        <v>37.0</v>
      </c>
      <c r="K291" s="11">
        <v>12.0</v>
      </c>
      <c r="L291" s="11">
        <v>0.0</v>
      </c>
      <c r="M291" s="13">
        <f t="shared" ref="M291:O291" si="293">IFERROR(G291/F291,"")</f>
        <v>0.0447125621</v>
      </c>
      <c r="N291" s="13">
        <f t="shared" si="293"/>
        <v>1.30952381</v>
      </c>
      <c r="O291" s="14">
        <f t="shared" si="293"/>
        <v>0.6121212121</v>
      </c>
      <c r="P291" s="13">
        <f t="shared" si="3"/>
        <v>0.2242424242</v>
      </c>
      <c r="Q291" s="13">
        <f t="shared" si="4"/>
        <v>0.07272727273</v>
      </c>
      <c r="R291" s="13">
        <f t="shared" si="5"/>
        <v>0</v>
      </c>
      <c r="S291" s="14">
        <f t="shared" si="6"/>
        <v>0.9809458281</v>
      </c>
      <c r="T291" s="14">
        <f t="shared" si="7"/>
        <v>1.155993432</v>
      </c>
      <c r="U291" s="14">
        <f t="shared" si="8"/>
        <v>1.826262626</v>
      </c>
    </row>
    <row r="292" ht="15.75" customHeight="1">
      <c r="A292" s="9">
        <v>46009.6737163542</v>
      </c>
      <c r="B292" s="10">
        <v>16.0</v>
      </c>
      <c r="C292" s="10" t="s">
        <v>84</v>
      </c>
      <c r="D292" s="10" t="s">
        <v>959</v>
      </c>
      <c r="E292" s="12" t="s">
        <v>62</v>
      </c>
      <c r="F292" s="11">
        <v>2737.0</v>
      </c>
      <c r="G292" s="11">
        <v>106.0</v>
      </c>
      <c r="H292" s="11">
        <v>124.0</v>
      </c>
      <c r="I292" s="11">
        <v>89.0</v>
      </c>
      <c r="J292" s="11">
        <v>36.0</v>
      </c>
      <c r="K292" s="11">
        <v>9.0</v>
      </c>
      <c r="L292" s="11">
        <v>1.0</v>
      </c>
      <c r="M292" s="13">
        <f t="shared" ref="M292:O292" si="294">IFERROR(G292/F292,"")</f>
        <v>0.03872853489</v>
      </c>
      <c r="N292" s="13">
        <f t="shared" si="294"/>
        <v>1.169811321</v>
      </c>
      <c r="O292" s="14">
        <f t="shared" si="294"/>
        <v>0.7177419355</v>
      </c>
      <c r="P292" s="13">
        <f t="shared" si="3"/>
        <v>0.2903225806</v>
      </c>
      <c r="Q292" s="13">
        <f t="shared" si="4"/>
        <v>0.07258064516</v>
      </c>
      <c r="R292" s="13">
        <f t="shared" si="5"/>
        <v>0.008064516129</v>
      </c>
      <c r="S292" s="14">
        <f t="shared" si="6"/>
        <v>0.8496626663</v>
      </c>
      <c r="T292" s="14">
        <f t="shared" si="7"/>
        <v>1.032661028</v>
      </c>
      <c r="U292" s="14">
        <f t="shared" si="8"/>
        <v>1.822580645</v>
      </c>
    </row>
    <row r="293" ht="15.75" customHeight="1">
      <c r="A293" s="9">
        <v>46012.6743012037</v>
      </c>
      <c r="B293" s="10">
        <v>16.0</v>
      </c>
      <c r="C293" s="10" t="s">
        <v>77</v>
      </c>
      <c r="D293" s="10" t="s">
        <v>962</v>
      </c>
      <c r="E293" s="12" t="s">
        <v>62</v>
      </c>
      <c r="F293" s="11">
        <v>2690.0</v>
      </c>
      <c r="G293" s="11">
        <v>85.0</v>
      </c>
      <c r="H293" s="11">
        <v>118.0</v>
      </c>
      <c r="I293" s="11">
        <v>90.0</v>
      </c>
      <c r="J293" s="11">
        <v>39.0</v>
      </c>
      <c r="K293" s="11">
        <v>10.0</v>
      </c>
      <c r="L293" s="11">
        <v>1.0</v>
      </c>
      <c r="M293" s="13">
        <f t="shared" ref="M293:O293" si="295">IFERROR(G293/F293,"")</f>
        <v>0.03159851301</v>
      </c>
      <c r="N293" s="13">
        <f t="shared" si="295"/>
        <v>1.388235294</v>
      </c>
      <c r="O293" s="14">
        <f t="shared" si="295"/>
        <v>0.7627118644</v>
      </c>
      <c r="P293" s="13">
        <f t="shared" si="3"/>
        <v>0.3305084746</v>
      </c>
      <c r="Q293" s="13">
        <f t="shared" si="4"/>
        <v>0.08474576271</v>
      </c>
      <c r="R293" s="13">
        <f t="shared" si="5"/>
        <v>0.008474576271</v>
      </c>
      <c r="S293" s="14">
        <f t="shared" si="6"/>
        <v>0.6939964295</v>
      </c>
      <c r="T293" s="14">
        <f t="shared" si="7"/>
        <v>1.217739244</v>
      </c>
      <c r="U293" s="14">
        <f t="shared" si="8"/>
        <v>2.123341726</v>
      </c>
    </row>
    <row r="294" ht="15.75" customHeight="1">
      <c r="A294" s="9">
        <v>46014.6750370602</v>
      </c>
      <c r="B294" s="10">
        <v>16.0</v>
      </c>
      <c r="C294" s="10" t="s">
        <v>59</v>
      </c>
      <c r="D294" s="10" t="s">
        <v>964</v>
      </c>
      <c r="E294" s="12" t="s">
        <v>62</v>
      </c>
      <c r="F294" s="11">
        <v>2791.0</v>
      </c>
      <c r="G294" s="11">
        <v>124.0</v>
      </c>
      <c r="H294" s="11">
        <v>128.0</v>
      </c>
      <c r="I294" s="11">
        <v>96.0</v>
      </c>
      <c r="J294" s="11">
        <v>30.0</v>
      </c>
      <c r="K294" s="11">
        <v>8.0</v>
      </c>
      <c r="L294" s="11">
        <v>1.0</v>
      </c>
      <c r="M294" s="13">
        <f t="shared" ref="M294:O294" si="296">IFERROR(G294/F294,"")</f>
        <v>0.04442852024</v>
      </c>
      <c r="N294" s="13">
        <f t="shared" si="296"/>
        <v>1.032258065</v>
      </c>
      <c r="O294" s="14">
        <f t="shared" si="296"/>
        <v>0.75</v>
      </c>
      <c r="P294" s="13">
        <f t="shared" si="3"/>
        <v>0.234375</v>
      </c>
      <c r="Q294" s="13">
        <f t="shared" si="4"/>
        <v>0.0625</v>
      </c>
      <c r="R294" s="13">
        <f t="shared" si="5"/>
        <v>0.0078125</v>
      </c>
      <c r="S294" s="14">
        <f t="shared" si="6"/>
        <v>0.9757811833</v>
      </c>
      <c r="T294" s="14">
        <f t="shared" si="7"/>
        <v>0.9054813405</v>
      </c>
      <c r="U294" s="14">
        <f t="shared" si="8"/>
        <v>1.542357274</v>
      </c>
    </row>
    <row r="295" ht="15.75" customHeight="1">
      <c r="A295" s="9">
        <v>46016.6748506829</v>
      </c>
      <c r="B295" s="10">
        <v>16.0</v>
      </c>
      <c r="C295" s="10" t="s">
        <v>84</v>
      </c>
      <c r="D295" s="10" t="s">
        <v>967</v>
      </c>
      <c r="E295" s="12" t="s">
        <v>62</v>
      </c>
      <c r="F295" s="11">
        <v>2513.0</v>
      </c>
      <c r="G295" s="11">
        <v>73.0</v>
      </c>
      <c r="H295" s="11">
        <v>65.0</v>
      </c>
      <c r="I295" s="11">
        <v>121.0</v>
      </c>
      <c r="J295" s="11">
        <v>24.0</v>
      </c>
      <c r="K295" s="11">
        <v>7.0</v>
      </c>
      <c r="L295" s="11">
        <v>0.0</v>
      </c>
      <c r="M295" s="13">
        <f t="shared" ref="M295:O295" si="297">IFERROR(G295/F295,"")</f>
        <v>0.02904894548</v>
      </c>
      <c r="N295" s="13">
        <f t="shared" si="297"/>
        <v>0.8904109589</v>
      </c>
      <c r="O295" s="14">
        <f t="shared" si="297"/>
        <v>1.861538462</v>
      </c>
      <c r="P295" s="13">
        <f t="shared" si="3"/>
        <v>0.3692307692</v>
      </c>
      <c r="Q295" s="13">
        <f t="shared" si="4"/>
        <v>0.1076923077</v>
      </c>
      <c r="R295" s="13">
        <f t="shared" si="5"/>
        <v>0</v>
      </c>
      <c r="S295" s="14">
        <f t="shared" si="6"/>
        <v>0.638000416</v>
      </c>
      <c r="T295" s="14">
        <f t="shared" si="7"/>
        <v>0.7810551803</v>
      </c>
      <c r="U295" s="14">
        <f t="shared" si="8"/>
        <v>2.657600227</v>
      </c>
    </row>
    <row r="296" ht="15.75" customHeight="1">
      <c r="A296" s="9">
        <v>46019.676439838</v>
      </c>
      <c r="B296" s="10">
        <v>16.0</v>
      </c>
      <c r="C296" s="10" t="s">
        <v>77</v>
      </c>
      <c r="D296" s="10" t="s">
        <v>970</v>
      </c>
      <c r="E296" s="12" t="s">
        <v>62</v>
      </c>
      <c r="F296" s="11">
        <v>2956.0</v>
      </c>
      <c r="G296" s="11">
        <v>290.0</v>
      </c>
      <c r="H296" s="11">
        <v>271.0</v>
      </c>
      <c r="I296" s="11">
        <v>380.0</v>
      </c>
      <c r="J296" s="11">
        <v>67.0</v>
      </c>
      <c r="K296" s="11">
        <v>8.0</v>
      </c>
      <c r="L296" s="11">
        <v>0.0</v>
      </c>
      <c r="M296" s="13">
        <f t="shared" ref="M296:O296" si="298">IFERROR(G296/F296,"")</f>
        <v>0.09810554804</v>
      </c>
      <c r="N296" s="13">
        <f t="shared" si="298"/>
        <v>0.9344827586</v>
      </c>
      <c r="O296" s="14">
        <f t="shared" si="298"/>
        <v>1.402214022</v>
      </c>
      <c r="P296" s="13">
        <f t="shared" si="3"/>
        <v>0.2472324723</v>
      </c>
      <c r="Q296" s="13">
        <f t="shared" si="4"/>
        <v>0.0295202952</v>
      </c>
      <c r="R296" s="13">
        <f t="shared" si="5"/>
        <v>0</v>
      </c>
      <c r="S296" s="14">
        <f t="shared" si="6"/>
        <v>2.154686837</v>
      </c>
      <c r="T296" s="14">
        <f t="shared" si="7"/>
        <v>0.8281325271</v>
      </c>
      <c r="U296" s="14">
        <f t="shared" si="8"/>
        <v>0.7167983024</v>
      </c>
    </row>
    <row r="297" ht="15.75" customHeight="1">
      <c r="A297" s="9">
        <v>46021.6756311227</v>
      </c>
      <c r="B297" s="10">
        <v>16.0</v>
      </c>
      <c r="C297" s="10" t="s">
        <v>59</v>
      </c>
      <c r="D297" s="10" t="s">
        <v>972</v>
      </c>
      <c r="E297" s="12" t="s">
        <v>62</v>
      </c>
      <c r="F297" s="11">
        <v>3069.0</v>
      </c>
      <c r="G297" s="11">
        <v>90.0</v>
      </c>
      <c r="H297" s="11">
        <v>137.0</v>
      </c>
      <c r="I297" s="11">
        <v>86.0</v>
      </c>
      <c r="J297" s="11">
        <v>30.0</v>
      </c>
      <c r="K297" s="11">
        <v>7.0</v>
      </c>
      <c r="L297" s="11">
        <v>0.0</v>
      </c>
      <c r="M297" s="13">
        <f t="shared" ref="M297:O297" si="299">IFERROR(G297/F297,"")</f>
        <v>0.0293255132</v>
      </c>
      <c r="N297" s="13">
        <f t="shared" si="299"/>
        <v>1.522222222</v>
      </c>
      <c r="O297" s="14">
        <f t="shared" si="299"/>
        <v>0.6277372263</v>
      </c>
      <c r="P297" s="13">
        <f t="shared" si="3"/>
        <v>0.2189781022</v>
      </c>
      <c r="Q297" s="13">
        <f t="shared" si="4"/>
        <v>0.05109489051</v>
      </c>
      <c r="R297" s="13">
        <f t="shared" si="5"/>
        <v>0</v>
      </c>
      <c r="S297" s="14">
        <f t="shared" si="6"/>
        <v>0.6502766809</v>
      </c>
      <c r="T297" s="14">
        <f t="shared" si="7"/>
        <v>1.348983407</v>
      </c>
      <c r="U297" s="14">
        <f t="shared" si="8"/>
        <v>1.220975476</v>
      </c>
    </row>
    <row r="298" ht="15.75" customHeight="1">
      <c r="A298" s="9">
        <v>46023.6761952662</v>
      </c>
      <c r="B298" s="10">
        <v>16.0</v>
      </c>
      <c r="C298" s="10" t="s">
        <v>84</v>
      </c>
      <c r="D298" s="10" t="s">
        <v>975</v>
      </c>
      <c r="E298" s="12" t="s">
        <v>62</v>
      </c>
      <c r="F298" s="11">
        <v>3595.0</v>
      </c>
      <c r="G298" s="11">
        <v>158.0</v>
      </c>
      <c r="H298" s="11">
        <v>170.0</v>
      </c>
      <c r="I298" s="11">
        <v>128.0</v>
      </c>
      <c r="J298" s="11">
        <v>51.0</v>
      </c>
      <c r="K298" s="11">
        <v>12.0</v>
      </c>
      <c r="L298" s="11">
        <v>0.0</v>
      </c>
      <c r="M298" s="13">
        <f t="shared" ref="M298:O298" si="300">IFERROR(G298/F298,"")</f>
        <v>0.04394993046</v>
      </c>
      <c r="N298" s="13">
        <f t="shared" si="300"/>
        <v>1.075949367</v>
      </c>
      <c r="O298" s="14">
        <f t="shared" si="300"/>
        <v>0.7529411765</v>
      </c>
      <c r="P298" s="13">
        <f t="shared" si="3"/>
        <v>0.3</v>
      </c>
      <c r="Q298" s="13">
        <f t="shared" si="4"/>
        <v>0.07058823529</v>
      </c>
      <c r="R298" s="13">
        <f t="shared" si="5"/>
        <v>0</v>
      </c>
      <c r="S298" s="14">
        <f t="shared" si="6"/>
        <v>0.9860757645</v>
      </c>
      <c r="T298" s="14">
        <f t="shared" si="7"/>
        <v>0.953499313</v>
      </c>
      <c r="U298" s="14">
        <f t="shared" si="8"/>
        <v>1.650446522</v>
      </c>
    </row>
    <row r="299" ht="15.75" customHeight="1">
      <c r="A299" s="9">
        <v>46026.6763887384</v>
      </c>
      <c r="B299" s="10">
        <v>16.0</v>
      </c>
      <c r="C299" s="10" t="s">
        <v>77</v>
      </c>
      <c r="D299" s="10" t="s">
        <v>978</v>
      </c>
      <c r="E299" s="12" t="s">
        <v>62</v>
      </c>
      <c r="F299" s="11">
        <v>3819.0</v>
      </c>
      <c r="G299" s="11">
        <v>258.0</v>
      </c>
      <c r="H299" s="11">
        <v>290.0</v>
      </c>
      <c r="I299" s="11">
        <v>137.0</v>
      </c>
      <c r="J299" s="11">
        <v>51.0</v>
      </c>
      <c r="K299" s="11">
        <v>6.0</v>
      </c>
      <c r="L299" s="11">
        <v>0.0</v>
      </c>
      <c r="M299" s="13">
        <f t="shared" ref="M299:O299" si="301">IFERROR(G299/F299,"")</f>
        <v>0.06755695208</v>
      </c>
      <c r="N299" s="13">
        <f t="shared" si="301"/>
        <v>1.124031008</v>
      </c>
      <c r="O299" s="14">
        <f t="shared" si="301"/>
        <v>0.4724137931</v>
      </c>
      <c r="P299" s="13">
        <f t="shared" si="3"/>
        <v>0.175862069</v>
      </c>
      <c r="Q299" s="13">
        <f t="shared" si="4"/>
        <v>0.02068965517</v>
      </c>
      <c r="R299" s="13">
        <f t="shared" si="5"/>
        <v>0</v>
      </c>
      <c r="S299" s="14">
        <f t="shared" si="6"/>
        <v>1.49803723</v>
      </c>
      <c r="T299" s="14">
        <f t="shared" si="7"/>
        <v>0.9961089494</v>
      </c>
      <c r="U299" s="14">
        <f t="shared" si="8"/>
        <v>0.4837515668</v>
      </c>
    </row>
    <row r="300" ht="15.75" customHeight="1">
      <c r="A300" s="9">
        <v>46028.6766735301</v>
      </c>
      <c r="B300" s="10">
        <v>16.0</v>
      </c>
      <c r="C300" s="10" t="s">
        <v>59</v>
      </c>
      <c r="D300" s="10" t="s">
        <v>980</v>
      </c>
      <c r="E300" s="12" t="s">
        <v>62</v>
      </c>
      <c r="F300" s="11">
        <v>3431.0</v>
      </c>
      <c r="G300" s="11">
        <v>203.0</v>
      </c>
      <c r="H300" s="11">
        <v>240.0</v>
      </c>
      <c r="I300" s="11">
        <v>91.0</v>
      </c>
      <c r="J300" s="11">
        <v>50.0</v>
      </c>
      <c r="K300" s="11">
        <v>4.0</v>
      </c>
      <c r="L300" s="11">
        <v>0.0</v>
      </c>
      <c r="M300" s="13">
        <f t="shared" ref="M300:O300" si="302">IFERROR(G300/F300,"")</f>
        <v>0.05916642378</v>
      </c>
      <c r="N300" s="13">
        <f t="shared" si="302"/>
        <v>1.18226601</v>
      </c>
      <c r="O300" s="14">
        <f t="shared" si="302"/>
        <v>0.3791666667</v>
      </c>
      <c r="P300" s="13">
        <f t="shared" si="3"/>
        <v>0.2083333333</v>
      </c>
      <c r="Q300" s="13">
        <f t="shared" si="4"/>
        <v>0.01666666667</v>
      </c>
      <c r="R300" s="13">
        <f t="shared" si="5"/>
        <v>0</v>
      </c>
      <c r="S300" s="14">
        <f t="shared" si="6"/>
        <v>1.311982008</v>
      </c>
      <c r="T300" s="14">
        <f t="shared" si="7"/>
        <v>1.047716429</v>
      </c>
      <c r="U300" s="14">
        <f t="shared" si="8"/>
        <v>0.3859125964</v>
      </c>
    </row>
    <row r="301" ht="15.75" customHeight="1">
      <c r="A301" s="9">
        <v>46030.6783079398</v>
      </c>
      <c r="B301" s="10">
        <v>16.0</v>
      </c>
      <c r="C301" s="10" t="s">
        <v>84</v>
      </c>
      <c r="D301" s="10" t="s">
        <v>984</v>
      </c>
      <c r="E301" s="12" t="s">
        <v>62</v>
      </c>
      <c r="F301" s="11">
        <v>3005.0</v>
      </c>
      <c r="G301" s="11">
        <v>219.0</v>
      </c>
      <c r="H301" s="11">
        <v>253.0</v>
      </c>
      <c r="I301" s="11">
        <v>113.0</v>
      </c>
      <c r="J301" s="11">
        <v>50.0</v>
      </c>
      <c r="K301" s="11">
        <v>15.0</v>
      </c>
      <c r="L301" s="11">
        <v>4.0</v>
      </c>
      <c r="M301" s="13">
        <f t="shared" ref="M301:O301" si="303">IFERROR(G301/F301,"")</f>
        <v>0.07287853577</v>
      </c>
      <c r="N301" s="13">
        <f t="shared" si="303"/>
        <v>1.155251142</v>
      </c>
      <c r="O301" s="14">
        <f t="shared" si="303"/>
        <v>0.4466403162</v>
      </c>
      <c r="P301" s="13">
        <f t="shared" si="3"/>
        <v>0.1976284585</v>
      </c>
      <c r="Q301" s="13">
        <f t="shared" si="4"/>
        <v>0.05928853755</v>
      </c>
      <c r="R301" s="13">
        <f t="shared" si="5"/>
        <v>0.01581027668</v>
      </c>
      <c r="S301" s="14">
        <f t="shared" si="6"/>
        <v>1.602381313</v>
      </c>
      <c r="T301" s="14">
        <f t="shared" si="7"/>
        <v>1.019807904</v>
      </c>
      <c r="U301" s="14">
        <f t="shared" si="8"/>
        <v>1.373517787</v>
      </c>
    </row>
    <row r="302" ht="15.75" customHeight="1">
      <c r="A302" s="9">
        <v>46033.6784998264</v>
      </c>
      <c r="B302" s="10">
        <v>16.0</v>
      </c>
      <c r="C302" s="10" t="s">
        <v>77</v>
      </c>
      <c r="D302" s="10" t="s">
        <v>987</v>
      </c>
      <c r="E302" s="12" t="s">
        <v>62</v>
      </c>
      <c r="F302" s="11">
        <v>2411.0</v>
      </c>
      <c r="G302" s="11">
        <v>128.0</v>
      </c>
      <c r="H302" s="11">
        <v>145.0</v>
      </c>
      <c r="I302" s="11">
        <v>105.0</v>
      </c>
      <c r="J302" s="11">
        <v>24.0</v>
      </c>
      <c r="K302" s="11">
        <v>22.0</v>
      </c>
      <c r="L302" s="11">
        <v>1.0</v>
      </c>
      <c r="M302" s="13">
        <f t="shared" ref="M302:O302" si="304">IFERROR(G302/F302,"")</f>
        <v>0.05309000415</v>
      </c>
      <c r="N302" s="13">
        <f t="shared" si="304"/>
        <v>1.1328125</v>
      </c>
      <c r="O302" s="14">
        <f t="shared" si="304"/>
        <v>0.724137931</v>
      </c>
      <c r="P302" s="13">
        <f t="shared" si="3"/>
        <v>0.1655172414</v>
      </c>
      <c r="Q302" s="13">
        <f t="shared" si="4"/>
        <v>0.1517241379</v>
      </c>
      <c r="R302" s="13">
        <f t="shared" si="5"/>
        <v>0.006896551724</v>
      </c>
      <c r="S302" s="14">
        <f t="shared" si="6"/>
        <v>1.187362156</v>
      </c>
      <c r="T302" s="14">
        <f t="shared" si="7"/>
        <v>0.987451604</v>
      </c>
      <c r="U302" s="14">
        <f t="shared" si="8"/>
        <v>3.511330049</v>
      </c>
    </row>
    <row r="303" ht="15.75" customHeight="1">
      <c r="A303" s="9">
        <v>46035.6804318634</v>
      </c>
      <c r="B303" s="10">
        <v>16.0</v>
      </c>
      <c r="C303" s="10" t="s">
        <v>59</v>
      </c>
      <c r="D303" s="10" t="s">
        <v>989</v>
      </c>
      <c r="E303" s="12" t="s">
        <v>62</v>
      </c>
      <c r="F303" s="11">
        <v>2375.0</v>
      </c>
      <c r="G303" s="11">
        <v>87.0</v>
      </c>
      <c r="H303" s="11">
        <v>105.0</v>
      </c>
      <c r="I303" s="11">
        <v>65.0</v>
      </c>
      <c r="J303" s="11">
        <v>31.0</v>
      </c>
      <c r="K303" s="11">
        <v>5.0</v>
      </c>
      <c r="L303" s="11">
        <v>0.0</v>
      </c>
      <c r="M303" s="13">
        <f t="shared" ref="M303:O303" si="305">IFERROR(G303/F303,"")</f>
        <v>0.03663157895</v>
      </c>
      <c r="N303" s="13">
        <f t="shared" si="305"/>
        <v>1.206896552</v>
      </c>
      <c r="O303" s="14">
        <f t="shared" si="305"/>
        <v>0.619047619</v>
      </c>
      <c r="P303" s="13">
        <f t="shared" si="3"/>
        <v>0.2952380952</v>
      </c>
      <c r="Q303" s="13">
        <f t="shared" si="4"/>
        <v>0.04761904762</v>
      </c>
      <c r="R303" s="13">
        <f t="shared" si="5"/>
        <v>0</v>
      </c>
      <c r="S303" s="14">
        <f t="shared" si="6"/>
        <v>0.8192681704</v>
      </c>
      <c r="T303" s="14">
        <f t="shared" si="7"/>
        <v>1.045281895</v>
      </c>
      <c r="U303" s="14">
        <f t="shared" si="8"/>
        <v>1.103174603</v>
      </c>
    </row>
    <row r="304" ht="15.75" customHeight="1">
      <c r="A304" s="9">
        <v>46037.4404333102</v>
      </c>
      <c r="B304" s="10">
        <v>10.0</v>
      </c>
      <c r="C304" s="10" t="s">
        <v>84</v>
      </c>
      <c r="D304" s="10" t="s">
        <v>992</v>
      </c>
      <c r="E304" s="12" t="s">
        <v>62</v>
      </c>
      <c r="F304" s="11">
        <v>2332.0</v>
      </c>
      <c r="G304" s="11">
        <v>74.0</v>
      </c>
      <c r="H304" s="11">
        <v>98.0</v>
      </c>
      <c r="I304" s="11">
        <v>66.0</v>
      </c>
      <c r="J304" s="11">
        <v>21.0</v>
      </c>
      <c r="K304" s="11">
        <v>3.0</v>
      </c>
      <c r="L304" s="11">
        <v>0.0</v>
      </c>
      <c r="M304" s="13">
        <f t="shared" ref="M304:O304" si="306">IFERROR(G304/F304,"")</f>
        <v>0.03173241852</v>
      </c>
      <c r="N304" s="13">
        <f t="shared" si="306"/>
        <v>1.324324324</v>
      </c>
      <c r="O304" s="14">
        <f t="shared" si="306"/>
        <v>0.6734693878</v>
      </c>
      <c r="P304" s="13">
        <f t="shared" si="3"/>
        <v>0.2142857143</v>
      </c>
      <c r="Q304" s="13">
        <f t="shared" si="4"/>
        <v>0.0306122449</v>
      </c>
      <c r="R304" s="13">
        <f t="shared" si="5"/>
        <v>0</v>
      </c>
      <c r="S304" s="14">
        <f t="shared" si="6"/>
        <v>0.7096980588</v>
      </c>
      <c r="T304" s="14">
        <f t="shared" si="7"/>
        <v>1.146351885</v>
      </c>
      <c r="U304" s="14">
        <f t="shared" si="8"/>
        <v>0.7091836735</v>
      </c>
    </row>
    <row r="305" ht="15.75" customHeight="1">
      <c r="A305" s="9">
        <v>46040.440711412</v>
      </c>
      <c r="B305" s="10">
        <v>10.0</v>
      </c>
      <c r="C305" s="10" t="s">
        <v>77</v>
      </c>
      <c r="D305" s="10" t="s">
        <v>995</v>
      </c>
      <c r="E305" s="12" t="s">
        <v>62</v>
      </c>
      <c r="F305" s="11">
        <v>2583.0</v>
      </c>
      <c r="G305" s="11">
        <v>184.0</v>
      </c>
      <c r="H305" s="11">
        <v>206.0</v>
      </c>
      <c r="I305" s="11">
        <v>137.0</v>
      </c>
      <c r="J305" s="11">
        <v>39.0</v>
      </c>
      <c r="K305" s="11">
        <v>14.0</v>
      </c>
      <c r="L305" s="11">
        <v>0.0</v>
      </c>
      <c r="M305" s="13">
        <f t="shared" ref="M305:O305" si="307">IFERROR(G305/F305,"")</f>
        <v>0.07123499806</v>
      </c>
      <c r="N305" s="13">
        <f t="shared" si="307"/>
        <v>1.119565217</v>
      </c>
      <c r="O305" s="14">
        <f t="shared" si="307"/>
        <v>0.6650485437</v>
      </c>
      <c r="P305" s="13">
        <f t="shared" si="3"/>
        <v>0.1893203883</v>
      </c>
      <c r="Q305" s="13">
        <f t="shared" si="4"/>
        <v>0.06796116505</v>
      </c>
      <c r="R305" s="13">
        <f t="shared" si="5"/>
        <v>0</v>
      </c>
      <c r="S305" s="14">
        <f t="shared" si="6"/>
        <v>1.593176385</v>
      </c>
      <c r="T305" s="14">
        <f t="shared" si="7"/>
        <v>0.9759041939</v>
      </c>
      <c r="U305" s="14">
        <f t="shared" si="8"/>
        <v>1.574433657</v>
      </c>
    </row>
    <row r="306" ht="15.75" customHeight="1">
      <c r="A306" s="9">
        <v>46042.5816122569</v>
      </c>
      <c r="B306" s="10">
        <v>13.0</v>
      </c>
      <c r="C306" s="10" t="s">
        <v>59</v>
      </c>
      <c r="D306" s="10" t="s">
        <v>998</v>
      </c>
      <c r="E306" s="12" t="s">
        <v>62</v>
      </c>
      <c r="F306" s="11">
        <v>2380.0</v>
      </c>
      <c r="G306" s="11">
        <v>115.0</v>
      </c>
      <c r="H306" s="11">
        <v>102.0</v>
      </c>
      <c r="I306" s="11">
        <v>44.0</v>
      </c>
      <c r="J306" s="11">
        <v>20.0</v>
      </c>
      <c r="K306" s="11">
        <v>6.0</v>
      </c>
      <c r="L306" s="11">
        <v>1.0</v>
      </c>
      <c r="M306" s="13">
        <f t="shared" ref="M306:O306" si="308">IFERROR(G306/F306,"")</f>
        <v>0.04831932773</v>
      </c>
      <c r="N306" s="13">
        <f t="shared" si="308"/>
        <v>0.8869565217</v>
      </c>
      <c r="O306" s="14">
        <f t="shared" si="308"/>
        <v>0.431372549</v>
      </c>
      <c r="P306" s="13">
        <f t="shared" si="3"/>
        <v>0.1960784314</v>
      </c>
      <c r="Q306" s="13">
        <f t="shared" si="4"/>
        <v>0.05882352941</v>
      </c>
      <c r="R306" s="13">
        <f t="shared" si="5"/>
        <v>0.009803921569</v>
      </c>
      <c r="S306" s="14">
        <f t="shared" si="6"/>
        <v>1.070270975</v>
      </c>
      <c r="T306" s="14">
        <f t="shared" si="7"/>
        <v>0.7704427486</v>
      </c>
      <c r="U306" s="14">
        <f t="shared" si="8"/>
        <v>1.362044458</v>
      </c>
    </row>
    <row r="307" ht="15.75" customHeight="1">
      <c r="A307" s="9">
        <v>46044.581695</v>
      </c>
      <c r="B307" s="10">
        <v>13.0</v>
      </c>
      <c r="C307" s="10" t="s">
        <v>84</v>
      </c>
      <c r="D307" s="10" t="s">
        <v>1002</v>
      </c>
      <c r="E307" s="12" t="s">
        <v>62</v>
      </c>
      <c r="F307" s="11">
        <v>2306.0</v>
      </c>
      <c r="G307" s="11">
        <v>106.0</v>
      </c>
      <c r="H307" s="11">
        <v>74.0</v>
      </c>
      <c r="I307" s="11">
        <v>50.0</v>
      </c>
      <c r="J307" s="11">
        <v>22.0</v>
      </c>
      <c r="K307" s="11">
        <v>6.0</v>
      </c>
      <c r="L307" s="11">
        <v>1.0</v>
      </c>
      <c r="M307" s="13">
        <f t="shared" ref="M307:O307" si="309">IFERROR(G307/F307,"")</f>
        <v>0.0459670425</v>
      </c>
      <c r="N307" s="13">
        <f t="shared" si="309"/>
        <v>0.6981132075</v>
      </c>
      <c r="O307" s="14">
        <f t="shared" si="309"/>
        <v>0.6756756757</v>
      </c>
      <c r="P307" s="13">
        <f t="shared" si="3"/>
        <v>0.2972972973</v>
      </c>
      <c r="Q307" s="13">
        <f t="shared" si="4"/>
        <v>0.08108108108</v>
      </c>
      <c r="R307" s="13">
        <f t="shared" si="5"/>
        <v>0.01351351351</v>
      </c>
      <c r="S307" s="14">
        <f t="shared" si="6"/>
        <v>1.004216043</v>
      </c>
      <c r="T307" s="14">
        <f t="shared" si="7"/>
        <v>0.6064065659</v>
      </c>
      <c r="U307" s="14">
        <f t="shared" si="8"/>
        <v>1.877412631</v>
      </c>
    </row>
    <row r="308" ht="15.75" customHeight="1">
      <c r="A308" s="9">
        <v>46047.582822662</v>
      </c>
      <c r="B308" s="10">
        <v>13.0</v>
      </c>
      <c r="C308" s="10" t="s">
        <v>77</v>
      </c>
      <c r="D308" s="10" t="s">
        <v>1005</v>
      </c>
      <c r="E308" s="12" t="s">
        <v>62</v>
      </c>
      <c r="F308" s="11">
        <v>2544.0</v>
      </c>
      <c r="G308" s="11">
        <v>78.0</v>
      </c>
      <c r="H308" s="11">
        <v>85.0</v>
      </c>
      <c r="I308" s="11">
        <v>77.0</v>
      </c>
      <c r="J308" s="11">
        <v>22.0</v>
      </c>
      <c r="K308" s="11">
        <v>8.0</v>
      </c>
      <c r="L308" s="11">
        <v>0.0</v>
      </c>
      <c r="M308" s="13">
        <f t="shared" ref="M308:O308" si="310">IFERROR(G308/F308,"")</f>
        <v>0.03066037736</v>
      </c>
      <c r="N308" s="13">
        <f t="shared" si="310"/>
        <v>1.08974359</v>
      </c>
      <c r="O308" s="14">
        <f t="shared" si="310"/>
        <v>0.9058823529</v>
      </c>
      <c r="P308" s="13">
        <f t="shared" si="3"/>
        <v>0.2588235294</v>
      </c>
      <c r="Q308" s="13">
        <f t="shared" si="4"/>
        <v>0.09411764706</v>
      </c>
      <c r="R308" s="13">
        <f t="shared" si="5"/>
        <v>0</v>
      </c>
      <c r="S308" s="14">
        <f t="shared" si="6"/>
        <v>0.666095905</v>
      </c>
      <c r="T308" s="14">
        <f t="shared" si="7"/>
        <v>0.9465909839</v>
      </c>
      <c r="U308" s="14">
        <f t="shared" si="8"/>
        <v>2.111960091</v>
      </c>
    </row>
    <row r="309" ht="15.75" customHeight="1">
      <c r="A309" s="9">
        <v>46049.5827659144</v>
      </c>
      <c r="B309" s="10">
        <v>13.0</v>
      </c>
      <c r="C309" s="10" t="s">
        <v>59</v>
      </c>
      <c r="D309" s="10" t="s">
        <v>1008</v>
      </c>
      <c r="E309" s="12" t="s">
        <v>62</v>
      </c>
      <c r="F309" s="11">
        <v>2552.0</v>
      </c>
      <c r="G309" s="11">
        <v>141.0</v>
      </c>
      <c r="H309" s="11">
        <v>94.0</v>
      </c>
      <c r="I309" s="11">
        <v>102.0</v>
      </c>
      <c r="J309" s="11">
        <v>34.0</v>
      </c>
      <c r="K309" s="11">
        <v>25.0</v>
      </c>
      <c r="L309" s="11">
        <v>3.0</v>
      </c>
      <c r="M309" s="13">
        <f t="shared" ref="M309:O309" si="311">IFERROR(G309/F309,"")</f>
        <v>0.0552507837</v>
      </c>
      <c r="N309" s="13">
        <f t="shared" si="311"/>
        <v>0.6666666667</v>
      </c>
      <c r="O309" s="14">
        <f t="shared" si="311"/>
        <v>1.085106383</v>
      </c>
      <c r="P309" s="13">
        <f t="shared" si="3"/>
        <v>0.3617021277</v>
      </c>
      <c r="Q309" s="13">
        <f t="shared" si="4"/>
        <v>0.2659574468</v>
      </c>
      <c r="R309" s="13">
        <f t="shared" si="5"/>
        <v>0.03191489362</v>
      </c>
      <c r="S309" s="14">
        <f t="shared" si="6"/>
        <v>1.200321847</v>
      </c>
      <c r="T309" s="14">
        <f t="shared" si="7"/>
        <v>0.5790909548</v>
      </c>
      <c r="U309" s="14">
        <f t="shared" si="8"/>
        <v>5.967972333</v>
      </c>
    </row>
    <row r="310" ht="15.75" customHeight="1">
      <c r="A310" s="9">
        <v>46051.5830029051</v>
      </c>
      <c r="B310" s="10">
        <v>13.0</v>
      </c>
      <c r="C310" s="10" t="s">
        <v>84</v>
      </c>
      <c r="D310" s="10" t="s">
        <v>1011</v>
      </c>
      <c r="E310" s="12" t="s">
        <v>62</v>
      </c>
      <c r="F310" s="11">
        <v>2657.0</v>
      </c>
      <c r="G310" s="11">
        <v>130.0</v>
      </c>
      <c r="H310" s="11">
        <v>75.0</v>
      </c>
      <c r="I310" s="11">
        <v>68.0</v>
      </c>
      <c r="J310" s="11">
        <v>31.0</v>
      </c>
      <c r="K310" s="11">
        <v>3.0</v>
      </c>
      <c r="L310" s="11">
        <v>0.0</v>
      </c>
      <c r="M310" s="13">
        <f t="shared" ref="M310:O310" si="312">IFERROR(G310/F310,"")</f>
        <v>0.04892736169</v>
      </c>
      <c r="N310" s="13">
        <f t="shared" si="312"/>
        <v>0.5769230769</v>
      </c>
      <c r="O310" s="14">
        <f t="shared" si="312"/>
        <v>0.9066666667</v>
      </c>
      <c r="P310" s="13">
        <f t="shared" si="3"/>
        <v>0.4133333333</v>
      </c>
      <c r="Q310" s="13">
        <f t="shared" si="4"/>
        <v>0.04</v>
      </c>
      <c r="R310" s="13">
        <f t="shared" si="5"/>
        <v>0</v>
      </c>
      <c r="S310" s="14">
        <f t="shared" si="6"/>
        <v>1.061494402</v>
      </c>
      <c r="T310" s="14">
        <f t="shared" si="7"/>
        <v>0.5028931246</v>
      </c>
      <c r="U310" s="14">
        <f t="shared" si="8"/>
        <v>0.9257142857</v>
      </c>
    </row>
    <row r="311" ht="15.75" customHeight="1">
      <c r="A311" s="9">
        <v>46054.58354375</v>
      </c>
      <c r="B311" s="10">
        <v>14.0</v>
      </c>
      <c r="C311" s="10" t="s">
        <v>77</v>
      </c>
      <c r="D311" s="10" t="s">
        <v>1014</v>
      </c>
      <c r="E311" s="12" t="s">
        <v>62</v>
      </c>
      <c r="F311" s="11">
        <v>2814.0</v>
      </c>
      <c r="G311" s="11">
        <v>141.0</v>
      </c>
      <c r="H311" s="11">
        <v>124.0</v>
      </c>
      <c r="I311" s="11">
        <v>91.0</v>
      </c>
      <c r="J311" s="11">
        <v>37.0</v>
      </c>
      <c r="K311" s="11">
        <v>12.0</v>
      </c>
      <c r="L311" s="11">
        <v>4.0</v>
      </c>
      <c r="M311" s="13">
        <f t="shared" ref="M311:O311" si="313">IFERROR(G311/F311,"")</f>
        <v>0.05010660981</v>
      </c>
      <c r="N311" s="13">
        <f t="shared" si="313"/>
        <v>0.8794326241</v>
      </c>
      <c r="O311" s="14">
        <f t="shared" si="313"/>
        <v>0.7338709677</v>
      </c>
      <c r="P311" s="13">
        <f t="shared" si="3"/>
        <v>0.2983870968</v>
      </c>
      <c r="Q311" s="13">
        <f t="shared" si="4"/>
        <v>0.09677419355</v>
      </c>
      <c r="R311" s="13">
        <f t="shared" si="5"/>
        <v>0.03225806452</v>
      </c>
      <c r="S311" s="14">
        <f t="shared" si="6"/>
        <v>1.087078558</v>
      </c>
      <c r="T311" s="14">
        <f t="shared" si="7"/>
        <v>0.7612480027</v>
      </c>
      <c r="U311" s="14">
        <f t="shared" si="8"/>
        <v>2.239631336</v>
      </c>
    </row>
    <row r="312" ht="15.75" customHeight="1">
      <c r="A312" s="9">
        <v>46056.5845297338</v>
      </c>
      <c r="B312" s="10">
        <v>14.0</v>
      </c>
      <c r="C312" s="10" t="s">
        <v>59</v>
      </c>
      <c r="D312" s="10" t="s">
        <v>1017</v>
      </c>
      <c r="E312" s="12" t="s">
        <v>62</v>
      </c>
      <c r="F312" s="11">
        <v>2874.0</v>
      </c>
      <c r="G312" s="11">
        <v>131.0</v>
      </c>
      <c r="H312" s="11">
        <v>200.0</v>
      </c>
      <c r="I312" s="11">
        <v>141.0</v>
      </c>
      <c r="J312" s="11">
        <v>35.0</v>
      </c>
      <c r="K312" s="11">
        <v>16.0</v>
      </c>
      <c r="L312" s="11">
        <v>3.0</v>
      </c>
      <c r="M312" s="13">
        <f t="shared" ref="M312:O312" si="314">IFERROR(G312/F312,"")</f>
        <v>0.04558107168</v>
      </c>
      <c r="N312" s="13">
        <f t="shared" si="314"/>
        <v>1.526717557</v>
      </c>
      <c r="O312" s="14">
        <f t="shared" si="314"/>
        <v>0.705</v>
      </c>
      <c r="P312" s="13">
        <f t="shared" si="3"/>
        <v>0.175</v>
      </c>
      <c r="Q312" s="13">
        <f t="shared" si="4"/>
        <v>0.08</v>
      </c>
      <c r="R312" s="13">
        <f t="shared" si="5"/>
        <v>0.015</v>
      </c>
      <c r="S312" s="14">
        <f t="shared" si="6"/>
        <v>0.9888955941</v>
      </c>
      <c r="T312" s="14">
        <f t="shared" si="7"/>
        <v>1.321546028</v>
      </c>
      <c r="U312" s="14">
        <f t="shared" si="8"/>
        <v>1.742222222</v>
      </c>
    </row>
    <row r="313" ht="15.75" customHeight="1">
      <c r="A313" s="9">
        <v>46058.5846976042</v>
      </c>
      <c r="B313" s="10">
        <v>14.0</v>
      </c>
      <c r="C313" s="10" t="s">
        <v>84</v>
      </c>
      <c r="D313" s="10" t="s">
        <v>1020</v>
      </c>
      <c r="E313" s="12" t="s">
        <v>62</v>
      </c>
      <c r="F313" s="11">
        <v>2669.0</v>
      </c>
      <c r="G313" s="11">
        <v>98.0</v>
      </c>
      <c r="H313" s="11">
        <v>165.0</v>
      </c>
      <c r="I313" s="11">
        <v>96.0</v>
      </c>
      <c r="J313" s="11">
        <v>32.0</v>
      </c>
      <c r="K313" s="11">
        <v>2.0</v>
      </c>
      <c r="L313" s="11">
        <v>0.0</v>
      </c>
      <c r="M313" s="13">
        <f t="shared" ref="M313:O313" si="315">IFERROR(G313/F313,"")</f>
        <v>0.03671787186</v>
      </c>
      <c r="N313" s="13">
        <f t="shared" si="315"/>
        <v>1.683673469</v>
      </c>
      <c r="O313" s="14">
        <f t="shared" si="315"/>
        <v>0.5818181818</v>
      </c>
      <c r="P313" s="13">
        <f t="shared" si="3"/>
        <v>0.1939393939</v>
      </c>
      <c r="Q313" s="13">
        <f t="shared" si="4"/>
        <v>0.01212121212</v>
      </c>
      <c r="R313" s="13">
        <f t="shared" si="5"/>
        <v>0</v>
      </c>
      <c r="S313" s="14">
        <f t="shared" si="6"/>
        <v>0.7966057044</v>
      </c>
      <c r="T313" s="14">
        <f t="shared" si="7"/>
        <v>1.457409051</v>
      </c>
      <c r="U313" s="14">
        <f t="shared" si="8"/>
        <v>0.2581818182</v>
      </c>
    </row>
    <row r="314" ht="15.75" customHeight="1">
      <c r="A314" s="9">
        <v>46061.5858429398</v>
      </c>
      <c r="B314" s="10">
        <v>14.0</v>
      </c>
      <c r="C314" s="10" t="s">
        <v>77</v>
      </c>
      <c r="D314" s="10" t="s">
        <v>1023</v>
      </c>
      <c r="E314" s="12" t="s">
        <v>62</v>
      </c>
      <c r="F314" s="11">
        <v>2709.0</v>
      </c>
      <c r="G314" s="11">
        <v>174.0</v>
      </c>
      <c r="H314" s="11">
        <v>236.0</v>
      </c>
      <c r="I314" s="11">
        <v>163.0</v>
      </c>
      <c r="J314" s="11">
        <v>38.0</v>
      </c>
      <c r="K314" s="11">
        <v>8.0</v>
      </c>
      <c r="L314" s="11">
        <v>1.0</v>
      </c>
      <c r="M314" s="13">
        <f t="shared" ref="M314:O314" si="316">IFERROR(G314/F314,"")</f>
        <v>0.0642303433</v>
      </c>
      <c r="N314" s="13">
        <f t="shared" si="316"/>
        <v>1.356321839</v>
      </c>
      <c r="O314" s="14">
        <f t="shared" si="316"/>
        <v>0.6906779661</v>
      </c>
      <c r="P314" s="13">
        <f t="shared" si="3"/>
        <v>0.1610169492</v>
      </c>
      <c r="Q314" s="13">
        <f t="shared" si="4"/>
        <v>0.03389830508</v>
      </c>
      <c r="R314" s="13">
        <f t="shared" si="5"/>
        <v>0.004237288136</v>
      </c>
      <c r="S314" s="14">
        <f t="shared" si="6"/>
        <v>1.39731294</v>
      </c>
      <c r="T314" s="14">
        <f t="shared" si="7"/>
        <v>1.174049339</v>
      </c>
      <c r="U314" s="14">
        <f t="shared" si="8"/>
        <v>0.7118644068</v>
      </c>
    </row>
    <row r="315" ht="15.75" customHeight="1">
      <c r="A315" s="9">
        <v>46063.5850004398</v>
      </c>
      <c r="B315" s="10">
        <v>14.0</v>
      </c>
      <c r="C315" s="10" t="s">
        <v>59</v>
      </c>
      <c r="D315" s="10" t="s">
        <v>1026</v>
      </c>
      <c r="E315" s="12" t="s">
        <v>62</v>
      </c>
      <c r="F315" s="11">
        <v>2646.0</v>
      </c>
      <c r="G315" s="11">
        <v>170.0</v>
      </c>
      <c r="H315" s="11">
        <v>231.0</v>
      </c>
      <c r="I315" s="11">
        <v>146.0</v>
      </c>
      <c r="J315" s="11">
        <v>35.0</v>
      </c>
      <c r="K315" s="11">
        <v>5.0</v>
      </c>
      <c r="L315" s="11">
        <v>2.0</v>
      </c>
      <c r="M315" s="13">
        <f t="shared" ref="M315:O315" si="317">IFERROR(G315/F315,"")</f>
        <v>0.06424792139</v>
      </c>
      <c r="N315" s="13">
        <f t="shared" si="317"/>
        <v>1.358823529</v>
      </c>
      <c r="O315" s="14">
        <f t="shared" si="317"/>
        <v>0.632034632</v>
      </c>
      <c r="P315" s="13">
        <f t="shared" si="3"/>
        <v>0.1515151515</v>
      </c>
      <c r="Q315" s="13">
        <f t="shared" si="4"/>
        <v>0.02164502165</v>
      </c>
      <c r="R315" s="13">
        <f t="shared" si="5"/>
        <v>0.008658008658</v>
      </c>
      <c r="S315" s="14">
        <f t="shared" si="6"/>
        <v>1.393878732</v>
      </c>
      <c r="T315" s="14">
        <f t="shared" si="7"/>
        <v>1.176214834</v>
      </c>
      <c r="U315" s="14">
        <f t="shared" si="8"/>
        <v>0.4236239951</v>
      </c>
    </row>
    <row r="316" ht="15.75" customHeight="1">
      <c r="A316" s="9">
        <v>46065.5666370023</v>
      </c>
      <c r="B316" s="10">
        <v>13.0</v>
      </c>
      <c r="C316" s="10" t="s">
        <v>84</v>
      </c>
      <c r="D316" s="10" t="s">
        <v>1029</v>
      </c>
      <c r="E316" s="12" t="s">
        <v>62</v>
      </c>
      <c r="F316" s="11">
        <v>2568.0</v>
      </c>
      <c r="G316" s="11">
        <v>97.0</v>
      </c>
      <c r="H316" s="11">
        <v>136.0</v>
      </c>
      <c r="I316" s="11">
        <v>85.0</v>
      </c>
      <c r="J316" s="11">
        <v>14.0</v>
      </c>
      <c r="K316" s="11">
        <v>8.0</v>
      </c>
      <c r="L316" s="11">
        <v>0.0</v>
      </c>
      <c r="M316" s="13">
        <f t="shared" ref="M316:O316" si="318">IFERROR(G316/F316,"")</f>
        <v>0.03777258567</v>
      </c>
      <c r="N316" s="13">
        <f t="shared" si="318"/>
        <v>1.402061856</v>
      </c>
      <c r="O316" s="14">
        <f t="shared" si="318"/>
        <v>0.625</v>
      </c>
      <c r="P316" s="13">
        <f t="shared" si="3"/>
        <v>0.1029411765</v>
      </c>
      <c r="Q316" s="13">
        <f t="shared" si="4"/>
        <v>0.05882352941</v>
      </c>
      <c r="R316" s="13">
        <f t="shared" si="5"/>
        <v>0</v>
      </c>
      <c r="S316" s="14">
        <f t="shared" si="6"/>
        <v>0.8217319109</v>
      </c>
      <c r="T316" s="14">
        <f t="shared" si="7"/>
        <v>1.213642476</v>
      </c>
      <c r="U316" s="14">
        <f t="shared" si="8"/>
        <v>1.128342246</v>
      </c>
    </row>
    <row r="317" ht="15.75" customHeight="1">
      <c r="A317" s="9">
        <v>46068.5661823264</v>
      </c>
      <c r="B317" s="10">
        <v>13.0</v>
      </c>
      <c r="C317" s="10" t="s">
        <v>77</v>
      </c>
      <c r="D317" s="10" t="s">
        <v>1032</v>
      </c>
      <c r="E317" s="12" t="s">
        <v>62</v>
      </c>
      <c r="F317" s="11">
        <v>2693.0</v>
      </c>
      <c r="G317" s="11">
        <v>169.0</v>
      </c>
      <c r="H317" s="11">
        <v>236.0</v>
      </c>
      <c r="I317" s="11">
        <v>154.0</v>
      </c>
      <c r="J317" s="11">
        <v>36.0</v>
      </c>
      <c r="K317" s="11">
        <v>10.0</v>
      </c>
      <c r="L317" s="11">
        <v>0.0</v>
      </c>
      <c r="M317" s="13">
        <f t="shared" ref="M317:O317" si="319">IFERROR(G317/F317,"")</f>
        <v>0.0627552915</v>
      </c>
      <c r="N317" s="13">
        <f t="shared" si="319"/>
        <v>1.396449704</v>
      </c>
      <c r="O317" s="14">
        <f t="shared" si="319"/>
        <v>0.6525423729</v>
      </c>
      <c r="P317" s="13">
        <f t="shared" si="3"/>
        <v>0.1525423729</v>
      </c>
      <c r="Q317" s="13">
        <f t="shared" si="4"/>
        <v>0.04237288136</v>
      </c>
      <c r="R317" s="13">
        <f t="shared" si="5"/>
        <v>0</v>
      </c>
      <c r="S317" s="14">
        <f t="shared" si="6"/>
        <v>1.376784029</v>
      </c>
      <c r="T317" s="14">
        <f t="shared" si="7"/>
        <v>1.208784527</v>
      </c>
      <c r="U317" s="14">
        <f t="shared" si="8"/>
        <v>0.7966101695</v>
      </c>
    </row>
    <row r="318" ht="15.75" customHeight="1">
      <c r="A318" s="9">
        <v>46070.5671082176</v>
      </c>
      <c r="B318" s="10">
        <v>13.0</v>
      </c>
      <c r="C318" s="10" t="s">
        <v>59</v>
      </c>
      <c r="D318" s="10" t="s">
        <v>1035</v>
      </c>
      <c r="E318" s="12" t="s">
        <v>62</v>
      </c>
      <c r="F318" s="11">
        <v>2536.0</v>
      </c>
      <c r="G318" s="11">
        <v>100.0</v>
      </c>
      <c r="H318" s="11">
        <v>146.0</v>
      </c>
      <c r="I318" s="11">
        <v>114.0</v>
      </c>
      <c r="J318" s="11">
        <v>23.0</v>
      </c>
      <c r="K318" s="11">
        <v>13.0</v>
      </c>
      <c r="L318" s="11">
        <v>2.0</v>
      </c>
      <c r="M318" s="13">
        <f t="shared" ref="M318:O318" si="320">IFERROR(G318/F318,"")</f>
        <v>0.03943217666</v>
      </c>
      <c r="N318" s="13">
        <f t="shared" si="320"/>
        <v>1.46</v>
      </c>
      <c r="O318" s="14">
        <f t="shared" si="320"/>
        <v>0.7808219178</v>
      </c>
      <c r="P318" s="13">
        <f t="shared" si="3"/>
        <v>0.1575342466</v>
      </c>
      <c r="Q318" s="13">
        <f t="shared" si="4"/>
        <v>0.08904109589</v>
      </c>
      <c r="R318" s="13">
        <f t="shared" si="5"/>
        <v>0.01369863014</v>
      </c>
      <c r="S318" s="14">
        <f t="shared" si="6"/>
        <v>0.8650998146</v>
      </c>
      <c r="T318" s="14">
        <f t="shared" si="7"/>
        <v>1.263794466</v>
      </c>
      <c r="U318" s="14">
        <f t="shared" si="8"/>
        <v>1.51369863</v>
      </c>
    </row>
    <row r="319" ht="15.75" customHeight="1">
      <c r="A319" s="9">
        <v>46072.5671649421</v>
      </c>
      <c r="B319" s="10">
        <v>13.0</v>
      </c>
      <c r="C319" s="10" t="s">
        <v>84</v>
      </c>
      <c r="D319" s="10" t="s">
        <v>1039</v>
      </c>
      <c r="E319" s="12" t="s">
        <v>62</v>
      </c>
      <c r="F319" s="11">
        <v>2513.0</v>
      </c>
      <c r="G319" s="11">
        <v>171.0</v>
      </c>
      <c r="H319" s="11">
        <v>162.0</v>
      </c>
      <c r="I319" s="11">
        <v>99.0</v>
      </c>
      <c r="J319" s="11">
        <v>31.0</v>
      </c>
      <c r="K319" s="11">
        <v>11.0</v>
      </c>
      <c r="L319" s="11">
        <v>4.0</v>
      </c>
      <c r="M319" s="13">
        <f t="shared" ref="M319:O319" si="321">IFERROR(G319/F319,"")</f>
        <v>0.06804615997</v>
      </c>
      <c r="N319" s="13">
        <f t="shared" si="321"/>
        <v>0.9473684211</v>
      </c>
      <c r="O319" s="14">
        <f t="shared" si="321"/>
        <v>0.6111111111</v>
      </c>
      <c r="P319" s="13">
        <f t="shared" si="3"/>
        <v>0.1913580247</v>
      </c>
      <c r="Q319" s="13">
        <f t="shared" si="4"/>
        <v>0.06790123457</v>
      </c>
      <c r="R319" s="13">
        <f t="shared" si="5"/>
        <v>0.02469135802</v>
      </c>
      <c r="S319" s="14">
        <f t="shared" si="6"/>
        <v>1.486566066</v>
      </c>
      <c r="T319" s="14">
        <f t="shared" si="7"/>
        <v>0.8229187253</v>
      </c>
      <c r="U319" s="14">
        <f t="shared" si="8"/>
        <v>1.154320988</v>
      </c>
    </row>
    <row r="320" ht="15.75" customHeight="1">
      <c r="A320" s="9">
        <v>46072.7392261111</v>
      </c>
      <c r="B320" s="10">
        <v>17.0</v>
      </c>
      <c r="C320" s="10" t="s">
        <v>84</v>
      </c>
      <c r="D320" s="10" t="s">
        <v>1042</v>
      </c>
      <c r="E320" s="12" t="s">
        <v>62</v>
      </c>
      <c r="F320" s="11">
        <v>2623.0</v>
      </c>
      <c r="G320" s="11">
        <v>159.0</v>
      </c>
      <c r="H320" s="11">
        <v>222.0</v>
      </c>
      <c r="I320" s="11">
        <v>155.0</v>
      </c>
      <c r="J320" s="11">
        <v>18.0</v>
      </c>
      <c r="K320" s="11">
        <v>8.0</v>
      </c>
      <c r="L320" s="11">
        <v>0.0</v>
      </c>
      <c r="M320" s="13">
        <f t="shared" ref="M320:O320" si="322">IFERROR(G320/F320,"")</f>
        <v>0.06061761342</v>
      </c>
      <c r="N320" s="13">
        <f t="shared" si="322"/>
        <v>1.396226415</v>
      </c>
      <c r="O320" s="14">
        <f t="shared" si="322"/>
        <v>0.6981981982</v>
      </c>
      <c r="P320" s="13">
        <f t="shared" si="3"/>
        <v>0.08108108108</v>
      </c>
      <c r="Q320" s="13">
        <f t="shared" si="4"/>
        <v>0.03603603604</v>
      </c>
      <c r="R320" s="13">
        <f t="shared" si="5"/>
        <v>0</v>
      </c>
      <c r="S320" s="14">
        <f t="shared" si="6"/>
        <v>1.324278801</v>
      </c>
      <c r="T320" s="14">
        <f t="shared" si="7"/>
        <v>1.212813132</v>
      </c>
      <c r="U320" s="14">
        <f t="shared" si="8"/>
        <v>0.6126126126</v>
      </c>
    </row>
    <row r="321" ht="15.75" customHeight="1">
      <c r="A321" s="9">
        <v>46075.5679166204</v>
      </c>
      <c r="B321" s="10">
        <v>13.0</v>
      </c>
      <c r="C321" s="10" t="s">
        <v>77</v>
      </c>
      <c r="D321" s="10" t="s">
        <v>1045</v>
      </c>
      <c r="E321" s="12" t="s">
        <v>62</v>
      </c>
      <c r="F321" s="11">
        <v>2783.0</v>
      </c>
      <c r="G321" s="11">
        <v>162.0</v>
      </c>
      <c r="H321" s="11">
        <v>197.0</v>
      </c>
      <c r="I321" s="11">
        <v>130.0</v>
      </c>
      <c r="J321" s="11">
        <v>28.0</v>
      </c>
      <c r="K321" s="11">
        <v>24.0</v>
      </c>
      <c r="L321" s="11">
        <v>7.0</v>
      </c>
      <c r="M321" s="13">
        <f t="shared" ref="M321:O321" si="323">IFERROR(G321/F321,"")</f>
        <v>0.05821056414</v>
      </c>
      <c r="N321" s="13">
        <f t="shared" si="323"/>
        <v>1.216049383</v>
      </c>
      <c r="O321" s="14">
        <f t="shared" si="323"/>
        <v>0.6598984772</v>
      </c>
      <c r="P321" s="13">
        <f t="shared" si="3"/>
        <v>0.1421319797</v>
      </c>
      <c r="Q321" s="13">
        <f t="shared" si="4"/>
        <v>0.1218274112</v>
      </c>
      <c r="R321" s="13">
        <f t="shared" si="5"/>
        <v>0.03553299492</v>
      </c>
      <c r="S321" s="14">
        <f t="shared" si="6"/>
        <v>1.271693353</v>
      </c>
      <c r="T321" s="14">
        <f t="shared" si="7"/>
        <v>1.056304797</v>
      </c>
      <c r="U321" s="14">
        <f t="shared" si="8"/>
        <v>2.062912187</v>
      </c>
    </row>
    <row r="322" ht="15.75" customHeight="1">
      <c r="A322" s="9">
        <v>46077.5684771644</v>
      </c>
      <c r="B322" s="10">
        <v>13.0</v>
      </c>
      <c r="C322" s="10" t="s">
        <v>59</v>
      </c>
      <c r="D322" s="10" t="s">
        <v>1048</v>
      </c>
      <c r="E322" s="12" t="s">
        <v>62</v>
      </c>
      <c r="F322" s="11">
        <v>2687.0</v>
      </c>
      <c r="G322" s="11">
        <v>146.0</v>
      </c>
      <c r="H322" s="11">
        <v>150.0</v>
      </c>
      <c r="I322" s="11">
        <v>92.0</v>
      </c>
      <c r="J322" s="11">
        <v>19.0</v>
      </c>
      <c r="K322" s="11">
        <v>4.0</v>
      </c>
      <c r="L322" s="11">
        <v>0.0</v>
      </c>
      <c r="M322" s="13">
        <f t="shared" ref="M322:O322" si="324">IFERROR(G322/F322,"")</f>
        <v>0.05433569036</v>
      </c>
      <c r="N322" s="13">
        <f t="shared" si="324"/>
        <v>1.02739726</v>
      </c>
      <c r="O322" s="14">
        <f t="shared" si="324"/>
        <v>0.6133333333</v>
      </c>
      <c r="P322" s="13">
        <f t="shared" si="3"/>
        <v>0.1266666667</v>
      </c>
      <c r="Q322" s="13">
        <f t="shared" si="4"/>
        <v>0.02666666667</v>
      </c>
      <c r="R322" s="13">
        <f t="shared" si="5"/>
        <v>0</v>
      </c>
      <c r="S322" s="14">
        <f t="shared" si="6"/>
        <v>1.180441468</v>
      </c>
      <c r="T322" s="14">
        <f t="shared" si="7"/>
        <v>0.8924346907</v>
      </c>
      <c r="U322" s="14">
        <f t="shared" si="8"/>
        <v>0.4379175118</v>
      </c>
    </row>
    <row r="323" ht="15.75" customHeight="1">
      <c r="A323" s="9">
        <v>46079.5698856944</v>
      </c>
      <c r="B323" s="10">
        <v>13.0</v>
      </c>
      <c r="C323" s="10" t="s">
        <v>84</v>
      </c>
      <c r="D323" s="10" t="s">
        <v>1051</v>
      </c>
      <c r="E323" s="12" t="s">
        <v>62</v>
      </c>
      <c r="F323" s="11">
        <v>2813.0</v>
      </c>
      <c r="G323" s="11">
        <v>79.0</v>
      </c>
      <c r="H323" s="11">
        <v>124.0</v>
      </c>
      <c r="I323" s="11">
        <v>72.0</v>
      </c>
      <c r="J323" s="11">
        <v>20.0</v>
      </c>
      <c r="K323" s="11">
        <v>4.0</v>
      </c>
      <c r="L323" s="11">
        <v>0.0</v>
      </c>
      <c r="M323" s="13">
        <f t="shared" ref="M323:O323" si="325">IFERROR(G323/F323,"")</f>
        <v>0.0280838962</v>
      </c>
      <c r="N323" s="13">
        <f t="shared" si="325"/>
        <v>1.569620253</v>
      </c>
      <c r="O323" s="14">
        <f t="shared" si="325"/>
        <v>0.5806451613</v>
      </c>
      <c r="P323" s="13">
        <f t="shared" si="3"/>
        <v>0.1612903226</v>
      </c>
      <c r="Q323" s="13">
        <f t="shared" si="4"/>
        <v>0.03225806452</v>
      </c>
      <c r="R323" s="13">
        <f t="shared" si="5"/>
        <v>0</v>
      </c>
      <c r="S323" s="14">
        <f t="shared" si="6"/>
        <v>0.5949207022</v>
      </c>
      <c r="T323" s="14">
        <f t="shared" si="7"/>
        <v>1.363429337</v>
      </c>
      <c r="U323" s="14">
        <f t="shared" si="8"/>
        <v>0.5297389256</v>
      </c>
    </row>
    <row r="324" ht="15.75" customHeight="1">
      <c r="A324" s="9">
        <v>46082.5688033565</v>
      </c>
      <c r="B324" s="10">
        <v>13.0</v>
      </c>
      <c r="C324" s="10" t="s">
        <v>77</v>
      </c>
      <c r="D324" s="10" t="s">
        <v>1054</v>
      </c>
      <c r="E324" s="12" t="s">
        <v>62</v>
      </c>
      <c r="F324" s="11">
        <v>2970.0</v>
      </c>
      <c r="G324" s="11">
        <v>110.0</v>
      </c>
      <c r="H324" s="11">
        <v>162.0</v>
      </c>
      <c r="I324" s="11">
        <v>137.0</v>
      </c>
      <c r="J324" s="11">
        <v>28.0</v>
      </c>
      <c r="K324" s="11">
        <v>7.0</v>
      </c>
      <c r="L324" s="11">
        <v>1.0</v>
      </c>
      <c r="M324" s="13">
        <f t="shared" ref="M324:O324" si="326">IFERROR(G324/F324,"")</f>
        <v>0.03703703704</v>
      </c>
      <c r="N324" s="13">
        <f t="shared" si="326"/>
        <v>1.472727273</v>
      </c>
      <c r="O324" s="14">
        <f t="shared" si="326"/>
        <v>0.8456790123</v>
      </c>
      <c r="P324" s="13">
        <f t="shared" si="3"/>
        <v>0.1728395062</v>
      </c>
      <c r="Q324" s="13">
        <f t="shared" si="4"/>
        <v>0.04320987654</v>
      </c>
      <c r="R324" s="13">
        <f t="shared" si="5"/>
        <v>0.006172839506</v>
      </c>
      <c r="S324" s="14">
        <f t="shared" si="6"/>
        <v>0.7628652399</v>
      </c>
      <c r="T324" s="14">
        <f t="shared" si="7"/>
        <v>1.279264564</v>
      </c>
      <c r="U324" s="14">
        <f t="shared" si="8"/>
        <v>0.6627218935</v>
      </c>
    </row>
    <row r="325" ht="15.75" customHeight="1">
      <c r="A325" s="9">
        <v>46084.6599366898</v>
      </c>
      <c r="B325" s="10">
        <v>15.0</v>
      </c>
      <c r="C325" s="10" t="s">
        <v>59</v>
      </c>
      <c r="D325" s="10" t="s">
        <v>1058</v>
      </c>
      <c r="E325" s="12" t="s">
        <v>62</v>
      </c>
      <c r="F325" s="11">
        <v>2849.0</v>
      </c>
      <c r="G325" s="11">
        <v>140.0</v>
      </c>
      <c r="H325" s="11">
        <v>226.0</v>
      </c>
      <c r="I325" s="11">
        <v>114.0</v>
      </c>
      <c r="J325" s="11">
        <v>41.0</v>
      </c>
      <c r="K325" s="11">
        <v>9.0</v>
      </c>
      <c r="L325" s="11">
        <v>0.0</v>
      </c>
      <c r="M325" s="13">
        <f t="shared" ref="M325:O325" si="327">IFERROR(G325/F325,"")</f>
        <v>0.04914004914</v>
      </c>
      <c r="N325" s="13">
        <f t="shared" si="327"/>
        <v>1.614285714</v>
      </c>
      <c r="O325" s="14">
        <f t="shared" si="327"/>
        <v>0.5044247788</v>
      </c>
      <c r="P325" s="13">
        <f t="shared" si="3"/>
        <v>0.1814159292</v>
      </c>
      <c r="Q325" s="13">
        <f t="shared" si="4"/>
        <v>0.03982300885</v>
      </c>
      <c r="R325" s="13">
        <f t="shared" si="5"/>
        <v>0</v>
      </c>
      <c r="S325" s="14">
        <f t="shared" si="6"/>
        <v>1.005856733</v>
      </c>
      <c r="T325" s="14">
        <f t="shared" si="7"/>
        <v>1.402227384</v>
      </c>
      <c r="U325" s="14">
        <f t="shared" si="8"/>
        <v>0.5862256071</v>
      </c>
    </row>
    <row r="326" ht="15.75" customHeight="1">
      <c r="A326" s="9">
        <v>46086.6643820949</v>
      </c>
      <c r="B326" s="10">
        <v>15.0</v>
      </c>
      <c r="C326" s="10" t="s">
        <v>84</v>
      </c>
      <c r="D326" s="10" t="s">
        <v>1061</v>
      </c>
      <c r="E326" s="12" t="s">
        <v>62</v>
      </c>
      <c r="F326" s="11">
        <v>2885.0</v>
      </c>
      <c r="G326" s="11">
        <v>152.0</v>
      </c>
      <c r="H326" s="11">
        <v>202.0</v>
      </c>
      <c r="I326" s="11">
        <v>106.0</v>
      </c>
      <c r="J326" s="11">
        <v>35.0</v>
      </c>
      <c r="K326" s="11">
        <v>7.0</v>
      </c>
      <c r="L326" s="11">
        <v>0.0</v>
      </c>
      <c r="M326" s="13">
        <f t="shared" ref="M326:O326" si="328">IFERROR(G326/F326,"")</f>
        <v>0.05268630849</v>
      </c>
      <c r="N326" s="13">
        <f t="shared" si="328"/>
        <v>1.328947368</v>
      </c>
      <c r="O326" s="14">
        <f t="shared" si="328"/>
        <v>0.5247524752</v>
      </c>
      <c r="P326" s="13">
        <f t="shared" si="3"/>
        <v>0.1732673267</v>
      </c>
      <c r="Q326" s="13">
        <f t="shared" si="4"/>
        <v>0.03465346535</v>
      </c>
      <c r="R326" s="13">
        <f t="shared" si="5"/>
        <v>0</v>
      </c>
      <c r="S326" s="14">
        <f t="shared" si="6"/>
        <v>1.07844577</v>
      </c>
      <c r="T326" s="14">
        <f t="shared" si="7"/>
        <v>1.154372101</v>
      </c>
      <c r="U326" s="14">
        <f t="shared" si="8"/>
        <v>0.5101259133</v>
      </c>
    </row>
    <row r="327" ht="15.75" customHeight="1">
      <c r="A327" s="9">
        <v>46089.7059734144</v>
      </c>
      <c r="B327" s="10">
        <v>16.0</v>
      </c>
      <c r="C327" s="10" t="s">
        <v>77</v>
      </c>
      <c r="D327" s="10" t="s">
        <v>1064</v>
      </c>
      <c r="E327" s="12" t="s">
        <v>62</v>
      </c>
      <c r="F327" s="11">
        <v>3042.0</v>
      </c>
      <c r="G327" s="11">
        <v>91.0</v>
      </c>
      <c r="H327" s="11">
        <v>144.0</v>
      </c>
      <c r="I327" s="11">
        <v>72.0</v>
      </c>
      <c r="J327" s="11">
        <v>19.0</v>
      </c>
      <c r="K327" s="11">
        <v>4.0</v>
      </c>
      <c r="L327" s="11">
        <v>0.0</v>
      </c>
      <c r="M327" s="13">
        <f t="shared" ref="M327:O327" si="329">IFERROR(G327/F327,"")</f>
        <v>0.02991452991</v>
      </c>
      <c r="N327" s="13">
        <f t="shared" si="329"/>
        <v>1.582417582</v>
      </c>
      <c r="O327" s="14">
        <f t="shared" si="329"/>
        <v>0.5</v>
      </c>
      <c r="P327" s="13">
        <f t="shared" si="3"/>
        <v>0.1319444444</v>
      </c>
      <c r="Q327" s="13">
        <f t="shared" si="4"/>
        <v>0.02777777778</v>
      </c>
      <c r="R327" s="13">
        <f t="shared" si="5"/>
        <v>0</v>
      </c>
      <c r="S327" s="14">
        <f t="shared" si="6"/>
        <v>0.6132478632</v>
      </c>
      <c r="T327" s="14">
        <f t="shared" si="7"/>
        <v>1.369760674</v>
      </c>
      <c r="U327" s="14">
        <f t="shared" si="8"/>
        <v>0.4087301587</v>
      </c>
    </row>
    <row r="328" ht="15.75" customHeight="1">
      <c r="A328" s="9">
        <v>46091.865367338</v>
      </c>
      <c r="B328" s="10">
        <v>20.0</v>
      </c>
      <c r="C328" s="10" t="s">
        <v>59</v>
      </c>
      <c r="D328" s="10" t="s">
        <v>1066</v>
      </c>
      <c r="E328" s="12" t="s">
        <v>62</v>
      </c>
      <c r="F328" s="11">
        <v>2807.0</v>
      </c>
      <c r="G328" s="11">
        <v>140.0</v>
      </c>
      <c r="H328" s="11">
        <v>156.0</v>
      </c>
      <c r="I328" s="11">
        <v>98.0</v>
      </c>
      <c r="J328" s="11">
        <v>30.0</v>
      </c>
      <c r="K328" s="11">
        <v>3.0</v>
      </c>
      <c r="L328" s="11">
        <v>0.0</v>
      </c>
      <c r="M328" s="13">
        <f t="shared" ref="M328:O328" si="330">IFERROR(G328/F328,"")</f>
        <v>0.04987531172</v>
      </c>
      <c r="N328" s="13">
        <f t="shared" si="330"/>
        <v>1.114285714</v>
      </c>
      <c r="O328" s="14">
        <f t="shared" si="330"/>
        <v>0.6282051282</v>
      </c>
      <c r="P328" s="13">
        <f t="shared" si="3"/>
        <v>0.1923076923</v>
      </c>
      <c r="Q328" s="13">
        <f t="shared" si="4"/>
        <v>0.01923076923</v>
      </c>
      <c r="R328" s="13">
        <f t="shared" si="5"/>
        <v>0</v>
      </c>
      <c r="S328" s="14">
        <f t="shared" si="6"/>
        <v>1.02244389</v>
      </c>
      <c r="T328" s="14">
        <f t="shared" si="7"/>
        <v>0.964539808</v>
      </c>
      <c r="U328" s="14">
        <f t="shared" si="8"/>
        <v>0.2724358974</v>
      </c>
    </row>
    <row r="329" ht="15.75" customHeight="1">
      <c r="A329" s="9">
        <v>46093.7558168519</v>
      </c>
      <c r="B329" s="10">
        <v>18.0</v>
      </c>
      <c r="C329" s="10" t="s">
        <v>84</v>
      </c>
      <c r="D329" s="10" t="s">
        <v>1069</v>
      </c>
      <c r="E329" s="12" t="s">
        <v>62</v>
      </c>
      <c r="F329" s="11">
        <v>2719.0</v>
      </c>
      <c r="G329" s="11">
        <v>86.0</v>
      </c>
      <c r="H329" s="11">
        <v>142.0</v>
      </c>
      <c r="I329" s="11">
        <v>96.0</v>
      </c>
      <c r="J329" s="11">
        <v>28.0</v>
      </c>
      <c r="K329" s="11">
        <v>5.0</v>
      </c>
      <c r="L329" s="11">
        <v>0.0</v>
      </c>
      <c r="M329" s="13">
        <f t="shared" ref="M329:O329" si="331">IFERROR(G329/F329,"")</f>
        <v>0.03162927547</v>
      </c>
      <c r="N329" s="13">
        <f t="shared" si="331"/>
        <v>1.651162791</v>
      </c>
      <c r="O329" s="14">
        <f t="shared" si="331"/>
        <v>0.676056338</v>
      </c>
      <c r="P329" s="13">
        <f t="shared" si="3"/>
        <v>0.1971830986</v>
      </c>
      <c r="Q329" s="13">
        <f t="shared" si="4"/>
        <v>0.03521126761</v>
      </c>
      <c r="R329" s="13">
        <f t="shared" si="5"/>
        <v>0</v>
      </c>
      <c r="S329" s="14">
        <f t="shared" si="6"/>
        <v>0.6484001471</v>
      </c>
      <c r="T329" s="14">
        <f t="shared" si="7"/>
        <v>1.457578188</v>
      </c>
      <c r="U329" s="14">
        <f t="shared" si="8"/>
        <v>0.4851330203</v>
      </c>
    </row>
    <row r="330" ht="15.75" customHeight="1">
      <c r="A330" s="9">
        <v>46096.7381159259</v>
      </c>
      <c r="B330" s="10">
        <v>17.0</v>
      </c>
      <c r="C330" s="10" t="s">
        <v>77</v>
      </c>
      <c r="D330" s="10" t="s">
        <v>1072</v>
      </c>
      <c r="E330" s="12" t="s">
        <v>62</v>
      </c>
      <c r="F330" s="11">
        <v>2940.0</v>
      </c>
      <c r="G330" s="11">
        <v>65.0</v>
      </c>
      <c r="H330" s="11">
        <v>91.0</v>
      </c>
      <c r="I330" s="11">
        <v>79.0</v>
      </c>
      <c r="J330" s="11">
        <v>22.0</v>
      </c>
      <c r="K330" s="11">
        <v>9.0</v>
      </c>
      <c r="L330" s="11">
        <v>0.0</v>
      </c>
      <c r="M330" s="13">
        <f t="shared" ref="M330:O330" si="332">IFERROR(G330/F330,"")</f>
        <v>0.02210884354</v>
      </c>
      <c r="N330" s="13">
        <f t="shared" si="332"/>
        <v>1.4</v>
      </c>
      <c r="O330" s="14">
        <f t="shared" si="332"/>
        <v>0.8681318681</v>
      </c>
      <c r="P330" s="13">
        <f t="shared" si="3"/>
        <v>0.2417582418</v>
      </c>
      <c r="Q330" s="13">
        <f t="shared" si="4"/>
        <v>0.0989010989</v>
      </c>
      <c r="R330" s="13">
        <f t="shared" si="5"/>
        <v>0</v>
      </c>
      <c r="S330" s="14">
        <f t="shared" si="6"/>
        <v>0.4532312925</v>
      </c>
      <c r="T330" s="14">
        <f t="shared" si="7"/>
        <v>1.235862069</v>
      </c>
      <c r="U330" s="14">
        <f t="shared" si="8"/>
        <v>1.35989011</v>
      </c>
    </row>
    <row r="331" ht="15.75" customHeight="1">
      <c r="A331" s="9">
        <v>46098.7484180671</v>
      </c>
      <c r="B331" s="10">
        <v>17.0</v>
      </c>
      <c r="C331" s="10" t="s">
        <v>59</v>
      </c>
      <c r="D331" s="10" t="s">
        <v>1075</v>
      </c>
      <c r="E331" s="12" t="s">
        <v>62</v>
      </c>
      <c r="F331" s="11">
        <v>2881.0</v>
      </c>
      <c r="G331" s="11">
        <v>104.0</v>
      </c>
      <c r="H331" s="11">
        <v>140.0</v>
      </c>
      <c r="I331" s="11">
        <v>109.0</v>
      </c>
      <c r="J331" s="11">
        <v>27.0</v>
      </c>
      <c r="K331" s="11">
        <v>12.0</v>
      </c>
      <c r="L331" s="11">
        <v>0.0</v>
      </c>
      <c r="M331" s="13">
        <f t="shared" ref="M331:O331" si="333">IFERROR(G331/F331,"")</f>
        <v>0.03609857688</v>
      </c>
      <c r="N331" s="13">
        <f t="shared" si="333"/>
        <v>1.346153846</v>
      </c>
      <c r="O331" s="14">
        <f t="shared" si="333"/>
        <v>0.7785714286</v>
      </c>
      <c r="P331" s="13">
        <f t="shared" si="3"/>
        <v>0.1928571429</v>
      </c>
      <c r="Q331" s="13">
        <f t="shared" si="4"/>
        <v>0.08571428571</v>
      </c>
      <c r="R331" s="13">
        <f t="shared" si="5"/>
        <v>0</v>
      </c>
      <c r="S331" s="14">
        <f t="shared" si="6"/>
        <v>0.738908431</v>
      </c>
      <c r="T331" s="14">
        <f t="shared" si="7"/>
        <v>1.191746261</v>
      </c>
      <c r="U331" s="14">
        <f t="shared" si="8"/>
        <v>1.12244898</v>
      </c>
    </row>
    <row r="332" ht="15.75" customHeight="1">
      <c r="A332" s="9">
        <v>46103.8952038657</v>
      </c>
      <c r="B332" s="10">
        <v>21.0</v>
      </c>
      <c r="C332" s="10" t="s">
        <v>77</v>
      </c>
      <c r="D332" s="10" t="s">
        <v>1077</v>
      </c>
      <c r="E332" s="12" t="s">
        <v>62</v>
      </c>
      <c r="F332" s="11">
        <v>3084.0</v>
      </c>
      <c r="G332" s="11">
        <v>166.0</v>
      </c>
      <c r="H332" s="11">
        <v>196.0</v>
      </c>
      <c r="I332" s="11">
        <v>157.0</v>
      </c>
      <c r="J332" s="11">
        <v>30.0</v>
      </c>
      <c r="K332" s="11">
        <v>9.0</v>
      </c>
      <c r="L332" s="11">
        <v>0.0</v>
      </c>
      <c r="M332" s="13">
        <f t="shared" ref="M332:O332" si="334">IFERROR(G332/F332,"")</f>
        <v>0.05382619974</v>
      </c>
      <c r="N332" s="13">
        <f t="shared" si="334"/>
        <v>1.180722892</v>
      </c>
      <c r="O332" s="14">
        <f t="shared" si="334"/>
        <v>0.8010204082</v>
      </c>
      <c r="P332" s="13">
        <f t="shared" si="3"/>
        <v>0.1530612245</v>
      </c>
      <c r="Q332" s="13">
        <f t="shared" si="4"/>
        <v>0.04591836735</v>
      </c>
      <c r="R332" s="13">
        <f t="shared" si="5"/>
        <v>0</v>
      </c>
      <c r="S332" s="14">
        <f t="shared" si="6"/>
        <v>1.095363165</v>
      </c>
      <c r="T332" s="14">
        <f t="shared" si="7"/>
        <v>1.050436228</v>
      </c>
      <c r="U332" s="14">
        <f t="shared" si="8"/>
        <v>0.5663265306</v>
      </c>
    </row>
    <row r="333" ht="15.75" customHeight="1">
      <c r="A333" s="9">
        <v>46105.7136543866</v>
      </c>
      <c r="B333" s="10">
        <v>17.0</v>
      </c>
      <c r="C333" s="10" t="s">
        <v>59</v>
      </c>
      <c r="D333" s="10" t="s">
        <v>1080</v>
      </c>
      <c r="E333" s="12" t="s">
        <v>62</v>
      </c>
      <c r="F333" s="11">
        <v>3049.0</v>
      </c>
      <c r="G333" s="11">
        <v>114.0</v>
      </c>
      <c r="H333" s="11">
        <v>143.0</v>
      </c>
      <c r="I333" s="11">
        <v>72.0</v>
      </c>
      <c r="J333" s="11">
        <v>28.0</v>
      </c>
      <c r="K333" s="11">
        <v>5.0</v>
      </c>
      <c r="L333" s="11">
        <v>0.0</v>
      </c>
      <c r="M333" s="13">
        <f t="shared" ref="M333:O333" si="335">IFERROR(G333/F333,"")</f>
        <v>0.03738930797</v>
      </c>
      <c r="N333" s="13">
        <f t="shared" si="335"/>
        <v>1.254385965</v>
      </c>
      <c r="O333" s="14">
        <f t="shared" si="335"/>
        <v>0.5034965035</v>
      </c>
      <c r="P333" s="13">
        <f t="shared" si="3"/>
        <v>0.1958041958</v>
      </c>
      <c r="Q333" s="13">
        <f t="shared" si="4"/>
        <v>0.03496503497</v>
      </c>
      <c r="R333" s="13">
        <f t="shared" si="5"/>
        <v>0</v>
      </c>
      <c r="S333" s="14">
        <f t="shared" si="6"/>
        <v>0.7534613222</v>
      </c>
      <c r="T333" s="14">
        <f t="shared" si="7"/>
        <v>1.120422415</v>
      </c>
      <c r="U333" s="14">
        <f t="shared" si="8"/>
        <v>0.4312354312</v>
      </c>
    </row>
    <row r="334" ht="15.75" customHeight="1">
      <c r="A334" s="9">
        <v>46107.5462861806</v>
      </c>
      <c r="B334" s="10">
        <v>13.0</v>
      </c>
      <c r="C334" s="10" t="s">
        <v>84</v>
      </c>
      <c r="D334" s="10" t="s">
        <v>1082</v>
      </c>
      <c r="E334" s="12" t="s">
        <v>62</v>
      </c>
      <c r="F334" s="11">
        <v>2925.0</v>
      </c>
      <c r="G334" s="11">
        <v>98.0</v>
      </c>
      <c r="H334" s="11">
        <v>99.0</v>
      </c>
      <c r="I334" s="11">
        <v>85.0</v>
      </c>
      <c r="J334" s="11">
        <v>18.0</v>
      </c>
      <c r="K334" s="11">
        <v>15.0</v>
      </c>
      <c r="L334" s="11">
        <v>1.0</v>
      </c>
      <c r="M334" s="13">
        <f t="shared" ref="M334:O334" si="336">IFERROR(G334/F334,"")</f>
        <v>0.0335042735</v>
      </c>
      <c r="N334" s="13">
        <f t="shared" si="336"/>
        <v>1.010204082</v>
      </c>
      <c r="O334" s="14">
        <f t="shared" si="336"/>
        <v>0.8585858586</v>
      </c>
      <c r="P334" s="13">
        <f t="shared" si="3"/>
        <v>0.1818181818</v>
      </c>
      <c r="Q334" s="13">
        <f t="shared" si="4"/>
        <v>0.1515151515</v>
      </c>
      <c r="R334" s="13">
        <f t="shared" si="5"/>
        <v>0.0101010101</v>
      </c>
      <c r="S334" s="14">
        <f t="shared" si="6"/>
        <v>0.6751709402</v>
      </c>
      <c r="T334" s="14">
        <f t="shared" si="7"/>
        <v>0.9023182088</v>
      </c>
      <c r="U334" s="14">
        <f t="shared" si="8"/>
        <v>1.868686869</v>
      </c>
    </row>
    <row r="335" ht="15.75" customHeight="1">
      <c r="A335" s="9">
        <v>46110.5610817477</v>
      </c>
      <c r="B335" s="10">
        <v>13.0</v>
      </c>
      <c r="C335" s="10" t="s">
        <v>77</v>
      </c>
      <c r="D335" s="10" t="s">
        <v>1085</v>
      </c>
      <c r="E335" s="12" t="s">
        <v>62</v>
      </c>
      <c r="F335" s="11">
        <v>3181.0</v>
      </c>
      <c r="G335" s="11">
        <v>119.0</v>
      </c>
      <c r="H335" s="11">
        <v>168.0</v>
      </c>
      <c r="I335" s="11">
        <v>120.0</v>
      </c>
      <c r="J335" s="11">
        <v>23.0</v>
      </c>
      <c r="K335" s="11">
        <v>33.0</v>
      </c>
      <c r="L335" s="11">
        <v>0.0</v>
      </c>
      <c r="M335" s="13">
        <f t="shared" ref="M335:O335" si="337">IFERROR(G335/F335,"")</f>
        <v>0.03740961962</v>
      </c>
      <c r="N335" s="13">
        <f t="shared" si="337"/>
        <v>1.411764706</v>
      </c>
      <c r="O335" s="14">
        <f t="shared" si="337"/>
        <v>0.7142857143</v>
      </c>
      <c r="P335" s="13">
        <f t="shared" si="3"/>
        <v>0.1369047619</v>
      </c>
      <c r="Q335" s="13">
        <f t="shared" si="4"/>
        <v>0.1964285714</v>
      </c>
      <c r="R335" s="13">
        <f t="shared" si="5"/>
        <v>0</v>
      </c>
      <c r="S335" s="14">
        <f t="shared" si="6"/>
        <v>0.7500628733</v>
      </c>
      <c r="T335" s="14">
        <f t="shared" si="7"/>
        <v>1.260993718</v>
      </c>
      <c r="U335" s="14">
        <f t="shared" si="8"/>
        <v>2.422619048</v>
      </c>
    </row>
    <row r="336" ht="15.75" customHeight="1">
      <c r="A336" s="9">
        <v>46112.4924650232</v>
      </c>
      <c r="B336" s="10">
        <v>11.0</v>
      </c>
      <c r="C336" s="10" t="s">
        <v>59</v>
      </c>
      <c r="D336" s="10" t="s">
        <v>1089</v>
      </c>
      <c r="E336" s="12" t="s">
        <v>62</v>
      </c>
      <c r="F336" s="11">
        <v>2988.0</v>
      </c>
      <c r="G336" s="11">
        <v>118.0</v>
      </c>
      <c r="H336" s="11">
        <v>139.0</v>
      </c>
      <c r="I336" s="11">
        <v>138.0</v>
      </c>
      <c r="J336" s="11">
        <v>36.0</v>
      </c>
      <c r="K336" s="11">
        <v>21.0</v>
      </c>
      <c r="L336" s="11">
        <v>0.0</v>
      </c>
      <c r="M336" s="13">
        <f t="shared" ref="M336:O336" si="338">IFERROR(G336/F336,"")</f>
        <v>0.03949129853</v>
      </c>
      <c r="N336" s="13">
        <f t="shared" si="338"/>
        <v>1.177966102</v>
      </c>
      <c r="O336" s="14">
        <f t="shared" si="338"/>
        <v>0.9928057554</v>
      </c>
      <c r="P336" s="13">
        <f t="shared" si="3"/>
        <v>0.2589928058</v>
      </c>
      <c r="Q336" s="13">
        <f t="shared" si="4"/>
        <v>0.1510791367</v>
      </c>
      <c r="R336" s="13">
        <f t="shared" si="5"/>
        <v>0</v>
      </c>
      <c r="S336" s="14">
        <f t="shared" si="6"/>
        <v>0.7918005355</v>
      </c>
      <c r="T336" s="14">
        <f t="shared" si="7"/>
        <v>1.052163897</v>
      </c>
      <c r="U336" s="14">
        <f t="shared" si="8"/>
        <v>1.782733813</v>
      </c>
    </row>
    <row r="337" ht="15.75" customHeight="1">
      <c r="A337" s="9">
        <v>46115.7587639931</v>
      </c>
      <c r="B337" s="10">
        <v>18.0</v>
      </c>
      <c r="C337" s="10" t="s">
        <v>60</v>
      </c>
      <c r="D337" s="10" t="s">
        <v>1091</v>
      </c>
      <c r="E337" s="12" t="s">
        <v>62</v>
      </c>
      <c r="F337" s="11">
        <v>2583.0</v>
      </c>
      <c r="G337" s="11">
        <v>126.0</v>
      </c>
      <c r="H337" s="11">
        <v>165.0</v>
      </c>
      <c r="I337" s="11">
        <v>86.0</v>
      </c>
      <c r="J337" s="11">
        <v>24.0</v>
      </c>
      <c r="K337" s="11">
        <v>5.0</v>
      </c>
      <c r="L337" s="11">
        <v>0.0</v>
      </c>
      <c r="M337" s="13">
        <f t="shared" ref="M337:O337" si="339">IFERROR(G337/F337,"")</f>
        <v>0.0487804878</v>
      </c>
      <c r="N337" s="13">
        <f t="shared" si="339"/>
        <v>1.30952381</v>
      </c>
      <c r="O337" s="14">
        <f t="shared" si="339"/>
        <v>0.5212121212</v>
      </c>
      <c r="P337" s="13">
        <f t="shared" si="3"/>
        <v>0.1454545455</v>
      </c>
      <c r="Q337" s="13">
        <f t="shared" si="4"/>
        <v>0.0303030303</v>
      </c>
      <c r="R337" s="13">
        <f t="shared" si="5"/>
        <v>0</v>
      </c>
      <c r="S337" s="14">
        <f t="shared" si="6"/>
        <v>0.9757861633</v>
      </c>
      <c r="T337" s="14">
        <f t="shared" si="7"/>
        <v>1.172965723</v>
      </c>
      <c r="U337" s="14">
        <f t="shared" si="8"/>
        <v>0.3468051172</v>
      </c>
    </row>
    <row r="338" ht="15.75" customHeight="1">
      <c r="A338" s="9">
        <v>46117.5495586574</v>
      </c>
      <c r="B338" s="10">
        <v>13.0</v>
      </c>
      <c r="C338" s="10" t="s">
        <v>77</v>
      </c>
      <c r="D338" s="10" t="s">
        <v>1094</v>
      </c>
      <c r="E338" s="12" t="s">
        <v>62</v>
      </c>
      <c r="F338" s="11">
        <v>2777.0</v>
      </c>
      <c r="G338" s="11">
        <v>128.0</v>
      </c>
      <c r="H338" s="11">
        <v>156.0</v>
      </c>
      <c r="I338" s="11">
        <v>157.0</v>
      </c>
      <c r="J338" s="11">
        <v>18.0</v>
      </c>
      <c r="K338" s="11">
        <v>23.0</v>
      </c>
      <c r="L338" s="11">
        <v>0.0</v>
      </c>
      <c r="M338" s="13">
        <f t="shared" ref="M338:O338" si="340">IFERROR(G338/F338,"")</f>
        <v>0.04609290601</v>
      </c>
      <c r="N338" s="13">
        <f t="shared" si="340"/>
        <v>1.21875</v>
      </c>
      <c r="O338" s="14">
        <f t="shared" si="340"/>
        <v>1.006410256</v>
      </c>
      <c r="P338" s="13">
        <f t="shared" si="3"/>
        <v>0.1153846154</v>
      </c>
      <c r="Q338" s="13">
        <f t="shared" si="4"/>
        <v>0.1474358974</v>
      </c>
      <c r="R338" s="13">
        <f t="shared" si="5"/>
        <v>0</v>
      </c>
      <c r="S338" s="14">
        <f t="shared" si="6"/>
        <v>0.91989672</v>
      </c>
      <c r="T338" s="14">
        <f t="shared" si="7"/>
        <v>1.089573733</v>
      </c>
      <c r="U338" s="14">
        <f t="shared" si="8"/>
        <v>1.65581854</v>
      </c>
    </row>
    <row r="339" ht="15.75" customHeight="1">
      <c r="A339" s="9">
        <v>46121.5647914005</v>
      </c>
      <c r="B339" s="10">
        <v>13.0</v>
      </c>
      <c r="C339" s="10" t="s">
        <v>84</v>
      </c>
      <c r="D339" s="10" t="s">
        <v>1096</v>
      </c>
      <c r="E339" s="12" t="s">
        <v>62</v>
      </c>
      <c r="F339" s="11">
        <v>2400.0</v>
      </c>
      <c r="G339" s="11">
        <v>89.0</v>
      </c>
      <c r="H339" s="11">
        <v>114.0</v>
      </c>
      <c r="I339" s="11">
        <v>136.0</v>
      </c>
      <c r="J339" s="11">
        <v>24.0</v>
      </c>
      <c r="K339" s="11">
        <v>22.0</v>
      </c>
      <c r="L339" s="11">
        <v>0.0</v>
      </c>
      <c r="M339" s="13">
        <f t="shared" ref="M339:O339" si="341">IFERROR(G339/F339,"")</f>
        <v>0.03708333333</v>
      </c>
      <c r="N339" s="13">
        <f t="shared" si="341"/>
        <v>1.280898876</v>
      </c>
      <c r="O339" s="14">
        <f t="shared" si="341"/>
        <v>1.192982456</v>
      </c>
      <c r="P339" s="13">
        <f t="shared" si="3"/>
        <v>0.2105263158</v>
      </c>
      <c r="Q339" s="13">
        <f t="shared" si="4"/>
        <v>0.1929824561</v>
      </c>
      <c r="R339" s="13">
        <f t="shared" si="5"/>
        <v>0</v>
      </c>
      <c r="S339" s="14">
        <f t="shared" si="6"/>
        <v>0.7435208333</v>
      </c>
      <c r="T339" s="14">
        <f t="shared" si="7"/>
        <v>1.175413087</v>
      </c>
      <c r="U339" s="14">
        <f t="shared" si="8"/>
        <v>1.994152047</v>
      </c>
    </row>
    <row r="340" ht="15.75" customHeight="1">
      <c r="A340" s="9">
        <v>46125.1287793287</v>
      </c>
      <c r="B340" s="10">
        <v>3.0</v>
      </c>
      <c r="C340" s="10" t="s">
        <v>71</v>
      </c>
      <c r="D340" s="10" t="s">
        <v>1099</v>
      </c>
      <c r="E340" s="12" t="s">
        <v>62</v>
      </c>
      <c r="F340" s="11">
        <v>2092.0</v>
      </c>
      <c r="G340" s="11">
        <v>91.0</v>
      </c>
      <c r="H340" s="11">
        <v>118.0</v>
      </c>
      <c r="I340" s="11">
        <v>83.0</v>
      </c>
      <c r="J340" s="11">
        <v>20.0</v>
      </c>
      <c r="K340" s="11">
        <v>2.0</v>
      </c>
      <c r="L340" s="11">
        <v>0.0</v>
      </c>
      <c r="M340" s="13">
        <f t="shared" ref="M340:O340" si="342">IFERROR(G340/F340,"")</f>
        <v>0.04349904398</v>
      </c>
      <c r="N340" s="13">
        <f t="shared" si="342"/>
        <v>1.296703297</v>
      </c>
      <c r="O340" s="14">
        <f t="shared" si="342"/>
        <v>0.7033898305</v>
      </c>
      <c r="P340" s="13">
        <f t="shared" si="3"/>
        <v>0.1694915254</v>
      </c>
      <c r="Q340" s="13">
        <f t="shared" si="4"/>
        <v>0.01694915254</v>
      </c>
      <c r="R340" s="13">
        <f t="shared" si="5"/>
        <v>0</v>
      </c>
      <c r="S340" s="14">
        <f t="shared" si="6"/>
        <v>0.876583413</v>
      </c>
      <c r="T340" s="14">
        <f t="shared" si="7"/>
        <v>1.253479853</v>
      </c>
      <c r="U340" s="14">
        <f t="shared" si="8"/>
        <v>0.1713747646</v>
      </c>
    </row>
    <row r="341" ht="15.75" customHeight="1">
      <c r="A341" s="9">
        <v>46126.619751713</v>
      </c>
      <c r="B341" s="10">
        <v>14.0</v>
      </c>
      <c r="C341" s="10" t="s">
        <v>59</v>
      </c>
      <c r="D341" s="10" t="s">
        <v>1102</v>
      </c>
      <c r="E341" s="12" t="s">
        <v>62</v>
      </c>
      <c r="F341" s="11">
        <v>2349.0</v>
      </c>
      <c r="G341" s="11">
        <v>119.0</v>
      </c>
      <c r="H341" s="11">
        <v>143.0</v>
      </c>
      <c r="I341" s="11">
        <v>111.0</v>
      </c>
      <c r="J341" s="11">
        <v>26.0</v>
      </c>
      <c r="K341" s="11">
        <v>2.0</v>
      </c>
      <c r="L341" s="11">
        <v>0.0</v>
      </c>
      <c r="M341" s="13">
        <f t="shared" ref="M341:O341" si="343">IFERROR(G341/F341,"")</f>
        <v>0.05065985526</v>
      </c>
      <c r="N341" s="13">
        <f t="shared" si="343"/>
        <v>1.201680672</v>
      </c>
      <c r="O341" s="14">
        <f t="shared" si="343"/>
        <v>0.7762237762</v>
      </c>
      <c r="P341" s="13">
        <f t="shared" si="3"/>
        <v>0.1818181818</v>
      </c>
      <c r="Q341" s="13">
        <f t="shared" si="4"/>
        <v>0.01398601399</v>
      </c>
      <c r="R341" s="13">
        <f t="shared" si="5"/>
        <v>0</v>
      </c>
      <c r="S341" s="14">
        <f t="shared" si="6"/>
        <v>1.020886547</v>
      </c>
      <c r="T341" s="14">
        <f t="shared" si="7"/>
        <v>1.169635854</v>
      </c>
      <c r="U341" s="14">
        <f t="shared" si="8"/>
        <v>0.1414141414</v>
      </c>
    </row>
    <row r="342" ht="15.75" customHeight="1">
      <c r="A342" s="9">
        <v>46128.5591866088</v>
      </c>
      <c r="B342" s="10">
        <v>13.0</v>
      </c>
      <c r="C342" s="10" t="s">
        <v>84</v>
      </c>
      <c r="D342" s="10" t="s">
        <v>1105</v>
      </c>
      <c r="E342" s="12" t="s">
        <v>62</v>
      </c>
      <c r="F342" s="11">
        <v>2257.0</v>
      </c>
      <c r="G342" s="11">
        <v>112.0</v>
      </c>
      <c r="H342" s="11">
        <v>93.0</v>
      </c>
      <c r="I342" s="11">
        <v>45.0</v>
      </c>
      <c r="J342" s="11">
        <v>21.0</v>
      </c>
      <c r="K342" s="11">
        <v>2.0</v>
      </c>
      <c r="L342" s="11">
        <v>0.0</v>
      </c>
      <c r="M342" s="13">
        <f t="shared" ref="M342:O342" si="344">IFERROR(G342/F342,"")</f>
        <v>0.04962339389</v>
      </c>
      <c r="N342" s="13">
        <f t="shared" si="344"/>
        <v>0.8303571429</v>
      </c>
      <c r="O342" s="14">
        <f t="shared" si="344"/>
        <v>0.4838709677</v>
      </c>
      <c r="P342" s="13">
        <f t="shared" si="3"/>
        <v>0.2258064516</v>
      </c>
      <c r="Q342" s="13">
        <f t="shared" si="4"/>
        <v>0.02150537634</v>
      </c>
      <c r="R342" s="13">
        <f t="shared" si="5"/>
        <v>0</v>
      </c>
      <c r="S342" s="14">
        <f t="shared" si="6"/>
        <v>0.9974681295</v>
      </c>
      <c r="T342" s="14">
        <f t="shared" si="7"/>
        <v>0.8150339576</v>
      </c>
      <c r="U342" s="14">
        <f t="shared" si="8"/>
        <v>0.2125568845</v>
      </c>
    </row>
    <row r="343" ht="15.75" customHeight="1">
      <c r="A343" s="9">
        <v>46133.5605712732</v>
      </c>
      <c r="B343" s="10">
        <v>13.0</v>
      </c>
      <c r="C343" s="10" t="s">
        <v>59</v>
      </c>
      <c r="D343" s="10" t="s">
        <v>1109</v>
      </c>
      <c r="E343" s="12" t="s">
        <v>62</v>
      </c>
      <c r="F343" s="11">
        <v>2321.0</v>
      </c>
      <c r="G343" s="11">
        <v>143.0</v>
      </c>
      <c r="H343" s="11">
        <v>132.0</v>
      </c>
      <c r="I343" s="11">
        <v>120.0</v>
      </c>
      <c r="J343" s="11">
        <v>23.0</v>
      </c>
      <c r="K343" s="11">
        <v>31.0</v>
      </c>
      <c r="L343" s="11">
        <v>0.0</v>
      </c>
      <c r="M343" s="13">
        <f t="shared" ref="M343:O343" si="345">IFERROR(G343/F343,"")</f>
        <v>0.06161137441</v>
      </c>
      <c r="N343" s="13">
        <f t="shared" si="345"/>
        <v>0.9230769231</v>
      </c>
      <c r="O343" s="14">
        <f t="shared" si="345"/>
        <v>0.9090909091</v>
      </c>
      <c r="P343" s="13">
        <f t="shared" si="3"/>
        <v>0.1742424242</v>
      </c>
      <c r="Q343" s="13">
        <f t="shared" si="4"/>
        <v>0.2348484848</v>
      </c>
      <c r="R343" s="13">
        <f t="shared" si="5"/>
        <v>0</v>
      </c>
      <c r="S343" s="14">
        <f t="shared" si="6"/>
        <v>1.238435697</v>
      </c>
      <c r="T343" s="14">
        <f t="shared" si="7"/>
        <v>0.9215972643</v>
      </c>
      <c r="U343" s="14">
        <f t="shared" si="8"/>
        <v>2.159691491</v>
      </c>
    </row>
    <row r="344" ht="15.75" customHeight="1">
      <c r="A344" s="9">
        <v>46135.5607098843</v>
      </c>
      <c r="B344" s="10">
        <v>13.0</v>
      </c>
      <c r="C344" s="10" t="s">
        <v>84</v>
      </c>
      <c r="D344" s="10" t="s">
        <v>1112</v>
      </c>
      <c r="E344" s="12" t="s">
        <v>62</v>
      </c>
      <c r="F344" s="11">
        <v>2212.0</v>
      </c>
      <c r="G344" s="11">
        <v>203.0</v>
      </c>
      <c r="H344" s="11">
        <v>181.0</v>
      </c>
      <c r="I344" s="11">
        <v>96.0</v>
      </c>
      <c r="J344" s="11">
        <v>21.0</v>
      </c>
      <c r="K344" s="11">
        <v>23.0</v>
      </c>
      <c r="L344" s="11">
        <v>1.0</v>
      </c>
      <c r="M344" s="13">
        <f t="shared" ref="M344:O344" si="346">IFERROR(G344/F344,"")</f>
        <v>0.0917721519</v>
      </c>
      <c r="N344" s="13">
        <f t="shared" si="346"/>
        <v>0.8916256158</v>
      </c>
      <c r="O344" s="14">
        <f t="shared" si="346"/>
        <v>0.5303867403</v>
      </c>
      <c r="P344" s="13">
        <f t="shared" si="3"/>
        <v>0.1160220994</v>
      </c>
      <c r="Q344" s="13">
        <f t="shared" si="4"/>
        <v>0.1270718232</v>
      </c>
      <c r="R344" s="13">
        <f t="shared" si="5"/>
        <v>0.005524861878</v>
      </c>
      <c r="S344" s="14">
        <f t="shared" si="6"/>
        <v>1.840031646</v>
      </c>
      <c r="T344" s="14">
        <f t="shared" si="7"/>
        <v>0.8826192964</v>
      </c>
      <c r="U344" s="14">
        <f t="shared" si="8"/>
        <v>1.114322142</v>
      </c>
    </row>
    <row r="345" ht="15.75" customHeight="1">
      <c r="A345" s="9">
        <v>46140.5920629861</v>
      </c>
      <c r="B345" s="10">
        <v>14.0</v>
      </c>
      <c r="C345" s="10" t="s">
        <v>59</v>
      </c>
      <c r="D345" s="10" t="s">
        <v>1115</v>
      </c>
      <c r="E345" s="12" t="s">
        <v>62</v>
      </c>
      <c r="F345" s="11">
        <v>2220.0</v>
      </c>
      <c r="G345" s="11">
        <v>190.0</v>
      </c>
      <c r="H345" s="11">
        <v>214.0</v>
      </c>
      <c r="I345" s="11">
        <v>102.0</v>
      </c>
      <c r="J345" s="11">
        <v>45.0</v>
      </c>
      <c r="K345" s="11">
        <v>7.0</v>
      </c>
      <c r="L345" s="11">
        <v>1.0</v>
      </c>
      <c r="M345" s="13">
        <f t="shared" ref="M345:O345" si="347">IFERROR(G345/F345,"")</f>
        <v>0.08558558559</v>
      </c>
      <c r="N345" s="13">
        <f t="shared" si="347"/>
        <v>1.126315789</v>
      </c>
      <c r="O345" s="14">
        <f t="shared" si="347"/>
        <v>0.476635514</v>
      </c>
      <c r="P345" s="13">
        <f t="shared" si="3"/>
        <v>0.2102803738</v>
      </c>
      <c r="Q345" s="13">
        <f t="shared" si="4"/>
        <v>0.03271028037</v>
      </c>
      <c r="R345" s="13">
        <f t="shared" si="5"/>
        <v>0.004672897196</v>
      </c>
      <c r="S345" s="14">
        <f t="shared" si="6"/>
        <v>1.708069772</v>
      </c>
      <c r="T345" s="14">
        <f t="shared" si="7"/>
        <v>1.114938862</v>
      </c>
      <c r="U345" s="14">
        <f t="shared" si="8"/>
        <v>0.2754549926</v>
      </c>
    </row>
    <row r="346" ht="15.75" customHeight="1">
      <c r="A346" s="9">
        <v>46142.4824543171</v>
      </c>
      <c r="B346" s="10">
        <v>11.0</v>
      </c>
      <c r="C346" s="10" t="s">
        <v>84</v>
      </c>
      <c r="D346" s="10" t="s">
        <v>1118</v>
      </c>
      <c r="E346" s="12" t="s">
        <v>62</v>
      </c>
      <c r="F346" s="11">
        <v>2276.0</v>
      </c>
      <c r="G346" s="11">
        <v>84.0</v>
      </c>
      <c r="H346" s="11">
        <v>103.0</v>
      </c>
      <c r="I346" s="11">
        <v>89.0</v>
      </c>
      <c r="J346" s="11">
        <v>31.0</v>
      </c>
      <c r="K346" s="11">
        <v>32.0</v>
      </c>
      <c r="L346" s="11">
        <v>0.0</v>
      </c>
      <c r="M346" s="13">
        <f t="shared" ref="M346:O346" si="348">IFERROR(G346/F346,"")</f>
        <v>0.03690685413</v>
      </c>
      <c r="N346" s="13">
        <f t="shared" si="348"/>
        <v>1.226190476</v>
      </c>
      <c r="O346" s="14">
        <f t="shared" si="348"/>
        <v>0.8640776699</v>
      </c>
      <c r="P346" s="13">
        <f t="shared" si="3"/>
        <v>0.3009708738</v>
      </c>
      <c r="Q346" s="13">
        <f t="shared" si="4"/>
        <v>0.3106796117</v>
      </c>
      <c r="R346" s="13">
        <f t="shared" si="5"/>
        <v>0</v>
      </c>
      <c r="S346" s="14">
        <f t="shared" si="6"/>
        <v>0.7382705506</v>
      </c>
      <c r="T346" s="14">
        <f t="shared" si="7"/>
        <v>1.20356269</v>
      </c>
      <c r="U346" s="14">
        <f t="shared" si="8"/>
        <v>2.66923981</v>
      </c>
    </row>
    <row r="347" ht="15.75" customHeight="1">
      <c r="A347" s="9">
        <v>46145.5224431019</v>
      </c>
      <c r="B347" s="10">
        <v>12.0</v>
      </c>
      <c r="C347" s="10" t="s">
        <v>77</v>
      </c>
      <c r="D347" s="10" t="s">
        <v>1121</v>
      </c>
      <c r="E347" s="12" t="s">
        <v>62</v>
      </c>
      <c r="F347" s="11">
        <v>2450.0</v>
      </c>
      <c r="G347" s="11">
        <v>111.0</v>
      </c>
      <c r="H347" s="11">
        <v>103.0</v>
      </c>
      <c r="I347" s="11">
        <v>95.0</v>
      </c>
      <c r="J347" s="11">
        <v>36.0</v>
      </c>
      <c r="K347" s="11">
        <v>20.0</v>
      </c>
      <c r="L347" s="11">
        <v>0.0</v>
      </c>
      <c r="M347" s="13">
        <f t="shared" ref="M347:O347" si="349">IFERROR(G347/F347,"")</f>
        <v>0.04530612245</v>
      </c>
      <c r="N347" s="13">
        <f t="shared" si="349"/>
        <v>0.9279279279</v>
      </c>
      <c r="O347" s="14">
        <f t="shared" si="349"/>
        <v>0.9223300971</v>
      </c>
      <c r="P347" s="13">
        <f t="shared" si="3"/>
        <v>0.3495145631</v>
      </c>
      <c r="Q347" s="13">
        <f t="shared" si="4"/>
        <v>0.1941747573</v>
      </c>
      <c r="R347" s="13">
        <f t="shared" si="5"/>
        <v>0</v>
      </c>
      <c r="S347" s="14">
        <f t="shared" si="6"/>
        <v>0.9041945289</v>
      </c>
      <c r="T347" s="14">
        <f t="shared" si="7"/>
        <v>0.9031831832</v>
      </c>
      <c r="U347" s="14">
        <f t="shared" si="8"/>
        <v>1.635155851</v>
      </c>
    </row>
    <row r="348" ht="15.75" customHeight="1">
      <c r="A348" s="9">
        <v>46147.4500164005</v>
      </c>
      <c r="B348" s="10">
        <v>10.0</v>
      </c>
      <c r="C348" s="10" t="s">
        <v>59</v>
      </c>
      <c r="D348" s="10" t="s">
        <v>1124</v>
      </c>
      <c r="E348" s="12" t="s">
        <v>62</v>
      </c>
      <c r="F348" s="11">
        <v>2375.0</v>
      </c>
      <c r="G348" s="11">
        <v>102.0</v>
      </c>
      <c r="H348" s="11">
        <v>93.0</v>
      </c>
      <c r="I348" s="11">
        <v>82.0</v>
      </c>
      <c r="J348" s="11">
        <v>25.0</v>
      </c>
      <c r="K348" s="11">
        <v>22.0</v>
      </c>
      <c r="L348" s="11">
        <v>0.0</v>
      </c>
      <c r="M348" s="13">
        <f t="shared" ref="M348:O348" si="350">IFERROR(G348/F348,"")</f>
        <v>0.04294736842</v>
      </c>
      <c r="N348" s="13">
        <f t="shared" si="350"/>
        <v>0.9117647059</v>
      </c>
      <c r="O348" s="14">
        <f t="shared" si="350"/>
        <v>0.8817204301</v>
      </c>
      <c r="P348" s="13">
        <f t="shared" si="3"/>
        <v>0.2688172043</v>
      </c>
      <c r="Q348" s="13">
        <f t="shared" si="4"/>
        <v>0.2365591398</v>
      </c>
      <c r="R348" s="13">
        <f t="shared" si="5"/>
        <v>0</v>
      </c>
      <c r="S348" s="14">
        <f t="shared" si="6"/>
        <v>0.8543750354</v>
      </c>
      <c r="T348" s="14">
        <f t="shared" si="7"/>
        <v>0.8844013207</v>
      </c>
      <c r="U348" s="14">
        <f t="shared" si="8"/>
        <v>1.966594774</v>
      </c>
    </row>
    <row r="349" ht="15.75" customHeight="1">
      <c r="A349" s="9">
        <v>46149.4505522801</v>
      </c>
      <c r="B349" s="10">
        <v>10.0</v>
      </c>
      <c r="C349" s="10" t="s">
        <v>84</v>
      </c>
      <c r="D349" s="10" t="s">
        <v>1127</v>
      </c>
      <c r="E349" s="12" t="s">
        <v>62</v>
      </c>
      <c r="F349" s="11">
        <v>2774.0</v>
      </c>
      <c r="G349" s="11">
        <v>116.0</v>
      </c>
      <c r="H349" s="11">
        <v>120.0</v>
      </c>
      <c r="I349" s="11">
        <v>115.0</v>
      </c>
      <c r="J349" s="11">
        <v>35.0</v>
      </c>
      <c r="K349" s="11">
        <v>23.0</v>
      </c>
      <c r="L349" s="11">
        <v>0.0</v>
      </c>
      <c r="M349" s="13">
        <f t="shared" ref="M349:O349" si="351">IFERROR(G349/F349,"")</f>
        <v>0.04181687094</v>
      </c>
      <c r="N349" s="13">
        <f t="shared" si="351"/>
        <v>1.034482759</v>
      </c>
      <c r="O349" s="14">
        <f t="shared" si="351"/>
        <v>0.9583333333</v>
      </c>
      <c r="P349" s="13">
        <f t="shared" si="3"/>
        <v>0.2916666667</v>
      </c>
      <c r="Q349" s="13">
        <f t="shared" si="4"/>
        <v>0.1916666667</v>
      </c>
      <c r="R349" s="13">
        <f t="shared" si="5"/>
        <v>0</v>
      </c>
      <c r="S349" s="14">
        <f t="shared" si="6"/>
        <v>0.8254439483</v>
      </c>
      <c r="T349" s="14">
        <f t="shared" si="7"/>
        <v>1.006896552</v>
      </c>
      <c r="U349" s="14">
        <f t="shared" si="8"/>
        <v>1.573263889</v>
      </c>
    </row>
    <row r="350" ht="15.75" customHeight="1">
      <c r="A350" s="9">
        <v>46152.5761327778</v>
      </c>
      <c r="B350" s="10">
        <v>13.0</v>
      </c>
      <c r="C350" s="10" t="s">
        <v>77</v>
      </c>
      <c r="D350" s="10" t="s">
        <v>1130</v>
      </c>
      <c r="E350" s="12" t="s">
        <v>62</v>
      </c>
      <c r="F350" s="11">
        <v>2734.0</v>
      </c>
      <c r="G350" s="11">
        <v>194.0</v>
      </c>
      <c r="H350" s="11">
        <v>217.0</v>
      </c>
      <c r="I350" s="11">
        <v>182.0</v>
      </c>
      <c r="J350" s="11">
        <v>27.0</v>
      </c>
      <c r="K350" s="11">
        <v>39.0</v>
      </c>
      <c r="L350" s="11">
        <v>1.0</v>
      </c>
      <c r="M350" s="13">
        <f t="shared" ref="M350:O350" si="352">IFERROR(G350/F350,"")</f>
        <v>0.07095830285</v>
      </c>
      <c r="N350" s="13">
        <f t="shared" si="352"/>
        <v>1.118556701</v>
      </c>
      <c r="O350" s="14">
        <f t="shared" si="352"/>
        <v>0.8387096774</v>
      </c>
      <c r="P350" s="13">
        <f t="shared" si="3"/>
        <v>0.1244239631</v>
      </c>
      <c r="Q350" s="13">
        <f t="shared" si="4"/>
        <v>0.1797235023</v>
      </c>
      <c r="R350" s="13">
        <f t="shared" si="5"/>
        <v>0.004608294931</v>
      </c>
      <c r="S350" s="14">
        <f t="shared" si="6"/>
        <v>1.393945669</v>
      </c>
      <c r="T350" s="14">
        <f t="shared" si="7"/>
        <v>1.097915159</v>
      </c>
      <c r="U350" s="14">
        <f t="shared" si="8"/>
        <v>1.444146687</v>
      </c>
    </row>
    <row r="351" ht="15.75" customHeight="1">
      <c r="A351" s="9">
        <v>46154.5741856597</v>
      </c>
      <c r="B351" s="10">
        <v>13.0</v>
      </c>
      <c r="C351" s="10" t="s">
        <v>59</v>
      </c>
      <c r="D351" s="10" t="s">
        <v>1132</v>
      </c>
      <c r="E351" s="12" t="s">
        <v>62</v>
      </c>
      <c r="F351" s="11">
        <v>2459.0</v>
      </c>
      <c r="G351" s="11">
        <v>76.0</v>
      </c>
      <c r="H351" s="11">
        <v>74.0</v>
      </c>
      <c r="I351" s="11">
        <v>104.0</v>
      </c>
      <c r="J351" s="11">
        <v>15.0</v>
      </c>
      <c r="K351" s="11">
        <v>22.0</v>
      </c>
      <c r="L351" s="11">
        <v>0.0</v>
      </c>
      <c r="M351" s="13">
        <f t="shared" ref="M351:O351" si="353">IFERROR(G351/F351,"")</f>
        <v>0.03090687271</v>
      </c>
      <c r="N351" s="13">
        <f t="shared" si="353"/>
        <v>0.9736842105</v>
      </c>
      <c r="O351" s="14">
        <f t="shared" si="353"/>
        <v>1.405405405</v>
      </c>
      <c r="P351" s="13">
        <f t="shared" si="3"/>
        <v>0.2027027027</v>
      </c>
      <c r="Q351" s="13">
        <f t="shared" si="4"/>
        <v>0.2972972973</v>
      </c>
      <c r="R351" s="13">
        <f t="shared" si="5"/>
        <v>0</v>
      </c>
      <c r="S351" s="14">
        <f t="shared" si="6"/>
        <v>0.610086084</v>
      </c>
      <c r="T351" s="14">
        <f t="shared" si="7"/>
        <v>0.9638490165</v>
      </c>
      <c r="U351" s="14">
        <f t="shared" si="8"/>
        <v>2.33960047</v>
      </c>
    </row>
    <row r="352" ht="15.75" customHeight="1">
      <c r="A352" s="9">
        <v>46156.4978312037</v>
      </c>
      <c r="B352" s="10">
        <v>11.0</v>
      </c>
      <c r="C352" s="10" t="s">
        <v>84</v>
      </c>
      <c r="D352" s="10" t="s">
        <v>1135</v>
      </c>
      <c r="E352" s="12" t="s">
        <v>62</v>
      </c>
      <c r="F352" s="11">
        <v>2684.0</v>
      </c>
      <c r="G352" s="11">
        <v>122.0</v>
      </c>
      <c r="H352" s="11">
        <v>85.0</v>
      </c>
      <c r="I352" s="11">
        <v>100.0</v>
      </c>
      <c r="J352" s="11">
        <v>27.0</v>
      </c>
      <c r="K352" s="11">
        <v>23.0</v>
      </c>
      <c r="L352" s="11">
        <v>1.0</v>
      </c>
      <c r="M352" s="13">
        <f t="shared" ref="M352:O352" si="354">IFERROR(G352/F352,"")</f>
        <v>0.04545454545</v>
      </c>
      <c r="N352" s="13">
        <f t="shared" si="354"/>
        <v>0.6967213115</v>
      </c>
      <c r="O352" s="14">
        <f t="shared" si="354"/>
        <v>1.176470588</v>
      </c>
      <c r="P352" s="13">
        <f t="shared" si="3"/>
        <v>0.3176470588</v>
      </c>
      <c r="Q352" s="13">
        <f t="shared" si="4"/>
        <v>0.2705882353</v>
      </c>
      <c r="R352" s="13">
        <f t="shared" si="5"/>
        <v>0.01176470588</v>
      </c>
      <c r="S352" s="14">
        <f t="shared" si="6"/>
        <v>0.9042516528</v>
      </c>
      <c r="T352" s="14">
        <f t="shared" si="7"/>
        <v>0.6956044925</v>
      </c>
      <c r="U352" s="14">
        <f t="shared" si="8"/>
        <v>2.004884761</v>
      </c>
    </row>
    <row r="353" ht="15.75" customHeight="1">
      <c r="A353" s="9">
        <v>46159.4990200694</v>
      </c>
      <c r="B353" s="10">
        <v>11.0</v>
      </c>
      <c r="C353" s="10" t="s">
        <v>77</v>
      </c>
      <c r="D353" s="10" t="s">
        <v>1138</v>
      </c>
      <c r="E353" s="12" t="s">
        <v>62</v>
      </c>
      <c r="F353" s="11">
        <v>2516.0</v>
      </c>
      <c r="G353" s="11">
        <v>178.0</v>
      </c>
      <c r="H353" s="11">
        <v>160.0</v>
      </c>
      <c r="I353" s="11">
        <v>136.0</v>
      </c>
      <c r="J353" s="11">
        <v>33.0</v>
      </c>
      <c r="K353" s="11">
        <v>19.0</v>
      </c>
      <c r="L353" s="11">
        <v>1.0</v>
      </c>
      <c r="M353" s="13">
        <f t="shared" ref="M353:O353" si="355">IFERROR(G353/F353,"")</f>
        <v>0.07074721781</v>
      </c>
      <c r="N353" s="13">
        <f t="shared" si="355"/>
        <v>0.8988764045</v>
      </c>
      <c r="O353" s="14">
        <f t="shared" si="355"/>
        <v>0.85</v>
      </c>
      <c r="P353" s="13">
        <f t="shared" si="3"/>
        <v>0.20625</v>
      </c>
      <c r="Q353" s="13">
        <f t="shared" si="4"/>
        <v>0.11875</v>
      </c>
      <c r="R353" s="13">
        <f t="shared" si="5"/>
        <v>0.00625</v>
      </c>
      <c r="S353" s="14">
        <f t="shared" si="6"/>
        <v>1.396514409</v>
      </c>
      <c r="T353" s="14">
        <f t="shared" si="7"/>
        <v>0.90520652</v>
      </c>
      <c r="U353" s="14">
        <f t="shared" si="8"/>
        <v>0.83125</v>
      </c>
    </row>
    <row r="354" ht="15.75" customHeight="1">
      <c r="A354" s="9">
        <v>46163.5033610069</v>
      </c>
      <c r="B354" s="10">
        <v>12.0</v>
      </c>
      <c r="C354" s="10" t="s">
        <v>84</v>
      </c>
      <c r="D354" s="10" t="s">
        <v>1141</v>
      </c>
      <c r="E354" s="12" t="s">
        <v>62</v>
      </c>
      <c r="F354" s="11">
        <v>2252.0</v>
      </c>
      <c r="G354" s="11">
        <v>143.0</v>
      </c>
      <c r="H354" s="11">
        <v>142.0</v>
      </c>
      <c r="I354" s="11">
        <v>119.0</v>
      </c>
      <c r="J354" s="11">
        <v>35.0</v>
      </c>
      <c r="K354" s="11">
        <v>61.0</v>
      </c>
      <c r="L354" s="11">
        <v>0.0</v>
      </c>
      <c r="M354" s="13">
        <f t="shared" ref="M354:O354" si="356">IFERROR(G354/F354,"")</f>
        <v>0.0634991119</v>
      </c>
      <c r="N354" s="13">
        <f t="shared" si="356"/>
        <v>0.993006993</v>
      </c>
      <c r="O354" s="14">
        <f t="shared" si="356"/>
        <v>0.838028169</v>
      </c>
      <c r="P354" s="13">
        <f t="shared" si="3"/>
        <v>0.2464788732</v>
      </c>
      <c r="Q354" s="13">
        <f t="shared" si="4"/>
        <v>0.4295774648</v>
      </c>
      <c r="R354" s="13">
        <f t="shared" si="5"/>
        <v>0</v>
      </c>
      <c r="S354" s="14">
        <f t="shared" si="6"/>
        <v>1.263221892</v>
      </c>
      <c r="T354" s="14">
        <f t="shared" si="7"/>
        <v>1.003202713</v>
      </c>
      <c r="U354" s="14">
        <f t="shared" si="8"/>
        <v>2.901721623</v>
      </c>
    </row>
    <row r="355" ht="15.75" customHeight="1">
      <c r="A355" s="9">
        <v>46166.5814911458</v>
      </c>
      <c r="B355" s="10">
        <v>13.0</v>
      </c>
      <c r="C355" s="10" t="s">
        <v>77</v>
      </c>
      <c r="D355" s="10" t="s">
        <v>1143</v>
      </c>
      <c r="E355" s="12" t="s">
        <v>62</v>
      </c>
      <c r="F355" s="11">
        <v>2044.0</v>
      </c>
      <c r="G355" s="11">
        <v>120.0</v>
      </c>
      <c r="H355" s="11">
        <v>118.0</v>
      </c>
      <c r="I355" s="11">
        <v>72.0</v>
      </c>
      <c r="J355" s="11">
        <v>30.0</v>
      </c>
      <c r="K355" s="11">
        <v>10.0</v>
      </c>
      <c r="L355" s="11">
        <v>0.0</v>
      </c>
      <c r="M355" s="13">
        <f t="shared" ref="M355:O355" si="357">IFERROR(G355/F355,"")</f>
        <v>0.05870841487</v>
      </c>
      <c r="N355" s="13">
        <f t="shared" si="357"/>
        <v>0.9833333333</v>
      </c>
      <c r="O355" s="14">
        <f t="shared" si="357"/>
        <v>0.6101694915</v>
      </c>
      <c r="P355" s="13">
        <f t="shared" si="3"/>
        <v>0.2542372881</v>
      </c>
      <c r="Q355" s="13">
        <f t="shared" si="4"/>
        <v>0.08474576271</v>
      </c>
      <c r="R355" s="13">
        <f t="shared" si="5"/>
        <v>0</v>
      </c>
      <c r="S355" s="14">
        <f t="shared" si="6"/>
        <v>1.177103718</v>
      </c>
      <c r="T355" s="14">
        <f t="shared" si="7"/>
        <v>0.9966216216</v>
      </c>
      <c r="U355" s="14">
        <f t="shared" si="8"/>
        <v>0.5701078582</v>
      </c>
    </row>
    <row r="356" ht="15.75" customHeight="1">
      <c r="A356" s="9">
        <v>46168.5725934144</v>
      </c>
      <c r="B356" s="10">
        <v>13.0</v>
      </c>
      <c r="C356" s="10" t="s">
        <v>59</v>
      </c>
      <c r="D356" s="10" t="s">
        <v>1147</v>
      </c>
      <c r="E356" s="12" t="s">
        <v>62</v>
      </c>
      <c r="F356" s="11">
        <v>2102.0</v>
      </c>
      <c r="G356" s="11">
        <v>140.0</v>
      </c>
      <c r="H356" s="11">
        <v>105.0</v>
      </c>
      <c r="I356" s="11">
        <v>125.0</v>
      </c>
      <c r="J356" s="11">
        <v>21.0</v>
      </c>
      <c r="K356" s="11">
        <v>31.0</v>
      </c>
      <c r="L356" s="11">
        <v>0.0</v>
      </c>
      <c r="M356" s="13">
        <f t="shared" ref="M356:O356" si="358">IFERROR(G356/F356,"")</f>
        <v>0.06660323501</v>
      </c>
      <c r="N356" s="13">
        <f t="shared" si="358"/>
        <v>0.75</v>
      </c>
      <c r="O356" s="14">
        <f t="shared" si="358"/>
        <v>1.19047619</v>
      </c>
      <c r="P356" s="13">
        <f t="shared" si="3"/>
        <v>0.2</v>
      </c>
      <c r="Q356" s="13">
        <f t="shared" si="4"/>
        <v>0.2952380952</v>
      </c>
      <c r="R356" s="13">
        <f t="shared" si="5"/>
        <v>0</v>
      </c>
      <c r="S356" s="14">
        <f t="shared" si="6"/>
        <v>1.338775909</v>
      </c>
      <c r="T356" s="14">
        <f t="shared" si="7"/>
        <v>0.7614213198</v>
      </c>
      <c r="U356" s="14">
        <f t="shared" si="8"/>
        <v>1.970041549</v>
      </c>
    </row>
    <row r="357" ht="15.75" customHeight="1">
      <c r="A357" s="9">
        <v>46170.5683774884</v>
      </c>
      <c r="B357" s="10">
        <v>13.0</v>
      </c>
      <c r="C357" s="10" t="s">
        <v>84</v>
      </c>
      <c r="D357" s="10" t="s">
        <v>1150</v>
      </c>
      <c r="E357" s="12" t="s">
        <v>62</v>
      </c>
      <c r="F357" s="11">
        <v>2153.0</v>
      </c>
      <c r="G357" s="11">
        <v>140.0</v>
      </c>
      <c r="H357" s="11">
        <v>118.0</v>
      </c>
      <c r="I357" s="11">
        <v>137.0</v>
      </c>
      <c r="J357" s="11">
        <v>34.0</v>
      </c>
      <c r="K357" s="11">
        <v>36.0</v>
      </c>
      <c r="L357" s="11">
        <v>0.0</v>
      </c>
      <c r="M357" s="13">
        <f t="shared" ref="M357:O357" si="359">IFERROR(G357/F357,"")</f>
        <v>0.06502554575</v>
      </c>
      <c r="N357" s="13">
        <f t="shared" si="359"/>
        <v>0.8428571429</v>
      </c>
      <c r="O357" s="14">
        <f t="shared" si="359"/>
        <v>1.161016949</v>
      </c>
      <c r="P357" s="13">
        <f t="shared" si="3"/>
        <v>0.2881355932</v>
      </c>
      <c r="Q357" s="13">
        <f t="shared" si="4"/>
        <v>0.3050847458</v>
      </c>
      <c r="R357" s="13">
        <f t="shared" si="5"/>
        <v>0</v>
      </c>
      <c r="S357" s="14">
        <f t="shared" si="6"/>
        <v>1.310380864</v>
      </c>
      <c r="T357" s="14">
        <f t="shared" si="7"/>
        <v>0.8571428571</v>
      </c>
      <c r="U357" s="14">
        <f t="shared" si="8"/>
        <v>2.01937046</v>
      </c>
    </row>
    <row r="358" ht="15.75" customHeight="1">
      <c r="A358" s="9">
        <v>46173.5962023727</v>
      </c>
      <c r="B358" s="10">
        <v>14.0</v>
      </c>
      <c r="C358" s="10" t="s">
        <v>77</v>
      </c>
      <c r="D358" s="10" t="s">
        <v>1153</v>
      </c>
      <c r="E358" s="12" t="s">
        <v>62</v>
      </c>
      <c r="F358" s="11">
        <v>2104.0</v>
      </c>
      <c r="G358" s="11">
        <v>120.0</v>
      </c>
      <c r="H358" s="11">
        <v>108.0</v>
      </c>
      <c r="I358" s="11">
        <v>140.0</v>
      </c>
      <c r="J358" s="11">
        <v>29.0</v>
      </c>
      <c r="K358" s="11">
        <v>31.0</v>
      </c>
      <c r="L358" s="11">
        <v>0.0</v>
      </c>
      <c r="M358" s="13">
        <f t="shared" ref="M358:O358" si="360">IFERROR(G358/F358,"")</f>
        <v>0.05703422053</v>
      </c>
      <c r="N358" s="13">
        <f t="shared" si="360"/>
        <v>0.9</v>
      </c>
      <c r="O358" s="14">
        <f t="shared" si="360"/>
        <v>1.296296296</v>
      </c>
      <c r="P358" s="13">
        <f t="shared" si="3"/>
        <v>0.2685185185</v>
      </c>
      <c r="Q358" s="13">
        <f t="shared" si="4"/>
        <v>0.287037037</v>
      </c>
      <c r="R358" s="13">
        <f t="shared" si="5"/>
        <v>0</v>
      </c>
      <c r="S358" s="14">
        <f t="shared" si="6"/>
        <v>1.146431407</v>
      </c>
      <c r="T358" s="14">
        <f t="shared" si="7"/>
        <v>0.9197669207</v>
      </c>
      <c r="U358" s="14">
        <f t="shared" si="8"/>
        <v>1.897174191</v>
      </c>
    </row>
    <row r="359" ht="15.75" customHeight="1">
      <c r="A359" s="9">
        <v>46175.5430568287</v>
      </c>
      <c r="B359" s="10">
        <v>13.0</v>
      </c>
      <c r="C359" s="10" t="s">
        <v>59</v>
      </c>
      <c r="D359" s="10" t="s">
        <v>1156</v>
      </c>
      <c r="E359" s="12" t="s">
        <v>62</v>
      </c>
      <c r="F359" s="11">
        <v>2114.0</v>
      </c>
      <c r="G359" s="11">
        <v>178.0</v>
      </c>
      <c r="H359" s="11">
        <v>116.0</v>
      </c>
      <c r="I359" s="11">
        <v>111.0</v>
      </c>
      <c r="J359" s="11">
        <v>24.0</v>
      </c>
      <c r="K359" s="11">
        <v>12.0</v>
      </c>
      <c r="L359" s="11">
        <v>0.0</v>
      </c>
      <c r="M359" s="13">
        <f t="shared" ref="M359:O359" si="361">IFERROR(G359/F359,"")</f>
        <v>0.08420056764</v>
      </c>
      <c r="N359" s="13">
        <f t="shared" si="361"/>
        <v>0.6516853933</v>
      </c>
      <c r="O359" s="14">
        <f t="shared" si="361"/>
        <v>0.9568965517</v>
      </c>
      <c r="P359" s="13">
        <f t="shared" si="3"/>
        <v>0.2068965517</v>
      </c>
      <c r="Q359" s="13">
        <f t="shared" si="4"/>
        <v>0.1034482759</v>
      </c>
      <c r="R359" s="13">
        <f t="shared" si="5"/>
        <v>0</v>
      </c>
      <c r="S359" s="14">
        <f t="shared" si="6"/>
        <v>1.688221381</v>
      </c>
      <c r="T359" s="14">
        <f t="shared" si="7"/>
        <v>0.669298512</v>
      </c>
      <c r="U359" s="14">
        <f t="shared" si="8"/>
        <v>0.6827586207</v>
      </c>
    </row>
    <row r="360" ht="15.75" customHeight="1">
      <c r="A360" s="9">
        <v>46180.5758095602</v>
      </c>
      <c r="B360" s="10">
        <v>13.0</v>
      </c>
      <c r="C360" s="10" t="s">
        <v>77</v>
      </c>
      <c r="D360" s="10" t="s">
        <v>1158</v>
      </c>
      <c r="E360" s="12" t="s">
        <v>62</v>
      </c>
      <c r="F360" s="11">
        <v>2395.0</v>
      </c>
      <c r="G360" s="11">
        <v>135.0</v>
      </c>
      <c r="H360" s="11">
        <v>127.0</v>
      </c>
      <c r="I360" s="11">
        <v>129.0</v>
      </c>
      <c r="J360" s="11">
        <v>28.0</v>
      </c>
      <c r="K360" s="11">
        <v>23.0</v>
      </c>
      <c r="L360" s="11">
        <v>0.0</v>
      </c>
      <c r="M360" s="13">
        <f t="shared" ref="M360:O360" si="362">IFERROR(G360/F360,"")</f>
        <v>0.05636743215</v>
      </c>
      <c r="N360" s="13">
        <f t="shared" si="362"/>
        <v>0.9407407407</v>
      </c>
      <c r="O360" s="14">
        <f t="shared" si="362"/>
        <v>1.015748031</v>
      </c>
      <c r="P360" s="13">
        <f t="shared" si="3"/>
        <v>0.2204724409</v>
      </c>
      <c r="Q360" s="13">
        <f t="shared" si="4"/>
        <v>0.1811023622</v>
      </c>
      <c r="R360" s="13">
        <f t="shared" si="5"/>
        <v>0</v>
      </c>
      <c r="S360" s="14">
        <f t="shared" si="6"/>
        <v>1.130167015</v>
      </c>
      <c r="T360" s="14">
        <f t="shared" si="7"/>
        <v>1</v>
      </c>
      <c r="U360" s="14">
        <f t="shared" si="8"/>
        <v>1.167104112</v>
      </c>
    </row>
    <row r="361" ht="15.75" customHeight="1">
      <c r="A361" s="9">
        <v>46182.6066933102</v>
      </c>
      <c r="B361" s="10">
        <v>14.0</v>
      </c>
      <c r="C361" s="10" t="s">
        <v>59</v>
      </c>
      <c r="D361" s="10" t="s">
        <v>1161</v>
      </c>
      <c r="E361" s="12" t="s">
        <v>62</v>
      </c>
      <c r="F361" s="11">
        <v>2674.0</v>
      </c>
      <c r="G361" s="11">
        <v>143.0</v>
      </c>
      <c r="H361" s="11">
        <v>116.0</v>
      </c>
      <c r="I361" s="11">
        <v>91.0</v>
      </c>
      <c r="J361" s="11">
        <v>35.0</v>
      </c>
      <c r="K361" s="11">
        <v>18.0</v>
      </c>
      <c r="L361" s="11">
        <v>0.0</v>
      </c>
      <c r="M361" s="13">
        <f t="shared" ref="M361:O361" si="363">IFERROR(G361/F361,"")</f>
        <v>0.05347793568</v>
      </c>
      <c r="N361" s="13">
        <f t="shared" si="363"/>
        <v>0.8111888112</v>
      </c>
      <c r="O361" s="14">
        <f t="shared" si="363"/>
        <v>0.7844827586</v>
      </c>
      <c r="P361" s="13">
        <f t="shared" si="3"/>
        <v>0.3017241379</v>
      </c>
      <c r="Q361" s="13">
        <f t="shared" si="4"/>
        <v>0.1551724138</v>
      </c>
      <c r="R361" s="13">
        <f t="shared" si="5"/>
        <v>0</v>
      </c>
      <c r="S361" s="14">
        <f t="shared" si="6"/>
        <v>1.063865258</v>
      </c>
      <c r="T361" s="14">
        <f t="shared" si="7"/>
        <v>0.8631889304</v>
      </c>
      <c r="U361" s="14">
        <f t="shared" si="8"/>
        <v>0.9580838323</v>
      </c>
    </row>
    <row r="362" ht="15.75" customHeight="1">
      <c r="A362" s="9">
        <v>46184.552876412</v>
      </c>
      <c r="B362" s="10">
        <v>13.0</v>
      </c>
      <c r="C362" s="10" t="s">
        <v>84</v>
      </c>
      <c r="D362" s="10" t="s">
        <v>1164</v>
      </c>
      <c r="E362" s="12" t="s">
        <v>62</v>
      </c>
      <c r="F362" s="11">
        <v>2904.0</v>
      </c>
      <c r="G362" s="11">
        <v>150.0</v>
      </c>
      <c r="H362" s="11">
        <v>121.0</v>
      </c>
      <c r="I362" s="11">
        <v>119.0</v>
      </c>
      <c r="J362" s="11">
        <v>36.0</v>
      </c>
      <c r="K362" s="11">
        <v>26.0</v>
      </c>
      <c r="L362" s="11">
        <v>1.0</v>
      </c>
      <c r="M362" s="13">
        <f t="shared" ref="M362:O362" si="364">IFERROR(G362/F362,"")</f>
        <v>0.05165289256</v>
      </c>
      <c r="N362" s="13">
        <f t="shared" si="364"/>
        <v>0.8066666667</v>
      </c>
      <c r="O362" s="14">
        <f t="shared" si="364"/>
        <v>0.9834710744</v>
      </c>
      <c r="P362" s="13">
        <f t="shared" si="3"/>
        <v>0.2975206612</v>
      </c>
      <c r="Q362" s="13">
        <f t="shared" si="4"/>
        <v>0.2148760331</v>
      </c>
      <c r="R362" s="13">
        <f t="shared" si="5"/>
        <v>0.00826446281</v>
      </c>
      <c r="S362" s="14">
        <f t="shared" si="6"/>
        <v>1.019602056</v>
      </c>
      <c r="T362" s="14">
        <f t="shared" si="7"/>
        <v>0.8592753623</v>
      </c>
      <c r="U362" s="14">
        <f t="shared" si="8"/>
        <v>1.273339455</v>
      </c>
    </row>
    <row r="363" ht="15.75" customHeight="1">
      <c r="A363" s="9">
        <v>46191.4885458796</v>
      </c>
      <c r="B363" s="10">
        <v>11.0</v>
      </c>
      <c r="C363" s="10" t="s">
        <v>84</v>
      </c>
      <c r="D363" s="10" t="s">
        <v>1168</v>
      </c>
      <c r="E363" s="12" t="s">
        <v>62</v>
      </c>
      <c r="F363" s="11">
        <v>3074.0</v>
      </c>
      <c r="G363" s="11">
        <v>214.0</v>
      </c>
      <c r="H363" s="11">
        <v>200.0</v>
      </c>
      <c r="I363" s="11">
        <v>170.0</v>
      </c>
      <c r="J363" s="11">
        <v>32.0</v>
      </c>
      <c r="K363" s="11">
        <v>40.0</v>
      </c>
      <c r="L363" s="11">
        <v>0.0</v>
      </c>
      <c r="M363" s="13">
        <f t="shared" ref="M363:O363" si="365">IFERROR(G363/F363,"")</f>
        <v>0.06961613533</v>
      </c>
      <c r="N363" s="13">
        <f t="shared" si="365"/>
        <v>0.9345794393</v>
      </c>
      <c r="O363" s="14">
        <f t="shared" si="365"/>
        <v>0.85</v>
      </c>
      <c r="P363" s="13">
        <f t="shared" si="3"/>
        <v>0.16</v>
      </c>
      <c r="Q363" s="13">
        <f t="shared" si="4"/>
        <v>0.2</v>
      </c>
      <c r="R363" s="13">
        <f t="shared" si="5"/>
        <v>0</v>
      </c>
      <c r="S363" s="14">
        <f t="shared" si="6"/>
        <v>1.361034556</v>
      </c>
      <c r="T363" s="14">
        <f t="shared" si="7"/>
        <v>1</v>
      </c>
      <c r="U363" s="14">
        <f t="shared" si="8"/>
        <v>1.12173913</v>
      </c>
    </row>
    <row r="364" ht="15.75" customHeight="1">
      <c r="A364" s="9">
        <v>46194.4691498148</v>
      </c>
      <c r="B364" s="10">
        <v>11.0</v>
      </c>
      <c r="C364" s="10" t="s">
        <v>77</v>
      </c>
      <c r="D364" s="10" t="s">
        <v>1171</v>
      </c>
      <c r="E364" s="12" t="s">
        <v>62</v>
      </c>
      <c r="F364" s="11">
        <v>2965.0</v>
      </c>
      <c r="G364" s="11">
        <v>190.0</v>
      </c>
      <c r="H364" s="11">
        <v>160.0</v>
      </c>
      <c r="I364" s="11">
        <v>150.0</v>
      </c>
      <c r="J364" s="11">
        <v>36.0</v>
      </c>
      <c r="K364" s="11">
        <v>27.0</v>
      </c>
      <c r="L364" s="11">
        <v>0.0</v>
      </c>
      <c r="M364" s="13">
        <f t="shared" ref="M364:O364" si="366">IFERROR(G364/F364,"")</f>
        <v>0.06408094435</v>
      </c>
      <c r="N364" s="13">
        <f t="shared" si="366"/>
        <v>0.8421052632</v>
      </c>
      <c r="O364" s="14">
        <f t="shared" si="366"/>
        <v>0.9375</v>
      </c>
      <c r="P364" s="13">
        <f t="shared" si="3"/>
        <v>0.225</v>
      </c>
      <c r="Q364" s="13">
        <f t="shared" si="4"/>
        <v>0.16875</v>
      </c>
      <c r="R364" s="13">
        <f t="shared" si="5"/>
        <v>0</v>
      </c>
      <c r="S364" s="14">
        <f t="shared" si="6"/>
        <v>1.250562004</v>
      </c>
      <c r="T364" s="14">
        <f t="shared" si="7"/>
        <v>0.9042705312</v>
      </c>
      <c r="U364" s="14">
        <f t="shared" si="8"/>
        <v>0.9426898324</v>
      </c>
    </row>
    <row r="365" ht="15.75" customHeight="1">
      <c r="A365" s="9">
        <v>46196.5629070833</v>
      </c>
      <c r="B365" s="10">
        <v>13.0</v>
      </c>
      <c r="C365" s="10" t="s">
        <v>59</v>
      </c>
      <c r="D365" s="10" t="s">
        <v>1174</v>
      </c>
      <c r="E365" s="12" t="s">
        <v>62</v>
      </c>
      <c r="F365" s="11">
        <v>2925.0</v>
      </c>
      <c r="G365" s="11">
        <v>98.0</v>
      </c>
      <c r="H365" s="11">
        <v>92.0</v>
      </c>
      <c r="I365" s="11">
        <v>57.0</v>
      </c>
      <c r="J365" s="11">
        <v>35.0</v>
      </c>
      <c r="K365" s="11">
        <v>6.0</v>
      </c>
      <c r="L365" s="11">
        <v>0.0</v>
      </c>
      <c r="M365" s="13">
        <f t="shared" ref="M365:O365" si="367">IFERROR(G365/F365,"")</f>
        <v>0.0335042735</v>
      </c>
      <c r="N365" s="13">
        <f t="shared" si="367"/>
        <v>0.9387755102</v>
      </c>
      <c r="O365" s="14">
        <f t="shared" si="367"/>
        <v>0.6195652174</v>
      </c>
      <c r="P365" s="13">
        <f t="shared" si="3"/>
        <v>0.3804347826</v>
      </c>
      <c r="Q365" s="13">
        <f t="shared" si="4"/>
        <v>0.0652173913</v>
      </c>
      <c r="R365" s="13">
        <f t="shared" si="5"/>
        <v>0</v>
      </c>
      <c r="S365" s="14">
        <f t="shared" si="6"/>
        <v>0.6550273696</v>
      </c>
      <c r="T365" s="14">
        <f t="shared" si="7"/>
        <v>1.011690113</v>
      </c>
      <c r="U365" s="14">
        <f t="shared" si="8"/>
        <v>0.3628762542</v>
      </c>
    </row>
    <row r="366" ht="15.75" customHeight="1">
      <c r="A366" s="9">
        <v>46198.5163409144</v>
      </c>
      <c r="B366" s="10">
        <v>12.0</v>
      </c>
      <c r="C366" s="10" t="s">
        <v>84</v>
      </c>
      <c r="D366" s="10" t="s">
        <v>1176</v>
      </c>
      <c r="E366" s="12" t="s">
        <v>62</v>
      </c>
      <c r="F366" s="11">
        <v>3480.0</v>
      </c>
      <c r="G366" s="11">
        <v>178.0</v>
      </c>
      <c r="H366" s="11">
        <v>140.0</v>
      </c>
      <c r="I366" s="11">
        <v>168.0</v>
      </c>
      <c r="J366" s="11">
        <v>41.0</v>
      </c>
      <c r="K366" s="11">
        <v>30.0</v>
      </c>
      <c r="L366" s="11">
        <v>0.0</v>
      </c>
      <c r="M366" s="13">
        <f t="shared" ref="M366:O366" si="368">IFERROR(G366/F366,"")</f>
        <v>0.05114942529</v>
      </c>
      <c r="N366" s="13">
        <f t="shared" si="368"/>
        <v>0.7865168539</v>
      </c>
      <c r="O366" s="14">
        <f t="shared" si="368"/>
        <v>1.2</v>
      </c>
      <c r="P366" s="13">
        <f t="shared" si="3"/>
        <v>0.2928571429</v>
      </c>
      <c r="Q366" s="13">
        <f t="shared" si="4"/>
        <v>0.2142857143</v>
      </c>
      <c r="R366" s="13">
        <f t="shared" si="5"/>
        <v>0</v>
      </c>
      <c r="S366" s="14">
        <f t="shared" si="6"/>
        <v>0.9981988943</v>
      </c>
      <c r="T366" s="14">
        <f t="shared" si="7"/>
        <v>0.8498268965</v>
      </c>
      <c r="U366" s="14">
        <f t="shared" si="8"/>
        <v>1.187751408</v>
      </c>
    </row>
    <row r="367" ht="15.75" customHeight="1">
      <c r="A367" s="9">
        <v>46201.4953742708</v>
      </c>
      <c r="B367" s="10">
        <v>11.0</v>
      </c>
      <c r="C367" s="10" t="s">
        <v>77</v>
      </c>
      <c r="D367" s="10" t="s">
        <v>1178</v>
      </c>
      <c r="E367" s="12" t="s">
        <v>62</v>
      </c>
      <c r="F367" s="11">
        <v>3242.0</v>
      </c>
      <c r="G367" s="11">
        <v>167.0</v>
      </c>
      <c r="H367" s="11">
        <v>114.0</v>
      </c>
      <c r="I367" s="11">
        <v>80.0</v>
      </c>
      <c r="J367" s="11">
        <v>31.0</v>
      </c>
      <c r="K367" s="11">
        <v>13.0</v>
      </c>
      <c r="L367" s="11">
        <v>0.0</v>
      </c>
      <c r="M367" s="13">
        <f t="shared" ref="M367:O367" si="369">IFERROR(G367/F367,"")</f>
        <v>0.05151141271</v>
      </c>
      <c r="N367" s="13">
        <f t="shared" si="369"/>
        <v>0.6826347305</v>
      </c>
      <c r="O367" s="14">
        <f t="shared" si="369"/>
        <v>0.701754386</v>
      </c>
      <c r="P367" s="13">
        <f t="shared" si="3"/>
        <v>0.2719298246</v>
      </c>
      <c r="Q367" s="13">
        <f t="shared" si="4"/>
        <v>0.1140350877</v>
      </c>
      <c r="R367" s="13">
        <f t="shared" si="5"/>
        <v>0</v>
      </c>
      <c r="S367" s="14">
        <f t="shared" si="6"/>
        <v>1.003455875</v>
      </c>
      <c r="T367" s="14">
        <f t="shared" si="7"/>
        <v>0.7395209581</v>
      </c>
      <c r="U367" s="14">
        <f t="shared" si="8"/>
        <v>0.6296720061</v>
      </c>
    </row>
    <row r="368" ht="15.75" customHeight="1">
      <c r="A368" s="9">
        <v>46203.5924359607</v>
      </c>
      <c r="B368" s="10">
        <v>14.0</v>
      </c>
      <c r="C368" s="10" t="s">
        <v>59</v>
      </c>
      <c r="D368" s="10" t="s">
        <v>1181</v>
      </c>
      <c r="E368" s="12" t="s">
        <v>62</v>
      </c>
      <c r="F368" s="11">
        <v>4676.0</v>
      </c>
      <c r="G368" s="11">
        <v>201.0</v>
      </c>
      <c r="H368" s="11">
        <v>129.0</v>
      </c>
      <c r="I368" s="11">
        <v>118.0</v>
      </c>
      <c r="J368" s="11">
        <v>37.0</v>
      </c>
      <c r="K368" s="11">
        <v>23.0</v>
      </c>
      <c r="L368" s="11">
        <v>0.0</v>
      </c>
      <c r="M368" s="13">
        <f t="shared" ref="M368:O368" si="370">IFERROR(G368/F368,"")</f>
        <v>0.04298545766</v>
      </c>
      <c r="N368" s="13">
        <f t="shared" si="370"/>
        <v>0.6417910448</v>
      </c>
      <c r="O368" s="14">
        <f t="shared" si="370"/>
        <v>0.9147286822</v>
      </c>
      <c r="P368" s="13">
        <f t="shared" si="3"/>
        <v>0.2868217054</v>
      </c>
      <c r="Q368" s="13">
        <f t="shared" si="4"/>
        <v>0.1782945736</v>
      </c>
      <c r="R368" s="13">
        <f t="shared" si="5"/>
        <v>0</v>
      </c>
      <c r="S368" s="14">
        <f t="shared" si="6"/>
        <v>0.8359236033</v>
      </c>
      <c r="T368" s="14">
        <f t="shared" si="7"/>
        <v>0.6960368301</v>
      </c>
      <c r="U368" s="14">
        <f t="shared" si="8"/>
        <v>0.9882582774</v>
      </c>
    </row>
    <row r="369" ht="15.75" customHeight="1">
      <c r="A369" s="9">
        <v>46205.4321900463</v>
      </c>
      <c r="B369" s="10">
        <v>10.0</v>
      </c>
      <c r="C369" s="10" t="s">
        <v>84</v>
      </c>
      <c r="D369" s="10" t="s">
        <v>1184</v>
      </c>
      <c r="E369" s="12" t="s">
        <v>62</v>
      </c>
      <c r="F369" s="11">
        <v>5109.0</v>
      </c>
      <c r="G369" s="11">
        <v>283.0</v>
      </c>
      <c r="H369" s="11">
        <v>252.0</v>
      </c>
      <c r="I369" s="11">
        <v>214.0</v>
      </c>
      <c r="J369" s="11">
        <v>42.0</v>
      </c>
      <c r="K369" s="11">
        <v>55.0</v>
      </c>
      <c r="L369" s="11">
        <v>0.0</v>
      </c>
      <c r="M369" s="13">
        <f t="shared" ref="M369:O369" si="371">IFERROR(G369/F369,"")</f>
        <v>0.05539244471</v>
      </c>
      <c r="N369" s="13">
        <f t="shared" si="371"/>
        <v>0.890459364</v>
      </c>
      <c r="O369" s="14">
        <f t="shared" si="371"/>
        <v>0.8492063492</v>
      </c>
      <c r="P369" s="13">
        <f t="shared" si="3"/>
        <v>0.1666666667</v>
      </c>
      <c r="Q369" s="13">
        <f t="shared" si="4"/>
        <v>0.2182539683</v>
      </c>
      <c r="R369" s="13">
        <f t="shared" si="5"/>
        <v>0</v>
      </c>
      <c r="S369" s="14">
        <f t="shared" si="6"/>
        <v>1.077198069</v>
      </c>
      <c r="T369" s="14">
        <f t="shared" si="7"/>
        <v>0.965723218</v>
      </c>
      <c r="U369" s="14">
        <f t="shared" si="8"/>
        <v>1.209746804</v>
      </c>
    </row>
    <row r="370" ht="15.75" customHeight="1">
      <c r="A370" s="9">
        <v>46208.6292116782</v>
      </c>
      <c r="B370" s="10">
        <v>15.0</v>
      </c>
      <c r="C370" s="10" t="s">
        <v>77</v>
      </c>
      <c r="D370" s="10" t="s">
        <v>1188</v>
      </c>
      <c r="E370" s="12" t="s">
        <v>62</v>
      </c>
      <c r="F370" s="11">
        <v>3118.0</v>
      </c>
      <c r="G370" s="11">
        <v>150.0</v>
      </c>
      <c r="H370" s="11">
        <v>148.0</v>
      </c>
      <c r="I370" s="11">
        <v>135.0</v>
      </c>
      <c r="J370" s="11">
        <v>49.0</v>
      </c>
      <c r="K370" s="11">
        <v>22.0</v>
      </c>
      <c r="L370" s="11">
        <v>0.0</v>
      </c>
      <c r="M370" s="13">
        <f t="shared" ref="M370:O370" si="372">IFERROR(G370/F370,"")</f>
        <v>0.04810776139</v>
      </c>
      <c r="N370" s="13">
        <f t="shared" si="372"/>
        <v>0.9866666667</v>
      </c>
      <c r="O370" s="14">
        <f t="shared" si="372"/>
        <v>0.9121621622</v>
      </c>
      <c r="P370" s="13">
        <f t="shared" si="3"/>
        <v>0.3310810811</v>
      </c>
      <c r="Q370" s="13">
        <f t="shared" si="4"/>
        <v>0.1486486486</v>
      </c>
      <c r="R370" s="13">
        <f t="shared" si="5"/>
        <v>0</v>
      </c>
      <c r="S370" s="14">
        <f t="shared" si="6"/>
        <v>0.9326435391</v>
      </c>
      <c r="T370" s="14">
        <f t="shared" si="7"/>
        <v>1.076666667</v>
      </c>
      <c r="U370" s="14">
        <f t="shared" si="8"/>
        <v>0.7975375481</v>
      </c>
    </row>
    <row r="371" ht="15.75" customHeight="1">
      <c r="A371" s="9">
        <v>46210.6493625463</v>
      </c>
      <c r="B371" s="10">
        <v>15.0</v>
      </c>
      <c r="C371" s="10" t="s">
        <v>59</v>
      </c>
      <c r="D371" s="10" t="s">
        <v>1192</v>
      </c>
      <c r="E371" s="12" t="s">
        <v>62</v>
      </c>
      <c r="F371" s="11">
        <v>2961.0</v>
      </c>
      <c r="G371" s="11">
        <v>152.0</v>
      </c>
      <c r="H371" s="11">
        <v>140.0</v>
      </c>
      <c r="I371" s="11">
        <v>153.0</v>
      </c>
      <c r="J371" s="11">
        <v>33.0</v>
      </c>
      <c r="K371" s="11">
        <v>20.0</v>
      </c>
      <c r="L371" s="11">
        <v>0.0</v>
      </c>
      <c r="M371" s="13">
        <f t="shared" ref="M371:O371" si="373">IFERROR(G371/F371,"")</f>
        <v>0.05133400878</v>
      </c>
      <c r="N371" s="13">
        <f t="shared" si="373"/>
        <v>0.9210526316</v>
      </c>
      <c r="O371" s="14">
        <f t="shared" si="373"/>
        <v>1.092857143</v>
      </c>
      <c r="P371" s="13">
        <f t="shared" si="3"/>
        <v>0.2357142857</v>
      </c>
      <c r="Q371" s="13">
        <f t="shared" si="4"/>
        <v>0.1428571429</v>
      </c>
      <c r="R371" s="13">
        <f t="shared" si="5"/>
        <v>0</v>
      </c>
      <c r="S371" s="14">
        <f t="shared" si="6"/>
        <v>0.9951893467</v>
      </c>
      <c r="T371" s="14">
        <f t="shared" si="7"/>
        <v>1.005067568</v>
      </c>
      <c r="U371" s="14">
        <f t="shared" si="8"/>
        <v>0.7664646566</v>
      </c>
    </row>
    <row r="372" ht="15.75" customHeight="1">
      <c r="A372" s="9">
        <v>46212.5165339236</v>
      </c>
      <c r="B372" s="10">
        <v>12.0</v>
      </c>
      <c r="C372" s="10" t="s">
        <v>84</v>
      </c>
      <c r="D372" s="10" t="s">
        <v>1196</v>
      </c>
      <c r="E372" s="12" t="s">
        <v>62</v>
      </c>
      <c r="F372" s="11">
        <v>2810.0</v>
      </c>
      <c r="G372" s="11">
        <v>131.0</v>
      </c>
      <c r="H372" s="11">
        <v>103.0</v>
      </c>
      <c r="I372" s="11">
        <v>130.0</v>
      </c>
      <c r="J372" s="11">
        <v>32.0</v>
      </c>
      <c r="K372" s="11">
        <v>23.0</v>
      </c>
      <c r="L372" s="11">
        <v>0.0</v>
      </c>
      <c r="M372" s="13">
        <f t="shared" ref="M372:O372" si="374">IFERROR(G372/F372,"")</f>
        <v>0.04661921708</v>
      </c>
      <c r="N372" s="13">
        <f t="shared" si="374"/>
        <v>0.786259542</v>
      </c>
      <c r="O372" s="14">
        <f t="shared" si="374"/>
        <v>1.262135922</v>
      </c>
      <c r="P372" s="13">
        <f t="shared" si="3"/>
        <v>0.3106796117</v>
      </c>
      <c r="Q372" s="13">
        <f t="shared" si="4"/>
        <v>0.2233009709</v>
      </c>
      <c r="R372" s="13">
        <f t="shared" si="5"/>
        <v>0</v>
      </c>
      <c r="S372" s="14">
        <f t="shared" si="6"/>
        <v>0.9025480427</v>
      </c>
      <c r="T372" s="14">
        <f t="shared" si="7"/>
        <v>0.8623491751</v>
      </c>
      <c r="U372" s="14">
        <f t="shared" si="8"/>
        <v>1.165048544</v>
      </c>
    </row>
    <row r="373" ht="15.75" customHeight="1">
      <c r="A373" s="9">
        <v>46215.5204020023</v>
      </c>
      <c r="B373" s="10">
        <v>12.0</v>
      </c>
      <c r="C373" s="10" t="s">
        <v>77</v>
      </c>
      <c r="D373" s="10" t="s">
        <v>1200</v>
      </c>
      <c r="E373" s="12" t="s">
        <v>62</v>
      </c>
      <c r="F373" s="11">
        <v>2704.0</v>
      </c>
      <c r="G373" s="11">
        <v>156.0</v>
      </c>
      <c r="H373" s="11">
        <v>114.0</v>
      </c>
      <c r="I373" s="11">
        <v>115.0</v>
      </c>
      <c r="J373" s="11">
        <v>29.0</v>
      </c>
      <c r="K373" s="11">
        <v>38.0</v>
      </c>
      <c r="L373" s="11">
        <v>1.0</v>
      </c>
      <c r="M373" s="13">
        <f t="shared" ref="M373:O373" si="375">IFERROR(G373/F373,"")</f>
        <v>0.05769230769</v>
      </c>
      <c r="N373" s="13">
        <f t="shared" si="375"/>
        <v>0.7307692308</v>
      </c>
      <c r="O373" s="14">
        <f t="shared" si="375"/>
        <v>1.00877193</v>
      </c>
      <c r="P373" s="13">
        <f t="shared" si="3"/>
        <v>0.2543859649</v>
      </c>
      <c r="Q373" s="13">
        <f t="shared" si="4"/>
        <v>0.3333333333</v>
      </c>
      <c r="R373" s="13">
        <f t="shared" si="5"/>
        <v>0.008771929825</v>
      </c>
      <c r="S373" s="14">
        <f t="shared" si="6"/>
        <v>1.09753359</v>
      </c>
      <c r="T373" s="14">
        <f t="shared" si="7"/>
        <v>0.8066933067</v>
      </c>
      <c r="U373" s="14">
        <f t="shared" si="8"/>
        <v>1.788417532</v>
      </c>
    </row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U$373"/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  <hyperlink r:id="rId16" ref="E20"/>
    <hyperlink r:id="rId17" ref="E21"/>
    <hyperlink r:id="rId18" ref="E22"/>
    <hyperlink r:id="rId19" ref="E23"/>
    <hyperlink r:id="rId20" ref="E24"/>
    <hyperlink r:id="rId21" ref="E25"/>
    <hyperlink r:id="rId22" ref="E26"/>
    <hyperlink r:id="rId23" ref="E27"/>
    <hyperlink r:id="rId24" ref="E28"/>
    <hyperlink r:id="rId25" ref="E29"/>
    <hyperlink r:id="rId26" ref="E30"/>
    <hyperlink r:id="rId27" ref="E31"/>
    <hyperlink r:id="rId28" ref="E32"/>
    <hyperlink r:id="rId29" ref="E33"/>
    <hyperlink r:id="rId30" ref="E34"/>
    <hyperlink r:id="rId31" ref="E35"/>
    <hyperlink r:id="rId32" ref="E36"/>
    <hyperlink r:id="rId33" ref="E37"/>
    <hyperlink r:id="rId34" ref="E38"/>
    <hyperlink r:id="rId35" ref="E39"/>
    <hyperlink r:id="rId36" ref="E40"/>
    <hyperlink r:id="rId37" ref="E41"/>
    <hyperlink r:id="rId38" ref="E42"/>
    <hyperlink r:id="rId39" ref="E43"/>
    <hyperlink r:id="rId40" ref="E44"/>
    <hyperlink r:id="rId41" ref="E45"/>
    <hyperlink r:id="rId42" ref="E46"/>
    <hyperlink r:id="rId43" ref="E47"/>
    <hyperlink r:id="rId44" ref="E48"/>
    <hyperlink r:id="rId45" ref="E49"/>
    <hyperlink r:id="rId46" ref="E50"/>
    <hyperlink r:id="rId47" ref="E51"/>
    <hyperlink r:id="rId48" ref="E52"/>
    <hyperlink r:id="rId49" ref="E53"/>
    <hyperlink r:id="rId50" ref="E54"/>
    <hyperlink r:id="rId51" ref="E55"/>
    <hyperlink r:id="rId52" ref="E56"/>
    <hyperlink r:id="rId53" ref="E57"/>
    <hyperlink r:id="rId54" ref="E58"/>
    <hyperlink r:id="rId55" ref="E59"/>
    <hyperlink r:id="rId56" ref="E60"/>
    <hyperlink r:id="rId57" ref="E61"/>
    <hyperlink r:id="rId58" ref="E62"/>
    <hyperlink r:id="rId59" ref="E63"/>
    <hyperlink r:id="rId60" ref="E64"/>
    <hyperlink r:id="rId61" ref="E65"/>
    <hyperlink r:id="rId62" ref="E66"/>
    <hyperlink r:id="rId63" ref="E67"/>
    <hyperlink r:id="rId64" ref="E68"/>
    <hyperlink r:id="rId65" ref="E69"/>
    <hyperlink r:id="rId66" ref="E70"/>
    <hyperlink r:id="rId67" ref="E71"/>
    <hyperlink r:id="rId68" ref="E72"/>
    <hyperlink r:id="rId69" ref="E73"/>
    <hyperlink r:id="rId70" ref="E74"/>
    <hyperlink r:id="rId71" ref="E75"/>
    <hyperlink r:id="rId72" ref="E76"/>
    <hyperlink r:id="rId73" ref="E77"/>
    <hyperlink r:id="rId74" ref="E78"/>
    <hyperlink r:id="rId75" ref="E79"/>
    <hyperlink r:id="rId76" ref="E80"/>
    <hyperlink r:id="rId77" ref="E81"/>
    <hyperlink r:id="rId78" ref="E82"/>
    <hyperlink r:id="rId79" ref="E83"/>
    <hyperlink r:id="rId80" ref="E84"/>
    <hyperlink r:id="rId81" ref="E85"/>
    <hyperlink r:id="rId82" ref="E86"/>
    <hyperlink r:id="rId83" ref="E87"/>
    <hyperlink r:id="rId84" ref="E88"/>
    <hyperlink r:id="rId85" ref="E89"/>
    <hyperlink r:id="rId86" ref="E90"/>
    <hyperlink r:id="rId87" ref="E91"/>
    <hyperlink r:id="rId88" ref="E92"/>
    <hyperlink r:id="rId89" ref="E93"/>
    <hyperlink r:id="rId90" ref="E94"/>
    <hyperlink r:id="rId91" ref="E95"/>
    <hyperlink r:id="rId92" ref="E96"/>
    <hyperlink r:id="rId93" ref="E97"/>
    <hyperlink r:id="rId94" ref="E98"/>
    <hyperlink r:id="rId95" ref="E99"/>
    <hyperlink r:id="rId96" ref="E100"/>
    <hyperlink r:id="rId97" ref="E101"/>
    <hyperlink r:id="rId98" ref="E102"/>
    <hyperlink r:id="rId99" ref="E103"/>
    <hyperlink r:id="rId100" ref="E104"/>
    <hyperlink r:id="rId101" ref="E105"/>
    <hyperlink r:id="rId102" ref="E106"/>
    <hyperlink r:id="rId103" ref="E107"/>
    <hyperlink r:id="rId104" ref="E108"/>
    <hyperlink r:id="rId105" ref="E109"/>
    <hyperlink r:id="rId106" ref="E110"/>
    <hyperlink r:id="rId107" ref="E111"/>
    <hyperlink r:id="rId108" ref="E112"/>
    <hyperlink r:id="rId109" ref="E113"/>
    <hyperlink r:id="rId110" ref="E114"/>
    <hyperlink r:id="rId111" ref="E115"/>
    <hyperlink r:id="rId112" ref="E116"/>
    <hyperlink r:id="rId113" ref="E117"/>
    <hyperlink r:id="rId114" ref="E118"/>
    <hyperlink r:id="rId115" ref="E119"/>
    <hyperlink r:id="rId116" ref="E120"/>
    <hyperlink r:id="rId117" ref="E121"/>
    <hyperlink r:id="rId118" ref="E122"/>
    <hyperlink r:id="rId119" ref="E123"/>
    <hyperlink r:id="rId120" ref="E124"/>
    <hyperlink r:id="rId121" ref="E125"/>
    <hyperlink r:id="rId122" ref="E126"/>
    <hyperlink r:id="rId123" ref="E127"/>
    <hyperlink r:id="rId124" ref="E128"/>
    <hyperlink r:id="rId125" ref="E129"/>
    <hyperlink r:id="rId126" ref="E130"/>
    <hyperlink r:id="rId127" ref="E131"/>
    <hyperlink r:id="rId128" ref="E132"/>
    <hyperlink r:id="rId129" ref="E133"/>
    <hyperlink r:id="rId130" ref="E134"/>
    <hyperlink r:id="rId131" ref="E135"/>
    <hyperlink r:id="rId132" ref="E136"/>
    <hyperlink r:id="rId133" ref="E137"/>
    <hyperlink r:id="rId134" ref="E138"/>
    <hyperlink r:id="rId135" ref="E139"/>
    <hyperlink r:id="rId136" ref="E140"/>
    <hyperlink r:id="rId137" ref="E141"/>
    <hyperlink r:id="rId138" ref="E142"/>
    <hyperlink r:id="rId139" ref="E143"/>
    <hyperlink r:id="rId140" ref="E144"/>
    <hyperlink r:id="rId141" ref="E145"/>
    <hyperlink r:id="rId142" ref="E146"/>
    <hyperlink r:id="rId143" ref="E147"/>
    <hyperlink r:id="rId144" ref="E148"/>
    <hyperlink r:id="rId145" ref="E149"/>
    <hyperlink r:id="rId146" ref="E150"/>
    <hyperlink r:id="rId147" ref="E151"/>
    <hyperlink r:id="rId148" ref="E152"/>
    <hyperlink r:id="rId149" ref="E153"/>
    <hyperlink r:id="rId150" ref="E154"/>
    <hyperlink r:id="rId151" ref="E155"/>
    <hyperlink r:id="rId152" ref="E156"/>
    <hyperlink r:id="rId153" ref="E157"/>
    <hyperlink r:id="rId154" ref="E158"/>
    <hyperlink r:id="rId155" ref="E159"/>
    <hyperlink r:id="rId156" ref="E160"/>
    <hyperlink r:id="rId157" ref="E161"/>
    <hyperlink r:id="rId158" ref="E162"/>
    <hyperlink r:id="rId159" ref="E163"/>
    <hyperlink r:id="rId160" ref="E164"/>
    <hyperlink r:id="rId161" ref="E165"/>
    <hyperlink r:id="rId162" ref="E166"/>
    <hyperlink r:id="rId163" ref="E167"/>
    <hyperlink r:id="rId164" ref="E168"/>
    <hyperlink r:id="rId165" ref="E169"/>
    <hyperlink r:id="rId166" ref="E170"/>
    <hyperlink r:id="rId167" ref="E171"/>
    <hyperlink r:id="rId168" ref="E172"/>
    <hyperlink r:id="rId169" ref="E173"/>
    <hyperlink r:id="rId170" ref="E174"/>
    <hyperlink r:id="rId171" ref="E175"/>
    <hyperlink r:id="rId172" ref="E176"/>
    <hyperlink r:id="rId173" ref="E177"/>
    <hyperlink r:id="rId174" ref="E178"/>
    <hyperlink r:id="rId175" ref="E179"/>
    <hyperlink r:id="rId176" ref="E180"/>
    <hyperlink r:id="rId177" ref="E181"/>
    <hyperlink r:id="rId178" ref="E182"/>
    <hyperlink r:id="rId179" ref="E183"/>
    <hyperlink r:id="rId180" ref="E184"/>
    <hyperlink r:id="rId181" ref="E185"/>
    <hyperlink r:id="rId182" ref="E186"/>
    <hyperlink r:id="rId183" ref="E187"/>
    <hyperlink r:id="rId184" ref="E188"/>
    <hyperlink r:id="rId185" ref="E189"/>
    <hyperlink r:id="rId186" ref="E190"/>
    <hyperlink r:id="rId187" ref="E191"/>
    <hyperlink r:id="rId188" ref="E192"/>
    <hyperlink r:id="rId189" ref="E193"/>
    <hyperlink r:id="rId190" ref="E194"/>
    <hyperlink r:id="rId191" ref="E195"/>
    <hyperlink r:id="rId192" ref="E196"/>
    <hyperlink r:id="rId193" ref="E197"/>
    <hyperlink r:id="rId194" ref="E198"/>
    <hyperlink r:id="rId195" ref="E199"/>
    <hyperlink r:id="rId196" ref="E200"/>
    <hyperlink r:id="rId197" ref="E201"/>
    <hyperlink r:id="rId198" ref="E202"/>
    <hyperlink r:id="rId199" ref="E203"/>
    <hyperlink r:id="rId200" ref="E204"/>
    <hyperlink r:id="rId201" ref="E205"/>
    <hyperlink r:id="rId202" ref="E206"/>
    <hyperlink r:id="rId203" ref="E207"/>
    <hyperlink r:id="rId204" ref="E208"/>
    <hyperlink r:id="rId205" ref="E209"/>
    <hyperlink r:id="rId206" ref="E210"/>
    <hyperlink r:id="rId207" ref="E211"/>
    <hyperlink r:id="rId208" ref="E212"/>
    <hyperlink r:id="rId209" ref="E213"/>
    <hyperlink r:id="rId210" ref="E214"/>
    <hyperlink r:id="rId211" ref="E215"/>
    <hyperlink r:id="rId212" ref="E216"/>
    <hyperlink r:id="rId213" ref="E217"/>
    <hyperlink r:id="rId214" ref="E218"/>
    <hyperlink r:id="rId215" ref="E219"/>
    <hyperlink r:id="rId216" ref="E220"/>
    <hyperlink r:id="rId217" ref="E221"/>
    <hyperlink r:id="rId218" ref="E222"/>
    <hyperlink r:id="rId219" ref="E223"/>
    <hyperlink r:id="rId220" ref="E224"/>
    <hyperlink r:id="rId221" ref="E225"/>
    <hyperlink r:id="rId222" ref="E226"/>
    <hyperlink r:id="rId223" ref="E227"/>
    <hyperlink r:id="rId224" ref="E228"/>
    <hyperlink r:id="rId225" ref="E229"/>
    <hyperlink r:id="rId226" ref="E230"/>
    <hyperlink r:id="rId227" ref="E231"/>
    <hyperlink r:id="rId228" ref="E232"/>
    <hyperlink r:id="rId229" ref="E233"/>
    <hyperlink r:id="rId230" ref="E234"/>
    <hyperlink r:id="rId231" ref="E235"/>
    <hyperlink r:id="rId232" ref="E236"/>
    <hyperlink r:id="rId233" ref="E237"/>
    <hyperlink r:id="rId234" ref="E238"/>
    <hyperlink r:id="rId235" ref="E239"/>
    <hyperlink r:id="rId236" ref="E240"/>
    <hyperlink r:id="rId237" ref="E241"/>
    <hyperlink r:id="rId238" ref="E242"/>
    <hyperlink r:id="rId239" ref="E243"/>
    <hyperlink r:id="rId240" ref="E244"/>
    <hyperlink r:id="rId241" ref="E245"/>
    <hyperlink r:id="rId242" ref="E246"/>
    <hyperlink r:id="rId243" ref="E247"/>
    <hyperlink r:id="rId244" ref="E248"/>
    <hyperlink r:id="rId245" ref="E249"/>
    <hyperlink r:id="rId246" ref="E250"/>
    <hyperlink r:id="rId247" ref="E251"/>
    <hyperlink r:id="rId248" ref="E252"/>
    <hyperlink r:id="rId249" ref="E253"/>
    <hyperlink r:id="rId250" ref="E254"/>
    <hyperlink r:id="rId251" ref="E255"/>
    <hyperlink r:id="rId252" ref="E256"/>
    <hyperlink r:id="rId253" ref="E257"/>
    <hyperlink r:id="rId254" ref="E258"/>
    <hyperlink r:id="rId255" ref="E259"/>
    <hyperlink r:id="rId256" ref="E260"/>
    <hyperlink r:id="rId257" ref="E261"/>
    <hyperlink r:id="rId258" ref="E262"/>
    <hyperlink r:id="rId259" ref="E263"/>
    <hyperlink r:id="rId260" ref="E264"/>
    <hyperlink r:id="rId261" ref="E265"/>
    <hyperlink r:id="rId262" ref="E266"/>
    <hyperlink r:id="rId263" ref="E267"/>
    <hyperlink r:id="rId264" ref="E268"/>
    <hyperlink r:id="rId265" ref="E269"/>
    <hyperlink r:id="rId266" ref="E270"/>
    <hyperlink r:id="rId267" ref="E271"/>
    <hyperlink r:id="rId268" ref="E272"/>
    <hyperlink r:id="rId269" ref="E273"/>
    <hyperlink r:id="rId270" ref="E274"/>
    <hyperlink r:id="rId271" ref="E275"/>
    <hyperlink r:id="rId272" ref="E276"/>
    <hyperlink r:id="rId273" ref="E277"/>
    <hyperlink r:id="rId274" ref="E278"/>
    <hyperlink r:id="rId275" ref="E279"/>
    <hyperlink r:id="rId276" ref="E280"/>
    <hyperlink r:id="rId277" ref="E281"/>
    <hyperlink r:id="rId278" ref="E282"/>
    <hyperlink r:id="rId279" ref="E283"/>
    <hyperlink r:id="rId280" ref="E284"/>
    <hyperlink r:id="rId281" ref="E285"/>
    <hyperlink r:id="rId282" ref="E286"/>
    <hyperlink r:id="rId283" ref="E287"/>
    <hyperlink r:id="rId284" ref="E288"/>
    <hyperlink r:id="rId285" ref="E289"/>
    <hyperlink r:id="rId286" ref="E290"/>
    <hyperlink r:id="rId287" ref="E291"/>
    <hyperlink r:id="rId288" ref="E292"/>
    <hyperlink r:id="rId289" ref="E293"/>
    <hyperlink r:id="rId290" ref="E294"/>
    <hyperlink r:id="rId291" ref="E295"/>
    <hyperlink r:id="rId292" ref="E296"/>
    <hyperlink r:id="rId293" ref="E297"/>
    <hyperlink r:id="rId294" ref="E298"/>
    <hyperlink r:id="rId295" ref="E299"/>
    <hyperlink r:id="rId296" ref="E300"/>
    <hyperlink r:id="rId297" ref="E301"/>
    <hyperlink r:id="rId298" ref="E302"/>
    <hyperlink r:id="rId299" ref="E303"/>
    <hyperlink r:id="rId300" ref="E304"/>
    <hyperlink r:id="rId301" ref="E305"/>
    <hyperlink r:id="rId302" ref="E306"/>
    <hyperlink r:id="rId303" ref="E307"/>
    <hyperlink r:id="rId304" ref="E308"/>
    <hyperlink r:id="rId305" ref="E309"/>
    <hyperlink r:id="rId306" ref="E310"/>
    <hyperlink r:id="rId307" ref="E311"/>
    <hyperlink r:id="rId308" ref="E312"/>
    <hyperlink r:id="rId309" ref="E313"/>
    <hyperlink r:id="rId310" ref="E314"/>
    <hyperlink r:id="rId311" ref="E315"/>
    <hyperlink r:id="rId312" ref="E316"/>
    <hyperlink r:id="rId313" ref="E317"/>
    <hyperlink r:id="rId314" ref="E318"/>
    <hyperlink r:id="rId315" ref="E319"/>
    <hyperlink r:id="rId316" ref="E320"/>
    <hyperlink r:id="rId317" ref="E321"/>
    <hyperlink r:id="rId318" ref="E322"/>
    <hyperlink r:id="rId319" ref="E323"/>
    <hyperlink r:id="rId320" ref="E324"/>
    <hyperlink r:id="rId321" ref="E325"/>
    <hyperlink r:id="rId322" ref="E326"/>
    <hyperlink r:id="rId323" ref="E327"/>
    <hyperlink r:id="rId324" ref="E328"/>
    <hyperlink r:id="rId325" ref="E329"/>
    <hyperlink r:id="rId326" ref="E330"/>
    <hyperlink r:id="rId327" ref="E331"/>
    <hyperlink r:id="rId328" ref="E332"/>
    <hyperlink r:id="rId329" ref="E333"/>
    <hyperlink r:id="rId330" ref="E334"/>
    <hyperlink r:id="rId331" ref="E335"/>
    <hyperlink r:id="rId332" ref="E336"/>
    <hyperlink r:id="rId333" ref="E337"/>
    <hyperlink r:id="rId334" ref="E338"/>
    <hyperlink r:id="rId335" ref="E339"/>
    <hyperlink r:id="rId336" ref="E340"/>
    <hyperlink r:id="rId337" ref="E341"/>
    <hyperlink r:id="rId338" ref="E342"/>
    <hyperlink r:id="rId339" ref="E343"/>
    <hyperlink r:id="rId340" ref="E344"/>
    <hyperlink r:id="rId341" ref="E345"/>
    <hyperlink r:id="rId342" ref="E346"/>
    <hyperlink r:id="rId343" ref="E347"/>
    <hyperlink r:id="rId344" ref="E348"/>
    <hyperlink r:id="rId345" ref="E349"/>
    <hyperlink r:id="rId346" ref="E350"/>
    <hyperlink r:id="rId347" ref="E351"/>
    <hyperlink r:id="rId348" ref="E352"/>
    <hyperlink r:id="rId349" ref="E353"/>
    <hyperlink r:id="rId350" ref="E354"/>
    <hyperlink r:id="rId351" ref="E355"/>
    <hyperlink r:id="rId352" ref="E356"/>
    <hyperlink r:id="rId353" ref="E357"/>
    <hyperlink r:id="rId354" ref="E358"/>
    <hyperlink r:id="rId355" ref="E359"/>
    <hyperlink r:id="rId356" ref="E360"/>
    <hyperlink r:id="rId357" ref="E361"/>
    <hyperlink r:id="rId358" ref="E362"/>
    <hyperlink r:id="rId359" ref="E363"/>
    <hyperlink r:id="rId360" ref="E364"/>
    <hyperlink r:id="rId361" ref="E365"/>
    <hyperlink r:id="rId362" ref="E366"/>
    <hyperlink r:id="rId363" ref="E367"/>
    <hyperlink r:id="rId364" ref="E368"/>
    <hyperlink r:id="rId365" ref="E369"/>
    <hyperlink r:id="rId366" ref="E370"/>
    <hyperlink r:id="rId367" ref="E371"/>
    <hyperlink r:id="rId368" ref="E372"/>
    <hyperlink r:id="rId369" ref="E373"/>
  </hyperlinks>
  <printOptions/>
  <pageMargins bottom="1.0" footer="0.0" header="0.0" left="0.75" right="0.75" top="1.0"/>
  <pageSetup paperSize="9" orientation="portrait"/>
  <drawing r:id="rId37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14.0"/>
    <col customWidth="1" min="2" max="2" width="6.0"/>
    <col customWidth="1" min="3" max="3" width="11.0"/>
    <col customWidth="1" min="4" max="4" width="52.0"/>
    <col customWidth="1" min="5" max="5" width="16.0"/>
    <col customWidth="1" min="6" max="6" width="12.0"/>
    <col customWidth="1" min="7" max="7" width="11.0"/>
    <col customWidth="1" min="8" max="8" width="12.0"/>
    <col customWidth="1" min="9" max="9" width="13.0"/>
    <col customWidth="1" min="10" max="10" width="9.0"/>
    <col customWidth="1" min="11" max="11" width="12.0"/>
    <col customWidth="1" min="12" max="12" width="10.0"/>
    <col customWidth="1" min="13" max="19" width="13.0"/>
    <col customWidth="1" min="20" max="21" width="15.0"/>
    <col customWidth="1" min="22" max="26" width="8.71"/>
  </cols>
  <sheetData>
    <row r="1">
      <c r="A1" s="1" t="s">
        <v>108</v>
      </c>
    </row>
    <row r="2">
      <c r="A2" s="3" t="s">
        <v>109</v>
      </c>
    </row>
    <row r="4">
      <c r="A4" s="6" t="s">
        <v>12</v>
      </c>
      <c r="B4" s="6" t="s">
        <v>22</v>
      </c>
      <c r="C4" s="6" t="s">
        <v>25</v>
      </c>
      <c r="D4" s="6" t="s">
        <v>27</v>
      </c>
      <c r="E4" s="6" t="s">
        <v>31</v>
      </c>
      <c r="F4" s="6" t="s">
        <v>13</v>
      </c>
      <c r="G4" s="6" t="s">
        <v>15</v>
      </c>
      <c r="H4" s="6" t="s">
        <v>17</v>
      </c>
      <c r="I4" s="6" t="s">
        <v>38</v>
      </c>
      <c r="J4" s="6" t="s">
        <v>41</v>
      </c>
      <c r="K4" s="6" t="s">
        <v>44</v>
      </c>
      <c r="L4" s="6" t="s">
        <v>46</v>
      </c>
      <c r="M4" s="6" t="s">
        <v>49</v>
      </c>
      <c r="N4" s="6" t="s">
        <v>40</v>
      </c>
      <c r="O4" s="6" t="s">
        <v>52</v>
      </c>
      <c r="P4" s="6" t="s">
        <v>53</v>
      </c>
      <c r="Q4" s="6" t="s">
        <v>54</v>
      </c>
      <c r="R4" s="6" t="s">
        <v>55</v>
      </c>
      <c r="S4" s="6" t="s">
        <v>56</v>
      </c>
      <c r="T4" s="6" t="s">
        <v>57</v>
      </c>
      <c r="U4" s="6" t="s">
        <v>58</v>
      </c>
    </row>
    <row r="5">
      <c r="A5" s="9">
        <v>45096.5002251389</v>
      </c>
      <c r="B5" s="10">
        <v>12.0</v>
      </c>
      <c r="C5" s="10" t="s">
        <v>71</v>
      </c>
      <c r="D5" s="10" t="s">
        <v>113</v>
      </c>
      <c r="E5" s="12" t="s">
        <v>62</v>
      </c>
      <c r="F5" s="11">
        <v>753.0</v>
      </c>
      <c r="G5" s="11">
        <v>93.0</v>
      </c>
      <c r="H5" s="11">
        <v>93.0</v>
      </c>
      <c r="I5" s="11">
        <v>0.0</v>
      </c>
      <c r="J5" s="11">
        <v>7.0</v>
      </c>
      <c r="K5" s="11">
        <v>0.0</v>
      </c>
      <c r="L5" s="11">
        <v>0.0</v>
      </c>
      <c r="M5" s="13">
        <f t="shared" ref="M5:O5" si="1">IFERROR(G5/F5,"")</f>
        <v>0.1235059761</v>
      </c>
      <c r="N5" s="13">
        <f t="shared" si="1"/>
        <v>1</v>
      </c>
      <c r="O5" s="14">
        <f t="shared" si="1"/>
        <v>0</v>
      </c>
      <c r="P5" s="13">
        <f t="shared" ref="P5:P11" si="3">IFERROR(J5/H5,"")</f>
        <v>0.0752688172</v>
      </c>
      <c r="Q5" s="13">
        <f t="shared" ref="Q5:Q11" si="4">IFERROR(K5/H5,"")</f>
        <v>0</v>
      </c>
      <c r="R5" s="13">
        <f t="shared" ref="R5:R11" si="5">IFERROR(L5/H5,"")</f>
        <v>0</v>
      </c>
      <c r="S5" s="14" t="str">
        <f t="shared" ref="S5:S11" si="6">IFERROR(M5/MEDIAN(INDEX($M$5:$M$11,MATCH($A5-90,$A$5:$A$11,1)):INDEX($M$5:$M$11,MATCH($A5+90,$A$5:$A$11,1))),"")</f>
        <v/>
      </c>
      <c r="T5" s="14" t="str">
        <f t="shared" ref="T5:T11" si="7">IFERROR(N5/MEDIAN(INDEX($N$5:$N$11,MATCH($A5-90,$A$5:$A$11,1)):INDEX($N$5:$N$11,MATCH($A5+90,$A$5:$A$11,1))),"")</f>
        <v/>
      </c>
      <c r="U5" s="14" t="str">
        <f t="shared" ref="U5:U11" si="8">IFERROR(Q5/MEDIAN(INDEX($Q$5:$Q$11,MATCH($A5-90,$A$5:$A$11,1)):INDEX($Q$5:$Q$11,MATCH($A5+90,$A$5:$A$11,1))),"")</f>
        <v/>
      </c>
    </row>
    <row r="6">
      <c r="A6" s="9">
        <v>45096.8496730671</v>
      </c>
      <c r="B6" s="10">
        <v>20.0</v>
      </c>
      <c r="C6" s="10" t="s">
        <v>71</v>
      </c>
      <c r="D6" s="10" t="s">
        <v>113</v>
      </c>
      <c r="E6" s="12" t="s">
        <v>62</v>
      </c>
      <c r="F6" s="11">
        <v>72141.0</v>
      </c>
      <c r="G6" s="11">
        <v>1607.0</v>
      </c>
      <c r="H6" s="11">
        <v>2093.0</v>
      </c>
      <c r="I6" s="11">
        <v>0.0</v>
      </c>
      <c r="J6" s="11">
        <v>131.0</v>
      </c>
      <c r="K6" s="11">
        <v>7.0</v>
      </c>
      <c r="L6" s="11">
        <v>8.0</v>
      </c>
      <c r="M6" s="13">
        <f t="shared" ref="M6:O6" si="2">IFERROR(G6/F6,"")</f>
        <v>0.02227582096</v>
      </c>
      <c r="N6" s="13">
        <f t="shared" si="2"/>
        <v>1.302426882</v>
      </c>
      <c r="O6" s="14">
        <f t="shared" si="2"/>
        <v>0</v>
      </c>
      <c r="P6" s="13">
        <f t="shared" si="3"/>
        <v>0.06258958433</v>
      </c>
      <c r="Q6" s="13">
        <f t="shared" si="4"/>
        <v>0.003344481605</v>
      </c>
      <c r="R6" s="13">
        <f t="shared" si="5"/>
        <v>0.003822264692</v>
      </c>
      <c r="S6" s="14" t="str">
        <f t="shared" si="6"/>
        <v/>
      </c>
      <c r="T6" s="14" t="str">
        <f t="shared" si="7"/>
        <v/>
      </c>
      <c r="U6" s="14" t="str">
        <f t="shared" si="8"/>
        <v/>
      </c>
    </row>
    <row r="7">
      <c r="A7" s="9">
        <v>45140.5001786227</v>
      </c>
      <c r="B7" s="10">
        <v>12.0</v>
      </c>
      <c r="C7" s="10" t="s">
        <v>80</v>
      </c>
      <c r="D7" s="10" t="s">
        <v>124</v>
      </c>
      <c r="E7" s="12" t="s">
        <v>62</v>
      </c>
      <c r="F7" s="11">
        <v>284527.0</v>
      </c>
      <c r="G7" s="11">
        <v>3652.0</v>
      </c>
      <c r="H7" s="11">
        <v>4240.0</v>
      </c>
      <c r="I7" s="11">
        <v>662.0</v>
      </c>
      <c r="J7" s="11">
        <v>131.0</v>
      </c>
      <c r="K7" s="11">
        <v>10.0</v>
      </c>
      <c r="L7" s="11">
        <v>26.0</v>
      </c>
      <c r="M7" s="13">
        <f t="shared" ref="M7:O7" si="9">IFERROR(G7/F7,"")</f>
        <v>0.01283533724</v>
      </c>
      <c r="N7" s="13">
        <f t="shared" si="9"/>
        <v>1.161007667</v>
      </c>
      <c r="O7" s="14">
        <f t="shared" si="9"/>
        <v>0.1561320755</v>
      </c>
      <c r="P7" s="13">
        <f t="shared" si="3"/>
        <v>0.03089622642</v>
      </c>
      <c r="Q7" s="13">
        <f t="shared" si="4"/>
        <v>0.002358490566</v>
      </c>
      <c r="R7" s="13">
        <f t="shared" si="5"/>
        <v>0.006132075472</v>
      </c>
      <c r="S7" s="14" t="str">
        <f t="shared" si="6"/>
        <v/>
      </c>
      <c r="T7" s="14" t="str">
        <f t="shared" si="7"/>
        <v/>
      </c>
      <c r="U7" s="14" t="str">
        <f t="shared" si="8"/>
        <v/>
      </c>
    </row>
    <row r="8">
      <c r="A8" s="9">
        <v>45202.8495245602</v>
      </c>
      <c r="B8" s="10">
        <v>20.0</v>
      </c>
      <c r="C8" s="10" t="s">
        <v>59</v>
      </c>
      <c r="D8" s="10" t="s">
        <v>127</v>
      </c>
      <c r="E8" s="12" t="s">
        <v>62</v>
      </c>
      <c r="F8" s="11">
        <v>998495.0</v>
      </c>
      <c r="G8" s="11">
        <v>7070.0</v>
      </c>
      <c r="H8" s="11">
        <v>8808.0</v>
      </c>
      <c r="I8" s="11">
        <v>3309.0</v>
      </c>
      <c r="J8" s="11">
        <v>219.0</v>
      </c>
      <c r="K8" s="11">
        <v>9.0</v>
      </c>
      <c r="L8" s="11">
        <v>61.0</v>
      </c>
      <c r="M8" s="13">
        <f t="shared" ref="M8:O8" si="10">IFERROR(G8/F8,"")</f>
        <v>0.007080656388</v>
      </c>
      <c r="N8" s="13">
        <f t="shared" si="10"/>
        <v>1.24582744</v>
      </c>
      <c r="O8" s="14">
        <f t="shared" si="10"/>
        <v>0.3756811989</v>
      </c>
      <c r="P8" s="13">
        <f t="shared" si="3"/>
        <v>0.02486376022</v>
      </c>
      <c r="Q8" s="13">
        <f t="shared" si="4"/>
        <v>0.001021798365</v>
      </c>
      <c r="R8" s="13">
        <f t="shared" si="5"/>
        <v>0.006925522252</v>
      </c>
      <c r="S8" s="14">
        <f t="shared" si="6"/>
        <v>0.489350815</v>
      </c>
      <c r="T8" s="14">
        <f t="shared" si="7"/>
        <v>0.977788935</v>
      </c>
      <c r="U8" s="14">
        <f t="shared" si="8"/>
        <v>0.5730059938</v>
      </c>
    </row>
    <row r="9">
      <c r="A9" s="9">
        <v>45216.9477821412</v>
      </c>
      <c r="B9" s="10">
        <v>22.0</v>
      </c>
      <c r="C9" s="10" t="s">
        <v>59</v>
      </c>
      <c r="D9" s="10" t="s">
        <v>131</v>
      </c>
      <c r="E9" s="12" t="s">
        <v>62</v>
      </c>
      <c r="F9" s="11">
        <v>1899044.0</v>
      </c>
      <c r="G9" s="11">
        <v>15281.0</v>
      </c>
      <c r="H9" s="11">
        <v>34975.0</v>
      </c>
      <c r="I9" s="11">
        <v>1104.0</v>
      </c>
      <c r="J9" s="11">
        <v>202.0</v>
      </c>
      <c r="K9" s="11">
        <v>25.0</v>
      </c>
      <c r="L9" s="11">
        <v>122.0</v>
      </c>
      <c r="M9" s="13">
        <f t="shared" ref="M9:O9" si="11">IFERROR(G9/F9,"")</f>
        <v>0.00804668033</v>
      </c>
      <c r="N9" s="13">
        <f t="shared" si="11"/>
        <v>2.288790001</v>
      </c>
      <c r="O9" s="14">
        <f t="shared" si="11"/>
        <v>0.03156540386</v>
      </c>
      <c r="P9" s="13">
        <f t="shared" si="3"/>
        <v>0.005775553967</v>
      </c>
      <c r="Q9" s="13">
        <f t="shared" si="4"/>
        <v>0.0007147962831</v>
      </c>
      <c r="R9" s="13">
        <f t="shared" si="5"/>
        <v>0.003488205861</v>
      </c>
      <c r="S9" s="14">
        <f t="shared" si="6"/>
        <v>0.5561136371</v>
      </c>
      <c r="T9" s="14">
        <f t="shared" si="7"/>
        <v>1.796359163</v>
      </c>
      <c r="U9" s="14">
        <f t="shared" si="8"/>
        <v>0.4008447933</v>
      </c>
    </row>
    <row r="10">
      <c r="A10" s="9">
        <v>45235.6252658912</v>
      </c>
      <c r="B10" s="10">
        <v>15.0</v>
      </c>
      <c r="C10" s="10" t="s">
        <v>77</v>
      </c>
      <c r="D10" s="10" t="s">
        <v>135</v>
      </c>
      <c r="E10" s="12" t="s">
        <v>62</v>
      </c>
      <c r="F10" s="11">
        <v>1239968.0</v>
      </c>
      <c r="G10" s="11">
        <v>19968.0</v>
      </c>
      <c r="H10" s="11">
        <v>23680.0</v>
      </c>
      <c r="I10" s="11">
        <v>7021.0</v>
      </c>
      <c r="J10" s="11">
        <v>512.0</v>
      </c>
      <c r="K10" s="11">
        <v>45.0</v>
      </c>
      <c r="L10" s="11">
        <v>180.0</v>
      </c>
      <c r="M10" s="13">
        <f t="shared" ref="M10:O10" si="12">IFERROR(G10/F10,"")</f>
        <v>0.01610364138</v>
      </c>
      <c r="N10" s="13">
        <f t="shared" si="12"/>
        <v>1.185897436</v>
      </c>
      <c r="O10" s="14">
        <f t="shared" si="12"/>
        <v>0.2964949324</v>
      </c>
      <c r="P10" s="13">
        <f t="shared" si="3"/>
        <v>0.02162162162</v>
      </c>
      <c r="Q10" s="13">
        <f t="shared" si="4"/>
        <v>0.001900337838</v>
      </c>
      <c r="R10" s="13">
        <f t="shared" si="5"/>
        <v>0.007601351351</v>
      </c>
      <c r="S10" s="14">
        <f t="shared" si="6"/>
        <v>1.254633289</v>
      </c>
      <c r="T10" s="14">
        <f t="shared" si="7"/>
        <v>0.9518954214</v>
      </c>
      <c r="U10" s="14">
        <f t="shared" si="8"/>
        <v>1.14058277</v>
      </c>
    </row>
    <row r="11">
      <c r="A11" s="9">
        <v>45269.7022601389</v>
      </c>
      <c r="B11" s="10">
        <v>16.0</v>
      </c>
      <c r="C11" s="10" t="s">
        <v>69</v>
      </c>
      <c r="D11" s="10" t="s">
        <v>139</v>
      </c>
      <c r="E11" s="12" t="s">
        <v>62</v>
      </c>
      <c r="F11" s="11">
        <v>91387.0</v>
      </c>
      <c r="G11" s="11">
        <v>2255.0</v>
      </c>
      <c r="H11" s="11">
        <v>3001.0</v>
      </c>
      <c r="I11" s="11">
        <v>299.0</v>
      </c>
      <c r="J11" s="11">
        <v>154.0</v>
      </c>
      <c r="K11" s="11">
        <v>5.0</v>
      </c>
      <c r="L11" s="11">
        <v>30.0</v>
      </c>
      <c r="M11" s="13">
        <f t="shared" ref="M11:O11" si="13">IFERROR(G11/F11,"")</f>
        <v>0.02467528204</v>
      </c>
      <c r="N11" s="13">
        <f t="shared" si="13"/>
        <v>1.330820399</v>
      </c>
      <c r="O11" s="14">
        <f t="shared" si="13"/>
        <v>0.09963345551</v>
      </c>
      <c r="P11" s="13">
        <f t="shared" si="3"/>
        <v>0.05131622792</v>
      </c>
      <c r="Q11" s="13">
        <f t="shared" si="4"/>
        <v>0.001666111296</v>
      </c>
      <c r="R11" s="13">
        <f t="shared" si="5"/>
        <v>0.009996667777</v>
      </c>
      <c r="S11" s="14">
        <f t="shared" si="6"/>
        <v>1.922449062</v>
      </c>
      <c r="T11" s="14">
        <f t="shared" si="7"/>
        <v>1.068222096</v>
      </c>
      <c r="U11" s="14">
        <f t="shared" si="8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U$11"/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</hyperlinks>
  <printOptions/>
  <pageMargins bottom="1.0" footer="0.0" header="0.0" left="0.75" right="0.75" top="1.0"/>
  <pageSetup paperSize="9" orientation="portrait"/>
  <drawing r:id="rId8"/>
</worksheet>
</file>